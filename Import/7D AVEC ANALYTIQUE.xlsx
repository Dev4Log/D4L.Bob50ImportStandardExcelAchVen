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eloppement\CSharp\Bob50\IbGrafBobImportExcelAchVen\IbGrafBobImportExcelAchVen\Import\"/>
    </mc:Choice>
  </mc:AlternateContent>
  <xr:revisionPtr revIDLastSave="0" documentId="13_ncr:1_{65C8154C-697F-4433-924F-0E395DF16D8E}" xr6:coauthVersionLast="41" xr6:coauthVersionMax="41" xr10:uidLastSave="{00000000-0000-0000-0000-000000000000}"/>
  <bookViews>
    <workbookView xWindow="-120" yWindow="-120" windowWidth="29040" windowHeight="15840" xr2:uid="{00000000-000D-0000-FFFF-FFFF00000000}"/>
  </bookViews>
  <sheets>
    <sheet name="Feuil1" sheetId="1" r:id="rId1"/>
    <sheet name="Feuil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K6" i="1" s="1"/>
  <c r="O7" i="1"/>
  <c r="K7" i="1" s="1"/>
  <c r="O8" i="1"/>
  <c r="K8" i="1" s="1"/>
  <c r="O9" i="1"/>
  <c r="K9" i="1" s="1"/>
  <c r="O10" i="1"/>
  <c r="K10" i="1" s="1"/>
  <c r="O11" i="1"/>
  <c r="O12" i="1"/>
  <c r="O13" i="1"/>
  <c r="O14" i="1"/>
  <c r="K14" i="1" s="1"/>
  <c r="O15" i="1"/>
  <c r="K15" i="1" s="1"/>
  <c r="O16" i="1"/>
  <c r="K16" i="1" s="1"/>
  <c r="O17" i="1"/>
  <c r="K17" i="1" s="1"/>
  <c r="O18" i="1"/>
  <c r="K18" i="1" s="1"/>
  <c r="O19" i="1"/>
  <c r="O20" i="1"/>
  <c r="O21" i="1"/>
  <c r="O22" i="1"/>
  <c r="K22" i="1" s="1"/>
  <c r="O2" i="1"/>
  <c r="K2" i="1" s="1"/>
  <c r="K3" i="1"/>
  <c r="K4" i="1"/>
  <c r="K5" i="1"/>
  <c r="K11" i="1"/>
  <c r="K12" i="1"/>
  <c r="K13" i="1"/>
  <c r="K19" i="1"/>
  <c r="K20" i="1"/>
  <c r="K21" i="1"/>
</calcChain>
</file>

<file path=xl/sharedStrings.xml><?xml version="1.0" encoding="utf-8"?>
<sst xmlns="http://schemas.openxmlformats.org/spreadsheetml/2006/main" count="154" uniqueCount="72">
  <si>
    <t>Date échéance</t>
  </si>
  <si>
    <t>N° de document</t>
  </si>
  <si>
    <t>Remarque Externe</t>
  </si>
  <si>
    <t>Comment interne</t>
  </si>
  <si>
    <t>Nom du tier</t>
  </si>
  <si>
    <t>CP du tier</t>
  </si>
  <si>
    <t>Ville du Tier</t>
  </si>
  <si>
    <t>Assujetti</t>
  </si>
  <si>
    <t>Numéro de l'assujetti</t>
  </si>
  <si>
    <t>Journal</t>
  </si>
  <si>
    <t>Année</t>
  </si>
  <si>
    <t>Mois</t>
  </si>
  <si>
    <t>Date Document</t>
  </si>
  <si>
    <t>Compte General</t>
  </si>
  <si>
    <t>Total TTC</t>
  </si>
  <si>
    <t>Nature Tva</t>
  </si>
  <si>
    <t>Taux Tva</t>
  </si>
  <si>
    <t>Base</t>
  </si>
  <si>
    <t>Tva</t>
  </si>
  <si>
    <t>Devise</t>
  </si>
  <si>
    <t>Cours</t>
  </si>
  <si>
    <t>Adresse du tiers</t>
  </si>
  <si>
    <t>Tier</t>
  </si>
  <si>
    <t>FN</t>
  </si>
  <si>
    <t>CARBUR</t>
  </si>
  <si>
    <t>60814000</t>
  </si>
  <si>
    <t>ARAL GONDERANGE</t>
  </si>
  <si>
    <t>Q8 BERTRANGE</t>
  </si>
  <si>
    <t>61524000</t>
  </si>
  <si>
    <t>60812000</t>
  </si>
  <si>
    <t>Q8 EICH</t>
  </si>
  <si>
    <t>OMV TANKSTELLE</t>
  </si>
  <si>
    <t>RESTO</t>
  </si>
  <si>
    <t>A LA SOUPE</t>
  </si>
  <si>
    <t>RESTO SIELLO</t>
  </si>
  <si>
    <t>HOTEL</t>
  </si>
  <si>
    <t>HOTEL BAYRISCHER HOF</t>
  </si>
  <si>
    <t>DTS</t>
  </si>
  <si>
    <t>PARKING</t>
  </si>
  <si>
    <t>PARKING MÜNCHEN</t>
  </si>
  <si>
    <t>FE</t>
  </si>
  <si>
    <t>RESTO LE CHAMBOLLE</t>
  </si>
  <si>
    <t>HIFI BERTRANGE</t>
  </si>
  <si>
    <t>TANGO</t>
  </si>
  <si>
    <t>FOYER</t>
  </si>
  <si>
    <t>STARBUCKS</t>
  </si>
  <si>
    <t>OBERWEIS</t>
  </si>
  <si>
    <t>PARKINF ROCADE</t>
  </si>
  <si>
    <t>60350000</t>
  </si>
  <si>
    <t>61460000</t>
  </si>
  <si>
    <t>LU</t>
  </si>
  <si>
    <t>DE</t>
  </si>
  <si>
    <t>CARBURDE</t>
  </si>
  <si>
    <t>RESTOFR</t>
  </si>
  <si>
    <t>FR</t>
  </si>
  <si>
    <t>PARKINGDE</t>
  </si>
  <si>
    <t>BUDGET</t>
  </si>
  <si>
    <t>NATURE</t>
  </si>
  <si>
    <t>ACH</t>
  </si>
  <si>
    <t>ARCELOR</t>
  </si>
  <si>
    <t>BDO</t>
  </si>
  <si>
    <t>AXA</t>
  </si>
  <si>
    <t>DBL</t>
  </si>
  <si>
    <t>CNI</t>
  </si>
  <si>
    <t>CEM</t>
  </si>
  <si>
    <t>EMG</t>
  </si>
  <si>
    <t>COMMANDES</t>
  </si>
  <si>
    <t>AD050030</t>
  </si>
  <si>
    <t>00</t>
  </si>
  <si>
    <t>Attach Doc</t>
  </si>
  <si>
    <t>C:\Users\fabio.tomasetig\Pictures\figora.jpg</t>
  </si>
  <si>
    <t>10000000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</si>
</sst>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0" xfId="0" applyFont="1" applyFill="1" applyAlignment="1">
      <alignment horizontal="left"/>
    </xf>
    <xf numFmtId="14" fontId="0" fillId="0" borderId="0" xfId="0" applyNumberFormat="1"/>
    <xf numFmtId="49" fontId="0" fillId="0" borderId="0" xfId="0" applyNumberFormat="1"/>
    <xf numFmtId="49" fontId="0" fillId="0" borderId="0" xfId="0" applyNumberFormat="1" applyAlignment="1">
      <alignment horizontal="left"/>
    </xf>
    <xf numFmtId="4" fontId="0" fillId="0" borderId="0" xfId="0" applyNumberFormat="1" applyAlignment="1">
      <alignment horizontal="left"/>
    </xf>
    <xf numFmtId="4" fontId="0" fillId="0" borderId="0" xfId="0" applyNumberFormat="1"/>
    <xf numFmtId="4" fontId="0" fillId="0" borderId="0" xfId="0" applyNumberFormat="1" applyFill="1" applyBorder="1"/>
    <xf numFmtId="2" fontId="0" fillId="0" borderId="0" xfId="0" applyNumberFormat="1" applyAlignment="1">
      <alignment horizontal="left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2"/>
  <sheetViews>
    <sheetView tabSelected="1" workbookViewId="0">
      <selection activeCell="F15" sqref="F15"/>
    </sheetView>
  </sheetViews>
  <sheetFormatPr baseColWidth="10" defaultRowHeight="15" x14ac:dyDescent="0.25"/>
  <cols>
    <col min="1" max="1" width="7.42578125" bestFit="1" customWidth="1"/>
    <col min="2" max="2" width="6.28515625" bestFit="1" customWidth="1"/>
    <col min="3" max="3" width="5" bestFit="1" customWidth="1"/>
    <col min="4" max="4" width="13.85546875" bestFit="1" customWidth="1"/>
    <col min="5" max="5" width="13.42578125" bestFit="1" customWidth="1"/>
    <col min="6" max="6" width="11.28515625" customWidth="1"/>
    <col min="7" max="7" width="13.140625" customWidth="1"/>
    <col min="8" max="8" width="15.42578125" bestFit="1" customWidth="1"/>
    <col min="9" max="9" width="23.42578125" customWidth="1"/>
    <col min="10" max="10" width="15.140625" bestFit="1" customWidth="1"/>
    <col min="11" max="11" width="13.140625" style="17" bestFit="1" customWidth="1"/>
    <col min="12" max="12" width="9.7109375" bestFit="1" customWidth="1"/>
    <col min="13" max="13" width="8.28515625" bestFit="1" customWidth="1"/>
    <col min="14" max="14" width="11.5703125" style="14" bestFit="1" customWidth="1"/>
    <col min="15" max="15" width="11.28515625" style="14" bestFit="1" customWidth="1"/>
    <col min="16" max="16" width="8.42578125" bestFit="1" customWidth="1"/>
    <col min="17" max="17" width="6.85546875" bestFit="1" customWidth="1"/>
    <col min="18" max="18" width="12.42578125" bestFit="1" customWidth="1"/>
    <col min="19" max="19" width="14.42578125" bestFit="1" customWidth="1"/>
    <col min="20" max="20" width="9.5703125" bestFit="1" customWidth="1"/>
    <col min="21" max="21" width="11.7109375" bestFit="1" customWidth="1"/>
    <col min="22" max="22" width="8.85546875" bestFit="1" customWidth="1"/>
    <col min="23" max="23" width="20.140625" bestFit="1" customWidth="1"/>
    <col min="24" max="24" width="47.140625" customWidth="1"/>
    <col min="25" max="25" width="15.85546875" customWidth="1"/>
    <col min="26" max="27" width="11.42578125" style="11"/>
  </cols>
  <sheetData>
    <row r="1" spans="1:27" s="1" customFormat="1" x14ac:dyDescent="0.25">
      <c r="A1" s="1" t="s">
        <v>9</v>
      </c>
      <c r="B1" s="2" t="s">
        <v>10</v>
      </c>
      <c r="C1" s="3" t="s">
        <v>11</v>
      </c>
      <c r="D1" s="4" t="s">
        <v>12</v>
      </c>
      <c r="E1" s="5" t="s">
        <v>0</v>
      </c>
      <c r="F1" s="1" t="s">
        <v>1</v>
      </c>
      <c r="G1" s="1" t="s">
        <v>22</v>
      </c>
      <c r="H1" s="1" t="s">
        <v>13</v>
      </c>
      <c r="I1" s="6" t="s">
        <v>2</v>
      </c>
      <c r="J1" s="4" t="s">
        <v>3</v>
      </c>
      <c r="K1" s="16" t="s">
        <v>14</v>
      </c>
      <c r="L1" s="7" t="s">
        <v>15</v>
      </c>
      <c r="M1" s="8" t="s">
        <v>16</v>
      </c>
      <c r="N1" s="13" t="s">
        <v>17</v>
      </c>
      <c r="O1" s="13" t="s">
        <v>18</v>
      </c>
      <c r="P1" s="9" t="s">
        <v>19</v>
      </c>
      <c r="Q1" s="9" t="s">
        <v>20</v>
      </c>
      <c r="R1" s="6" t="s">
        <v>4</v>
      </c>
      <c r="S1" s="6" t="s">
        <v>21</v>
      </c>
      <c r="T1" s="6" t="s">
        <v>5</v>
      </c>
      <c r="U1" s="6" t="s">
        <v>6</v>
      </c>
      <c r="V1" s="6" t="s">
        <v>7</v>
      </c>
      <c r="W1" s="6" t="s">
        <v>8</v>
      </c>
      <c r="X1" s="6" t="s">
        <v>69</v>
      </c>
      <c r="Y1" s="1" t="s">
        <v>66</v>
      </c>
      <c r="Z1" s="12" t="s">
        <v>56</v>
      </c>
      <c r="AA1" s="12" t="s">
        <v>57</v>
      </c>
    </row>
    <row r="2" spans="1:27" x14ac:dyDescent="0.25">
      <c r="A2" t="s">
        <v>58</v>
      </c>
      <c r="B2">
        <v>2018</v>
      </c>
      <c r="C2">
        <v>12</v>
      </c>
      <c r="D2" s="10">
        <v>43464</v>
      </c>
      <c r="E2" s="10"/>
      <c r="F2">
        <v>1</v>
      </c>
      <c r="G2" t="s">
        <v>24</v>
      </c>
      <c r="H2" s="11" t="s">
        <v>25</v>
      </c>
      <c r="I2" s="11" t="s">
        <v>26</v>
      </c>
      <c r="J2" s="11"/>
      <c r="K2" s="17">
        <f xml:space="preserve"> ROUND(N2 + O2, 2)</f>
        <v>71.17</v>
      </c>
      <c r="L2" s="11" t="s">
        <v>23</v>
      </c>
      <c r="M2">
        <v>17</v>
      </c>
      <c r="N2" s="14">
        <v>60.83</v>
      </c>
      <c r="O2" s="14">
        <f xml:space="preserve"> ROUND((N2/100) * M2,2)</f>
        <v>10.34</v>
      </c>
      <c r="Q2">
        <v>0</v>
      </c>
      <c r="R2" t="s">
        <v>24</v>
      </c>
      <c r="V2" t="s">
        <v>50</v>
      </c>
      <c r="X2" t="s">
        <v>70</v>
      </c>
      <c r="Y2" t="s">
        <v>67</v>
      </c>
      <c r="Z2" s="11" t="s">
        <v>71</v>
      </c>
      <c r="AA2" s="11" t="s">
        <v>68</v>
      </c>
    </row>
    <row r="3" spans="1:27" x14ac:dyDescent="0.25">
      <c r="A3" t="s">
        <v>58</v>
      </c>
      <c r="B3">
        <v>2018</v>
      </c>
      <c r="C3">
        <v>12</v>
      </c>
      <c r="D3" s="10">
        <v>43459</v>
      </c>
      <c r="E3" s="10"/>
      <c r="F3">
        <v>2</v>
      </c>
      <c r="G3" t="s">
        <v>24</v>
      </c>
      <c r="H3" s="11" t="s">
        <v>25</v>
      </c>
      <c r="I3" s="11" t="s">
        <v>27</v>
      </c>
      <c r="J3" s="11"/>
      <c r="K3" s="17">
        <f t="shared" ref="K3:K22" si="0" xml:space="preserve"> ROUND(N3 + O3, 2)</f>
        <v>49.87</v>
      </c>
      <c r="L3" s="11" t="s">
        <v>23</v>
      </c>
      <c r="M3">
        <v>17</v>
      </c>
      <c r="N3" s="14">
        <v>42.62</v>
      </c>
      <c r="O3" s="14">
        <f t="shared" ref="O3:O22" si="1" xml:space="preserve"> ROUND((N3/100) * M3,2)</f>
        <v>7.25</v>
      </c>
      <c r="Q3">
        <v>0</v>
      </c>
      <c r="V3" t="s">
        <v>50</v>
      </c>
    </row>
    <row r="4" spans="1:27" x14ac:dyDescent="0.25">
      <c r="A4" t="s">
        <v>58</v>
      </c>
      <c r="B4">
        <v>2018</v>
      </c>
      <c r="C4">
        <v>12</v>
      </c>
      <c r="D4" s="10">
        <v>43460</v>
      </c>
      <c r="E4" s="10"/>
      <c r="F4">
        <v>3</v>
      </c>
      <c r="G4" t="s">
        <v>24</v>
      </c>
      <c r="H4" s="11" t="s">
        <v>29</v>
      </c>
      <c r="I4" s="11" t="s">
        <v>27</v>
      </c>
      <c r="J4" s="11"/>
      <c r="K4" s="17">
        <f t="shared" si="0"/>
        <v>8.7899999999999991</v>
      </c>
      <c r="L4" s="11" t="s">
        <v>23</v>
      </c>
      <c r="M4">
        <v>17</v>
      </c>
      <c r="N4" s="14">
        <v>7.51</v>
      </c>
      <c r="O4" s="14">
        <f t="shared" si="1"/>
        <v>1.28</v>
      </c>
      <c r="Q4">
        <v>0</v>
      </c>
      <c r="V4" t="s">
        <v>50</v>
      </c>
    </row>
    <row r="5" spans="1:27" x14ac:dyDescent="0.25">
      <c r="A5" t="s">
        <v>58</v>
      </c>
      <c r="B5">
        <v>2018</v>
      </c>
      <c r="C5">
        <v>12</v>
      </c>
      <c r="D5" s="10">
        <v>43453</v>
      </c>
      <c r="E5" s="10"/>
      <c r="F5">
        <v>4</v>
      </c>
      <c r="G5" t="s">
        <v>24</v>
      </c>
      <c r="H5" s="11" t="s">
        <v>25</v>
      </c>
      <c r="I5" s="11" t="s">
        <v>30</v>
      </c>
      <c r="J5" s="11"/>
      <c r="K5" s="17">
        <f t="shared" si="0"/>
        <v>72.959999999999994</v>
      </c>
      <c r="L5" s="11" t="s">
        <v>23</v>
      </c>
      <c r="M5">
        <v>17</v>
      </c>
      <c r="N5" s="15">
        <v>62.36</v>
      </c>
      <c r="O5" s="14">
        <f t="shared" si="1"/>
        <v>10.6</v>
      </c>
      <c r="Q5">
        <v>0</v>
      </c>
      <c r="V5" t="s">
        <v>50</v>
      </c>
    </row>
    <row r="6" spans="1:27" x14ac:dyDescent="0.25">
      <c r="A6" t="s">
        <v>58</v>
      </c>
      <c r="B6">
        <v>2018</v>
      </c>
      <c r="C6">
        <v>12</v>
      </c>
      <c r="D6" s="10">
        <v>43462</v>
      </c>
      <c r="E6" s="10"/>
      <c r="F6">
        <v>5</v>
      </c>
      <c r="G6" t="s">
        <v>52</v>
      </c>
      <c r="H6" s="11" t="s">
        <v>25</v>
      </c>
      <c r="I6" s="11" t="s">
        <v>31</v>
      </c>
      <c r="J6" s="11"/>
      <c r="K6" s="17">
        <f t="shared" si="0"/>
        <v>70.05</v>
      </c>
      <c r="L6" s="11" t="s">
        <v>40</v>
      </c>
      <c r="M6">
        <v>0</v>
      </c>
      <c r="N6" s="15">
        <v>70.05</v>
      </c>
      <c r="O6" s="14">
        <f t="shared" si="1"/>
        <v>0</v>
      </c>
      <c r="Q6">
        <v>0</v>
      </c>
      <c r="V6" t="s">
        <v>51</v>
      </c>
    </row>
    <row r="7" spans="1:27" x14ac:dyDescent="0.25">
      <c r="A7" t="s">
        <v>58</v>
      </c>
      <c r="B7">
        <v>2018</v>
      </c>
      <c r="C7">
        <v>12</v>
      </c>
      <c r="D7" s="10">
        <v>43435</v>
      </c>
      <c r="E7" s="10"/>
      <c r="F7">
        <v>6</v>
      </c>
      <c r="G7" t="s">
        <v>32</v>
      </c>
      <c r="H7" s="11" t="s">
        <v>28</v>
      </c>
      <c r="I7" s="11" t="s">
        <v>45</v>
      </c>
      <c r="J7" s="11"/>
      <c r="K7" s="17">
        <f t="shared" si="0"/>
        <v>20.3</v>
      </c>
      <c r="L7" s="11" t="s">
        <v>23</v>
      </c>
      <c r="M7">
        <v>0</v>
      </c>
      <c r="N7" s="15">
        <v>20.3</v>
      </c>
      <c r="O7" s="14">
        <f t="shared" si="1"/>
        <v>0</v>
      </c>
      <c r="Q7">
        <v>0</v>
      </c>
      <c r="R7" t="s">
        <v>32</v>
      </c>
      <c r="V7" t="s">
        <v>50</v>
      </c>
      <c r="X7" t="s">
        <v>70</v>
      </c>
    </row>
    <row r="8" spans="1:27" x14ac:dyDescent="0.25">
      <c r="A8" t="s">
        <v>58</v>
      </c>
      <c r="B8">
        <v>2018</v>
      </c>
      <c r="C8">
        <v>12</v>
      </c>
      <c r="D8" s="10">
        <v>43455</v>
      </c>
      <c r="F8">
        <v>7</v>
      </c>
      <c r="G8" t="s">
        <v>32</v>
      </c>
      <c r="H8" s="11">
        <v>61524000</v>
      </c>
      <c r="I8" s="11" t="s">
        <v>33</v>
      </c>
      <c r="K8" s="17">
        <f t="shared" si="0"/>
        <v>75.98</v>
      </c>
      <c r="L8" s="11" t="s">
        <v>23</v>
      </c>
      <c r="M8">
        <v>3</v>
      </c>
      <c r="N8" s="15">
        <v>73.77</v>
      </c>
      <c r="O8" s="14">
        <f t="shared" si="1"/>
        <v>2.21</v>
      </c>
      <c r="Q8">
        <v>0</v>
      </c>
      <c r="V8" t="s">
        <v>50</v>
      </c>
    </row>
    <row r="9" spans="1:27" x14ac:dyDescent="0.25">
      <c r="A9" t="s">
        <v>58</v>
      </c>
      <c r="B9">
        <v>2018</v>
      </c>
      <c r="C9">
        <v>12</v>
      </c>
      <c r="D9" s="10">
        <v>43450</v>
      </c>
      <c r="F9">
        <v>8</v>
      </c>
      <c r="G9" t="s">
        <v>32</v>
      </c>
      <c r="H9" s="11">
        <v>61524000</v>
      </c>
      <c r="I9" s="11" t="s">
        <v>34</v>
      </c>
      <c r="K9" s="17">
        <f t="shared" si="0"/>
        <v>28.5</v>
      </c>
      <c r="L9" s="11" t="s">
        <v>23</v>
      </c>
      <c r="M9">
        <v>3</v>
      </c>
      <c r="N9" s="15">
        <v>27.67</v>
      </c>
      <c r="O9" s="14">
        <f t="shared" si="1"/>
        <v>0.83</v>
      </c>
      <c r="Q9">
        <v>0</v>
      </c>
      <c r="V9" t="s">
        <v>50</v>
      </c>
    </row>
    <row r="10" spans="1:27" x14ac:dyDescent="0.25">
      <c r="A10" t="s">
        <v>58</v>
      </c>
      <c r="B10">
        <v>2018</v>
      </c>
      <c r="C10">
        <v>12</v>
      </c>
      <c r="D10" s="10">
        <v>43462</v>
      </c>
      <c r="F10">
        <v>9</v>
      </c>
      <c r="G10" t="s">
        <v>35</v>
      </c>
      <c r="H10" s="11">
        <v>61521100</v>
      </c>
      <c r="I10" s="11" t="s">
        <v>36</v>
      </c>
      <c r="K10" s="17">
        <f t="shared" si="0"/>
        <v>617.6</v>
      </c>
      <c r="L10" s="11" t="s">
        <v>37</v>
      </c>
      <c r="M10">
        <v>0</v>
      </c>
      <c r="N10" s="15">
        <v>617.6</v>
      </c>
      <c r="O10" s="14">
        <f t="shared" si="1"/>
        <v>0</v>
      </c>
      <c r="Q10">
        <v>0</v>
      </c>
      <c r="R10" t="s">
        <v>35</v>
      </c>
      <c r="V10" t="s">
        <v>51</v>
      </c>
      <c r="X10" t="s">
        <v>70</v>
      </c>
    </row>
    <row r="11" spans="1:27" x14ac:dyDescent="0.25">
      <c r="A11" t="s">
        <v>58</v>
      </c>
      <c r="B11">
        <v>2018</v>
      </c>
      <c r="C11">
        <v>12</v>
      </c>
      <c r="D11" s="10">
        <v>43461</v>
      </c>
      <c r="F11">
        <v>10</v>
      </c>
      <c r="G11" t="s">
        <v>55</v>
      </c>
      <c r="H11" s="11">
        <v>61521100</v>
      </c>
      <c r="I11" s="11" t="s">
        <v>39</v>
      </c>
      <c r="K11" s="17">
        <f t="shared" si="0"/>
        <v>10</v>
      </c>
      <c r="L11" s="11" t="s">
        <v>40</v>
      </c>
      <c r="M11">
        <v>0</v>
      </c>
      <c r="N11" s="15">
        <v>10</v>
      </c>
      <c r="O11" s="14">
        <f t="shared" si="1"/>
        <v>0</v>
      </c>
      <c r="Q11">
        <v>0</v>
      </c>
      <c r="R11" t="s">
        <v>38</v>
      </c>
      <c r="V11" t="s">
        <v>51</v>
      </c>
      <c r="X11" t="s">
        <v>70</v>
      </c>
    </row>
    <row r="12" spans="1:27" x14ac:dyDescent="0.25">
      <c r="A12" t="s">
        <v>58</v>
      </c>
      <c r="B12">
        <v>2018</v>
      </c>
      <c r="C12">
        <v>12</v>
      </c>
      <c r="D12" s="10">
        <v>43462</v>
      </c>
      <c r="F12">
        <v>11</v>
      </c>
      <c r="G12" t="s">
        <v>55</v>
      </c>
      <c r="H12" s="11">
        <v>61521100</v>
      </c>
      <c r="I12" s="11" t="s">
        <v>39</v>
      </c>
      <c r="K12" s="17">
        <f t="shared" si="0"/>
        <v>10</v>
      </c>
      <c r="L12" s="11" t="s">
        <v>40</v>
      </c>
      <c r="M12">
        <v>0</v>
      </c>
      <c r="N12" s="15">
        <v>10</v>
      </c>
      <c r="O12" s="14">
        <f t="shared" si="1"/>
        <v>0</v>
      </c>
      <c r="Q12">
        <v>0</v>
      </c>
      <c r="V12" t="s">
        <v>51</v>
      </c>
    </row>
    <row r="13" spans="1:27" x14ac:dyDescent="0.25">
      <c r="A13" t="s">
        <v>58</v>
      </c>
      <c r="B13">
        <v>2018</v>
      </c>
      <c r="C13">
        <v>12</v>
      </c>
      <c r="D13" s="10">
        <v>43435</v>
      </c>
      <c r="F13">
        <v>12</v>
      </c>
      <c r="G13" t="s">
        <v>53</v>
      </c>
      <c r="H13" s="11">
        <v>61524000</v>
      </c>
      <c r="I13" s="11" t="s">
        <v>41</v>
      </c>
      <c r="K13" s="17">
        <f t="shared" si="0"/>
        <v>21.3</v>
      </c>
      <c r="L13" s="11" t="s">
        <v>40</v>
      </c>
      <c r="M13">
        <v>0</v>
      </c>
      <c r="N13" s="15">
        <v>21.3</v>
      </c>
      <c r="O13" s="14">
        <f t="shared" si="1"/>
        <v>0</v>
      </c>
      <c r="Q13">
        <v>0</v>
      </c>
      <c r="R13" t="s">
        <v>53</v>
      </c>
      <c r="V13" t="s">
        <v>54</v>
      </c>
      <c r="X13" t="s">
        <v>70</v>
      </c>
    </row>
    <row r="14" spans="1:27" x14ac:dyDescent="0.25">
      <c r="A14" t="s">
        <v>58</v>
      </c>
      <c r="B14">
        <v>2018</v>
      </c>
      <c r="C14">
        <v>12</v>
      </c>
      <c r="D14" s="10">
        <v>43459</v>
      </c>
      <c r="F14">
        <v>13</v>
      </c>
      <c r="G14" t="s">
        <v>60</v>
      </c>
      <c r="H14" s="11" t="s">
        <v>48</v>
      </c>
      <c r="I14" s="11" t="s">
        <v>42</v>
      </c>
      <c r="K14" s="17">
        <f t="shared" si="0"/>
        <v>71.459999999999994</v>
      </c>
      <c r="L14" s="11" t="s">
        <v>23</v>
      </c>
      <c r="M14">
        <v>15</v>
      </c>
      <c r="N14" s="15">
        <v>62.14</v>
      </c>
      <c r="O14" s="14">
        <f t="shared" si="1"/>
        <v>9.32</v>
      </c>
      <c r="Q14">
        <v>0</v>
      </c>
      <c r="V14" t="s">
        <v>50</v>
      </c>
    </row>
    <row r="15" spans="1:27" x14ac:dyDescent="0.25">
      <c r="A15" t="s">
        <v>58</v>
      </c>
      <c r="B15">
        <v>2018</v>
      </c>
      <c r="C15">
        <v>12</v>
      </c>
      <c r="D15" s="10">
        <v>43444</v>
      </c>
      <c r="F15">
        <v>14</v>
      </c>
      <c r="G15" t="s">
        <v>59</v>
      </c>
      <c r="H15" s="11">
        <v>61532000</v>
      </c>
      <c r="I15" s="11" t="s">
        <v>43</v>
      </c>
      <c r="K15" s="17">
        <f t="shared" si="0"/>
        <v>114.22</v>
      </c>
      <c r="L15" s="11" t="s">
        <v>23</v>
      </c>
      <c r="M15">
        <v>15</v>
      </c>
      <c r="N15" s="15">
        <v>99.32</v>
      </c>
      <c r="O15" s="14">
        <f t="shared" si="1"/>
        <v>14.9</v>
      </c>
      <c r="Q15">
        <v>0</v>
      </c>
      <c r="V15" t="s">
        <v>50</v>
      </c>
    </row>
    <row r="16" spans="1:27" x14ac:dyDescent="0.25">
      <c r="A16" t="s">
        <v>58</v>
      </c>
      <c r="B16">
        <v>2018</v>
      </c>
      <c r="C16">
        <v>12</v>
      </c>
      <c r="D16" s="10">
        <v>43448</v>
      </c>
      <c r="F16">
        <v>15</v>
      </c>
      <c r="G16" t="s">
        <v>61</v>
      </c>
      <c r="H16" s="11" t="s">
        <v>49</v>
      </c>
      <c r="I16" s="11" t="s">
        <v>44</v>
      </c>
      <c r="K16" s="17">
        <f t="shared" si="0"/>
        <v>232.3</v>
      </c>
      <c r="L16" s="11" t="s">
        <v>23</v>
      </c>
      <c r="M16">
        <v>0</v>
      </c>
      <c r="N16" s="15">
        <v>232.3</v>
      </c>
      <c r="O16" s="14">
        <f t="shared" si="1"/>
        <v>0</v>
      </c>
      <c r="Q16">
        <v>0</v>
      </c>
      <c r="V16" t="s">
        <v>50</v>
      </c>
    </row>
    <row r="17" spans="1:22" x14ac:dyDescent="0.25">
      <c r="A17" t="s">
        <v>58</v>
      </c>
      <c r="B17">
        <v>2018</v>
      </c>
      <c r="C17">
        <v>12</v>
      </c>
      <c r="D17" s="10">
        <v>43444</v>
      </c>
      <c r="F17">
        <v>16</v>
      </c>
      <c r="G17" t="s">
        <v>62</v>
      </c>
      <c r="H17" s="11">
        <v>61532000</v>
      </c>
      <c r="I17" s="11" t="s">
        <v>43</v>
      </c>
      <c r="K17" s="17">
        <f t="shared" si="0"/>
        <v>89.52</v>
      </c>
      <c r="L17" s="11" t="s">
        <v>23</v>
      </c>
      <c r="M17">
        <v>15</v>
      </c>
      <c r="N17" s="15">
        <v>77.84</v>
      </c>
      <c r="O17" s="14">
        <f t="shared" si="1"/>
        <v>11.68</v>
      </c>
      <c r="Q17">
        <v>0</v>
      </c>
      <c r="V17" t="s">
        <v>50</v>
      </c>
    </row>
    <row r="18" spans="1:22" x14ac:dyDescent="0.25">
      <c r="A18" t="s">
        <v>58</v>
      </c>
      <c r="B18">
        <v>2018</v>
      </c>
      <c r="C18">
        <v>12</v>
      </c>
      <c r="D18" s="10">
        <v>43435</v>
      </c>
      <c r="F18">
        <v>17</v>
      </c>
      <c r="G18" t="s">
        <v>63</v>
      </c>
      <c r="H18" s="11" t="s">
        <v>28</v>
      </c>
      <c r="I18" s="11" t="s">
        <v>45</v>
      </c>
      <c r="K18" s="17">
        <f t="shared" si="0"/>
        <v>5.6</v>
      </c>
      <c r="L18" s="11" t="s">
        <v>23</v>
      </c>
      <c r="M18">
        <v>0</v>
      </c>
      <c r="N18" s="15">
        <v>5.6</v>
      </c>
      <c r="O18" s="14">
        <f t="shared" si="1"/>
        <v>0</v>
      </c>
      <c r="Q18">
        <v>0</v>
      </c>
      <c r="V18" t="s">
        <v>50</v>
      </c>
    </row>
    <row r="19" spans="1:22" x14ac:dyDescent="0.25">
      <c r="A19" t="s">
        <v>58</v>
      </c>
      <c r="B19">
        <v>2018</v>
      </c>
      <c r="C19">
        <v>12</v>
      </c>
      <c r="D19" s="10">
        <v>43447</v>
      </c>
      <c r="F19">
        <v>18</v>
      </c>
      <c r="G19" t="s">
        <v>64</v>
      </c>
      <c r="H19" s="11">
        <v>61524000</v>
      </c>
      <c r="I19" s="11" t="s">
        <v>46</v>
      </c>
      <c r="K19" s="17">
        <f t="shared" si="0"/>
        <v>69.05</v>
      </c>
      <c r="L19" s="11" t="s">
        <v>23</v>
      </c>
      <c r="M19">
        <v>3</v>
      </c>
      <c r="N19" s="15">
        <v>67.040000000000006</v>
      </c>
      <c r="O19" s="14">
        <f t="shared" si="1"/>
        <v>2.0099999999999998</v>
      </c>
      <c r="Q19">
        <v>0</v>
      </c>
      <c r="V19" t="s">
        <v>50</v>
      </c>
    </row>
    <row r="20" spans="1:22" x14ac:dyDescent="0.25">
      <c r="A20" t="s">
        <v>58</v>
      </c>
      <c r="B20">
        <v>2018</v>
      </c>
      <c r="C20">
        <v>12</v>
      </c>
      <c r="D20" s="10">
        <v>43435</v>
      </c>
      <c r="F20">
        <v>19</v>
      </c>
      <c r="G20" t="s">
        <v>65</v>
      </c>
      <c r="H20" s="11">
        <v>61521100</v>
      </c>
      <c r="I20" s="11" t="s">
        <v>38</v>
      </c>
      <c r="K20" s="17">
        <f t="shared" si="0"/>
        <v>63</v>
      </c>
      <c r="L20" s="11" t="s">
        <v>23</v>
      </c>
      <c r="M20">
        <v>15</v>
      </c>
      <c r="N20" s="15">
        <v>54.78</v>
      </c>
      <c r="O20" s="14">
        <f t="shared" si="1"/>
        <v>8.2200000000000006</v>
      </c>
      <c r="Q20">
        <v>0</v>
      </c>
      <c r="V20" t="s">
        <v>50</v>
      </c>
    </row>
    <row r="21" spans="1:22" x14ac:dyDescent="0.25">
      <c r="A21" t="s">
        <v>58</v>
      </c>
      <c r="B21">
        <v>2018</v>
      </c>
      <c r="C21">
        <v>12</v>
      </c>
      <c r="D21" s="10">
        <v>43436</v>
      </c>
      <c r="F21">
        <v>20</v>
      </c>
      <c r="G21" t="s">
        <v>65</v>
      </c>
      <c r="H21" s="11">
        <v>61521100</v>
      </c>
      <c r="I21" s="11" t="s">
        <v>47</v>
      </c>
      <c r="K21" s="17">
        <f t="shared" si="0"/>
        <v>3.5</v>
      </c>
      <c r="L21" s="11" t="s">
        <v>23</v>
      </c>
      <c r="M21">
        <v>15</v>
      </c>
      <c r="N21" s="15">
        <v>3.04</v>
      </c>
      <c r="O21" s="14">
        <f t="shared" si="1"/>
        <v>0.46</v>
      </c>
      <c r="Q21">
        <v>0</v>
      </c>
      <c r="V21" t="s">
        <v>50</v>
      </c>
    </row>
    <row r="22" spans="1:22" x14ac:dyDescent="0.25">
      <c r="A22" t="s">
        <v>58</v>
      </c>
      <c r="B22">
        <v>2018</v>
      </c>
      <c r="C22">
        <v>12</v>
      </c>
      <c r="D22" s="10">
        <v>43441</v>
      </c>
      <c r="F22">
        <v>21</v>
      </c>
      <c r="G22" t="s">
        <v>24</v>
      </c>
      <c r="H22" s="11">
        <v>60814000</v>
      </c>
      <c r="I22" s="11" t="s">
        <v>26</v>
      </c>
      <c r="K22" s="17">
        <f t="shared" si="0"/>
        <v>72.709999999999994</v>
      </c>
      <c r="L22" s="11" t="s">
        <v>23</v>
      </c>
      <c r="M22">
        <v>15</v>
      </c>
      <c r="N22" s="15">
        <v>63.23</v>
      </c>
      <c r="O22" s="14">
        <f t="shared" si="1"/>
        <v>9.48</v>
      </c>
      <c r="Q22">
        <v>0</v>
      </c>
      <c r="V22" t="s">
        <v>50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sqref="A1:R21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Tomasetig</dc:creator>
  <cp:lastModifiedBy>Cédric Denotte</cp:lastModifiedBy>
  <cp:lastPrinted>2014-05-13T12:25:24Z</cp:lastPrinted>
  <dcterms:created xsi:type="dcterms:W3CDTF">2014-05-07T12:04:19Z</dcterms:created>
  <dcterms:modified xsi:type="dcterms:W3CDTF">2020-01-07T11:06:54Z</dcterms:modified>
</cp:coreProperties>
</file>