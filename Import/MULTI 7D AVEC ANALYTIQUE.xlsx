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eloppement\CSharp\Bob50\IbGrafBobImportExcelAchVen\IbGrafBobImportExcelAchVen\Import\"/>
    </mc:Choice>
  </mc:AlternateContent>
  <xr:revisionPtr revIDLastSave="0" documentId="13_ncr:1_{97012309-4BBB-4BE6-92F4-57E3308E20F5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  <sheet name="Feuil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4" i="1" l="1"/>
  <c r="P23" i="1"/>
  <c r="L12" i="1" l="1"/>
  <c r="P3" i="1"/>
  <c r="P4" i="1"/>
  <c r="P5" i="1"/>
  <c r="L5" i="1" s="1"/>
  <c r="P6" i="1"/>
  <c r="L6" i="1" s="1"/>
  <c r="P7" i="1"/>
  <c r="L7" i="1" s="1"/>
  <c r="P8" i="1"/>
  <c r="L8" i="1" s="1"/>
  <c r="P9" i="1"/>
  <c r="L9" i="1" s="1"/>
  <c r="P10" i="1"/>
  <c r="L10" i="1" s="1"/>
  <c r="P11" i="1"/>
  <c r="L11" i="1" s="1"/>
  <c r="P12" i="1"/>
  <c r="P13" i="1"/>
  <c r="L13" i="1" s="1"/>
  <c r="P14" i="1"/>
  <c r="L14" i="1" s="1"/>
  <c r="P15" i="1"/>
  <c r="L15" i="1" s="1"/>
  <c r="P16" i="1"/>
  <c r="L16" i="1" s="1"/>
  <c r="P17" i="1"/>
  <c r="L17" i="1" s="1"/>
  <c r="P18" i="1"/>
  <c r="L18" i="1" s="1"/>
  <c r="P19" i="1"/>
  <c r="L19" i="1" s="1"/>
  <c r="P20" i="1"/>
  <c r="L20" i="1" s="1"/>
  <c r="P21" i="1"/>
  <c r="L21" i="1" s="1"/>
  <c r="P22" i="1"/>
  <c r="L22" i="1" s="1"/>
  <c r="P2" i="1"/>
  <c r="L2" i="1" s="1"/>
</calcChain>
</file>

<file path=xl/sharedStrings.xml><?xml version="1.0" encoding="utf-8"?>
<sst xmlns="http://schemas.openxmlformats.org/spreadsheetml/2006/main" count="183" uniqueCount="72">
  <si>
    <t>Date échéance</t>
  </si>
  <si>
    <t>N° de document</t>
  </si>
  <si>
    <t>Remarque Externe</t>
  </si>
  <si>
    <t>Comment interne</t>
  </si>
  <si>
    <t>Nom du tier</t>
  </si>
  <si>
    <t>CP du tier</t>
  </si>
  <si>
    <t>Ville du Tier</t>
  </si>
  <si>
    <t>Assujetti</t>
  </si>
  <si>
    <t>Numéro de l'assujetti</t>
  </si>
  <si>
    <t>Journal</t>
  </si>
  <si>
    <t>Année</t>
  </si>
  <si>
    <t>Mois</t>
  </si>
  <si>
    <t>Date Document</t>
  </si>
  <si>
    <t>Compte General</t>
  </si>
  <si>
    <t>Total TTC</t>
  </si>
  <si>
    <t>Nature Tva</t>
  </si>
  <si>
    <t>Taux Tva</t>
  </si>
  <si>
    <t>Base</t>
  </si>
  <si>
    <t>Tva</t>
  </si>
  <si>
    <t>Devise</t>
  </si>
  <si>
    <t>Cours</t>
  </si>
  <si>
    <t>Adresse du tiers</t>
  </si>
  <si>
    <t>Tier</t>
  </si>
  <si>
    <t>CARBUR</t>
  </si>
  <si>
    <t>60814000</t>
  </si>
  <si>
    <t>ARAL GONDERANGE</t>
  </si>
  <si>
    <t>LU</t>
  </si>
  <si>
    <t>BUDGET</t>
  </si>
  <si>
    <t>NATURE</t>
  </si>
  <si>
    <t>ACH</t>
  </si>
  <si>
    <t>COMMANDES</t>
  </si>
  <si>
    <t>AD050030</t>
  </si>
  <si>
    <t>00</t>
  </si>
  <si>
    <t>Dossier</t>
  </si>
  <si>
    <t>7D</t>
  </si>
  <si>
    <t>Q8 BERTRANGE</t>
  </si>
  <si>
    <t>60812000</t>
  </si>
  <si>
    <t>Q8 EICH</t>
  </si>
  <si>
    <t>CARBURDE</t>
  </si>
  <si>
    <t>OMV TANKSTELLE</t>
  </si>
  <si>
    <t>FE</t>
  </si>
  <si>
    <t>DE</t>
  </si>
  <si>
    <t>RESTO</t>
  </si>
  <si>
    <t>61524000</t>
  </si>
  <si>
    <t>STARBUCKS</t>
  </si>
  <si>
    <t>A LA SOUPE</t>
  </si>
  <si>
    <t>RESTO SIELLO</t>
  </si>
  <si>
    <t>HOTEL</t>
  </si>
  <si>
    <t>HOTEL BAYRISCHER HOF</t>
  </si>
  <si>
    <t>DTS</t>
  </si>
  <si>
    <t>PARKINGDE</t>
  </si>
  <si>
    <t>PARKING MÜNCHEN</t>
  </si>
  <si>
    <t>PARKING</t>
  </si>
  <si>
    <t>RESTOFR</t>
  </si>
  <si>
    <t>RESTO LE CHAMBOLLE</t>
  </si>
  <si>
    <t>FR</t>
  </si>
  <si>
    <t>BDO</t>
  </si>
  <si>
    <t>60350000</t>
  </si>
  <si>
    <t>HIFI BERTRANGE</t>
  </si>
  <si>
    <t>ARCELOR</t>
  </si>
  <si>
    <t>TANGO</t>
  </si>
  <si>
    <t>AXA</t>
  </si>
  <si>
    <t>61460000</t>
  </si>
  <si>
    <t>FOYER</t>
  </si>
  <si>
    <t>DBL</t>
  </si>
  <si>
    <t>CNI</t>
  </si>
  <si>
    <t>CEM</t>
  </si>
  <si>
    <t>OBERWEIS</t>
  </si>
  <si>
    <t>EMG</t>
  </si>
  <si>
    <t>PARKINF ROCADE</t>
  </si>
  <si>
    <t>FN</t>
  </si>
  <si>
    <t>7D2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</si>
</sst>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Fill="1" applyAlignment="1">
      <alignment horizontal="left"/>
    </xf>
    <xf numFmtId="1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4" fontId="0" fillId="0" borderId="0" xfId="0" applyNumberFormat="1"/>
    <xf numFmtId="2" fontId="0" fillId="0" borderId="0" xfId="0" applyNumberFormat="1" applyAlignment="1">
      <alignment horizontal="left"/>
    </xf>
    <xf numFmtId="2" fontId="0" fillId="0" borderId="0" xfId="0" applyNumberFormat="1"/>
    <xf numFmtId="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"/>
  <sheetViews>
    <sheetView tabSelected="1" workbookViewId="0">
      <selection activeCell="A24" sqref="A24:AA24"/>
    </sheetView>
  </sheetViews>
  <sheetFormatPr baseColWidth="10" defaultRowHeight="15" x14ac:dyDescent="0.25"/>
  <cols>
    <col min="2" max="2" width="7.42578125" bestFit="1" customWidth="1"/>
    <col min="3" max="3" width="6.28515625" bestFit="1" customWidth="1"/>
    <col min="4" max="4" width="5" bestFit="1" customWidth="1"/>
    <col min="5" max="5" width="13.85546875" bestFit="1" customWidth="1"/>
    <col min="6" max="6" width="13.42578125" bestFit="1" customWidth="1"/>
    <col min="7" max="7" width="11.28515625" customWidth="1"/>
    <col min="8" max="8" width="13.140625" customWidth="1"/>
    <col min="9" max="9" width="15.42578125" bestFit="1" customWidth="1"/>
    <col min="10" max="10" width="23.42578125" customWidth="1"/>
    <col min="11" max="11" width="15.140625" bestFit="1" customWidth="1"/>
    <col min="12" max="12" width="13.140625" style="16" bestFit="1" customWidth="1"/>
    <col min="13" max="13" width="9.7109375" bestFit="1" customWidth="1"/>
    <col min="14" max="14" width="8.28515625" bestFit="1" customWidth="1"/>
    <col min="15" max="15" width="11.5703125" style="14" bestFit="1" customWidth="1"/>
    <col min="16" max="16" width="11.28515625" style="14" bestFit="1" customWidth="1"/>
    <col min="17" max="17" width="8.42578125" bestFit="1" customWidth="1"/>
    <col min="18" max="18" width="6.85546875" bestFit="1" customWidth="1"/>
    <col min="19" max="19" width="12.42578125" bestFit="1" customWidth="1"/>
    <col min="20" max="20" width="14.42578125" bestFit="1" customWidth="1"/>
    <col min="21" max="21" width="9.5703125" bestFit="1" customWidth="1"/>
    <col min="22" max="22" width="11.7109375" bestFit="1" customWidth="1"/>
    <col min="23" max="23" width="8.85546875" bestFit="1" customWidth="1"/>
    <col min="24" max="24" width="20.140625" bestFit="1" customWidth="1"/>
    <col min="25" max="25" width="15.85546875" customWidth="1"/>
    <col min="26" max="27" width="11.42578125" style="11"/>
  </cols>
  <sheetData>
    <row r="1" spans="1:27" s="1" customFormat="1" x14ac:dyDescent="0.25">
      <c r="A1" s="1" t="s">
        <v>33</v>
      </c>
      <c r="B1" s="1" t="s">
        <v>9</v>
      </c>
      <c r="C1" s="2" t="s">
        <v>10</v>
      </c>
      <c r="D1" s="3" t="s">
        <v>11</v>
      </c>
      <c r="E1" s="4" t="s">
        <v>12</v>
      </c>
      <c r="F1" s="5" t="s">
        <v>0</v>
      </c>
      <c r="G1" s="1" t="s">
        <v>1</v>
      </c>
      <c r="H1" s="1" t="s">
        <v>22</v>
      </c>
      <c r="I1" s="1" t="s">
        <v>13</v>
      </c>
      <c r="J1" s="6" t="s">
        <v>2</v>
      </c>
      <c r="K1" s="4" t="s">
        <v>3</v>
      </c>
      <c r="L1" s="15" t="s">
        <v>14</v>
      </c>
      <c r="M1" s="7" t="s">
        <v>15</v>
      </c>
      <c r="N1" s="8" t="s">
        <v>16</v>
      </c>
      <c r="O1" s="13" t="s">
        <v>17</v>
      </c>
      <c r="P1" s="13" t="s">
        <v>18</v>
      </c>
      <c r="Q1" s="9" t="s">
        <v>19</v>
      </c>
      <c r="R1" s="9" t="s">
        <v>20</v>
      </c>
      <c r="S1" s="6" t="s">
        <v>4</v>
      </c>
      <c r="T1" s="6" t="s">
        <v>21</v>
      </c>
      <c r="U1" s="6" t="s">
        <v>5</v>
      </c>
      <c r="V1" s="6" t="s">
        <v>6</v>
      </c>
      <c r="W1" s="6" t="s">
        <v>7</v>
      </c>
      <c r="X1" s="6" t="s">
        <v>8</v>
      </c>
      <c r="Y1" s="1" t="s">
        <v>30</v>
      </c>
      <c r="Z1" s="12" t="s">
        <v>27</v>
      </c>
      <c r="AA1" s="12" t="s">
        <v>28</v>
      </c>
    </row>
    <row r="2" spans="1:27" x14ac:dyDescent="0.25">
      <c r="A2" t="s">
        <v>34</v>
      </c>
      <c r="B2" t="s">
        <v>29</v>
      </c>
      <c r="C2">
        <v>2012</v>
      </c>
      <c r="D2">
        <v>12</v>
      </c>
      <c r="E2" s="10">
        <v>41273</v>
      </c>
      <c r="F2" s="10"/>
      <c r="G2">
        <v>1</v>
      </c>
      <c r="H2" t="s">
        <v>23</v>
      </c>
      <c r="I2" s="11" t="s">
        <v>24</v>
      </c>
      <c r="J2" s="11" t="s">
        <v>25</v>
      </c>
      <c r="K2" s="11"/>
      <c r="L2" s="16">
        <f xml:space="preserve"> ROUND(O2 + P2, 2)</f>
        <v>71.17</v>
      </c>
      <c r="M2" s="11" t="s">
        <v>70</v>
      </c>
      <c r="N2">
        <v>17</v>
      </c>
      <c r="O2" s="14">
        <v>60.83</v>
      </c>
      <c r="P2" s="14">
        <f>ROUND( (O2/100)*N2, 2)</f>
        <v>10.34</v>
      </c>
      <c r="R2">
        <v>0</v>
      </c>
      <c r="S2" t="s">
        <v>23</v>
      </c>
      <c r="W2" t="s">
        <v>26</v>
      </c>
      <c r="Y2" t="s">
        <v>31</v>
      </c>
      <c r="Z2" s="11">
        <v>10000000</v>
      </c>
      <c r="AA2" s="11" t="s">
        <v>32</v>
      </c>
    </row>
    <row r="3" spans="1:27" x14ac:dyDescent="0.25">
      <c r="A3" t="s">
        <v>34</v>
      </c>
      <c r="B3" t="s">
        <v>29</v>
      </c>
      <c r="C3">
        <v>2012</v>
      </c>
      <c r="D3">
        <v>12</v>
      </c>
      <c r="E3" s="10">
        <v>41268</v>
      </c>
      <c r="F3" s="10"/>
      <c r="G3">
        <v>2</v>
      </c>
      <c r="H3" t="s">
        <v>23</v>
      </c>
      <c r="I3" s="11" t="s">
        <v>24</v>
      </c>
      <c r="J3" s="11" t="s">
        <v>35</v>
      </c>
      <c r="K3" s="11"/>
      <c r="L3" s="16">
        <v>58.66</v>
      </c>
      <c r="M3" s="11" t="s">
        <v>70</v>
      </c>
      <c r="N3">
        <v>17</v>
      </c>
      <c r="O3" s="14">
        <v>42.62</v>
      </c>
      <c r="P3" s="14">
        <f t="shared" ref="P3:P22" si="0">ROUND( (O3/100)*N3, 2)</f>
        <v>7.25</v>
      </c>
      <c r="R3">
        <v>0</v>
      </c>
      <c r="W3" t="s">
        <v>26</v>
      </c>
    </row>
    <row r="4" spans="1:27" x14ac:dyDescent="0.25">
      <c r="A4" t="s">
        <v>34</v>
      </c>
      <c r="B4" t="s">
        <v>29</v>
      </c>
      <c r="C4">
        <v>2012</v>
      </c>
      <c r="D4">
        <v>12</v>
      </c>
      <c r="E4" s="10">
        <v>41269</v>
      </c>
      <c r="F4" s="10"/>
      <c r="G4">
        <v>2</v>
      </c>
      <c r="H4" t="s">
        <v>23</v>
      </c>
      <c r="I4" s="11" t="s">
        <v>36</v>
      </c>
      <c r="J4" s="11" t="s">
        <v>35</v>
      </c>
      <c r="K4" s="11"/>
      <c r="L4" s="16">
        <v>58.66</v>
      </c>
      <c r="M4" s="11" t="s">
        <v>70</v>
      </c>
      <c r="N4">
        <v>17</v>
      </c>
      <c r="O4" s="14">
        <v>7.51</v>
      </c>
      <c r="P4" s="14">
        <f t="shared" si="0"/>
        <v>1.28</v>
      </c>
      <c r="R4">
        <v>0</v>
      </c>
      <c r="W4" t="s">
        <v>26</v>
      </c>
    </row>
    <row r="5" spans="1:27" x14ac:dyDescent="0.25">
      <c r="A5" t="s">
        <v>34</v>
      </c>
      <c r="B5" t="s">
        <v>29</v>
      </c>
      <c r="C5">
        <v>2012</v>
      </c>
      <c r="D5">
        <v>12</v>
      </c>
      <c r="E5" s="10">
        <v>41262</v>
      </c>
      <c r="F5" s="10"/>
      <c r="G5">
        <v>3</v>
      </c>
      <c r="H5" t="s">
        <v>23</v>
      </c>
      <c r="I5" s="11" t="s">
        <v>24</v>
      </c>
      <c r="J5" s="11" t="s">
        <v>37</v>
      </c>
      <c r="K5" s="11"/>
      <c r="L5" s="16">
        <f t="shared" ref="L5:L22" si="1" xml:space="preserve"> ROUND(O5 + P5, 2)</f>
        <v>72.959999999999994</v>
      </c>
      <c r="M5" s="11" t="s">
        <v>70</v>
      </c>
      <c r="N5">
        <v>17</v>
      </c>
      <c r="O5" s="17">
        <v>62.36</v>
      </c>
      <c r="P5" s="14">
        <f t="shared" si="0"/>
        <v>10.6</v>
      </c>
      <c r="R5">
        <v>0</v>
      </c>
      <c r="W5" t="s">
        <v>26</v>
      </c>
    </row>
    <row r="6" spans="1:27" x14ac:dyDescent="0.25">
      <c r="A6" t="s">
        <v>34</v>
      </c>
      <c r="B6" t="s">
        <v>29</v>
      </c>
      <c r="C6">
        <v>2012</v>
      </c>
      <c r="D6">
        <v>12</v>
      </c>
      <c r="E6" s="10">
        <v>41271</v>
      </c>
      <c r="F6" s="10"/>
      <c r="G6">
        <v>4</v>
      </c>
      <c r="H6" t="s">
        <v>38</v>
      </c>
      <c r="I6" s="11" t="s">
        <v>24</v>
      </c>
      <c r="J6" s="11" t="s">
        <v>39</v>
      </c>
      <c r="K6" s="11"/>
      <c r="L6" s="16">
        <f t="shared" si="1"/>
        <v>70.05</v>
      </c>
      <c r="M6" s="11" t="s">
        <v>40</v>
      </c>
      <c r="N6">
        <v>0</v>
      </c>
      <c r="O6" s="17">
        <v>70.05</v>
      </c>
      <c r="P6" s="14">
        <f t="shared" si="0"/>
        <v>0</v>
      </c>
      <c r="R6">
        <v>0</v>
      </c>
      <c r="W6" t="s">
        <v>41</v>
      </c>
    </row>
    <row r="7" spans="1:27" x14ac:dyDescent="0.25">
      <c r="A7" t="s">
        <v>34</v>
      </c>
      <c r="B7" t="s">
        <v>29</v>
      </c>
      <c r="C7">
        <v>2012</v>
      </c>
      <c r="D7">
        <v>12</v>
      </c>
      <c r="E7" s="10">
        <v>41244</v>
      </c>
      <c r="F7" s="10"/>
      <c r="G7">
        <v>5</v>
      </c>
      <c r="H7" t="s">
        <v>42</v>
      </c>
      <c r="I7" s="11" t="s">
        <v>43</v>
      </c>
      <c r="J7" s="11" t="s">
        <v>44</v>
      </c>
      <c r="K7" s="11"/>
      <c r="L7" s="16">
        <f t="shared" si="1"/>
        <v>23.75</v>
      </c>
      <c r="M7" s="11" t="s">
        <v>70</v>
      </c>
      <c r="N7">
        <v>17</v>
      </c>
      <c r="O7" s="17">
        <v>20.3</v>
      </c>
      <c r="P7" s="14">
        <f t="shared" si="0"/>
        <v>3.45</v>
      </c>
      <c r="R7">
        <v>0</v>
      </c>
      <c r="S7" t="s">
        <v>42</v>
      </c>
      <c r="W7" t="s">
        <v>26</v>
      </c>
    </row>
    <row r="8" spans="1:27" x14ac:dyDescent="0.25">
      <c r="A8" t="s">
        <v>34</v>
      </c>
      <c r="B8" t="s">
        <v>29</v>
      </c>
      <c r="C8">
        <v>2012</v>
      </c>
      <c r="D8">
        <v>12</v>
      </c>
      <c r="E8" s="10">
        <v>41264</v>
      </c>
      <c r="G8">
        <v>6</v>
      </c>
      <c r="H8" t="s">
        <v>42</v>
      </c>
      <c r="I8" s="11">
        <v>61524000</v>
      </c>
      <c r="J8" s="11" t="s">
        <v>45</v>
      </c>
      <c r="L8" s="16">
        <f t="shared" si="1"/>
        <v>86.31</v>
      </c>
      <c r="M8" s="11" t="s">
        <v>70</v>
      </c>
      <c r="N8">
        <v>17</v>
      </c>
      <c r="O8" s="17">
        <v>73.77</v>
      </c>
      <c r="P8" s="14">
        <f t="shared" si="0"/>
        <v>12.54</v>
      </c>
      <c r="R8">
        <v>0</v>
      </c>
      <c r="W8" t="s">
        <v>26</v>
      </c>
    </row>
    <row r="9" spans="1:27" x14ac:dyDescent="0.25">
      <c r="A9" t="s">
        <v>34</v>
      </c>
      <c r="B9" t="s">
        <v>29</v>
      </c>
      <c r="C9">
        <v>2012</v>
      </c>
      <c r="D9">
        <v>12</v>
      </c>
      <c r="E9" s="10">
        <v>41259</v>
      </c>
      <c r="G9">
        <v>7</v>
      </c>
      <c r="H9" t="s">
        <v>42</v>
      </c>
      <c r="I9" s="11">
        <v>61524000</v>
      </c>
      <c r="J9" s="11" t="s">
        <v>46</v>
      </c>
      <c r="L9" s="16">
        <f t="shared" si="1"/>
        <v>32.369999999999997</v>
      </c>
      <c r="M9" s="11" t="s">
        <v>70</v>
      </c>
      <c r="N9">
        <v>17</v>
      </c>
      <c r="O9" s="17">
        <v>27.67</v>
      </c>
      <c r="P9" s="14">
        <f t="shared" si="0"/>
        <v>4.7</v>
      </c>
      <c r="R9">
        <v>0</v>
      </c>
      <c r="W9" t="s">
        <v>26</v>
      </c>
    </row>
    <row r="10" spans="1:27" x14ac:dyDescent="0.25">
      <c r="A10" t="s">
        <v>34</v>
      </c>
      <c r="B10" t="s">
        <v>29</v>
      </c>
      <c r="C10">
        <v>2012</v>
      </c>
      <c r="D10">
        <v>12</v>
      </c>
      <c r="E10" s="10">
        <v>41271</v>
      </c>
      <c r="G10">
        <v>8</v>
      </c>
      <c r="H10" t="s">
        <v>47</v>
      </c>
      <c r="I10" s="11">
        <v>61521100</v>
      </c>
      <c r="J10" s="11" t="s">
        <v>48</v>
      </c>
      <c r="L10" s="16">
        <f t="shared" si="1"/>
        <v>617.6</v>
      </c>
      <c r="M10" s="11" t="s">
        <v>49</v>
      </c>
      <c r="N10">
        <v>0</v>
      </c>
      <c r="O10" s="17">
        <v>617.6</v>
      </c>
      <c r="P10" s="14">
        <f t="shared" si="0"/>
        <v>0</v>
      </c>
      <c r="R10">
        <v>0</v>
      </c>
      <c r="S10" t="s">
        <v>47</v>
      </c>
      <c r="W10" t="s">
        <v>41</v>
      </c>
    </row>
    <row r="11" spans="1:27" x14ac:dyDescent="0.25">
      <c r="A11" t="s">
        <v>34</v>
      </c>
      <c r="B11" t="s">
        <v>29</v>
      </c>
      <c r="C11">
        <v>2012</v>
      </c>
      <c r="D11">
        <v>12</v>
      </c>
      <c r="E11" s="10">
        <v>41270</v>
      </c>
      <c r="G11">
        <v>9</v>
      </c>
      <c r="H11" t="s">
        <v>50</v>
      </c>
      <c r="I11" s="11">
        <v>61521100</v>
      </c>
      <c r="J11" s="11" t="s">
        <v>51</v>
      </c>
      <c r="L11" s="16">
        <f t="shared" si="1"/>
        <v>10</v>
      </c>
      <c r="M11" s="11" t="s">
        <v>40</v>
      </c>
      <c r="N11">
        <v>0</v>
      </c>
      <c r="O11" s="17">
        <v>10</v>
      </c>
      <c r="P11" s="14">
        <f t="shared" si="0"/>
        <v>0</v>
      </c>
      <c r="R11">
        <v>0</v>
      </c>
      <c r="S11" t="s">
        <v>52</v>
      </c>
      <c r="W11" t="s">
        <v>41</v>
      </c>
    </row>
    <row r="12" spans="1:27" x14ac:dyDescent="0.25">
      <c r="A12" t="s">
        <v>34</v>
      </c>
      <c r="B12" t="s">
        <v>29</v>
      </c>
      <c r="C12">
        <v>2012</v>
      </c>
      <c r="D12">
        <v>12</v>
      </c>
      <c r="E12" s="10">
        <v>41271</v>
      </c>
      <c r="G12">
        <v>10</v>
      </c>
      <c r="H12" t="s">
        <v>50</v>
      </c>
      <c r="I12" s="11">
        <v>61521100</v>
      </c>
      <c r="J12" s="11" t="s">
        <v>51</v>
      </c>
      <c r="L12" s="16">
        <f t="shared" si="1"/>
        <v>10</v>
      </c>
      <c r="M12" s="11" t="s">
        <v>40</v>
      </c>
      <c r="N12">
        <v>0</v>
      </c>
      <c r="O12" s="17">
        <v>10</v>
      </c>
      <c r="P12" s="14">
        <f t="shared" si="0"/>
        <v>0</v>
      </c>
      <c r="R12">
        <v>0</v>
      </c>
      <c r="W12" t="s">
        <v>41</v>
      </c>
    </row>
    <row r="13" spans="1:27" x14ac:dyDescent="0.25">
      <c r="A13" t="s">
        <v>34</v>
      </c>
      <c r="B13" t="s">
        <v>29</v>
      </c>
      <c r="C13">
        <v>2012</v>
      </c>
      <c r="D13">
        <v>12</v>
      </c>
      <c r="E13" s="10">
        <v>41244</v>
      </c>
      <c r="G13">
        <v>11</v>
      </c>
      <c r="H13" t="s">
        <v>53</v>
      </c>
      <c r="I13" s="11">
        <v>61524000</v>
      </c>
      <c r="J13" s="11" t="s">
        <v>54</v>
      </c>
      <c r="L13" s="16">
        <f t="shared" si="1"/>
        <v>21.3</v>
      </c>
      <c r="M13" s="11" t="s">
        <v>40</v>
      </c>
      <c r="N13">
        <v>0</v>
      </c>
      <c r="O13" s="17">
        <v>21.3</v>
      </c>
      <c r="P13" s="14">
        <f t="shared" si="0"/>
        <v>0</v>
      </c>
      <c r="R13">
        <v>0</v>
      </c>
      <c r="S13" t="s">
        <v>53</v>
      </c>
      <c r="W13" t="s">
        <v>55</v>
      </c>
    </row>
    <row r="14" spans="1:27" x14ac:dyDescent="0.25">
      <c r="A14" t="s">
        <v>34</v>
      </c>
      <c r="B14" t="s">
        <v>29</v>
      </c>
      <c r="C14">
        <v>2012</v>
      </c>
      <c r="D14">
        <v>12</v>
      </c>
      <c r="E14" s="10">
        <v>41268</v>
      </c>
      <c r="G14">
        <v>12</v>
      </c>
      <c r="H14" t="s">
        <v>56</v>
      </c>
      <c r="I14" s="11" t="s">
        <v>57</v>
      </c>
      <c r="J14" s="11" t="s">
        <v>58</v>
      </c>
      <c r="L14" s="16">
        <f t="shared" si="1"/>
        <v>72.7</v>
      </c>
      <c r="M14" s="11" t="s">
        <v>70</v>
      </c>
      <c r="N14">
        <v>17</v>
      </c>
      <c r="O14" s="17">
        <v>62.14</v>
      </c>
      <c r="P14" s="14">
        <f t="shared" si="0"/>
        <v>10.56</v>
      </c>
      <c r="R14">
        <v>0</v>
      </c>
      <c r="W14" t="s">
        <v>26</v>
      </c>
    </row>
    <row r="15" spans="1:27" x14ac:dyDescent="0.25">
      <c r="A15" t="s">
        <v>34</v>
      </c>
      <c r="B15" t="s">
        <v>29</v>
      </c>
      <c r="C15">
        <v>2012</v>
      </c>
      <c r="D15">
        <v>12</v>
      </c>
      <c r="E15" s="10">
        <v>41253</v>
      </c>
      <c r="G15">
        <v>14</v>
      </c>
      <c r="H15" t="s">
        <v>59</v>
      </c>
      <c r="I15" s="11">
        <v>61532000</v>
      </c>
      <c r="J15" s="11" t="s">
        <v>60</v>
      </c>
      <c r="L15" s="16">
        <f t="shared" si="1"/>
        <v>116.2</v>
      </c>
      <c r="M15" s="11" t="s">
        <v>70</v>
      </c>
      <c r="N15">
        <v>17</v>
      </c>
      <c r="O15" s="17">
        <v>99.32</v>
      </c>
      <c r="P15" s="14">
        <f t="shared" si="0"/>
        <v>16.88</v>
      </c>
      <c r="R15">
        <v>0</v>
      </c>
      <c r="W15" t="s">
        <v>26</v>
      </c>
    </row>
    <row r="16" spans="1:27" x14ac:dyDescent="0.25">
      <c r="A16" t="s">
        <v>34</v>
      </c>
      <c r="B16" t="s">
        <v>29</v>
      </c>
      <c r="C16">
        <v>2012</v>
      </c>
      <c r="D16">
        <v>12</v>
      </c>
      <c r="E16" s="10">
        <v>41257</v>
      </c>
      <c r="G16">
        <v>15</v>
      </c>
      <c r="H16" t="s">
        <v>61</v>
      </c>
      <c r="I16" s="11" t="s">
        <v>62</v>
      </c>
      <c r="J16" s="11" t="s">
        <v>63</v>
      </c>
      <c r="L16" s="16">
        <f t="shared" si="1"/>
        <v>271.79000000000002</v>
      </c>
      <c r="M16" s="11" t="s">
        <v>70</v>
      </c>
      <c r="N16">
        <v>17</v>
      </c>
      <c r="O16" s="17">
        <v>232.3</v>
      </c>
      <c r="P16" s="14">
        <f t="shared" si="0"/>
        <v>39.49</v>
      </c>
      <c r="R16">
        <v>0</v>
      </c>
      <c r="W16" t="s">
        <v>26</v>
      </c>
    </row>
    <row r="17" spans="1:23" x14ac:dyDescent="0.25">
      <c r="A17" t="s">
        <v>34</v>
      </c>
      <c r="B17" t="s">
        <v>29</v>
      </c>
      <c r="C17">
        <v>2012</v>
      </c>
      <c r="D17">
        <v>12</v>
      </c>
      <c r="E17" s="10">
        <v>41253</v>
      </c>
      <c r="G17">
        <v>16</v>
      </c>
      <c r="H17" t="s">
        <v>64</v>
      </c>
      <c r="I17" s="11">
        <v>61532000</v>
      </c>
      <c r="J17" s="11" t="s">
        <v>60</v>
      </c>
      <c r="L17" s="16">
        <f t="shared" si="1"/>
        <v>91.07</v>
      </c>
      <c r="M17" s="11" t="s">
        <v>70</v>
      </c>
      <c r="N17">
        <v>17</v>
      </c>
      <c r="O17" s="17">
        <v>77.84</v>
      </c>
      <c r="P17" s="14">
        <f t="shared" si="0"/>
        <v>13.23</v>
      </c>
      <c r="R17">
        <v>0</v>
      </c>
      <c r="W17" t="s">
        <v>26</v>
      </c>
    </row>
    <row r="18" spans="1:23" x14ac:dyDescent="0.25">
      <c r="A18" t="s">
        <v>34</v>
      </c>
      <c r="B18" t="s">
        <v>29</v>
      </c>
      <c r="C18">
        <v>2012</v>
      </c>
      <c r="D18">
        <v>12</v>
      </c>
      <c r="E18" s="10">
        <v>41244</v>
      </c>
      <c r="G18">
        <v>17</v>
      </c>
      <c r="H18" t="s">
        <v>65</v>
      </c>
      <c r="I18" s="11" t="s">
        <v>43</v>
      </c>
      <c r="J18" s="11" t="s">
        <v>44</v>
      </c>
      <c r="L18" s="16">
        <f t="shared" si="1"/>
        <v>6.55</v>
      </c>
      <c r="M18" s="11" t="s">
        <v>70</v>
      </c>
      <c r="N18">
        <v>17</v>
      </c>
      <c r="O18" s="17">
        <v>5.6</v>
      </c>
      <c r="P18" s="14">
        <f t="shared" si="0"/>
        <v>0.95</v>
      </c>
      <c r="R18">
        <v>0</v>
      </c>
      <c r="W18" t="s">
        <v>26</v>
      </c>
    </row>
    <row r="19" spans="1:23" x14ac:dyDescent="0.25">
      <c r="A19" t="s">
        <v>34</v>
      </c>
      <c r="B19" t="s">
        <v>29</v>
      </c>
      <c r="C19">
        <v>2012</v>
      </c>
      <c r="D19">
        <v>12</v>
      </c>
      <c r="E19" s="10">
        <v>41256</v>
      </c>
      <c r="G19">
        <v>18</v>
      </c>
      <c r="H19" t="s">
        <v>66</v>
      </c>
      <c r="I19" s="11">
        <v>61524000</v>
      </c>
      <c r="J19" s="11" t="s">
        <v>67</v>
      </c>
      <c r="L19" s="16">
        <f t="shared" si="1"/>
        <v>78.44</v>
      </c>
      <c r="M19" s="11" t="s">
        <v>70</v>
      </c>
      <c r="N19">
        <v>17</v>
      </c>
      <c r="O19" s="17">
        <v>67.040000000000006</v>
      </c>
      <c r="P19" s="14">
        <f t="shared" si="0"/>
        <v>11.4</v>
      </c>
      <c r="R19">
        <v>0</v>
      </c>
      <c r="W19" t="s">
        <v>26</v>
      </c>
    </row>
    <row r="20" spans="1:23" x14ac:dyDescent="0.25">
      <c r="A20" t="s">
        <v>34</v>
      </c>
      <c r="B20" t="s">
        <v>29</v>
      </c>
      <c r="C20">
        <v>2012</v>
      </c>
      <c r="D20">
        <v>12</v>
      </c>
      <c r="E20" s="10">
        <v>41244</v>
      </c>
      <c r="G20">
        <v>19</v>
      </c>
      <c r="H20" t="s">
        <v>68</v>
      </c>
      <c r="I20" s="11">
        <v>61521100</v>
      </c>
      <c r="J20" s="11" t="s">
        <v>52</v>
      </c>
      <c r="L20" s="16">
        <f t="shared" si="1"/>
        <v>64.09</v>
      </c>
      <c r="M20" s="11" t="s">
        <v>70</v>
      </c>
      <c r="N20">
        <v>17</v>
      </c>
      <c r="O20" s="17">
        <v>54.78</v>
      </c>
      <c r="P20" s="14">
        <f t="shared" si="0"/>
        <v>9.31</v>
      </c>
      <c r="R20">
        <v>0</v>
      </c>
      <c r="W20" t="s">
        <v>26</v>
      </c>
    </row>
    <row r="21" spans="1:23" x14ac:dyDescent="0.25">
      <c r="A21" t="s">
        <v>34</v>
      </c>
      <c r="B21" t="s">
        <v>29</v>
      </c>
      <c r="C21">
        <v>2012</v>
      </c>
      <c r="D21">
        <v>12</v>
      </c>
      <c r="E21" s="10">
        <v>41245</v>
      </c>
      <c r="G21">
        <v>20</v>
      </c>
      <c r="H21" t="s">
        <v>68</v>
      </c>
      <c r="I21" s="11">
        <v>61521100</v>
      </c>
      <c r="J21" s="11" t="s">
        <v>69</v>
      </c>
      <c r="L21" s="16">
        <f t="shared" si="1"/>
        <v>3.56</v>
      </c>
      <c r="M21" s="11" t="s">
        <v>70</v>
      </c>
      <c r="N21">
        <v>17</v>
      </c>
      <c r="O21" s="17">
        <v>3.04</v>
      </c>
      <c r="P21" s="14">
        <f t="shared" si="0"/>
        <v>0.52</v>
      </c>
      <c r="R21">
        <v>0</v>
      </c>
      <c r="W21" t="s">
        <v>26</v>
      </c>
    </row>
    <row r="22" spans="1:23" x14ac:dyDescent="0.25">
      <c r="A22" t="s">
        <v>34</v>
      </c>
      <c r="B22" t="s">
        <v>29</v>
      </c>
      <c r="C22">
        <v>2012</v>
      </c>
      <c r="D22">
        <v>12</v>
      </c>
      <c r="E22" s="10">
        <v>41250</v>
      </c>
      <c r="G22">
        <v>21</v>
      </c>
      <c r="H22" t="s">
        <v>23</v>
      </c>
      <c r="I22" s="11">
        <v>60814000</v>
      </c>
      <c r="J22" s="11" t="s">
        <v>25</v>
      </c>
      <c r="L22" s="16">
        <f t="shared" si="1"/>
        <v>73.98</v>
      </c>
      <c r="M22" s="11" t="s">
        <v>70</v>
      </c>
      <c r="N22">
        <v>17</v>
      </c>
      <c r="O22" s="17">
        <v>63.23</v>
      </c>
      <c r="P22" s="14">
        <f t="shared" si="0"/>
        <v>10.75</v>
      </c>
      <c r="R22">
        <v>0</v>
      </c>
      <c r="W22" t="s">
        <v>26</v>
      </c>
    </row>
    <row r="23" spans="1:23" x14ac:dyDescent="0.25">
      <c r="A23" t="s">
        <v>71</v>
      </c>
      <c r="B23" t="s">
        <v>29</v>
      </c>
      <c r="C23">
        <v>2012</v>
      </c>
      <c r="D23">
        <v>12</v>
      </c>
      <c r="E23" s="10">
        <v>41268</v>
      </c>
      <c r="F23" s="10"/>
      <c r="G23">
        <v>2</v>
      </c>
      <c r="H23" t="s">
        <v>23</v>
      </c>
      <c r="I23" s="11" t="s">
        <v>24</v>
      </c>
      <c r="J23" s="11" t="s">
        <v>35</v>
      </c>
      <c r="K23" s="11"/>
      <c r="L23" s="16">
        <v>58.66</v>
      </c>
      <c r="M23" s="11" t="s">
        <v>70</v>
      </c>
      <c r="N23">
        <v>17</v>
      </c>
      <c r="O23" s="14">
        <v>42.62</v>
      </c>
      <c r="P23" s="14">
        <f t="shared" ref="P23:P24" si="2">ROUND( (O23/100)*N23, 2)</f>
        <v>7.25</v>
      </c>
      <c r="R23">
        <v>0</v>
      </c>
      <c r="W23" t="s">
        <v>26</v>
      </c>
    </row>
    <row r="24" spans="1:23" x14ac:dyDescent="0.25">
      <c r="A24" t="s">
        <v>71</v>
      </c>
      <c r="B24" t="s">
        <v>29</v>
      </c>
      <c r="C24">
        <v>2012</v>
      </c>
      <c r="D24">
        <v>12</v>
      </c>
      <c r="E24" s="10">
        <v>41269</v>
      </c>
      <c r="F24" s="10"/>
      <c r="G24">
        <v>2</v>
      </c>
      <c r="H24" t="s">
        <v>23</v>
      </c>
      <c r="I24" s="11" t="s">
        <v>36</v>
      </c>
      <c r="J24" s="11" t="s">
        <v>35</v>
      </c>
      <c r="K24" s="11"/>
      <c r="L24" s="16">
        <v>58.66</v>
      </c>
      <c r="M24" s="11" t="s">
        <v>70</v>
      </c>
      <c r="N24">
        <v>17</v>
      </c>
      <c r="O24" s="14">
        <v>7.51</v>
      </c>
      <c r="P24" s="14">
        <f t="shared" si="2"/>
        <v>1.28</v>
      </c>
      <c r="R24">
        <v>0</v>
      </c>
      <c r="W24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R2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Tomasetig</dc:creator>
  <cp:lastModifiedBy>Cédric Denotte</cp:lastModifiedBy>
  <cp:lastPrinted>2014-05-13T12:25:24Z</cp:lastPrinted>
  <dcterms:created xsi:type="dcterms:W3CDTF">2014-05-07T12:04:19Z</dcterms:created>
  <dcterms:modified xsi:type="dcterms:W3CDTF">2020-01-14T10:45:47Z</dcterms:modified>
</cp:coreProperties>
</file>