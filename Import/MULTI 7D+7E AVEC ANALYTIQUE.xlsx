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\C#2010\BOB50\IbGrafBobImportExcel\IbGrafBobImportExcel\bin\Debug\Import\"/>
    </mc:Choice>
  </mc:AlternateContent>
  <bookViews>
    <workbookView xWindow="-15" yWindow="-15" windowWidth="20730" windowHeight="6405"/>
  </bookViews>
  <sheets>
    <sheet name="Feuil1" sheetId="1" r:id="rId1"/>
    <sheet name="Feuil2" sheetId="2" r:id="rId2"/>
  </sheets>
  <calcPr calcId="152511"/>
</workbook>
</file>

<file path=xl/calcChain.xml><?xml version="1.0" encoding="utf-8"?>
<calcChain xmlns="http://schemas.openxmlformats.org/spreadsheetml/2006/main">
  <c r="L23" i="1" l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22" i="1"/>
  <c r="L22" i="1"/>
  <c r="P21" i="1"/>
  <c r="L21" i="1" s="1"/>
  <c r="P20" i="1"/>
  <c r="L20" i="1"/>
  <c r="P19" i="1"/>
  <c r="L19" i="1" s="1"/>
  <c r="P18" i="1"/>
  <c r="L18" i="1"/>
  <c r="P17" i="1"/>
  <c r="L17" i="1" s="1"/>
  <c r="P16" i="1"/>
  <c r="L16" i="1"/>
  <c r="P15" i="1"/>
  <c r="L15" i="1" s="1"/>
  <c r="P14" i="1"/>
  <c r="L14" i="1"/>
  <c r="P13" i="1"/>
  <c r="L13" i="1" s="1"/>
  <c r="P12" i="1"/>
  <c r="L12" i="1"/>
  <c r="P11" i="1"/>
  <c r="L11" i="1" s="1"/>
  <c r="P10" i="1"/>
  <c r="L10" i="1"/>
  <c r="P9" i="1"/>
  <c r="L9" i="1" s="1"/>
  <c r="P8" i="1"/>
  <c r="L8" i="1"/>
  <c r="P7" i="1"/>
  <c r="L7" i="1" s="1"/>
  <c r="P6" i="1"/>
  <c r="L6" i="1"/>
  <c r="P5" i="1"/>
  <c r="L5" i="1" s="1"/>
  <c r="P4" i="1"/>
  <c r="P3" i="1"/>
  <c r="P2" i="1"/>
  <c r="L2" i="1" s="1"/>
</calcChain>
</file>

<file path=xl/sharedStrings.xml><?xml version="1.0" encoding="utf-8"?>
<sst xmlns="http://schemas.openxmlformats.org/spreadsheetml/2006/main" count="313" uniqueCount="73">
  <si>
    <t>Date échéance</t>
  </si>
  <si>
    <t>N° de document</t>
  </si>
  <si>
    <t>Remarque Externe</t>
  </si>
  <si>
    <t>Comment interne</t>
  </si>
  <si>
    <t>Nom du tier</t>
  </si>
  <si>
    <t>CP du tier</t>
  </si>
  <si>
    <t>Ville du Tier</t>
  </si>
  <si>
    <t>Assujetti</t>
  </si>
  <si>
    <t>Numéro de l'assujetti</t>
  </si>
  <si>
    <t>Journal</t>
  </si>
  <si>
    <t>Année</t>
  </si>
  <si>
    <t>Mois</t>
  </si>
  <si>
    <t>Date Document</t>
  </si>
  <si>
    <t>Compte General</t>
  </si>
  <si>
    <t>Total TTC</t>
  </si>
  <si>
    <t>Nature Tva</t>
  </si>
  <si>
    <t>Taux Tva</t>
  </si>
  <si>
    <t>Base</t>
  </si>
  <si>
    <t>Tva</t>
  </si>
  <si>
    <t>Devise</t>
  </si>
  <si>
    <t>Cours</t>
  </si>
  <si>
    <t>Adresse du tiers</t>
  </si>
  <si>
    <t>Tier</t>
  </si>
  <si>
    <t>FN</t>
  </si>
  <si>
    <t>CARBUR</t>
  </si>
  <si>
    <t>60814000</t>
  </si>
  <si>
    <t>ARAL GONDERANGE</t>
  </si>
  <si>
    <t>Q8 BERTRANGE</t>
  </si>
  <si>
    <t>61524000</t>
  </si>
  <si>
    <t>60812000</t>
  </si>
  <si>
    <t>Q8 EICH</t>
  </si>
  <si>
    <t>OMV TANKSTELLE</t>
  </si>
  <si>
    <t>RESTO</t>
  </si>
  <si>
    <t>A LA SOUPE</t>
  </si>
  <si>
    <t>RESTO SIELLO</t>
  </si>
  <si>
    <t>HOTEL</t>
  </si>
  <si>
    <t>HOTEL BAYRISCHER HOF</t>
  </si>
  <si>
    <t>DTS</t>
  </si>
  <si>
    <t>PARKING</t>
  </si>
  <si>
    <t>PARKING MÜNCHEN</t>
  </si>
  <si>
    <t>FE</t>
  </si>
  <si>
    <t>RESTO LE CHAMBOLLE</t>
  </si>
  <si>
    <t>HIFI BERTRANGE</t>
  </si>
  <si>
    <t>TANGO</t>
  </si>
  <si>
    <t>FOYER</t>
  </si>
  <si>
    <t>STARBUCKS</t>
  </si>
  <si>
    <t>OBERWEIS</t>
  </si>
  <si>
    <t>PARKINF ROCADE</t>
  </si>
  <si>
    <t>60350000</t>
  </si>
  <si>
    <t>61460000</t>
  </si>
  <si>
    <t>LU</t>
  </si>
  <si>
    <t>DE</t>
  </si>
  <si>
    <t>CARBURDE</t>
  </si>
  <si>
    <t>RESTOFR</t>
  </si>
  <si>
    <t>FR</t>
  </si>
  <si>
    <t>PARKINGDE</t>
  </si>
  <si>
    <t>BUDGET</t>
  </si>
  <si>
    <t>NATURE</t>
  </si>
  <si>
    <t>ACH</t>
  </si>
  <si>
    <t>ARCELOR</t>
  </si>
  <si>
    <t>BDO</t>
  </si>
  <si>
    <t>AXA</t>
  </si>
  <si>
    <t>DBL</t>
  </si>
  <si>
    <t>CNI</t>
  </si>
  <si>
    <t>CEM</t>
  </si>
  <si>
    <t>EMG</t>
  </si>
  <si>
    <t>COMMANDES</t>
  </si>
  <si>
    <t>AD050030</t>
  </si>
  <si>
    <t>00</t>
  </si>
  <si>
    <t>Dossier</t>
  </si>
  <si>
    <t>7D</t>
  </si>
  <si>
    <t>7E</t>
  </si>
  <si>
    <t>AD050031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</si>
</sst>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/>
    <xf numFmtId="4" fontId="0" fillId="0" borderId="0" xfId="0" applyNumberFormat="1" applyFill="1" applyBorder="1"/>
    <xf numFmtId="2" fontId="0" fillId="0" borderId="0" xfId="0" applyNumberForma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tabSelected="1" topLeftCell="A2" workbookViewId="0">
      <selection activeCell="L27" sqref="L27"/>
    </sheetView>
  </sheetViews>
  <sheetFormatPr baseColWidth="10" defaultRowHeight="15" x14ac:dyDescent="0.25"/>
  <cols>
    <col min="2" max="2" width="7.42578125" bestFit="1" customWidth="1"/>
    <col min="3" max="3" width="6.28515625" bestFit="1" customWidth="1"/>
    <col min="4" max="4" width="5" bestFit="1" customWidth="1"/>
    <col min="5" max="5" width="13.85546875" bestFit="1" customWidth="1"/>
    <col min="6" max="6" width="13.42578125" bestFit="1" customWidth="1"/>
    <col min="7" max="7" width="11.28515625" customWidth="1"/>
    <col min="8" max="8" width="13.140625" customWidth="1"/>
    <col min="9" max="9" width="15.42578125" bestFit="1" customWidth="1"/>
    <col min="10" max="10" width="23.42578125" customWidth="1"/>
    <col min="11" max="11" width="15.140625" bestFit="1" customWidth="1"/>
    <col min="12" max="12" width="13.140625" style="17" bestFit="1" customWidth="1"/>
    <col min="13" max="13" width="9.7109375" bestFit="1" customWidth="1"/>
    <col min="14" max="14" width="8.28515625" bestFit="1" customWidth="1"/>
    <col min="15" max="15" width="11.5703125" style="14" bestFit="1" customWidth="1"/>
    <col min="16" max="16" width="11.28515625" style="14" bestFit="1" customWidth="1"/>
    <col min="17" max="17" width="8.42578125" bestFit="1" customWidth="1"/>
    <col min="18" max="18" width="6.85546875" bestFit="1" customWidth="1"/>
    <col min="19" max="19" width="12.42578125" bestFit="1" customWidth="1"/>
    <col min="20" max="20" width="14.42578125" bestFit="1" customWidth="1"/>
    <col min="21" max="21" width="9.5703125" bestFit="1" customWidth="1"/>
    <col min="22" max="22" width="11.7109375" bestFit="1" customWidth="1"/>
    <col min="23" max="23" width="8.85546875" bestFit="1" customWidth="1"/>
    <col min="24" max="24" width="20.140625" bestFit="1" customWidth="1"/>
    <col min="25" max="25" width="15.85546875" customWidth="1"/>
    <col min="26" max="27" width="11.42578125" style="11"/>
  </cols>
  <sheetData>
    <row r="1" spans="1:27" s="1" customFormat="1" x14ac:dyDescent="0.25">
      <c r="A1" s="1" t="s">
        <v>69</v>
      </c>
      <c r="B1" s="1" t="s">
        <v>9</v>
      </c>
      <c r="C1" s="2" t="s">
        <v>10</v>
      </c>
      <c r="D1" s="3" t="s">
        <v>11</v>
      </c>
      <c r="E1" s="4" t="s">
        <v>12</v>
      </c>
      <c r="F1" s="5" t="s">
        <v>0</v>
      </c>
      <c r="G1" s="1" t="s">
        <v>1</v>
      </c>
      <c r="H1" s="1" t="s">
        <v>22</v>
      </c>
      <c r="I1" s="1" t="s">
        <v>13</v>
      </c>
      <c r="J1" s="6" t="s">
        <v>2</v>
      </c>
      <c r="K1" s="4" t="s">
        <v>3</v>
      </c>
      <c r="L1" s="16" t="s">
        <v>14</v>
      </c>
      <c r="M1" s="7" t="s">
        <v>15</v>
      </c>
      <c r="N1" s="8" t="s">
        <v>16</v>
      </c>
      <c r="O1" s="13" t="s">
        <v>17</v>
      </c>
      <c r="P1" s="13" t="s">
        <v>18</v>
      </c>
      <c r="Q1" s="9" t="s">
        <v>19</v>
      </c>
      <c r="R1" s="9" t="s">
        <v>20</v>
      </c>
      <c r="S1" s="6" t="s">
        <v>4</v>
      </c>
      <c r="T1" s="6" t="s">
        <v>21</v>
      </c>
      <c r="U1" s="6" t="s">
        <v>5</v>
      </c>
      <c r="V1" s="6" t="s">
        <v>6</v>
      </c>
      <c r="W1" s="6" t="s">
        <v>7</v>
      </c>
      <c r="X1" s="6" t="s">
        <v>8</v>
      </c>
      <c r="Y1" s="1" t="s">
        <v>66</v>
      </c>
      <c r="Z1" s="12" t="s">
        <v>56</v>
      </c>
      <c r="AA1" s="12" t="s">
        <v>57</v>
      </c>
    </row>
    <row r="2" spans="1:27" x14ac:dyDescent="0.25">
      <c r="A2" t="s">
        <v>70</v>
      </c>
      <c r="B2" t="s">
        <v>58</v>
      </c>
      <c r="C2">
        <v>2012</v>
      </c>
      <c r="D2">
        <v>12</v>
      </c>
      <c r="E2" s="10">
        <v>41273</v>
      </c>
      <c r="F2" s="10"/>
      <c r="G2">
        <v>1</v>
      </c>
      <c r="H2" t="s">
        <v>24</v>
      </c>
      <c r="I2" s="11" t="s">
        <v>25</v>
      </c>
      <c r="J2" s="11" t="s">
        <v>26</v>
      </c>
      <c r="K2" s="11"/>
      <c r="L2" s="17">
        <f xml:space="preserve"> ROUND(O2 + P2, 2)</f>
        <v>71.17</v>
      </c>
      <c r="M2" s="11" t="s">
        <v>23</v>
      </c>
      <c r="N2">
        <v>17</v>
      </c>
      <c r="O2" s="14">
        <v>60.83</v>
      </c>
      <c r="P2" s="14">
        <f>ROUND( (O2/100)*N2, 2)</f>
        <v>10.34</v>
      </c>
      <c r="R2">
        <v>0</v>
      </c>
      <c r="S2" t="s">
        <v>24</v>
      </c>
      <c r="W2" t="s">
        <v>50</v>
      </c>
      <c r="Y2" t="s">
        <v>67</v>
      </c>
      <c r="Z2" s="11">
        <v>10000000</v>
      </c>
      <c r="AA2" s="11" t="s">
        <v>68</v>
      </c>
    </row>
    <row r="3" spans="1:27" x14ac:dyDescent="0.25">
      <c r="A3" t="s">
        <v>70</v>
      </c>
      <c r="B3" t="s">
        <v>58</v>
      </c>
      <c r="C3">
        <v>2012</v>
      </c>
      <c r="D3">
        <v>12</v>
      </c>
      <c r="E3" s="10">
        <v>41268</v>
      </c>
      <c r="F3" s="10"/>
      <c r="G3">
        <v>2</v>
      </c>
      <c r="H3" t="s">
        <v>24</v>
      </c>
      <c r="I3" s="11" t="s">
        <v>25</v>
      </c>
      <c r="J3" s="11" t="s">
        <v>27</v>
      </c>
      <c r="K3" s="11"/>
      <c r="L3" s="17">
        <v>58.66</v>
      </c>
      <c r="M3" s="11" t="s">
        <v>23</v>
      </c>
      <c r="N3">
        <v>17</v>
      </c>
      <c r="O3" s="14">
        <v>42.62</v>
      </c>
      <c r="P3" s="14">
        <f t="shared" ref="P3:P43" si="0">ROUND( (O3/100)*N3, 2)</f>
        <v>7.25</v>
      </c>
      <c r="R3">
        <v>0</v>
      </c>
      <c r="W3" t="s">
        <v>50</v>
      </c>
    </row>
    <row r="4" spans="1:27" x14ac:dyDescent="0.25">
      <c r="A4" t="s">
        <v>70</v>
      </c>
      <c r="B4" t="s">
        <v>58</v>
      </c>
      <c r="C4">
        <v>2012</v>
      </c>
      <c r="D4">
        <v>12</v>
      </c>
      <c r="E4" s="10">
        <v>41269</v>
      </c>
      <c r="F4" s="10"/>
      <c r="G4">
        <v>2</v>
      </c>
      <c r="H4" t="s">
        <v>24</v>
      </c>
      <c r="I4" s="11" t="s">
        <v>29</v>
      </c>
      <c r="J4" s="11" t="s">
        <v>27</v>
      </c>
      <c r="K4" s="11"/>
      <c r="L4" s="17">
        <v>58.66</v>
      </c>
      <c r="M4" s="11" t="s">
        <v>23</v>
      </c>
      <c r="N4">
        <v>17</v>
      </c>
      <c r="O4" s="14">
        <v>7.51</v>
      </c>
      <c r="P4" s="14">
        <f t="shared" si="0"/>
        <v>1.28</v>
      </c>
      <c r="R4">
        <v>0</v>
      </c>
      <c r="W4" t="s">
        <v>50</v>
      </c>
    </row>
    <row r="5" spans="1:27" x14ac:dyDescent="0.25">
      <c r="A5" t="s">
        <v>70</v>
      </c>
      <c r="B5" t="s">
        <v>58</v>
      </c>
      <c r="C5">
        <v>2012</v>
      </c>
      <c r="D5">
        <v>12</v>
      </c>
      <c r="E5" s="10">
        <v>41262</v>
      </c>
      <c r="F5" s="10"/>
      <c r="G5">
        <v>3</v>
      </c>
      <c r="H5" t="s">
        <v>24</v>
      </c>
      <c r="I5" s="11" t="s">
        <v>25</v>
      </c>
      <c r="J5" s="11" t="s">
        <v>30</v>
      </c>
      <c r="K5" s="11"/>
      <c r="L5" s="17">
        <f t="shared" ref="L5:L43" si="1" xml:space="preserve"> ROUND(O5 + P5, 2)</f>
        <v>72.959999999999994</v>
      </c>
      <c r="M5" s="11" t="s">
        <v>23</v>
      </c>
      <c r="N5">
        <v>17</v>
      </c>
      <c r="O5" s="15">
        <v>62.36</v>
      </c>
      <c r="P5" s="14">
        <f t="shared" si="0"/>
        <v>10.6</v>
      </c>
      <c r="R5">
        <v>0</v>
      </c>
      <c r="W5" t="s">
        <v>50</v>
      </c>
    </row>
    <row r="6" spans="1:27" x14ac:dyDescent="0.25">
      <c r="A6" t="s">
        <v>70</v>
      </c>
      <c r="B6" t="s">
        <v>58</v>
      </c>
      <c r="C6">
        <v>2012</v>
      </c>
      <c r="D6">
        <v>12</v>
      </c>
      <c r="E6" s="10">
        <v>41271</v>
      </c>
      <c r="F6" s="10"/>
      <c r="G6">
        <v>4</v>
      </c>
      <c r="H6" t="s">
        <v>52</v>
      </c>
      <c r="I6" s="11" t="s">
        <v>25</v>
      </c>
      <c r="J6" s="11" t="s">
        <v>31</v>
      </c>
      <c r="K6" s="11"/>
      <c r="L6" s="17">
        <f t="shared" si="1"/>
        <v>70.05</v>
      </c>
      <c r="M6" s="11" t="s">
        <v>40</v>
      </c>
      <c r="N6">
        <v>0</v>
      </c>
      <c r="O6" s="15">
        <v>70.05</v>
      </c>
      <c r="P6" s="14">
        <f t="shared" si="0"/>
        <v>0</v>
      </c>
      <c r="R6">
        <v>0</v>
      </c>
      <c r="W6" t="s">
        <v>51</v>
      </c>
    </row>
    <row r="7" spans="1:27" x14ac:dyDescent="0.25">
      <c r="A7" t="s">
        <v>70</v>
      </c>
      <c r="B7" t="s">
        <v>58</v>
      </c>
      <c r="C7">
        <v>2012</v>
      </c>
      <c r="D7">
        <v>12</v>
      </c>
      <c r="E7" s="10">
        <v>41244</v>
      </c>
      <c r="F7" s="10"/>
      <c r="G7">
        <v>5</v>
      </c>
      <c r="H7" t="s">
        <v>32</v>
      </c>
      <c r="I7" s="11" t="s">
        <v>28</v>
      </c>
      <c r="J7" s="11" t="s">
        <v>45</v>
      </c>
      <c r="K7" s="11"/>
      <c r="L7" s="17">
        <f t="shared" si="1"/>
        <v>20.3</v>
      </c>
      <c r="M7" s="11" t="s">
        <v>23</v>
      </c>
      <c r="N7">
        <v>0</v>
      </c>
      <c r="O7" s="15">
        <v>20.3</v>
      </c>
      <c r="P7" s="14">
        <f t="shared" si="0"/>
        <v>0</v>
      </c>
      <c r="R7">
        <v>0</v>
      </c>
      <c r="S7" t="s">
        <v>32</v>
      </c>
      <c r="W7" t="s">
        <v>50</v>
      </c>
    </row>
    <row r="8" spans="1:27" x14ac:dyDescent="0.25">
      <c r="A8" t="s">
        <v>70</v>
      </c>
      <c r="B8" t="s">
        <v>58</v>
      </c>
      <c r="C8">
        <v>2012</v>
      </c>
      <c r="D8">
        <v>12</v>
      </c>
      <c r="E8" s="10">
        <v>41264</v>
      </c>
      <c r="G8">
        <v>6</v>
      </c>
      <c r="H8" t="s">
        <v>32</v>
      </c>
      <c r="I8" s="11">
        <v>61524000</v>
      </c>
      <c r="J8" s="11" t="s">
        <v>33</v>
      </c>
      <c r="L8" s="17">
        <f t="shared" si="1"/>
        <v>78.2</v>
      </c>
      <c r="M8" s="11" t="s">
        <v>23</v>
      </c>
      <c r="N8">
        <v>6</v>
      </c>
      <c r="O8" s="15">
        <v>73.77</v>
      </c>
      <c r="P8" s="14">
        <f t="shared" si="0"/>
        <v>4.43</v>
      </c>
      <c r="R8">
        <v>0</v>
      </c>
      <c r="W8" t="s">
        <v>50</v>
      </c>
    </row>
    <row r="9" spans="1:27" x14ac:dyDescent="0.25">
      <c r="A9" t="s">
        <v>70</v>
      </c>
      <c r="B9" t="s">
        <v>58</v>
      </c>
      <c r="C9">
        <v>2012</v>
      </c>
      <c r="D9">
        <v>12</v>
      </c>
      <c r="E9" s="10">
        <v>41259</v>
      </c>
      <c r="G9">
        <v>7</v>
      </c>
      <c r="H9" t="s">
        <v>32</v>
      </c>
      <c r="I9" s="11">
        <v>61524000</v>
      </c>
      <c r="J9" s="11" t="s">
        <v>34</v>
      </c>
      <c r="L9" s="17">
        <f t="shared" si="1"/>
        <v>29.33</v>
      </c>
      <c r="M9" s="11" t="s">
        <v>23</v>
      </c>
      <c r="N9">
        <v>6</v>
      </c>
      <c r="O9" s="15">
        <v>27.67</v>
      </c>
      <c r="P9" s="14">
        <f t="shared" si="0"/>
        <v>1.66</v>
      </c>
      <c r="R9">
        <v>0</v>
      </c>
      <c r="W9" t="s">
        <v>50</v>
      </c>
    </row>
    <row r="10" spans="1:27" x14ac:dyDescent="0.25">
      <c r="A10" t="s">
        <v>70</v>
      </c>
      <c r="B10" t="s">
        <v>58</v>
      </c>
      <c r="C10">
        <v>2012</v>
      </c>
      <c r="D10">
        <v>12</v>
      </c>
      <c r="E10" s="10">
        <v>41271</v>
      </c>
      <c r="G10">
        <v>8</v>
      </c>
      <c r="H10" t="s">
        <v>35</v>
      </c>
      <c r="I10" s="11">
        <v>61521100</v>
      </c>
      <c r="J10" s="11" t="s">
        <v>36</v>
      </c>
      <c r="L10" s="17">
        <f t="shared" si="1"/>
        <v>617.6</v>
      </c>
      <c r="M10" s="11" t="s">
        <v>37</v>
      </c>
      <c r="N10">
        <v>0</v>
      </c>
      <c r="O10" s="15">
        <v>617.6</v>
      </c>
      <c r="P10" s="14">
        <f t="shared" si="0"/>
        <v>0</v>
      </c>
      <c r="R10">
        <v>0</v>
      </c>
      <c r="S10" t="s">
        <v>35</v>
      </c>
      <c r="W10" t="s">
        <v>51</v>
      </c>
    </row>
    <row r="11" spans="1:27" x14ac:dyDescent="0.25">
      <c r="A11" t="s">
        <v>70</v>
      </c>
      <c r="B11" t="s">
        <v>58</v>
      </c>
      <c r="C11">
        <v>2012</v>
      </c>
      <c r="D11">
        <v>12</v>
      </c>
      <c r="E11" s="10">
        <v>41270</v>
      </c>
      <c r="G11">
        <v>9</v>
      </c>
      <c r="H11" t="s">
        <v>55</v>
      </c>
      <c r="I11" s="11">
        <v>61521100</v>
      </c>
      <c r="J11" s="11" t="s">
        <v>39</v>
      </c>
      <c r="L11" s="17">
        <f t="shared" si="1"/>
        <v>10</v>
      </c>
      <c r="M11" s="11" t="s">
        <v>40</v>
      </c>
      <c r="N11">
        <v>0</v>
      </c>
      <c r="O11" s="15">
        <v>10</v>
      </c>
      <c r="P11" s="14">
        <f t="shared" si="0"/>
        <v>0</v>
      </c>
      <c r="R11">
        <v>0</v>
      </c>
      <c r="S11" t="s">
        <v>38</v>
      </c>
      <c r="W11" t="s">
        <v>51</v>
      </c>
    </row>
    <row r="12" spans="1:27" x14ac:dyDescent="0.25">
      <c r="A12" t="s">
        <v>70</v>
      </c>
      <c r="B12" t="s">
        <v>58</v>
      </c>
      <c r="C12">
        <v>2012</v>
      </c>
      <c r="D12">
        <v>12</v>
      </c>
      <c r="E12" s="10">
        <v>41271</v>
      </c>
      <c r="G12">
        <v>10</v>
      </c>
      <c r="H12" t="s">
        <v>55</v>
      </c>
      <c r="I12" s="11">
        <v>61521100</v>
      </c>
      <c r="J12" s="11" t="s">
        <v>39</v>
      </c>
      <c r="L12" s="17">
        <f t="shared" si="1"/>
        <v>10</v>
      </c>
      <c r="M12" s="11" t="s">
        <v>40</v>
      </c>
      <c r="N12">
        <v>0</v>
      </c>
      <c r="O12" s="15">
        <v>10</v>
      </c>
      <c r="P12" s="14">
        <f t="shared" si="0"/>
        <v>0</v>
      </c>
      <c r="R12">
        <v>0</v>
      </c>
      <c r="W12" t="s">
        <v>51</v>
      </c>
    </row>
    <row r="13" spans="1:27" x14ac:dyDescent="0.25">
      <c r="A13" t="s">
        <v>70</v>
      </c>
      <c r="B13" t="s">
        <v>58</v>
      </c>
      <c r="C13">
        <v>2012</v>
      </c>
      <c r="D13">
        <v>12</v>
      </c>
      <c r="E13" s="10">
        <v>41244</v>
      </c>
      <c r="G13">
        <v>11</v>
      </c>
      <c r="H13" t="s">
        <v>53</v>
      </c>
      <c r="I13" s="11">
        <v>61524000</v>
      </c>
      <c r="J13" s="11" t="s">
        <v>41</v>
      </c>
      <c r="L13" s="17">
        <f t="shared" si="1"/>
        <v>21.3</v>
      </c>
      <c r="M13" s="11" t="s">
        <v>40</v>
      </c>
      <c r="N13">
        <v>0</v>
      </c>
      <c r="O13" s="15">
        <v>21.3</v>
      </c>
      <c r="P13" s="14">
        <f t="shared" si="0"/>
        <v>0</v>
      </c>
      <c r="R13">
        <v>0</v>
      </c>
      <c r="S13" t="s">
        <v>53</v>
      </c>
      <c r="W13" t="s">
        <v>54</v>
      </c>
    </row>
    <row r="14" spans="1:27" x14ac:dyDescent="0.25">
      <c r="A14" t="s">
        <v>70</v>
      </c>
      <c r="B14" t="s">
        <v>58</v>
      </c>
      <c r="C14">
        <v>2012</v>
      </c>
      <c r="D14">
        <v>12</v>
      </c>
      <c r="E14" s="10">
        <v>41268</v>
      </c>
      <c r="G14">
        <v>12</v>
      </c>
      <c r="H14" t="s">
        <v>60</v>
      </c>
      <c r="I14" s="11" t="s">
        <v>48</v>
      </c>
      <c r="J14" s="11" t="s">
        <v>42</v>
      </c>
      <c r="L14" s="17">
        <f t="shared" si="1"/>
        <v>72.7</v>
      </c>
      <c r="M14" s="11" t="s">
        <v>23</v>
      </c>
      <c r="N14">
        <v>17</v>
      </c>
      <c r="O14" s="15">
        <v>62.14</v>
      </c>
      <c r="P14" s="14">
        <f t="shared" si="0"/>
        <v>10.56</v>
      </c>
      <c r="R14">
        <v>0</v>
      </c>
      <c r="W14" t="s">
        <v>50</v>
      </c>
    </row>
    <row r="15" spans="1:27" x14ac:dyDescent="0.25">
      <c r="A15" t="s">
        <v>70</v>
      </c>
      <c r="B15" t="s">
        <v>58</v>
      </c>
      <c r="C15">
        <v>2012</v>
      </c>
      <c r="D15">
        <v>12</v>
      </c>
      <c r="E15" s="10">
        <v>41253</v>
      </c>
      <c r="G15">
        <v>14</v>
      </c>
      <c r="H15" t="s">
        <v>59</v>
      </c>
      <c r="I15" s="11">
        <v>61532000</v>
      </c>
      <c r="J15" s="11" t="s">
        <v>43</v>
      </c>
      <c r="L15" s="17">
        <f t="shared" si="1"/>
        <v>116.2</v>
      </c>
      <c r="M15" s="11" t="s">
        <v>23</v>
      </c>
      <c r="N15">
        <v>17</v>
      </c>
      <c r="O15" s="15">
        <v>99.32</v>
      </c>
      <c r="P15" s="14">
        <f t="shared" si="0"/>
        <v>16.88</v>
      </c>
      <c r="R15">
        <v>0</v>
      </c>
      <c r="W15" t="s">
        <v>50</v>
      </c>
    </row>
    <row r="16" spans="1:27" x14ac:dyDescent="0.25">
      <c r="A16" t="s">
        <v>70</v>
      </c>
      <c r="B16" t="s">
        <v>58</v>
      </c>
      <c r="C16">
        <v>2012</v>
      </c>
      <c r="D16">
        <v>12</v>
      </c>
      <c r="E16" s="10">
        <v>41257</v>
      </c>
      <c r="G16">
        <v>15</v>
      </c>
      <c r="H16" t="s">
        <v>61</v>
      </c>
      <c r="I16" s="11" t="s">
        <v>49</v>
      </c>
      <c r="J16" s="11" t="s">
        <v>44</v>
      </c>
      <c r="L16" s="17">
        <f t="shared" si="1"/>
        <v>232.3</v>
      </c>
      <c r="M16" s="11" t="s">
        <v>23</v>
      </c>
      <c r="N16">
        <v>0</v>
      </c>
      <c r="O16" s="15">
        <v>232.3</v>
      </c>
      <c r="P16" s="14">
        <f t="shared" si="0"/>
        <v>0</v>
      </c>
      <c r="R16">
        <v>0</v>
      </c>
      <c r="W16" t="s">
        <v>50</v>
      </c>
    </row>
    <row r="17" spans="1:27" x14ac:dyDescent="0.25">
      <c r="A17" t="s">
        <v>70</v>
      </c>
      <c r="B17" t="s">
        <v>58</v>
      </c>
      <c r="C17">
        <v>2012</v>
      </c>
      <c r="D17">
        <v>12</v>
      </c>
      <c r="E17" s="10">
        <v>41253</v>
      </c>
      <c r="G17">
        <v>16</v>
      </c>
      <c r="H17" t="s">
        <v>62</v>
      </c>
      <c r="I17" s="11">
        <v>61532000</v>
      </c>
      <c r="J17" s="11" t="s">
        <v>43</v>
      </c>
      <c r="L17" s="17">
        <f t="shared" si="1"/>
        <v>91.07</v>
      </c>
      <c r="M17" s="11" t="s">
        <v>23</v>
      </c>
      <c r="N17">
        <v>17</v>
      </c>
      <c r="O17" s="15">
        <v>77.84</v>
      </c>
      <c r="P17" s="14">
        <f t="shared" si="0"/>
        <v>13.23</v>
      </c>
      <c r="R17">
        <v>0</v>
      </c>
      <c r="W17" t="s">
        <v>50</v>
      </c>
    </row>
    <row r="18" spans="1:27" x14ac:dyDescent="0.25">
      <c r="A18" t="s">
        <v>70</v>
      </c>
      <c r="B18" t="s">
        <v>58</v>
      </c>
      <c r="C18">
        <v>2012</v>
      </c>
      <c r="D18">
        <v>12</v>
      </c>
      <c r="E18" s="10">
        <v>41244</v>
      </c>
      <c r="G18">
        <v>17</v>
      </c>
      <c r="H18" t="s">
        <v>63</v>
      </c>
      <c r="I18" s="11" t="s">
        <v>28</v>
      </c>
      <c r="J18" s="11" t="s">
        <v>45</v>
      </c>
      <c r="L18" s="17">
        <f t="shared" si="1"/>
        <v>5.6</v>
      </c>
      <c r="M18" s="11" t="s">
        <v>23</v>
      </c>
      <c r="N18">
        <v>0</v>
      </c>
      <c r="O18" s="15">
        <v>5.6</v>
      </c>
      <c r="P18" s="14">
        <f t="shared" si="0"/>
        <v>0</v>
      </c>
      <c r="R18">
        <v>0</v>
      </c>
      <c r="W18" t="s">
        <v>50</v>
      </c>
    </row>
    <row r="19" spans="1:27" x14ac:dyDescent="0.25">
      <c r="A19" t="s">
        <v>70</v>
      </c>
      <c r="B19" t="s">
        <v>58</v>
      </c>
      <c r="C19">
        <v>2012</v>
      </c>
      <c r="D19">
        <v>12</v>
      </c>
      <c r="E19" s="10">
        <v>41256</v>
      </c>
      <c r="G19">
        <v>18</v>
      </c>
      <c r="H19" t="s">
        <v>64</v>
      </c>
      <c r="I19" s="11">
        <v>61524000</v>
      </c>
      <c r="J19" s="11" t="s">
        <v>46</v>
      </c>
      <c r="L19" s="17">
        <f t="shared" si="1"/>
        <v>71.06</v>
      </c>
      <c r="M19" s="11" t="s">
        <v>23</v>
      </c>
      <c r="N19">
        <v>6</v>
      </c>
      <c r="O19" s="15">
        <v>67.040000000000006</v>
      </c>
      <c r="P19" s="14">
        <f t="shared" si="0"/>
        <v>4.0199999999999996</v>
      </c>
      <c r="R19">
        <v>0</v>
      </c>
      <c r="W19" t="s">
        <v>50</v>
      </c>
    </row>
    <row r="20" spans="1:27" x14ac:dyDescent="0.25">
      <c r="A20" t="s">
        <v>70</v>
      </c>
      <c r="B20" t="s">
        <v>58</v>
      </c>
      <c r="C20">
        <v>2012</v>
      </c>
      <c r="D20">
        <v>12</v>
      </c>
      <c r="E20" s="10">
        <v>41244</v>
      </c>
      <c r="G20">
        <v>19</v>
      </c>
      <c r="H20" t="s">
        <v>65</v>
      </c>
      <c r="I20" s="11">
        <v>61521100</v>
      </c>
      <c r="J20" s="11" t="s">
        <v>38</v>
      </c>
      <c r="L20" s="17">
        <f t="shared" si="1"/>
        <v>64.09</v>
      </c>
      <c r="M20" s="11" t="s">
        <v>23</v>
      </c>
      <c r="N20">
        <v>17</v>
      </c>
      <c r="O20" s="15">
        <v>54.78</v>
      </c>
      <c r="P20" s="14">
        <f t="shared" si="0"/>
        <v>9.31</v>
      </c>
      <c r="R20">
        <v>0</v>
      </c>
      <c r="W20" t="s">
        <v>50</v>
      </c>
    </row>
    <row r="21" spans="1:27" x14ac:dyDescent="0.25">
      <c r="A21" t="s">
        <v>70</v>
      </c>
      <c r="B21" t="s">
        <v>58</v>
      </c>
      <c r="C21">
        <v>2012</v>
      </c>
      <c r="D21">
        <v>12</v>
      </c>
      <c r="E21" s="10">
        <v>41245</v>
      </c>
      <c r="G21">
        <v>20</v>
      </c>
      <c r="H21" t="s">
        <v>65</v>
      </c>
      <c r="I21" s="11">
        <v>61521100</v>
      </c>
      <c r="J21" s="11" t="s">
        <v>47</v>
      </c>
      <c r="L21" s="17">
        <f t="shared" si="1"/>
        <v>3.56</v>
      </c>
      <c r="M21" s="11" t="s">
        <v>23</v>
      </c>
      <c r="N21">
        <v>17</v>
      </c>
      <c r="O21" s="15">
        <v>3.04</v>
      </c>
      <c r="P21" s="14">
        <f t="shared" si="0"/>
        <v>0.52</v>
      </c>
      <c r="R21">
        <v>0</v>
      </c>
      <c r="W21" t="s">
        <v>50</v>
      </c>
    </row>
    <row r="22" spans="1:27" x14ac:dyDescent="0.25">
      <c r="A22" t="s">
        <v>70</v>
      </c>
      <c r="B22" t="s">
        <v>58</v>
      </c>
      <c r="C22">
        <v>2012</v>
      </c>
      <c r="D22">
        <v>12</v>
      </c>
      <c r="E22" s="10">
        <v>41250</v>
      </c>
      <c r="G22">
        <v>21</v>
      </c>
      <c r="H22" t="s">
        <v>24</v>
      </c>
      <c r="I22" s="11">
        <v>60814000</v>
      </c>
      <c r="J22" s="11" t="s">
        <v>26</v>
      </c>
      <c r="L22" s="17">
        <f t="shared" si="1"/>
        <v>73.98</v>
      </c>
      <c r="M22" s="11" t="s">
        <v>23</v>
      </c>
      <c r="N22">
        <v>17</v>
      </c>
      <c r="O22" s="15">
        <v>63.23</v>
      </c>
      <c r="P22" s="14">
        <f t="shared" si="0"/>
        <v>10.75</v>
      </c>
      <c r="R22">
        <v>0</v>
      </c>
      <c r="W22" t="s">
        <v>50</v>
      </c>
    </row>
    <row r="23" spans="1:27" x14ac:dyDescent="0.25">
      <c r="A23" t="s">
        <v>71</v>
      </c>
      <c r="B23" t="s">
        <v>58</v>
      </c>
      <c r="C23">
        <v>2012</v>
      </c>
      <c r="D23">
        <v>12</v>
      </c>
      <c r="E23" s="10">
        <v>41273</v>
      </c>
      <c r="F23" s="10"/>
      <c r="G23">
        <v>1</v>
      </c>
      <c r="H23" t="s">
        <v>24</v>
      </c>
      <c r="I23" s="11" t="s">
        <v>25</v>
      </c>
      <c r="J23" s="11" t="s">
        <v>26</v>
      </c>
      <c r="K23" s="11"/>
      <c r="L23" s="17">
        <f t="shared" si="1"/>
        <v>71.17</v>
      </c>
      <c r="M23" s="11" t="s">
        <v>23</v>
      </c>
      <c r="N23">
        <v>17</v>
      </c>
      <c r="O23" s="14">
        <v>60.83</v>
      </c>
      <c r="P23" s="14">
        <f t="shared" si="0"/>
        <v>10.34</v>
      </c>
      <c r="R23">
        <v>0</v>
      </c>
      <c r="S23" t="s">
        <v>24</v>
      </c>
      <c r="W23" t="s">
        <v>50</v>
      </c>
      <c r="Y23" t="s">
        <v>72</v>
      </c>
      <c r="Z23" s="11">
        <v>10000000</v>
      </c>
      <c r="AA23" s="11" t="s">
        <v>68</v>
      </c>
    </row>
    <row r="24" spans="1:27" x14ac:dyDescent="0.25">
      <c r="A24" t="s">
        <v>71</v>
      </c>
      <c r="B24" t="s">
        <v>58</v>
      </c>
      <c r="C24">
        <v>2012</v>
      </c>
      <c r="D24">
        <v>12</v>
      </c>
      <c r="E24" s="10">
        <v>41268</v>
      </c>
      <c r="F24" s="10"/>
      <c r="G24">
        <v>2</v>
      </c>
      <c r="H24" t="s">
        <v>24</v>
      </c>
      <c r="I24" s="11" t="s">
        <v>25</v>
      </c>
      <c r="J24" s="11" t="s">
        <v>27</v>
      </c>
      <c r="K24" s="11"/>
      <c r="L24" s="17">
        <v>58.66</v>
      </c>
      <c r="M24" s="11" t="s">
        <v>23</v>
      </c>
      <c r="N24">
        <v>17</v>
      </c>
      <c r="O24" s="14">
        <v>42.62</v>
      </c>
      <c r="P24" s="14">
        <f t="shared" si="0"/>
        <v>7.25</v>
      </c>
      <c r="R24">
        <v>0</v>
      </c>
      <c r="W24" t="s">
        <v>50</v>
      </c>
      <c r="Y24" t="s">
        <v>72</v>
      </c>
      <c r="Z24" s="11">
        <v>10000000</v>
      </c>
      <c r="AA24" s="11" t="s">
        <v>68</v>
      </c>
    </row>
    <row r="25" spans="1:27" x14ac:dyDescent="0.25">
      <c r="A25" t="s">
        <v>71</v>
      </c>
      <c r="B25" t="s">
        <v>58</v>
      </c>
      <c r="C25">
        <v>2012</v>
      </c>
      <c r="D25">
        <v>12</v>
      </c>
      <c r="E25" s="10">
        <v>41269</v>
      </c>
      <c r="F25" s="10"/>
      <c r="G25">
        <v>2</v>
      </c>
      <c r="H25" t="s">
        <v>24</v>
      </c>
      <c r="I25" s="11" t="s">
        <v>29</v>
      </c>
      <c r="J25" s="11" t="s">
        <v>27</v>
      </c>
      <c r="K25" s="11"/>
      <c r="L25" s="17">
        <v>58.66</v>
      </c>
      <c r="M25" s="11" t="s">
        <v>23</v>
      </c>
      <c r="N25">
        <v>17</v>
      </c>
      <c r="O25" s="14">
        <v>7.51</v>
      </c>
      <c r="P25" s="14">
        <f t="shared" si="0"/>
        <v>1.28</v>
      </c>
      <c r="R25">
        <v>0</v>
      </c>
      <c r="W25" t="s">
        <v>50</v>
      </c>
    </row>
    <row r="26" spans="1:27" x14ac:dyDescent="0.25">
      <c r="A26" t="s">
        <v>71</v>
      </c>
      <c r="B26" t="s">
        <v>58</v>
      </c>
      <c r="C26">
        <v>2012</v>
      </c>
      <c r="D26">
        <v>12</v>
      </c>
      <c r="E26" s="10">
        <v>41262</v>
      </c>
      <c r="F26" s="10"/>
      <c r="G26">
        <v>3</v>
      </c>
      <c r="H26" t="s">
        <v>24</v>
      </c>
      <c r="I26" s="11" t="s">
        <v>25</v>
      </c>
      <c r="J26" s="11" t="s">
        <v>30</v>
      </c>
      <c r="K26" s="11"/>
      <c r="L26" s="17">
        <f t="shared" si="1"/>
        <v>72.959999999999994</v>
      </c>
      <c r="M26" s="11" t="s">
        <v>23</v>
      </c>
      <c r="N26">
        <v>17</v>
      </c>
      <c r="O26" s="15">
        <v>62.36</v>
      </c>
      <c r="P26" s="14">
        <f t="shared" si="0"/>
        <v>10.6</v>
      </c>
      <c r="R26">
        <v>0</v>
      </c>
      <c r="W26" t="s">
        <v>50</v>
      </c>
    </row>
    <row r="27" spans="1:27" x14ac:dyDescent="0.25">
      <c r="A27" t="s">
        <v>71</v>
      </c>
      <c r="B27" t="s">
        <v>58</v>
      </c>
      <c r="C27">
        <v>2012</v>
      </c>
      <c r="D27">
        <v>12</v>
      </c>
      <c r="E27" s="10">
        <v>41271</v>
      </c>
      <c r="F27" s="10"/>
      <c r="G27">
        <v>4</v>
      </c>
      <c r="H27" t="s">
        <v>52</v>
      </c>
      <c r="I27" s="11" t="s">
        <v>25</v>
      </c>
      <c r="J27" s="11" t="s">
        <v>31</v>
      </c>
      <c r="K27" s="11"/>
      <c r="L27" s="17">
        <f t="shared" si="1"/>
        <v>70.05</v>
      </c>
      <c r="M27" s="11" t="s">
        <v>40</v>
      </c>
      <c r="N27">
        <v>0</v>
      </c>
      <c r="O27" s="15">
        <v>70.05</v>
      </c>
      <c r="P27" s="14">
        <f t="shared" si="0"/>
        <v>0</v>
      </c>
      <c r="R27">
        <v>0</v>
      </c>
      <c r="W27" t="s">
        <v>51</v>
      </c>
    </row>
    <row r="28" spans="1:27" x14ac:dyDescent="0.25">
      <c r="A28" t="s">
        <v>71</v>
      </c>
      <c r="B28" t="s">
        <v>58</v>
      </c>
      <c r="C28">
        <v>2012</v>
      </c>
      <c r="D28">
        <v>12</v>
      </c>
      <c r="E28" s="10">
        <v>41244</v>
      </c>
      <c r="F28" s="10"/>
      <c r="G28">
        <v>5</v>
      </c>
      <c r="H28" t="s">
        <v>32</v>
      </c>
      <c r="I28" s="11" t="s">
        <v>28</v>
      </c>
      <c r="J28" s="11" t="s">
        <v>45</v>
      </c>
      <c r="K28" s="11"/>
      <c r="L28" s="17">
        <f t="shared" si="1"/>
        <v>20.3</v>
      </c>
      <c r="M28" s="11" t="s">
        <v>23</v>
      </c>
      <c r="N28">
        <v>0</v>
      </c>
      <c r="O28" s="15">
        <v>20.3</v>
      </c>
      <c r="P28" s="14">
        <f t="shared" si="0"/>
        <v>0</v>
      </c>
      <c r="R28">
        <v>0</v>
      </c>
      <c r="S28" t="s">
        <v>32</v>
      </c>
      <c r="W28" t="s">
        <v>50</v>
      </c>
    </row>
    <row r="29" spans="1:27" x14ac:dyDescent="0.25">
      <c r="A29" t="s">
        <v>71</v>
      </c>
      <c r="B29" t="s">
        <v>58</v>
      </c>
      <c r="C29">
        <v>2012</v>
      </c>
      <c r="D29">
        <v>12</v>
      </c>
      <c r="E29" s="10">
        <v>41264</v>
      </c>
      <c r="G29">
        <v>6</v>
      </c>
      <c r="H29" t="s">
        <v>32</v>
      </c>
      <c r="I29" s="11">
        <v>61524000</v>
      </c>
      <c r="J29" s="11" t="s">
        <v>33</v>
      </c>
      <c r="L29" s="17">
        <f t="shared" si="1"/>
        <v>78.2</v>
      </c>
      <c r="M29" s="11" t="s">
        <v>23</v>
      </c>
      <c r="N29">
        <v>6</v>
      </c>
      <c r="O29" s="15">
        <v>73.77</v>
      </c>
      <c r="P29" s="14">
        <f t="shared" si="0"/>
        <v>4.43</v>
      </c>
      <c r="R29">
        <v>0</v>
      </c>
      <c r="W29" t="s">
        <v>50</v>
      </c>
    </row>
    <row r="30" spans="1:27" x14ac:dyDescent="0.25">
      <c r="A30" t="s">
        <v>71</v>
      </c>
      <c r="B30" t="s">
        <v>58</v>
      </c>
      <c r="C30">
        <v>2012</v>
      </c>
      <c r="D30">
        <v>12</v>
      </c>
      <c r="E30" s="10">
        <v>41259</v>
      </c>
      <c r="G30">
        <v>7</v>
      </c>
      <c r="H30" t="s">
        <v>32</v>
      </c>
      <c r="I30" s="11">
        <v>61524000</v>
      </c>
      <c r="J30" s="11" t="s">
        <v>34</v>
      </c>
      <c r="L30" s="17">
        <f t="shared" si="1"/>
        <v>29.33</v>
      </c>
      <c r="M30" s="11" t="s">
        <v>23</v>
      </c>
      <c r="N30">
        <v>6</v>
      </c>
      <c r="O30" s="15">
        <v>27.67</v>
      </c>
      <c r="P30" s="14">
        <f t="shared" si="0"/>
        <v>1.66</v>
      </c>
      <c r="R30">
        <v>0</v>
      </c>
      <c r="W30" t="s">
        <v>50</v>
      </c>
    </row>
    <row r="31" spans="1:27" x14ac:dyDescent="0.25">
      <c r="A31" t="s">
        <v>71</v>
      </c>
      <c r="B31" t="s">
        <v>58</v>
      </c>
      <c r="C31">
        <v>2012</v>
      </c>
      <c r="D31">
        <v>12</v>
      </c>
      <c r="E31" s="10">
        <v>41271</v>
      </c>
      <c r="G31">
        <v>8</v>
      </c>
      <c r="H31" t="s">
        <v>35</v>
      </c>
      <c r="I31" s="11">
        <v>61521100</v>
      </c>
      <c r="J31" s="11" t="s">
        <v>36</v>
      </c>
      <c r="L31" s="17">
        <f t="shared" si="1"/>
        <v>617.6</v>
      </c>
      <c r="M31" s="11" t="s">
        <v>37</v>
      </c>
      <c r="N31">
        <v>0</v>
      </c>
      <c r="O31" s="15">
        <v>617.6</v>
      </c>
      <c r="P31" s="14">
        <f t="shared" si="0"/>
        <v>0</v>
      </c>
      <c r="R31">
        <v>0</v>
      </c>
      <c r="S31" t="s">
        <v>35</v>
      </c>
      <c r="W31" t="s">
        <v>51</v>
      </c>
    </row>
    <row r="32" spans="1:27" x14ac:dyDescent="0.25">
      <c r="A32" t="s">
        <v>71</v>
      </c>
      <c r="B32" t="s">
        <v>58</v>
      </c>
      <c r="C32">
        <v>2012</v>
      </c>
      <c r="D32">
        <v>12</v>
      </c>
      <c r="E32" s="10">
        <v>41270</v>
      </c>
      <c r="G32">
        <v>9</v>
      </c>
      <c r="H32" t="s">
        <v>55</v>
      </c>
      <c r="I32" s="11">
        <v>61521100</v>
      </c>
      <c r="J32" s="11" t="s">
        <v>39</v>
      </c>
      <c r="L32" s="17">
        <f t="shared" si="1"/>
        <v>10</v>
      </c>
      <c r="M32" s="11" t="s">
        <v>40</v>
      </c>
      <c r="N32">
        <v>0</v>
      </c>
      <c r="O32" s="15">
        <v>10</v>
      </c>
      <c r="P32" s="14">
        <f t="shared" si="0"/>
        <v>0</v>
      </c>
      <c r="R32">
        <v>0</v>
      </c>
      <c r="S32" t="s">
        <v>38</v>
      </c>
      <c r="W32" t="s">
        <v>51</v>
      </c>
    </row>
    <row r="33" spans="1:23" x14ac:dyDescent="0.25">
      <c r="A33" t="s">
        <v>71</v>
      </c>
      <c r="B33" t="s">
        <v>58</v>
      </c>
      <c r="C33">
        <v>2012</v>
      </c>
      <c r="D33">
        <v>12</v>
      </c>
      <c r="E33" s="10">
        <v>41271</v>
      </c>
      <c r="G33">
        <v>10</v>
      </c>
      <c r="H33" t="s">
        <v>55</v>
      </c>
      <c r="I33" s="11">
        <v>61521100</v>
      </c>
      <c r="J33" s="11" t="s">
        <v>39</v>
      </c>
      <c r="L33" s="17">
        <f t="shared" si="1"/>
        <v>10</v>
      </c>
      <c r="M33" s="11" t="s">
        <v>40</v>
      </c>
      <c r="N33">
        <v>0</v>
      </c>
      <c r="O33" s="15">
        <v>10</v>
      </c>
      <c r="P33" s="14">
        <f t="shared" si="0"/>
        <v>0</v>
      </c>
      <c r="R33">
        <v>0</v>
      </c>
      <c r="W33" t="s">
        <v>51</v>
      </c>
    </row>
    <row r="34" spans="1:23" x14ac:dyDescent="0.25">
      <c r="A34" t="s">
        <v>71</v>
      </c>
      <c r="B34" t="s">
        <v>58</v>
      </c>
      <c r="C34">
        <v>2012</v>
      </c>
      <c r="D34">
        <v>12</v>
      </c>
      <c r="E34" s="10">
        <v>41244</v>
      </c>
      <c r="G34">
        <v>11</v>
      </c>
      <c r="H34" t="s">
        <v>53</v>
      </c>
      <c r="I34" s="11">
        <v>61524000</v>
      </c>
      <c r="J34" s="11" t="s">
        <v>41</v>
      </c>
      <c r="L34" s="17">
        <f t="shared" si="1"/>
        <v>21.3</v>
      </c>
      <c r="M34" s="11" t="s">
        <v>40</v>
      </c>
      <c r="N34">
        <v>0</v>
      </c>
      <c r="O34" s="15">
        <v>21.3</v>
      </c>
      <c r="P34" s="14">
        <f t="shared" si="0"/>
        <v>0</v>
      </c>
      <c r="R34">
        <v>0</v>
      </c>
      <c r="S34" t="s">
        <v>53</v>
      </c>
      <c r="W34" t="s">
        <v>54</v>
      </c>
    </row>
    <row r="35" spans="1:23" x14ac:dyDescent="0.25">
      <c r="A35" t="s">
        <v>71</v>
      </c>
      <c r="B35" t="s">
        <v>58</v>
      </c>
      <c r="C35">
        <v>2012</v>
      </c>
      <c r="D35">
        <v>12</v>
      </c>
      <c r="E35" s="10">
        <v>41268</v>
      </c>
      <c r="G35">
        <v>12</v>
      </c>
      <c r="H35" t="s">
        <v>60</v>
      </c>
      <c r="I35" s="11" t="s">
        <v>48</v>
      </c>
      <c r="J35" s="11" t="s">
        <v>42</v>
      </c>
      <c r="L35" s="17">
        <f t="shared" si="1"/>
        <v>72.7</v>
      </c>
      <c r="M35" s="11" t="s">
        <v>23</v>
      </c>
      <c r="N35">
        <v>17</v>
      </c>
      <c r="O35" s="15">
        <v>62.14</v>
      </c>
      <c r="P35" s="14">
        <f t="shared" si="0"/>
        <v>10.56</v>
      </c>
      <c r="R35">
        <v>0</v>
      </c>
      <c r="W35" t="s">
        <v>50</v>
      </c>
    </row>
    <row r="36" spans="1:23" x14ac:dyDescent="0.25">
      <c r="A36" t="s">
        <v>71</v>
      </c>
      <c r="B36" t="s">
        <v>58</v>
      </c>
      <c r="C36">
        <v>2012</v>
      </c>
      <c r="D36">
        <v>12</v>
      </c>
      <c r="E36" s="10">
        <v>41253</v>
      </c>
      <c r="G36">
        <v>14</v>
      </c>
      <c r="H36" t="s">
        <v>59</v>
      </c>
      <c r="I36" s="11">
        <v>61532000</v>
      </c>
      <c r="J36" s="11" t="s">
        <v>43</v>
      </c>
      <c r="L36" s="17">
        <f t="shared" si="1"/>
        <v>116.2</v>
      </c>
      <c r="M36" s="11" t="s">
        <v>23</v>
      </c>
      <c r="N36">
        <v>17</v>
      </c>
      <c r="O36" s="15">
        <v>99.32</v>
      </c>
      <c r="P36" s="14">
        <f t="shared" si="0"/>
        <v>16.88</v>
      </c>
      <c r="R36">
        <v>0</v>
      </c>
      <c r="W36" t="s">
        <v>50</v>
      </c>
    </row>
    <row r="37" spans="1:23" x14ac:dyDescent="0.25">
      <c r="A37" t="s">
        <v>71</v>
      </c>
      <c r="B37" t="s">
        <v>58</v>
      </c>
      <c r="C37">
        <v>2012</v>
      </c>
      <c r="D37">
        <v>12</v>
      </c>
      <c r="E37" s="10">
        <v>41257</v>
      </c>
      <c r="G37">
        <v>15</v>
      </c>
      <c r="H37" t="s">
        <v>61</v>
      </c>
      <c r="I37" s="11" t="s">
        <v>49</v>
      </c>
      <c r="J37" s="11" t="s">
        <v>44</v>
      </c>
      <c r="L37" s="17">
        <f t="shared" si="1"/>
        <v>232.3</v>
      </c>
      <c r="M37" s="11" t="s">
        <v>23</v>
      </c>
      <c r="N37">
        <v>0</v>
      </c>
      <c r="O37" s="15">
        <v>232.3</v>
      </c>
      <c r="P37" s="14">
        <f t="shared" si="0"/>
        <v>0</v>
      </c>
      <c r="R37">
        <v>0</v>
      </c>
      <c r="W37" t="s">
        <v>50</v>
      </c>
    </row>
    <row r="38" spans="1:23" x14ac:dyDescent="0.25">
      <c r="A38" t="s">
        <v>71</v>
      </c>
      <c r="B38" t="s">
        <v>58</v>
      </c>
      <c r="C38">
        <v>2012</v>
      </c>
      <c r="D38">
        <v>12</v>
      </c>
      <c r="E38" s="10">
        <v>41253</v>
      </c>
      <c r="G38">
        <v>16</v>
      </c>
      <c r="H38" t="s">
        <v>62</v>
      </c>
      <c r="I38" s="11">
        <v>61532000</v>
      </c>
      <c r="J38" s="11" t="s">
        <v>43</v>
      </c>
      <c r="L38" s="17">
        <f t="shared" si="1"/>
        <v>91.07</v>
      </c>
      <c r="M38" s="11" t="s">
        <v>23</v>
      </c>
      <c r="N38">
        <v>17</v>
      </c>
      <c r="O38" s="15">
        <v>77.84</v>
      </c>
      <c r="P38" s="14">
        <f t="shared" si="0"/>
        <v>13.23</v>
      </c>
      <c r="R38">
        <v>0</v>
      </c>
      <c r="W38" t="s">
        <v>50</v>
      </c>
    </row>
    <row r="39" spans="1:23" x14ac:dyDescent="0.25">
      <c r="A39" t="s">
        <v>71</v>
      </c>
      <c r="B39" t="s">
        <v>58</v>
      </c>
      <c r="C39">
        <v>2012</v>
      </c>
      <c r="D39">
        <v>12</v>
      </c>
      <c r="E39" s="10">
        <v>41244</v>
      </c>
      <c r="G39">
        <v>17</v>
      </c>
      <c r="H39" t="s">
        <v>63</v>
      </c>
      <c r="I39" s="11" t="s">
        <v>28</v>
      </c>
      <c r="J39" s="11" t="s">
        <v>45</v>
      </c>
      <c r="L39" s="17">
        <f t="shared" si="1"/>
        <v>5.6</v>
      </c>
      <c r="M39" s="11" t="s">
        <v>23</v>
      </c>
      <c r="N39">
        <v>0</v>
      </c>
      <c r="O39" s="15">
        <v>5.6</v>
      </c>
      <c r="P39" s="14">
        <f t="shared" si="0"/>
        <v>0</v>
      </c>
      <c r="R39">
        <v>0</v>
      </c>
      <c r="W39" t="s">
        <v>50</v>
      </c>
    </row>
    <row r="40" spans="1:23" x14ac:dyDescent="0.25">
      <c r="A40" t="s">
        <v>71</v>
      </c>
      <c r="B40" t="s">
        <v>58</v>
      </c>
      <c r="C40">
        <v>2012</v>
      </c>
      <c r="D40">
        <v>12</v>
      </c>
      <c r="E40" s="10">
        <v>41256</v>
      </c>
      <c r="G40">
        <v>18</v>
      </c>
      <c r="H40" t="s">
        <v>64</v>
      </c>
      <c r="I40" s="11">
        <v>61524000</v>
      </c>
      <c r="J40" s="11" t="s">
        <v>46</v>
      </c>
      <c r="L40" s="17">
        <f t="shared" si="1"/>
        <v>71.06</v>
      </c>
      <c r="M40" s="11" t="s">
        <v>23</v>
      </c>
      <c r="N40">
        <v>6</v>
      </c>
      <c r="O40" s="15">
        <v>67.040000000000006</v>
      </c>
      <c r="P40" s="14">
        <f t="shared" si="0"/>
        <v>4.0199999999999996</v>
      </c>
      <c r="R40">
        <v>0</v>
      </c>
      <c r="W40" t="s">
        <v>50</v>
      </c>
    </row>
    <row r="41" spans="1:23" x14ac:dyDescent="0.25">
      <c r="A41" t="s">
        <v>71</v>
      </c>
      <c r="B41" t="s">
        <v>58</v>
      </c>
      <c r="C41">
        <v>2012</v>
      </c>
      <c r="D41">
        <v>12</v>
      </c>
      <c r="E41" s="10">
        <v>41244</v>
      </c>
      <c r="G41">
        <v>19</v>
      </c>
      <c r="H41" t="s">
        <v>65</v>
      </c>
      <c r="I41" s="11">
        <v>61521100</v>
      </c>
      <c r="J41" s="11" t="s">
        <v>38</v>
      </c>
      <c r="L41" s="17">
        <f t="shared" si="1"/>
        <v>64.09</v>
      </c>
      <c r="M41" s="11" t="s">
        <v>23</v>
      </c>
      <c r="N41">
        <v>17</v>
      </c>
      <c r="O41" s="15">
        <v>54.78</v>
      </c>
      <c r="P41" s="14">
        <f t="shared" si="0"/>
        <v>9.31</v>
      </c>
      <c r="R41">
        <v>0</v>
      </c>
      <c r="W41" t="s">
        <v>50</v>
      </c>
    </row>
    <row r="42" spans="1:23" x14ac:dyDescent="0.25">
      <c r="A42" t="s">
        <v>71</v>
      </c>
      <c r="B42" t="s">
        <v>58</v>
      </c>
      <c r="C42">
        <v>2012</v>
      </c>
      <c r="D42">
        <v>12</v>
      </c>
      <c r="E42" s="10">
        <v>41245</v>
      </c>
      <c r="G42">
        <v>20</v>
      </c>
      <c r="H42" t="s">
        <v>65</v>
      </c>
      <c r="I42" s="11">
        <v>61521100</v>
      </c>
      <c r="J42" s="11" t="s">
        <v>47</v>
      </c>
      <c r="L42" s="17">
        <f t="shared" si="1"/>
        <v>3.56</v>
      </c>
      <c r="M42" s="11" t="s">
        <v>23</v>
      </c>
      <c r="N42">
        <v>17</v>
      </c>
      <c r="O42" s="15">
        <v>3.04</v>
      </c>
      <c r="P42" s="14">
        <f t="shared" si="0"/>
        <v>0.52</v>
      </c>
      <c r="R42">
        <v>0</v>
      </c>
      <c r="W42" t="s">
        <v>50</v>
      </c>
    </row>
    <row r="43" spans="1:23" x14ac:dyDescent="0.25">
      <c r="A43" t="s">
        <v>71</v>
      </c>
      <c r="B43" t="s">
        <v>58</v>
      </c>
      <c r="C43">
        <v>2012</v>
      </c>
      <c r="D43">
        <v>12</v>
      </c>
      <c r="E43" s="10">
        <v>41250</v>
      </c>
      <c r="G43">
        <v>21</v>
      </c>
      <c r="H43" t="s">
        <v>24</v>
      </c>
      <c r="I43" s="11">
        <v>60814000</v>
      </c>
      <c r="J43" s="11" t="s">
        <v>26</v>
      </c>
      <c r="L43" s="17">
        <f t="shared" si="1"/>
        <v>73.98</v>
      </c>
      <c r="M43" s="11" t="s">
        <v>23</v>
      </c>
      <c r="N43">
        <v>17</v>
      </c>
      <c r="O43" s="15">
        <v>63.23</v>
      </c>
      <c r="P43" s="14">
        <f t="shared" si="0"/>
        <v>10.75</v>
      </c>
      <c r="R43">
        <v>0</v>
      </c>
      <c r="W43" t="s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R2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Tomasetig</dc:creator>
  <cp:lastModifiedBy>Fabio Tomasetig</cp:lastModifiedBy>
  <cp:lastPrinted>2014-05-13T12:25:24Z</cp:lastPrinted>
  <dcterms:created xsi:type="dcterms:W3CDTF">2014-05-07T12:04:19Z</dcterms:created>
  <dcterms:modified xsi:type="dcterms:W3CDTF">2016-05-31T10:22:01Z</dcterms:modified>
</cp:coreProperties>
</file>