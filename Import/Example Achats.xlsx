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elop\C#2010\BOB50\IbGrafBobImportExcel\IbGrafBobImportExcel\bin\Debug\Import\"/>
    </mc:Choice>
  </mc:AlternateContent>
  <xr:revisionPtr revIDLastSave="0" documentId="13_ncr:1_{2C49A6A5-13D3-44A4-801C-B1ADFA2204E4}" xr6:coauthVersionLast="36" xr6:coauthVersionMax="36" xr10:uidLastSave="{00000000-0000-0000-0000-000000000000}"/>
  <bookViews>
    <workbookView xWindow="0" yWindow="0" windowWidth="27510" windowHeight="10935" xr2:uid="{3CEC5617-A1F1-4627-9B49-2D8FEF9282C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7" i="1" l="1"/>
  <c r="K7" i="1"/>
  <c r="O6" i="1"/>
  <c r="K6" i="1" s="1"/>
  <c r="O5" i="1"/>
  <c r="K5" i="1"/>
  <c r="O4" i="1"/>
  <c r="O3" i="1"/>
  <c r="O2" i="1"/>
  <c r="K2" i="1" s="1"/>
</calcChain>
</file>

<file path=xl/sharedStrings.xml><?xml version="1.0" encoding="utf-8"?>
<sst xmlns="http://schemas.openxmlformats.org/spreadsheetml/2006/main" count="61" uniqueCount="39">
  <si>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</si>
  <si>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</si>
  <si>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</si>
  <si>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</si>
  <si>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</si>
  <si>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</si>
  <si>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</si>
  <si>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</si>
  <si>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</si>
  <si>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</si>
  <si>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</si>
  <si>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</si>
  <si>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</si>
  <si>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</si>
  <si>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</si>
  <si>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</si>
  <si>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</si>
  <si>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</si>
  <si>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</si>
  <si>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</si>
  <si>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</si>
  <si>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</si>
  <si>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</si>
  <si>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>ACH</t>
  </si>
  <si>
    <t>CARBUR</t>
  </si>
  <si>
    <t>60814000</t>
  </si>
  <si>
    <t>ARAL GONDERANGE</t>
  </si>
  <si>
    <t>FN</t>
  </si>
  <si>
    <t>LU</t>
  </si>
  <si>
    <t>Q8 BERTRANGE</t>
  </si>
  <si>
    <t>60812000</t>
  </si>
  <si>
    <t>Q8 EICH</t>
  </si>
  <si>
    <t>CARBURDE</t>
  </si>
  <si>
    <t>OMV TANKSTELLE</t>
  </si>
  <si>
    <t>FE</t>
  </si>
  <si>
    <t>DE</t>
  </si>
  <si>
    <t>RESTO</t>
  </si>
  <si>
    <t>61524000</t>
  </si>
  <si>
    <t>STARBUCKS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</si>
</sst>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4" fontId="0" fillId="0" borderId="0" xfId="0" applyNumberFormat="1" applyAlignment="1">
      <alignment horizontal="left"/>
    </xf>
    <xf numFmtId="0" fontId="1" fillId="0" borderId="0" xfId="0" applyFont="1" applyFill="1" applyAlignment="1">
      <alignment horizontal="left"/>
    </xf>
    <xf numFmtId="49" fontId="0" fillId="0" borderId="0" xfId="0" applyNumberFormat="1" applyAlignment="1">
      <alignment horizontal="left"/>
    </xf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4" fontId="0" fillId="0" borderId="0" xfId="0" applyNumberFormat="1"/>
    <xf numFmtId="4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30EB-71A2-4722-AF63-19BC1B709882}">
  <dimension ref="A1:AA7"/>
  <sheetViews>
    <sheetView tabSelected="1" workbookViewId="0">
      <selection activeCell="Q3" sqref="Q3"/>
    </sheetView>
  </sheetViews>
  <sheetFormatPr baseColWidth="10" defaultRowHeight="14.25" x14ac:dyDescent="0.2"/>
  <cols>
    <col min="1" max="1" width="6.75" bestFit="1" customWidth="1"/>
    <col min="2" max="2" width="5.5" bestFit="1" customWidth="1"/>
    <col min="3" max="3" width="4.375" bestFit="1" customWidth="1"/>
    <col min="4" max="4" width="12.125" bestFit="1" customWidth="1"/>
    <col min="5" max="5" width="11.75" bestFit="1" customWidth="1"/>
    <col min="6" max="6" width="14" bestFit="1" customWidth="1"/>
    <col min="7" max="7" width="11.25" bestFit="1" customWidth="1"/>
    <col min="8" max="8" width="14.25" bestFit="1" customWidth="1"/>
    <col min="9" max="9" width="19.25" bestFit="1" customWidth="1"/>
    <col min="10" max="10" width="13.25" bestFit="1" customWidth="1"/>
    <col min="11" max="11" width="9" bestFit="1" customWidth="1"/>
    <col min="12" max="12" width="8.5" bestFit="1" customWidth="1"/>
    <col min="13" max="13" width="7.25" bestFit="1" customWidth="1"/>
    <col min="14" max="15" width="5.375" bestFit="1" customWidth="1"/>
    <col min="16" max="16" width="5.625" bestFit="1" customWidth="1"/>
    <col min="17" max="17" width="5.125" bestFit="1" customWidth="1"/>
    <col min="18" max="18" width="10.25" bestFit="1" customWidth="1"/>
    <col min="19" max="19" width="14.125" bestFit="1" customWidth="1"/>
    <col min="20" max="20" width="9" bestFit="1" customWidth="1"/>
    <col min="21" max="21" width="10.25" bestFit="1" customWidth="1"/>
    <col min="22" max="22" width="7.75" bestFit="1" customWidth="1"/>
    <col min="23" max="23" width="18" bestFit="1" customWidth="1"/>
    <col min="24" max="24" width="36.75" bestFit="1" customWidth="1"/>
    <col min="25" max="25" width="12.75" bestFit="1" customWidth="1"/>
    <col min="26" max="26" width="8.875" bestFit="1" customWidth="1"/>
    <col min="27" max="27" width="8.25" bestFit="1" customWidth="1"/>
  </cols>
  <sheetData>
    <row r="1" spans="1:27" s="1" customFormat="1" x14ac:dyDescent="0.2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4" t="s">
        <v>9</v>
      </c>
      <c r="K1" s="7" t="s">
        <v>10</v>
      </c>
      <c r="L1" s="8" t="s">
        <v>11</v>
      </c>
      <c r="M1" s="9" t="s">
        <v>12</v>
      </c>
      <c r="N1" s="10" t="s">
        <v>13</v>
      </c>
      <c r="O1" s="10" t="s">
        <v>14</v>
      </c>
      <c r="P1" s="11" t="s">
        <v>15</v>
      </c>
      <c r="Q1" s="11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/>
      <c r="Z1" s="12"/>
      <c r="AA1" s="12"/>
    </row>
    <row r="2" spans="1:27" x14ac:dyDescent="0.2">
      <c r="A2" t="s">
        <v>23</v>
      </c>
      <c r="B2">
        <v>2018</v>
      </c>
      <c r="C2">
        <v>12</v>
      </c>
      <c r="D2" s="13">
        <v>43464</v>
      </c>
      <c r="E2" s="13"/>
      <c r="F2">
        <v>1</v>
      </c>
      <c r="G2" t="s">
        <v>24</v>
      </c>
      <c r="H2" s="14" t="s">
        <v>25</v>
      </c>
      <c r="I2" s="14" t="s">
        <v>26</v>
      </c>
      <c r="J2" s="14"/>
      <c r="K2" s="15">
        <f xml:space="preserve"> ROUND(N2 + O2, 2)</f>
        <v>71.17</v>
      </c>
      <c r="L2" s="14" t="s">
        <v>27</v>
      </c>
      <c r="M2">
        <v>17</v>
      </c>
      <c r="N2" s="16">
        <v>60.83</v>
      </c>
      <c r="O2" s="16">
        <f xml:space="preserve"> ROUND((N2/100) * M2,2)</f>
        <v>10.34</v>
      </c>
      <c r="Q2">
        <v>0</v>
      </c>
      <c r="R2" t="s">
        <v>24</v>
      </c>
      <c r="V2" t="s">
        <v>28</v>
      </c>
      <c r="Z2" s="14"/>
      <c r="AA2" s="14"/>
    </row>
    <row r="3" spans="1:27" x14ac:dyDescent="0.2">
      <c r="A3" t="s">
        <v>23</v>
      </c>
      <c r="B3">
        <v>2018</v>
      </c>
      <c r="C3">
        <v>12</v>
      </c>
      <c r="D3" s="13">
        <v>43459</v>
      </c>
      <c r="E3" s="13"/>
      <c r="F3">
        <v>2</v>
      </c>
      <c r="G3" t="s">
        <v>24</v>
      </c>
      <c r="H3" s="14" t="s">
        <v>25</v>
      </c>
      <c r="I3" s="14" t="s">
        <v>29</v>
      </c>
      <c r="J3" s="14"/>
      <c r="K3" s="15">
        <v>57.38</v>
      </c>
      <c r="L3" s="14" t="s">
        <v>27</v>
      </c>
      <c r="M3">
        <v>17</v>
      </c>
      <c r="N3" s="16">
        <v>42.62</v>
      </c>
      <c r="O3" s="16">
        <f t="shared" ref="O3:O7" si="0" xml:space="preserve"> ROUND((N3/100) * M3,2)</f>
        <v>7.25</v>
      </c>
      <c r="Q3">
        <v>0</v>
      </c>
      <c r="V3" t="s">
        <v>28</v>
      </c>
      <c r="Z3" s="14"/>
      <c r="AA3" s="14"/>
    </row>
    <row r="4" spans="1:27" x14ac:dyDescent="0.2">
      <c r="A4" t="s">
        <v>23</v>
      </c>
      <c r="B4">
        <v>2018</v>
      </c>
      <c r="C4">
        <v>12</v>
      </c>
      <c r="D4" s="13">
        <v>43459</v>
      </c>
      <c r="E4" s="13"/>
      <c r="F4">
        <v>2</v>
      </c>
      <c r="G4" t="s">
        <v>24</v>
      </c>
      <c r="H4" s="14" t="s">
        <v>30</v>
      </c>
      <c r="I4" s="14" t="s">
        <v>29</v>
      </c>
      <c r="J4" s="14"/>
      <c r="K4" s="15">
        <v>57.38</v>
      </c>
      <c r="L4" s="14" t="s">
        <v>27</v>
      </c>
      <c r="M4">
        <v>0</v>
      </c>
      <c r="N4" s="16">
        <v>7.51</v>
      </c>
      <c r="O4" s="16">
        <f t="shared" si="0"/>
        <v>0</v>
      </c>
      <c r="Q4">
        <v>0</v>
      </c>
      <c r="V4" t="s">
        <v>28</v>
      </c>
      <c r="Z4" s="14"/>
      <c r="AA4" s="14"/>
    </row>
    <row r="5" spans="1:27" x14ac:dyDescent="0.2">
      <c r="A5" t="s">
        <v>23</v>
      </c>
      <c r="B5">
        <v>2018</v>
      </c>
      <c r="C5">
        <v>12</v>
      </c>
      <c r="D5" s="13">
        <v>43453</v>
      </c>
      <c r="E5" s="13"/>
      <c r="F5">
        <v>3</v>
      </c>
      <c r="G5" t="s">
        <v>24</v>
      </c>
      <c r="H5" s="14" t="s">
        <v>25</v>
      </c>
      <c r="I5" s="14" t="s">
        <v>31</v>
      </c>
      <c r="J5" s="14"/>
      <c r="K5" s="15">
        <f t="shared" ref="K3:K7" si="1" xml:space="preserve"> ROUND(N5 + O5, 2)</f>
        <v>72.959999999999994</v>
      </c>
      <c r="L5" s="14" t="s">
        <v>27</v>
      </c>
      <c r="M5">
        <v>17</v>
      </c>
      <c r="N5" s="17">
        <v>62.36</v>
      </c>
      <c r="O5" s="16">
        <f t="shared" si="0"/>
        <v>10.6</v>
      </c>
      <c r="Q5">
        <v>0</v>
      </c>
      <c r="V5" t="s">
        <v>28</v>
      </c>
      <c r="Z5" s="14"/>
      <c r="AA5" s="14"/>
    </row>
    <row r="6" spans="1:27" x14ac:dyDescent="0.2">
      <c r="A6" t="s">
        <v>23</v>
      </c>
      <c r="B6">
        <v>2018</v>
      </c>
      <c r="C6">
        <v>12</v>
      </c>
      <c r="D6" s="13">
        <v>43462</v>
      </c>
      <c r="E6" s="13">
        <v>43496</v>
      </c>
      <c r="F6">
        <v>4</v>
      </c>
      <c r="G6" t="s">
        <v>32</v>
      </c>
      <c r="H6" s="14" t="s">
        <v>25</v>
      </c>
      <c r="I6" s="14" t="s">
        <v>33</v>
      </c>
      <c r="J6" s="14"/>
      <c r="K6" s="15">
        <f t="shared" si="1"/>
        <v>70.05</v>
      </c>
      <c r="L6" s="14" t="s">
        <v>34</v>
      </c>
      <c r="M6">
        <v>0</v>
      </c>
      <c r="N6" s="17">
        <v>70.05</v>
      </c>
      <c r="O6" s="16">
        <f t="shared" si="0"/>
        <v>0</v>
      </c>
      <c r="Q6">
        <v>0</v>
      </c>
      <c r="V6" t="s">
        <v>35</v>
      </c>
      <c r="Z6" s="14"/>
      <c r="AA6" s="14"/>
    </row>
    <row r="7" spans="1:27" x14ac:dyDescent="0.2">
      <c r="A7" t="s">
        <v>23</v>
      </c>
      <c r="B7">
        <v>2018</v>
      </c>
      <c r="C7">
        <v>12</v>
      </c>
      <c r="D7" s="13">
        <v>43435</v>
      </c>
      <c r="E7" s="13"/>
      <c r="F7">
        <v>5</v>
      </c>
      <c r="G7" t="s">
        <v>36</v>
      </c>
      <c r="H7" s="14" t="s">
        <v>37</v>
      </c>
      <c r="I7" s="14" t="s">
        <v>38</v>
      </c>
      <c r="J7" s="14"/>
      <c r="K7" s="15">
        <f t="shared" si="1"/>
        <v>20.3</v>
      </c>
      <c r="L7" s="14" t="s">
        <v>27</v>
      </c>
      <c r="M7">
        <v>0</v>
      </c>
      <c r="N7" s="17">
        <v>20.3</v>
      </c>
      <c r="O7" s="16">
        <f t="shared" si="0"/>
        <v>0</v>
      </c>
      <c r="Q7">
        <v>0</v>
      </c>
      <c r="R7" t="s">
        <v>36</v>
      </c>
      <c r="V7" t="s">
        <v>28</v>
      </c>
      <c r="Z7" s="14"/>
      <c r="AA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TOMASETIG</dc:creator>
  <cp:lastModifiedBy>Fabio TOMASETIG</cp:lastModifiedBy>
  <dcterms:created xsi:type="dcterms:W3CDTF">2019-05-27T14:12:05Z</dcterms:created>
  <dcterms:modified xsi:type="dcterms:W3CDTF">2019-05-27T14:20:26Z</dcterms:modified>
</cp:coreProperties>
</file>