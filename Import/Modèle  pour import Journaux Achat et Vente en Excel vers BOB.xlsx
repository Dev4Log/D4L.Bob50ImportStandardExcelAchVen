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\C#2010\BOB50\IbGrafBobImportExcel\IbGrafBobImportExcel\bin\Debug\Import\"/>
    </mc:Choice>
  </mc:AlternateContent>
  <xr:revisionPtr revIDLastSave="0" documentId="10_ncr:100000_{A42450EA-9526-430F-AA46-158478BD076C}" xr6:coauthVersionLast="31" xr6:coauthVersionMax="31" xr10:uidLastSave="{00000000-0000-0000-0000-000000000000}"/>
  <bookViews>
    <workbookView xWindow="600" yWindow="75" windowWidth="22515" windowHeight="9780" activeTab="1" xr2:uid="{00000000-000D-0000-FFFF-FFFF00000000}"/>
  </bookViews>
  <sheets>
    <sheet name="Alter" sheetId="1" r:id="rId1"/>
    <sheet name="ibgraf" sheetId="2" r:id="rId2"/>
  </sheets>
  <calcPr calcId="179017"/>
</workbook>
</file>

<file path=xl/calcChain.xml><?xml version="1.0" encoding="utf-8"?>
<calcChain xmlns="http://schemas.openxmlformats.org/spreadsheetml/2006/main">
  <c r="O4" i="2" l="1"/>
  <c r="O3" i="2"/>
  <c r="M4" i="1" l="1"/>
  <c r="M3" i="1"/>
</calcChain>
</file>

<file path=xl/sharedStrings.xml><?xml version="1.0" encoding="utf-8"?>
<sst xmlns="http://schemas.openxmlformats.org/spreadsheetml/2006/main" count="73" uniqueCount="45">
  <si>
    <t>Daybook</t>
  </si>
  <si>
    <t xml:space="preserve">Year </t>
  </si>
  <si>
    <t>Month</t>
  </si>
  <si>
    <t>Date</t>
  </si>
  <si>
    <t>N° de document</t>
  </si>
  <si>
    <t>Supplier</t>
  </si>
  <si>
    <t>Account</t>
  </si>
  <si>
    <t>Comment</t>
  </si>
  <si>
    <t>Gross amount</t>
  </si>
  <si>
    <t>Code</t>
  </si>
  <si>
    <t>Rate</t>
  </si>
  <si>
    <t>Net amount</t>
  </si>
  <si>
    <t>Tax amount</t>
  </si>
  <si>
    <t>Currency</t>
  </si>
  <si>
    <t>Fx rate</t>
  </si>
  <si>
    <t>NCA</t>
  </si>
  <si>
    <t>CN#9303107*a&amp;M Legal fees Q2 2013</t>
  </si>
  <si>
    <t>FN</t>
  </si>
  <si>
    <t>V AREN 001</t>
  </si>
  <si>
    <t>TEST</t>
  </si>
  <si>
    <t>V</t>
  </si>
  <si>
    <t>Date échéance</t>
  </si>
  <si>
    <t>Comment interne</t>
  </si>
  <si>
    <t>Remarque Externe</t>
  </si>
  <si>
    <t>+++000/0000/00000+++</t>
  </si>
  <si>
    <t>Nom du tier</t>
  </si>
  <si>
    <t>Adresse du tier</t>
  </si>
  <si>
    <t>CP du tier</t>
  </si>
  <si>
    <t>Ville du Tier</t>
  </si>
  <si>
    <t>Assujetti</t>
  </si>
  <si>
    <t>BE ou NA ou EX</t>
  </si>
  <si>
    <t>Numéro de l'assujetti</t>
  </si>
  <si>
    <t>0000….</t>
  </si>
  <si>
    <t xml:space="preserve">Conditions à ajouter : </t>
  </si>
  <si>
    <t xml:space="preserve">Fiche Tier : </t>
  </si>
  <si>
    <t xml:space="preserve">Test avant l'import : </t>
  </si>
  <si>
    <t>A la rupture du numéro de document il vérifie si le total de la facture est correcte avec le total HTVA et total TVA</t>
  </si>
  <si>
    <t>Si aucun des champs coordonnées n'est remplis = pas de modification sur la fiche tier</t>
  </si>
  <si>
    <t>SI le code tier n'existe pas dans BOB, erreur dans la phase de test.</t>
  </si>
  <si>
    <t>Mandat</t>
  </si>
  <si>
    <t xml:space="preserve">IBAN </t>
  </si>
  <si>
    <t>BIC</t>
  </si>
  <si>
    <t>Defaut (*)</t>
  </si>
  <si>
    <t>Attach Document</t>
  </si>
  <si>
    <t>C:\Users\fabio.tomasetig\Documents\Mes documents\doc.Pdf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</si>
</sst>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Border="1"/>
    <xf numFmtId="14" fontId="2" fillId="0" borderId="0" xfId="0" applyNumberFormat="1" applyFont="1"/>
    <xf numFmtId="43" fontId="2" fillId="0" borderId="0" xfId="1" applyFont="1"/>
    <xf numFmtId="9" fontId="2" fillId="0" borderId="0" xfId="2" applyFont="1"/>
    <xf numFmtId="43" fontId="3" fillId="0" borderId="0" xfId="1" applyFont="1"/>
    <xf numFmtId="0" fontId="2" fillId="2" borderId="0" xfId="0" applyFont="1" applyFill="1"/>
    <xf numFmtId="0" fontId="0" fillId="0" borderId="0" xfId="0" applyFill="1"/>
    <xf numFmtId="0" fontId="0" fillId="2" borderId="0" xfId="0" applyFill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2" xfId="0" applyBorder="1"/>
    <xf numFmtId="0" fontId="4" fillId="0" borderId="3" xfId="0" applyFont="1" applyBorder="1"/>
    <xf numFmtId="0" fontId="4" fillId="0" borderId="4" xfId="0" applyFont="1" applyBorder="1"/>
    <xf numFmtId="2" fontId="0" fillId="0" borderId="0" xfId="0" applyNumberFormat="1"/>
    <xf numFmtId="2" fontId="2" fillId="0" borderId="0" xfId="1" applyNumberFormat="1" applyFont="1"/>
    <xf numFmtId="2" fontId="3" fillId="0" borderId="0" xfId="1" applyNumberFormat="1" applyFont="1"/>
    <xf numFmtId="49" fontId="0" fillId="0" borderId="0" xfId="0" applyNumberFormat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E1" sqref="E1:E1048576"/>
    </sheetView>
  </sheetViews>
  <sheetFormatPr baseColWidth="10" defaultRowHeight="15" x14ac:dyDescent="0.25"/>
  <cols>
    <col min="1" max="1" width="8.7109375" bestFit="1" customWidth="1"/>
    <col min="2" max="2" width="5.42578125" bestFit="1" customWidth="1"/>
    <col min="3" max="3" width="6.140625" bestFit="1" customWidth="1"/>
    <col min="4" max="4" width="10.140625" bestFit="1" customWidth="1"/>
    <col min="5" max="5" width="15.28515625" bestFit="1" customWidth="1"/>
    <col min="6" max="6" width="14.42578125" customWidth="1"/>
    <col min="7" max="7" width="19.42578125" customWidth="1"/>
    <col min="8" max="8" width="33.28515625" bestFit="1" customWidth="1"/>
    <col min="9" max="9" width="13.140625" bestFit="1" customWidth="1"/>
    <col min="10" max="10" width="5.28515625" bestFit="1" customWidth="1"/>
    <col min="11" max="11" width="6.7109375" bestFit="1" customWidth="1"/>
    <col min="12" max="12" width="12.42578125" bestFit="1" customWidth="1"/>
    <col min="14" max="14" width="8.42578125" bestFit="1" customWidth="1"/>
    <col min="15" max="15" width="6.85546875" bestFit="1" customWidth="1"/>
  </cols>
  <sheetData>
    <row r="1" spans="1:15" x14ac:dyDescent="0.25">
      <c r="A1" t="s">
        <v>0</v>
      </c>
      <c r="B1" s="1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s="5" t="s">
        <v>9</v>
      </c>
      <c r="K1" s="6" t="s">
        <v>10</v>
      </c>
      <c r="L1" t="s">
        <v>11</v>
      </c>
      <c r="M1" t="s">
        <v>12</v>
      </c>
      <c r="N1" s="7" t="s">
        <v>13</v>
      </c>
      <c r="O1" s="7" t="s">
        <v>14</v>
      </c>
    </row>
    <row r="2" spans="1:15" x14ac:dyDescent="0.25">
      <c r="A2" t="s">
        <v>15</v>
      </c>
      <c r="B2" s="16">
        <v>2013</v>
      </c>
      <c r="C2" s="16">
        <v>10</v>
      </c>
      <c r="D2" s="18">
        <v>41548</v>
      </c>
      <c r="E2" s="3">
        <v>1</v>
      </c>
      <c r="F2">
        <v>999</v>
      </c>
      <c r="G2" s="3">
        <v>610000</v>
      </c>
      <c r="H2" s="4" t="s">
        <v>19</v>
      </c>
      <c r="I2">
        <v>121</v>
      </c>
      <c r="J2" s="17" t="s">
        <v>20</v>
      </c>
      <c r="K2" s="11">
        <v>0.21</v>
      </c>
      <c r="L2">
        <v>100</v>
      </c>
      <c r="M2">
        <v>21</v>
      </c>
      <c r="N2" s="7"/>
      <c r="O2" s="7"/>
    </row>
    <row r="3" spans="1:15" x14ac:dyDescent="0.25">
      <c r="A3" s="4" t="s">
        <v>15</v>
      </c>
      <c r="B3" s="7">
        <v>2013</v>
      </c>
      <c r="C3" s="8">
        <v>10</v>
      </c>
      <c r="D3" s="9">
        <v>41555</v>
      </c>
      <c r="E3" s="8">
        <v>20130001</v>
      </c>
      <c r="F3" s="4">
        <v>999</v>
      </c>
      <c r="G3" s="4">
        <v>6134210010</v>
      </c>
      <c r="H3" s="4" t="s">
        <v>16</v>
      </c>
      <c r="I3" s="10">
        <v>18292.57</v>
      </c>
      <c r="J3" s="4" t="s">
        <v>17</v>
      </c>
      <c r="K3" s="11">
        <v>0.15</v>
      </c>
      <c r="L3" s="12">
        <v>15837.02</v>
      </c>
      <c r="M3" s="12">
        <f>K3*L3</f>
        <v>2375.5529999999999</v>
      </c>
      <c r="N3" s="13"/>
      <c r="O3" s="14"/>
    </row>
    <row r="4" spans="1:15" x14ac:dyDescent="0.25">
      <c r="A4" s="4" t="s">
        <v>15</v>
      </c>
      <c r="B4" s="7">
        <v>2013</v>
      </c>
      <c r="C4" s="8">
        <v>10</v>
      </c>
      <c r="D4" s="9">
        <v>41555</v>
      </c>
      <c r="E4" s="8">
        <v>20130001</v>
      </c>
      <c r="F4" s="4" t="s">
        <v>18</v>
      </c>
      <c r="G4" s="4">
        <v>6134210010</v>
      </c>
      <c r="H4" s="4" t="s">
        <v>16</v>
      </c>
      <c r="I4" s="10">
        <v>18292.57</v>
      </c>
      <c r="J4" s="4" t="s">
        <v>17</v>
      </c>
      <c r="K4" s="11">
        <v>0</v>
      </c>
      <c r="L4">
        <v>80</v>
      </c>
      <c r="M4" s="12">
        <f>K4*L4</f>
        <v>0</v>
      </c>
      <c r="N4" s="15"/>
      <c r="O4" s="14"/>
    </row>
  </sheetData>
  <dataValidations count="2">
    <dataValidation type="list" allowBlank="1" showInputMessage="1" showErrorMessage="1" sqref="A3:A4" xr:uid="{00000000-0002-0000-0000-000000000000}">
      <formula1>$X$4:$X$7</formula1>
    </dataValidation>
    <dataValidation type="list" allowBlank="1" showInputMessage="1" showErrorMessage="1" sqref="J3:J4" xr:uid="{00000000-0002-0000-0000-000001000000}">
      <formula1>$Z$4:$Z$5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5"/>
  <sheetViews>
    <sheetView tabSelected="1" topLeftCell="K1" workbookViewId="0">
      <selection activeCell="AB3" sqref="AB3"/>
    </sheetView>
  </sheetViews>
  <sheetFormatPr baseColWidth="10" defaultRowHeight="15" x14ac:dyDescent="0.25"/>
  <cols>
    <col min="1" max="1" width="20.42578125" bestFit="1" customWidth="1"/>
    <col min="2" max="2" width="102.140625" bestFit="1" customWidth="1"/>
    <col min="3" max="3" width="6.140625" bestFit="1" customWidth="1"/>
    <col min="4" max="4" width="10.140625" bestFit="1" customWidth="1"/>
    <col min="5" max="5" width="13.42578125" bestFit="1" customWidth="1"/>
    <col min="6" max="6" width="15.28515625" bestFit="1" customWidth="1"/>
    <col min="7" max="7" width="11.5703125" bestFit="1" customWidth="1"/>
    <col min="8" max="8" width="11" bestFit="1" customWidth="1"/>
    <col min="9" max="9" width="21.28515625" bestFit="1" customWidth="1"/>
    <col min="10" max="10" width="33.28515625" bestFit="1" customWidth="1"/>
    <col min="11" max="11" width="13.140625" style="32" bestFit="1" customWidth="1"/>
    <col min="12" max="12" width="5.28515625" bestFit="1" customWidth="1"/>
    <col min="13" max="13" width="4.85546875" bestFit="1" customWidth="1"/>
    <col min="14" max="14" width="12.42578125" style="32" bestFit="1" customWidth="1"/>
    <col min="15" max="15" width="11.42578125" style="32"/>
    <col min="16" max="16" width="8.42578125" bestFit="1" customWidth="1"/>
    <col min="17" max="17" width="6.85546875" bestFit="1" customWidth="1"/>
    <col min="18" max="18" width="11.5703125" bestFit="1" customWidth="1"/>
    <col min="19" max="19" width="14.42578125" bestFit="1" customWidth="1"/>
    <col min="20" max="20" width="9.5703125" bestFit="1" customWidth="1"/>
    <col min="21" max="21" width="11.7109375" bestFit="1" customWidth="1"/>
    <col min="22" max="22" width="14.28515625" bestFit="1" customWidth="1"/>
    <col min="23" max="23" width="20.140625" bestFit="1" customWidth="1"/>
    <col min="28" max="28" width="57.85546875" bestFit="1" customWidth="1"/>
  </cols>
  <sheetData>
    <row r="1" spans="1:28" x14ac:dyDescent="0.25">
      <c r="A1" t="s">
        <v>0</v>
      </c>
      <c r="B1" s="1" t="s">
        <v>1</v>
      </c>
      <c r="C1" s="2" t="s">
        <v>2</v>
      </c>
      <c r="D1" s="3" t="s">
        <v>3</v>
      </c>
      <c r="E1" s="20" t="s">
        <v>21</v>
      </c>
      <c r="F1" t="s">
        <v>4</v>
      </c>
      <c r="G1" t="s">
        <v>5</v>
      </c>
      <c r="H1" t="s">
        <v>6</v>
      </c>
      <c r="I1" s="21" t="s">
        <v>23</v>
      </c>
      <c r="J1" s="4" t="s">
        <v>22</v>
      </c>
      <c r="K1" s="32" t="s">
        <v>8</v>
      </c>
      <c r="L1" s="5" t="s">
        <v>9</v>
      </c>
      <c r="M1" s="6" t="s">
        <v>10</v>
      </c>
      <c r="N1" s="32" t="s">
        <v>11</v>
      </c>
      <c r="O1" s="32" t="s">
        <v>12</v>
      </c>
      <c r="P1" s="7" t="s">
        <v>13</v>
      </c>
      <c r="Q1" s="7" t="s">
        <v>14</v>
      </c>
      <c r="R1" s="21" t="s">
        <v>25</v>
      </c>
      <c r="S1" s="21" t="s">
        <v>26</v>
      </c>
      <c r="T1" s="21" t="s">
        <v>27</v>
      </c>
      <c r="U1" s="21" t="s">
        <v>28</v>
      </c>
      <c r="V1" s="21" t="s">
        <v>29</v>
      </c>
      <c r="W1" s="21" t="s">
        <v>31</v>
      </c>
      <c r="X1" s="35" t="s">
        <v>39</v>
      </c>
      <c r="Y1" t="s">
        <v>40</v>
      </c>
      <c r="Z1" t="s">
        <v>41</v>
      </c>
      <c r="AA1" t="s">
        <v>42</v>
      </c>
      <c r="AB1" t="s">
        <v>43</v>
      </c>
    </row>
    <row r="2" spans="1:28" x14ac:dyDescent="0.25">
      <c r="A2" t="s">
        <v>15</v>
      </c>
      <c r="B2" s="16">
        <v>2013</v>
      </c>
      <c r="C2" s="16">
        <v>10</v>
      </c>
      <c r="D2" s="18">
        <v>41548</v>
      </c>
      <c r="E2" s="18"/>
      <c r="F2" s="3">
        <v>1</v>
      </c>
      <c r="G2">
        <v>999</v>
      </c>
      <c r="H2" s="3">
        <v>610000</v>
      </c>
      <c r="I2" s="19" t="s">
        <v>24</v>
      </c>
      <c r="J2" s="4" t="s">
        <v>19</v>
      </c>
      <c r="K2" s="32">
        <v>121</v>
      </c>
      <c r="L2" s="17" t="s">
        <v>20</v>
      </c>
      <c r="M2" s="11">
        <v>0.21</v>
      </c>
      <c r="N2" s="32">
        <v>100</v>
      </c>
      <c r="O2" s="32">
        <v>21</v>
      </c>
      <c r="P2" s="7"/>
      <c r="Q2" s="7"/>
      <c r="V2" t="s">
        <v>30</v>
      </c>
      <c r="W2" t="s">
        <v>32</v>
      </c>
      <c r="AB2" t="s">
        <v>44</v>
      </c>
    </row>
    <row r="3" spans="1:28" x14ac:dyDescent="0.25">
      <c r="A3" s="4" t="s">
        <v>15</v>
      </c>
      <c r="B3" s="7">
        <v>2013</v>
      </c>
      <c r="C3" s="8">
        <v>10</v>
      </c>
      <c r="D3" s="9">
        <v>41555</v>
      </c>
      <c r="E3" s="9"/>
      <c r="F3" s="8">
        <v>20130001</v>
      </c>
      <c r="G3" s="4">
        <v>999</v>
      </c>
      <c r="H3" s="4">
        <v>6134210010</v>
      </c>
      <c r="I3" s="4"/>
      <c r="J3" s="4" t="s">
        <v>16</v>
      </c>
      <c r="K3" s="33">
        <v>18292.57</v>
      </c>
      <c r="L3" s="4" t="s">
        <v>17</v>
      </c>
      <c r="M3" s="11">
        <v>0.15</v>
      </c>
      <c r="N3" s="34">
        <v>15837.02</v>
      </c>
      <c r="O3" s="34">
        <f>M3*N3</f>
        <v>2375.5529999999999</v>
      </c>
      <c r="P3" s="13"/>
      <c r="Q3" s="14"/>
    </row>
    <row r="4" spans="1:28" x14ac:dyDescent="0.25">
      <c r="A4" s="4" t="s">
        <v>15</v>
      </c>
      <c r="B4" s="7">
        <v>2013</v>
      </c>
      <c r="C4" s="8">
        <v>10</v>
      </c>
      <c r="D4" s="9">
        <v>41555</v>
      </c>
      <c r="E4" s="9"/>
      <c r="F4" s="8">
        <v>20130001</v>
      </c>
      <c r="G4" s="4" t="s">
        <v>18</v>
      </c>
      <c r="H4" s="4">
        <v>6134210010</v>
      </c>
      <c r="I4" s="4"/>
      <c r="J4" s="4" t="s">
        <v>16</v>
      </c>
      <c r="K4" s="33">
        <v>18292.57</v>
      </c>
      <c r="L4" s="4" t="s">
        <v>17</v>
      </c>
      <c r="M4" s="11">
        <v>0</v>
      </c>
      <c r="N4" s="32">
        <v>80</v>
      </c>
      <c r="O4" s="34">
        <f>M4*N4</f>
        <v>0</v>
      </c>
      <c r="P4" s="15"/>
      <c r="Q4" s="14"/>
    </row>
    <row r="9" spans="1:28" x14ac:dyDescent="0.25">
      <c r="A9" s="30" t="s">
        <v>33</v>
      </c>
      <c r="B9" s="31"/>
      <c r="C9" s="31"/>
      <c r="D9" s="22"/>
      <c r="E9" s="22"/>
      <c r="F9" s="22"/>
      <c r="G9" s="22"/>
      <c r="H9" s="22"/>
      <c r="I9" s="23"/>
    </row>
    <row r="10" spans="1:28" x14ac:dyDescent="0.25">
      <c r="A10" s="24"/>
      <c r="B10" s="25"/>
      <c r="C10" s="25"/>
      <c r="D10" s="25"/>
      <c r="E10" s="25"/>
      <c r="F10" s="25"/>
      <c r="G10" s="25"/>
      <c r="H10" s="25"/>
      <c r="I10" s="26"/>
    </row>
    <row r="11" spans="1:28" x14ac:dyDescent="0.25">
      <c r="A11" s="24" t="s">
        <v>35</v>
      </c>
      <c r="B11" s="25"/>
      <c r="C11" s="25"/>
      <c r="D11" s="25"/>
      <c r="E11" s="25"/>
      <c r="F11" s="25"/>
      <c r="G11" s="25"/>
      <c r="H11" s="25"/>
      <c r="I11" s="26"/>
    </row>
    <row r="12" spans="1:28" x14ac:dyDescent="0.25">
      <c r="A12" s="24"/>
      <c r="B12" s="25" t="s">
        <v>36</v>
      </c>
      <c r="C12" s="25"/>
      <c r="D12" s="25"/>
      <c r="E12" s="25"/>
      <c r="F12" s="25"/>
      <c r="G12" s="25"/>
      <c r="H12" s="25"/>
      <c r="I12" s="26"/>
    </row>
    <row r="13" spans="1:28" x14ac:dyDescent="0.25">
      <c r="A13" s="24" t="s">
        <v>34</v>
      </c>
      <c r="B13" s="25"/>
      <c r="C13" s="25"/>
      <c r="D13" s="25"/>
      <c r="E13" s="25"/>
      <c r="F13" s="25"/>
      <c r="G13" s="25"/>
      <c r="H13" s="25"/>
      <c r="I13" s="26"/>
    </row>
    <row r="14" spans="1:28" x14ac:dyDescent="0.25">
      <c r="A14" s="24"/>
      <c r="B14" s="25" t="s">
        <v>37</v>
      </c>
      <c r="C14" s="25"/>
      <c r="D14" s="25"/>
      <c r="E14" s="25"/>
      <c r="F14" s="25"/>
      <c r="G14" s="25"/>
      <c r="H14" s="25"/>
      <c r="I14" s="26"/>
    </row>
    <row r="15" spans="1:28" x14ac:dyDescent="0.25">
      <c r="A15" s="27"/>
      <c r="B15" s="28" t="s">
        <v>38</v>
      </c>
      <c r="C15" s="28"/>
      <c r="D15" s="28"/>
      <c r="E15" s="28"/>
      <c r="F15" s="28"/>
      <c r="G15" s="28"/>
      <c r="H15" s="28"/>
      <c r="I15" s="29"/>
    </row>
  </sheetData>
  <dataValidations count="2">
    <dataValidation type="list" allowBlank="1" showInputMessage="1" showErrorMessage="1" sqref="L3:L4" xr:uid="{00000000-0002-0000-0100-000000000000}">
      <formula1>$AA$4:$AA$5</formula1>
    </dataValidation>
    <dataValidation type="list" allowBlank="1" showInputMessage="1" showErrorMessage="1" sqref="A3:A4" xr:uid="{00000000-0002-0000-0100-000001000000}">
      <formula1>$Y$4:$Y$7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Alter</vt:lpstr>
      <vt:lpstr>ibgraf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Fabio TOMASETIG</cp:lastModifiedBy>
  <dcterms:created xsi:type="dcterms:W3CDTF">2013-11-25T15:13:49Z</dcterms:created>
  <dcterms:modified xsi:type="dcterms:W3CDTF">2018-12-05T08:35:07Z</dcterms:modified>
</cp:coreProperties>
</file>