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20730" windowHeight="6405"/>
  </bookViews>
  <sheets>
    <sheet name="Feuil1" sheetId="1" r:id="rId1"/>
    <sheet name="Feuil2" sheetId="2" r:id="rId2"/>
  </sheets>
  <definedNames>
    <definedName name="_xlnm._FilterDatabase" localSheetId="0" hidden="1">Feuil1!$A$1:$Z$3</definedName>
  </definedNames>
  <calcPr calcId="145621"/>
</workbook>
</file>

<file path=xl/calcChain.xml><?xml version="1.0" encoding="utf-8"?>
<calcChain xmlns="http://schemas.openxmlformats.org/spreadsheetml/2006/main">
  <c r="B3" i="2" l="1"/>
  <c r="B2" i="2"/>
  <c r="B1" i="2"/>
</calcChain>
</file>

<file path=xl/sharedStrings.xml><?xml version="1.0" encoding="utf-8"?>
<sst xmlns="http://schemas.openxmlformats.org/spreadsheetml/2006/main" count="65" uniqueCount="43">
  <si>
    <t>Date échéance</t>
  </si>
  <si>
    <t>N° de document</t>
  </si>
  <si>
    <t>Remarque Externe</t>
  </si>
  <si>
    <t>Comment interne</t>
  </si>
  <si>
    <t>Nom du tier</t>
  </si>
  <si>
    <t>CP du tier</t>
  </si>
  <si>
    <t>Ville du Tier</t>
  </si>
  <si>
    <t>Assujetti</t>
  </si>
  <si>
    <t>Numéro de l'assujetti</t>
  </si>
  <si>
    <t>Journal</t>
  </si>
  <si>
    <t>Année</t>
  </si>
  <si>
    <t>Mois</t>
  </si>
  <si>
    <t>Date Document</t>
  </si>
  <si>
    <t>Compte General</t>
  </si>
  <si>
    <t>Total TTC</t>
  </si>
  <si>
    <t>Nature Tva</t>
  </si>
  <si>
    <t>Taux Tva</t>
  </si>
  <si>
    <t>Base</t>
  </si>
  <si>
    <t>Tva</t>
  </si>
  <si>
    <t>Devise</t>
  </si>
  <si>
    <t>Cours</t>
  </si>
  <si>
    <t>Adresse du tiers</t>
  </si>
  <si>
    <t>Tier</t>
  </si>
  <si>
    <t>ACH</t>
  </si>
  <si>
    <t>Invst Prop Undr Constr(Dev Prop)/OP_BAL</t>
  </si>
  <si>
    <t>Sales tax receivable</t>
  </si>
  <si>
    <t>13/01/2015</t>
  </si>
  <si>
    <t>CODIC ITL</t>
  </si>
  <si>
    <t/>
  </si>
  <si>
    <t>NCA</t>
  </si>
  <si>
    <t>POH</t>
  </si>
  <si>
    <t>ABC</t>
  </si>
  <si>
    <t>1010</t>
  </si>
  <si>
    <t>1100</t>
  </si>
  <si>
    <t>A1010</t>
  </si>
  <si>
    <t>A1020</t>
  </si>
  <si>
    <t>ACE INS.</t>
  </si>
  <si>
    <t>COMMANDES</t>
  </si>
  <si>
    <t>BUDGET</t>
  </si>
  <si>
    <t>NATURE</t>
  </si>
  <si>
    <t>01</t>
  </si>
  <si>
    <t>AD050030</t>
  </si>
  <si>
    <t>CARBUR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</si>
</sst>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€_-;\-* #,##0.00_€_-;_-* &quot;-&quot;??_€_-;_-@_-"/>
    <numFmt numFmtId="165" formatCode="_-* #,##0.00000000000000000000000_€_-;\-* #,##0.00000000000000000000000_€_-;_-* &quot;-&quot;??_€_-;_-@_-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0" xfId="0" applyFont="1" applyFill="1" applyAlignment="1">
      <alignment horizontal="left"/>
    </xf>
    <xf numFmtId="14" fontId="0" fillId="0" borderId="0" xfId="0" applyNumberFormat="1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left"/>
    </xf>
    <xf numFmtId="164" fontId="0" fillId="0" borderId="0" xfId="1" applyFont="1"/>
    <xf numFmtId="164" fontId="0" fillId="0" borderId="0" xfId="0" applyNumberFormat="1"/>
    <xf numFmtId="165" fontId="0" fillId="0" borderId="0" xfId="1" applyNumberFormat="1" applyFont="1"/>
    <xf numFmtId="2" fontId="0" fillId="0" borderId="0" xfId="0" applyNumberFormat="1" applyAlignment="1">
      <alignment horizontal="left"/>
    </xf>
    <xf numFmtId="2" fontId="0" fillId="0" borderId="0" xfId="0" applyNumberFormat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"/>
  <sheetViews>
    <sheetView tabSelected="1" topLeftCell="J1" workbookViewId="0">
      <selection activeCell="Q7" sqref="Q7"/>
    </sheetView>
  </sheetViews>
  <sheetFormatPr baseColWidth="10" defaultColWidth="11.42578125" defaultRowHeight="15" x14ac:dyDescent="0.25"/>
  <cols>
    <col min="1" max="1" width="7.42578125" bestFit="1" customWidth="1"/>
    <col min="2" max="2" width="6.28515625" bestFit="1" customWidth="1"/>
    <col min="3" max="3" width="5" bestFit="1" customWidth="1"/>
    <col min="4" max="4" width="13.85546875" bestFit="1" customWidth="1"/>
    <col min="5" max="5" width="13.42578125" bestFit="1" customWidth="1"/>
    <col min="6" max="6" width="11.28515625" customWidth="1"/>
    <col min="7" max="7" width="13.140625" customWidth="1"/>
    <col min="8" max="8" width="15.42578125" bestFit="1" customWidth="1"/>
    <col min="9" max="10" width="38.85546875" bestFit="1" customWidth="1"/>
    <col min="11" max="11" width="28.5703125" bestFit="1" customWidth="1"/>
    <col min="12" max="12" width="9.7109375" bestFit="1" customWidth="1"/>
    <col min="13" max="13" width="8.28515625" bestFit="1" customWidth="1"/>
    <col min="14" max="14" width="11.5703125" bestFit="1" customWidth="1"/>
    <col min="15" max="15" width="11.28515625" style="18" bestFit="1" customWidth="1"/>
    <col min="16" max="16" width="8.42578125" bestFit="1" customWidth="1"/>
    <col min="17" max="17" width="6.85546875" bestFit="1" customWidth="1"/>
    <col min="18" max="18" width="12.42578125" bestFit="1" customWidth="1"/>
    <col min="19" max="19" width="14.42578125" bestFit="1" customWidth="1"/>
    <col min="20" max="20" width="9.5703125" bestFit="1" customWidth="1"/>
    <col min="21" max="21" width="11.7109375" bestFit="1" customWidth="1"/>
    <col min="22" max="22" width="8.85546875" bestFit="1" customWidth="1"/>
    <col min="23" max="23" width="20.140625" bestFit="1" customWidth="1"/>
    <col min="24" max="24" width="15.85546875" customWidth="1"/>
    <col min="25" max="26" width="11.42578125" style="11"/>
  </cols>
  <sheetData>
    <row r="1" spans="1:26" s="1" customFormat="1" x14ac:dyDescent="0.25">
      <c r="A1" s="1" t="s">
        <v>9</v>
      </c>
      <c r="B1" s="2" t="s">
        <v>10</v>
      </c>
      <c r="C1" s="3" t="s">
        <v>11</v>
      </c>
      <c r="D1" s="4" t="s">
        <v>12</v>
      </c>
      <c r="E1" s="5" t="s">
        <v>0</v>
      </c>
      <c r="F1" s="1" t="s">
        <v>1</v>
      </c>
      <c r="G1" s="1" t="s">
        <v>22</v>
      </c>
      <c r="H1" s="1" t="s">
        <v>13</v>
      </c>
      <c r="I1" s="6" t="s">
        <v>2</v>
      </c>
      <c r="J1" s="4" t="s">
        <v>3</v>
      </c>
      <c r="K1" s="1" t="s">
        <v>14</v>
      </c>
      <c r="L1" s="7" t="s">
        <v>15</v>
      </c>
      <c r="M1" s="8" t="s">
        <v>16</v>
      </c>
      <c r="N1" s="1" t="s">
        <v>17</v>
      </c>
      <c r="O1" s="17" t="s">
        <v>18</v>
      </c>
      <c r="P1" s="9" t="s">
        <v>19</v>
      </c>
      <c r="Q1" s="9" t="s">
        <v>20</v>
      </c>
      <c r="R1" s="6" t="s">
        <v>4</v>
      </c>
      <c r="S1" s="6" t="s">
        <v>21</v>
      </c>
      <c r="T1" s="6" t="s">
        <v>5</v>
      </c>
      <c r="U1" s="6" t="s">
        <v>6</v>
      </c>
      <c r="V1" s="6" t="s">
        <v>7</v>
      </c>
      <c r="W1" s="6" t="s">
        <v>8</v>
      </c>
      <c r="X1" s="1" t="s">
        <v>37</v>
      </c>
      <c r="Y1" s="13" t="s">
        <v>38</v>
      </c>
      <c r="Z1" s="13" t="s">
        <v>39</v>
      </c>
    </row>
    <row r="2" spans="1:26" x14ac:dyDescent="0.25">
      <c r="A2" t="s">
        <v>23</v>
      </c>
      <c r="B2">
        <v>2012</v>
      </c>
      <c r="C2">
        <v>12</v>
      </c>
      <c r="D2" s="10">
        <v>40914</v>
      </c>
      <c r="E2" s="10"/>
      <c r="F2" s="12">
        <v>20150001</v>
      </c>
      <c r="G2" t="s">
        <v>42</v>
      </c>
      <c r="H2">
        <v>60814000</v>
      </c>
      <c r="I2" t="s">
        <v>24</v>
      </c>
      <c r="J2" t="s">
        <v>24</v>
      </c>
      <c r="K2" s="14">
        <v>1296.03</v>
      </c>
      <c r="L2" s="11"/>
      <c r="N2" s="14">
        <v>1107.72</v>
      </c>
      <c r="O2" s="18">
        <v>0</v>
      </c>
      <c r="X2" t="s">
        <v>41</v>
      </c>
      <c r="Y2">
        <v>10000000</v>
      </c>
      <c r="Z2" s="11" t="s">
        <v>40</v>
      </c>
    </row>
    <row r="3" spans="1:26" x14ac:dyDescent="0.25">
      <c r="A3" t="s">
        <v>23</v>
      </c>
      <c r="B3">
        <v>2012</v>
      </c>
      <c r="C3">
        <v>12</v>
      </c>
      <c r="D3" s="10">
        <v>40915</v>
      </c>
      <c r="F3" s="12">
        <v>20150001</v>
      </c>
      <c r="G3" t="s">
        <v>42</v>
      </c>
      <c r="H3">
        <v>60814000</v>
      </c>
      <c r="I3" t="s">
        <v>25</v>
      </c>
      <c r="J3" t="s">
        <v>25</v>
      </c>
      <c r="K3" s="14">
        <v>1296.03</v>
      </c>
      <c r="L3" s="11"/>
      <c r="N3" s="14">
        <v>188.31</v>
      </c>
      <c r="O3" s="18">
        <v>0</v>
      </c>
      <c r="X3" t="s">
        <v>41</v>
      </c>
      <c r="Y3">
        <v>10000000</v>
      </c>
      <c r="Z3" s="11" t="s">
        <v>40</v>
      </c>
    </row>
    <row r="4" spans="1:26" x14ac:dyDescent="0.25">
      <c r="K4" s="16"/>
      <c r="Y4"/>
    </row>
    <row r="5" spans="1:26" x14ac:dyDescent="0.25">
      <c r="K5" s="1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workbookViewId="0">
      <selection sqref="A1:XFD3"/>
    </sheetView>
  </sheetViews>
  <sheetFormatPr baseColWidth="10" defaultColWidth="11.42578125" defaultRowHeight="15" x14ac:dyDescent="0.25"/>
  <sheetData>
    <row r="1" spans="1:26" x14ac:dyDescent="0.25">
      <c r="A1" t="s">
        <v>29</v>
      </c>
      <c r="B1">
        <f>YEAR(D1)</f>
        <v>2015</v>
      </c>
      <c r="C1">
        <v>2</v>
      </c>
      <c r="D1" t="s">
        <v>26</v>
      </c>
      <c r="F1" s="12">
        <v>20150002</v>
      </c>
      <c r="G1" t="s">
        <v>27</v>
      </c>
      <c r="H1">
        <v>1140004100</v>
      </c>
      <c r="I1" t="s">
        <v>24</v>
      </c>
      <c r="J1" t="s">
        <v>24</v>
      </c>
      <c r="K1" s="14">
        <v>3263.37</v>
      </c>
      <c r="L1" s="11" t="s">
        <v>30</v>
      </c>
      <c r="M1">
        <v>17</v>
      </c>
      <c r="N1" s="14">
        <v>2081.5</v>
      </c>
      <c r="O1" s="15">
        <v>353.86</v>
      </c>
      <c r="X1" t="s">
        <v>34</v>
      </c>
      <c r="Y1" t="s">
        <v>36</v>
      </c>
      <c r="Z1" s="11" t="s">
        <v>32</v>
      </c>
    </row>
    <row r="2" spans="1:26" x14ac:dyDescent="0.25">
      <c r="A2" t="s">
        <v>29</v>
      </c>
      <c r="B2">
        <f>YEAR(D2)</f>
        <v>2015</v>
      </c>
      <c r="C2">
        <v>2</v>
      </c>
      <c r="D2" t="s">
        <v>26</v>
      </c>
      <c r="F2" s="12">
        <v>20150002</v>
      </c>
      <c r="G2" t="s">
        <v>27</v>
      </c>
      <c r="H2">
        <v>1222004000</v>
      </c>
      <c r="I2" t="s">
        <v>25</v>
      </c>
      <c r="J2" t="s">
        <v>25</v>
      </c>
      <c r="K2" s="14">
        <v>3263.37</v>
      </c>
      <c r="L2" s="11" t="s">
        <v>30</v>
      </c>
      <c r="M2">
        <v>17</v>
      </c>
      <c r="N2" s="14">
        <v>353.85</v>
      </c>
      <c r="O2" s="15">
        <v>60.15</v>
      </c>
      <c r="X2" t="s">
        <v>35</v>
      </c>
      <c r="Y2" t="s">
        <v>31</v>
      </c>
      <c r="Z2" s="11" t="s">
        <v>33</v>
      </c>
    </row>
    <row r="3" spans="1:26" x14ac:dyDescent="0.25">
      <c r="A3" t="s">
        <v>29</v>
      </c>
      <c r="B3">
        <f>YEAR(D3)</f>
        <v>2015</v>
      </c>
      <c r="C3">
        <v>2</v>
      </c>
      <c r="D3" t="s">
        <v>26</v>
      </c>
      <c r="F3" s="12">
        <v>20150002</v>
      </c>
      <c r="G3" t="s">
        <v>27</v>
      </c>
      <c r="H3">
        <v>2110207000</v>
      </c>
      <c r="I3" t="s">
        <v>28</v>
      </c>
      <c r="J3" t="s">
        <v>28</v>
      </c>
      <c r="K3" s="14">
        <v>3263.37</v>
      </c>
      <c r="L3" s="11" t="s">
        <v>30</v>
      </c>
      <c r="M3">
        <v>17</v>
      </c>
      <c r="N3" s="14">
        <v>353.85</v>
      </c>
      <c r="O3" s="15">
        <v>60.16</v>
      </c>
      <c r="X3" t="s">
        <v>34</v>
      </c>
      <c r="Y3" t="s">
        <v>36</v>
      </c>
      <c r="Z3" s="1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Tomasetig</dc:creator>
  <cp:lastModifiedBy>Fabio Tomasetig</cp:lastModifiedBy>
  <cp:lastPrinted>2014-05-13T12:25:24Z</cp:lastPrinted>
  <dcterms:created xsi:type="dcterms:W3CDTF">2014-05-07T12:04:19Z</dcterms:created>
  <dcterms:modified xsi:type="dcterms:W3CDTF">2015-08-20T14:28:15Z</dcterms:modified>
</cp:coreProperties>
</file>