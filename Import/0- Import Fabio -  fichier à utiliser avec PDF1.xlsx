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source\repos\Dev4LogBob50ImportStandardExcelAchVen\Import\"/>
    </mc:Choice>
  </mc:AlternateContent>
  <xr:revisionPtr revIDLastSave="0" documentId="13_ncr:1_{D03BA20F-34E2-4923-8C19-D3A7D216ADED}" xr6:coauthVersionLast="47" xr6:coauthVersionMax="47" xr10:uidLastSave="{00000000-0000-0000-0000-000000000000}"/>
  <bookViews>
    <workbookView xWindow="28680" yWindow="-120" windowWidth="29040" windowHeight="15720" tabRatio="853" xr2:uid="{00000000-000D-0000-FFFF-FFFF00000000}"/>
  </bookViews>
  <sheets>
    <sheet name="2) BOB compta (completer-forcer" sheetId="1" r:id="rId1"/>
    <sheet name="3) Copie &quot;valeur&quot; (BOB Compta)" sheetId="20" r:id="rId2"/>
    <sheet name="1) Import fichier Remi (coller)" sheetId="7" r:id="rId3"/>
    <sheet name="Vérif total fact" sheetId="27" r:id="rId4"/>
    <sheet name="Concordance Client R2 BOB" sheetId="21" r:id="rId5"/>
    <sheet name="Clients R2" sheetId="23" r:id="rId6"/>
    <sheet name="Analytique personnel" sheetId="16" r:id="rId7"/>
    <sheet name="Spécifique comptes" sheetId="25" r:id="rId8"/>
    <sheet name="Concordance client liv et fact" sheetId="22" r:id="rId9"/>
    <sheet name="Code pays" sheetId="24" r:id="rId10"/>
    <sheet name="Libellés PDF" sheetId="26" r:id="rId11"/>
    <sheet name="Remarques perso" sheetId="13" r:id="rId12"/>
    <sheet name="Remarques Fabio" sheetId="8" r:id="rId13"/>
  </sheets>
  <definedNames>
    <definedName name="_xlnm._FilterDatabase" localSheetId="2" hidden="1">'1) Import fichier Remi (coller)'!$A$1:$Y$339</definedName>
    <definedName name="_xlnm._FilterDatabase" localSheetId="0" hidden="1">'2) BOB compta (completer-forcer'!$A$1:$AC$51</definedName>
    <definedName name="_xlnm._FilterDatabase" localSheetId="1" hidden="1">'3) Copie "valeur" (BOB Compta)'!$A$1:$AC$791</definedName>
    <definedName name="_xlnm._FilterDatabase" localSheetId="6" hidden="1">'Analytique personnel'!$A$26:$B$79</definedName>
    <definedName name="_xlnm._FilterDatabase" localSheetId="5" hidden="1">'Clients R2'!$A$1:$CY$1205</definedName>
    <definedName name="_xlnm._FilterDatabase" localSheetId="8" hidden="1">'Concordance client liv et fact'!$A$1:$H$1192</definedName>
    <definedName name="_xlnm._FilterDatabase" localSheetId="4" hidden="1">'Concordance Client R2 BOB'!$A$1:$C$530</definedName>
    <definedName name="_xlnm._FilterDatabase" localSheetId="3" hidden="1">'Vérif total fact'!$A$1:$I$50</definedName>
    <definedName name="CADDRESS1CUSTOMERMAIN">#REF!</definedName>
    <definedName name="CCOUHEADCUSTOMERMAIN">#REF!</definedName>
    <definedName name="CCOUNTRYCUSTOMERMAIN">#REF!</definedName>
    <definedName name="CCUSTYPECUSTOMERMAIN">#REF!</definedName>
    <definedName name="CIDCUSTOMERMAIN">#REF!</definedName>
    <definedName name="CLOCALITYCUSTOMERMAIN">#REF!</definedName>
    <definedName name="CNAME1CUSTOMERMAIN">#REF!</definedName>
    <definedName name="CVATCATCUSTOMERMAIN">#REF!</definedName>
    <definedName name="CVATNOCUSTOMERMAIN">#REF!</definedName>
    <definedName name="CVATREFCUSTOMERMAIN">#REF!</definedName>
    <definedName name="CZIPCODECUSTOMERMAI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A51" i="20"/>
  <c r="A50" i="20"/>
  <c r="A49" i="20"/>
  <c r="A48" i="20"/>
  <c r="M47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C31" i="20"/>
  <c r="AB31" i="20"/>
  <c r="AA31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C11" i="20"/>
  <c r="AB11" i="20"/>
  <c r="AA11" i="20"/>
  <c r="X11" i="20"/>
  <c r="V11" i="20"/>
  <c r="U11" i="20"/>
  <c r="T11" i="20"/>
  <c r="S11" i="20"/>
  <c r="R11" i="20"/>
  <c r="A11" i="20"/>
  <c r="A10" i="20"/>
  <c r="A9" i="20"/>
  <c r="A8" i="20"/>
  <c r="A7" i="20"/>
  <c r="A6" i="20"/>
  <c r="A5" i="20"/>
  <c r="A4" i="20"/>
  <c r="A3" i="20"/>
  <c r="A2" i="20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4" i="1"/>
  <c r="X5" i="1"/>
  <c r="X3" i="1"/>
  <c r="A774" i="20"/>
  <c r="A773" i="20"/>
  <c r="A772" i="20"/>
  <c r="A771" i="20"/>
  <c r="A770" i="20"/>
  <c r="A769" i="20"/>
  <c r="A768" i="20"/>
  <c r="A767" i="20"/>
  <c r="A766" i="20"/>
  <c r="A765" i="20"/>
  <c r="G764" i="20"/>
  <c r="A764" i="20"/>
  <c r="A763" i="20"/>
  <c r="A762" i="20"/>
  <c r="A761" i="20"/>
  <c r="A760" i="20"/>
  <c r="A759" i="20"/>
  <c r="A758" i="20"/>
  <c r="A757" i="20"/>
  <c r="A756" i="20"/>
  <c r="AC755" i="20"/>
  <c r="A755" i="20"/>
  <c r="A754" i="20"/>
  <c r="A753" i="20"/>
  <c r="A752" i="20"/>
  <c r="A751" i="20"/>
  <c r="A750" i="20"/>
  <c r="A749" i="20"/>
  <c r="F748" i="20"/>
  <c r="A748" i="20"/>
  <c r="A747" i="20"/>
  <c r="AC746" i="20"/>
  <c r="Z746" i="20"/>
  <c r="Y746" i="20"/>
  <c r="V746" i="20"/>
  <c r="U746" i="20"/>
  <c r="T746" i="20"/>
  <c r="S746" i="20"/>
  <c r="R746" i="20"/>
  <c r="O746" i="20"/>
  <c r="N746" i="20"/>
  <c r="M746" i="20"/>
  <c r="L746" i="20"/>
  <c r="K746" i="20"/>
  <c r="A746" i="20"/>
  <c r="A745" i="20"/>
  <c r="A744" i="20"/>
  <c r="A743" i="20"/>
  <c r="A742" i="20"/>
  <c r="A741" i="20"/>
  <c r="A740" i="20"/>
  <c r="A739" i="20"/>
  <c r="A738" i="20"/>
  <c r="A737" i="20"/>
  <c r="AC736" i="20"/>
  <c r="Z736" i="20"/>
  <c r="Y736" i="20"/>
  <c r="A736" i="20"/>
  <c r="A735" i="20"/>
  <c r="A734" i="20"/>
  <c r="A733" i="20"/>
  <c r="A732" i="20"/>
  <c r="A731" i="20"/>
  <c r="A730" i="20"/>
  <c r="A729" i="20"/>
  <c r="A728" i="20"/>
  <c r="AC727" i="20"/>
  <c r="Y727" i="20"/>
  <c r="V727" i="20"/>
  <c r="U727" i="20"/>
  <c r="T727" i="20"/>
  <c r="S727" i="20"/>
  <c r="R727" i="20"/>
  <c r="O727" i="20"/>
  <c r="N727" i="20"/>
  <c r="M727" i="20"/>
  <c r="L727" i="20"/>
  <c r="K727" i="20"/>
  <c r="J727" i="20"/>
  <c r="I727" i="20"/>
  <c r="H727" i="20"/>
  <c r="G727" i="20"/>
  <c r="F727" i="20"/>
  <c r="E727" i="20"/>
  <c r="D727" i="20"/>
  <c r="C727" i="20"/>
  <c r="A727" i="20"/>
  <c r="B727" i="20" s="1"/>
  <c r="A726" i="20"/>
  <c r="A725" i="20"/>
  <c r="A3" i="1"/>
  <c r="B3" i="1" s="1"/>
  <c r="C3" i="1"/>
  <c r="E3" i="1"/>
  <c r="F3" i="1"/>
  <c r="G3" i="1"/>
  <c r="H3" i="1"/>
  <c r="I3" i="1" s="1"/>
  <c r="M3" i="1"/>
  <c r="O3" i="1"/>
  <c r="R3" i="1"/>
  <c r="S3" i="1"/>
  <c r="T3" i="1"/>
  <c r="L3" i="1" s="1"/>
  <c r="U3" i="1"/>
  <c r="AB3" i="1"/>
  <c r="AC3" i="1"/>
  <c r="A4" i="1"/>
  <c r="A5" i="1"/>
  <c r="D5" i="1" s="1"/>
  <c r="B5" i="1"/>
  <c r="C5" i="1"/>
  <c r="J5" i="1"/>
  <c r="M5" i="1"/>
  <c r="U5" i="1"/>
  <c r="V5" i="1"/>
  <c r="A6" i="1"/>
  <c r="G6" i="1" s="1"/>
  <c r="B6" i="1"/>
  <c r="C6" i="1"/>
  <c r="D6" i="1"/>
  <c r="E6" i="1"/>
  <c r="F6" i="1"/>
  <c r="H6" i="1"/>
  <c r="I6" i="1" s="1"/>
  <c r="J6" i="1"/>
  <c r="M6" i="1"/>
  <c r="N6" i="1"/>
  <c r="O6" i="1"/>
  <c r="R6" i="1"/>
  <c r="T6" i="1"/>
  <c r="L6" i="1" s="1"/>
  <c r="U6" i="1"/>
  <c r="V6" i="1"/>
  <c r="AA6" i="1"/>
  <c r="AB6" i="1"/>
  <c r="AC6" i="1"/>
  <c r="A7" i="1"/>
  <c r="B7" i="1"/>
  <c r="C7" i="1"/>
  <c r="D7" i="1"/>
  <c r="E7" i="1"/>
  <c r="F7" i="1"/>
  <c r="G7" i="1"/>
  <c r="H7" i="1"/>
  <c r="I7" i="1" s="1"/>
  <c r="J7" i="1"/>
  <c r="M7" i="1"/>
  <c r="N7" i="1"/>
  <c r="O7" i="1"/>
  <c r="R7" i="1"/>
  <c r="S7" i="1"/>
  <c r="T7" i="1"/>
  <c r="L7" i="1" s="1"/>
  <c r="U7" i="1"/>
  <c r="V7" i="1"/>
  <c r="AA7" i="1"/>
  <c r="AB7" i="1"/>
  <c r="AC7" i="1"/>
  <c r="A8" i="1"/>
  <c r="D8" i="1"/>
  <c r="H8" i="1"/>
  <c r="Z8" i="1" s="1"/>
  <c r="I8" i="1"/>
  <c r="N8" i="1"/>
  <c r="A9" i="1"/>
  <c r="B9" i="1"/>
  <c r="E9" i="1"/>
  <c r="J9" i="1"/>
  <c r="V9" i="1"/>
  <c r="AA9" i="1"/>
  <c r="A10" i="1"/>
  <c r="D10" i="1" s="1"/>
  <c r="B10" i="1"/>
  <c r="C10" i="1"/>
  <c r="F10" i="1"/>
  <c r="J10" i="1"/>
  <c r="M10" i="1"/>
  <c r="R10" i="1"/>
  <c r="U10" i="1"/>
  <c r="V10" i="1"/>
  <c r="AB10" i="1"/>
  <c r="A11" i="1"/>
  <c r="F11" i="1" s="1"/>
  <c r="B11" i="1"/>
  <c r="C11" i="1"/>
  <c r="D11" i="1"/>
  <c r="E11" i="1"/>
  <c r="G11" i="1"/>
  <c r="J11" i="1"/>
  <c r="M11" i="1"/>
  <c r="N11" i="1"/>
  <c r="O11" i="1"/>
  <c r="S11" i="1"/>
  <c r="U11" i="1"/>
  <c r="V11" i="1"/>
  <c r="AA11" i="1"/>
  <c r="AC11" i="1"/>
  <c r="A12" i="1"/>
  <c r="B12" i="1"/>
  <c r="C12" i="1"/>
  <c r="D12" i="1"/>
  <c r="E12" i="1"/>
  <c r="F12" i="1"/>
  <c r="G12" i="1"/>
  <c r="H12" i="1"/>
  <c r="I12" i="1" s="1"/>
  <c r="J12" i="1"/>
  <c r="M12" i="1"/>
  <c r="N12" i="1"/>
  <c r="O12" i="1"/>
  <c r="R12" i="1"/>
  <c r="S12" i="1"/>
  <c r="T12" i="1"/>
  <c r="L12" i="1" s="1"/>
  <c r="U12" i="1"/>
  <c r="V12" i="1"/>
  <c r="AA12" i="1"/>
  <c r="AB12" i="1"/>
  <c r="AC12" i="1"/>
  <c r="A13" i="1"/>
  <c r="B13" i="1"/>
  <c r="F13" i="1"/>
  <c r="U13" i="1"/>
  <c r="V13" i="1"/>
  <c r="AB13" i="1"/>
  <c r="A14" i="1"/>
  <c r="D14" i="1" s="1"/>
  <c r="B14" i="1"/>
  <c r="C14" i="1"/>
  <c r="E14" i="1"/>
  <c r="F14" i="1"/>
  <c r="G14" i="1"/>
  <c r="H14" i="1"/>
  <c r="I14" i="1" s="1"/>
  <c r="J14" i="1"/>
  <c r="M14" i="1"/>
  <c r="O14" i="1"/>
  <c r="R14" i="1"/>
  <c r="S14" i="1"/>
  <c r="T14" i="1"/>
  <c r="L14" i="1" s="1"/>
  <c r="U14" i="1"/>
  <c r="V14" i="1"/>
  <c r="AA14" i="1"/>
  <c r="AB14" i="1"/>
  <c r="AC14" i="1"/>
  <c r="A15" i="1"/>
  <c r="C15" i="1"/>
  <c r="D15" i="1"/>
  <c r="H15" i="1"/>
  <c r="Z15" i="1" s="1"/>
  <c r="U15" i="1"/>
  <c r="A16" i="1"/>
  <c r="U16" i="1"/>
  <c r="A17" i="1"/>
  <c r="D17" i="1" s="1"/>
  <c r="B17" i="1"/>
  <c r="C17" i="1"/>
  <c r="E17" i="1"/>
  <c r="F17" i="1"/>
  <c r="J17" i="1"/>
  <c r="M17" i="1"/>
  <c r="O17" i="1"/>
  <c r="R17" i="1"/>
  <c r="U17" i="1"/>
  <c r="V17" i="1"/>
  <c r="AA17" i="1"/>
  <c r="AB17" i="1"/>
  <c r="A18" i="1"/>
  <c r="E18" i="1" s="1"/>
  <c r="B18" i="1"/>
  <c r="C18" i="1"/>
  <c r="D18" i="1"/>
  <c r="F18" i="1"/>
  <c r="G18" i="1"/>
  <c r="J18" i="1"/>
  <c r="M18" i="1"/>
  <c r="N18" i="1"/>
  <c r="R18" i="1"/>
  <c r="S18" i="1"/>
  <c r="U18" i="1"/>
  <c r="V18" i="1"/>
  <c r="AB18" i="1"/>
  <c r="AC18" i="1"/>
  <c r="A19" i="1"/>
  <c r="B19" i="1"/>
  <c r="C19" i="1"/>
  <c r="D19" i="1"/>
  <c r="E19" i="1"/>
  <c r="F19" i="1"/>
  <c r="G19" i="1"/>
  <c r="H19" i="1"/>
  <c r="I19" i="1" s="1"/>
  <c r="J19" i="1"/>
  <c r="M19" i="1"/>
  <c r="N19" i="1"/>
  <c r="O19" i="1"/>
  <c r="R19" i="1"/>
  <c r="S19" i="1"/>
  <c r="T19" i="1"/>
  <c r="L19" i="1" s="1"/>
  <c r="U19" i="1"/>
  <c r="V19" i="1"/>
  <c r="AA19" i="1"/>
  <c r="AB19" i="1"/>
  <c r="AC19" i="1"/>
  <c r="A20" i="1"/>
  <c r="J20" i="1"/>
  <c r="AA20" i="1"/>
  <c r="A21" i="1"/>
  <c r="B21" i="1" s="1"/>
  <c r="C21" i="1"/>
  <c r="D21" i="1"/>
  <c r="F21" i="1"/>
  <c r="G21" i="1"/>
  <c r="J21" i="1"/>
  <c r="N21" i="1"/>
  <c r="R21" i="1"/>
  <c r="S21" i="1"/>
  <c r="T21" i="1"/>
  <c r="L21" i="1" s="1"/>
  <c r="AB21" i="1"/>
  <c r="AC21" i="1"/>
  <c r="A22" i="1"/>
  <c r="B22" i="1"/>
  <c r="J22" i="1"/>
  <c r="M22" i="1"/>
  <c r="V22" i="1"/>
  <c r="A23" i="1"/>
  <c r="B23" i="1" s="1"/>
  <c r="C23" i="1"/>
  <c r="D23" i="1"/>
  <c r="E23" i="1"/>
  <c r="F23" i="1"/>
  <c r="J23" i="1"/>
  <c r="N23" i="1"/>
  <c r="O23" i="1"/>
  <c r="R23" i="1"/>
  <c r="T23" i="1"/>
  <c r="L23" i="1" s="1"/>
  <c r="AA23" i="1"/>
  <c r="AB23" i="1"/>
  <c r="A24" i="1"/>
  <c r="B24" i="1"/>
  <c r="J24" i="1"/>
  <c r="M24" i="1"/>
  <c r="V24" i="1"/>
  <c r="A25" i="1"/>
  <c r="B25" i="1"/>
  <c r="C25" i="1"/>
  <c r="D25" i="1"/>
  <c r="E25" i="1"/>
  <c r="F25" i="1"/>
  <c r="G25" i="1"/>
  <c r="H25" i="1"/>
  <c r="I25" i="1" s="1"/>
  <c r="J25" i="1"/>
  <c r="M25" i="1"/>
  <c r="N25" i="1"/>
  <c r="O25" i="1"/>
  <c r="R25" i="1"/>
  <c r="S25" i="1"/>
  <c r="T25" i="1"/>
  <c r="L25" i="1" s="1"/>
  <c r="U25" i="1"/>
  <c r="V25" i="1"/>
  <c r="Z25" i="1"/>
  <c r="AA25" i="1"/>
  <c r="AB25" i="1"/>
  <c r="AC25" i="1"/>
  <c r="A26" i="1"/>
  <c r="C26" i="1"/>
  <c r="D26" i="1"/>
  <c r="E26" i="1"/>
  <c r="F26" i="1"/>
  <c r="G26" i="1"/>
  <c r="H26" i="1"/>
  <c r="Z26" i="1" s="1"/>
  <c r="M26" i="1"/>
  <c r="N26" i="1"/>
  <c r="O26" i="1"/>
  <c r="R26" i="1"/>
  <c r="S26" i="1"/>
  <c r="T26" i="1"/>
  <c r="L26" i="1" s="1"/>
  <c r="U26" i="1"/>
  <c r="AA26" i="1"/>
  <c r="AB26" i="1"/>
  <c r="AC26" i="1"/>
  <c r="A27" i="1"/>
  <c r="J27" i="1"/>
  <c r="A28" i="1"/>
  <c r="B28" i="1"/>
  <c r="C28" i="1"/>
  <c r="E28" i="1"/>
  <c r="F28" i="1"/>
  <c r="G28" i="1"/>
  <c r="H28" i="1"/>
  <c r="J28" i="1"/>
  <c r="M28" i="1"/>
  <c r="O28" i="1"/>
  <c r="R28" i="1"/>
  <c r="S28" i="1"/>
  <c r="T28" i="1"/>
  <c r="L28" i="1" s="1"/>
  <c r="U28" i="1"/>
  <c r="AA28" i="1"/>
  <c r="AB28" i="1"/>
  <c r="AC28" i="1"/>
  <c r="A29" i="1"/>
  <c r="F29" i="1" s="1"/>
  <c r="J29" i="1"/>
  <c r="A30" i="1"/>
  <c r="B30" i="1"/>
  <c r="C30" i="1"/>
  <c r="D30" i="1"/>
  <c r="E30" i="1"/>
  <c r="G30" i="1"/>
  <c r="H30" i="1"/>
  <c r="Z30" i="1" s="1"/>
  <c r="J30" i="1"/>
  <c r="M30" i="1"/>
  <c r="N30" i="1"/>
  <c r="O30" i="1"/>
  <c r="S30" i="1"/>
  <c r="T30" i="1"/>
  <c r="L30" i="1" s="1"/>
  <c r="U30" i="1"/>
  <c r="AA30" i="1"/>
  <c r="AC30" i="1"/>
  <c r="A31" i="1"/>
  <c r="E31" i="1" s="1"/>
  <c r="J31" i="1"/>
  <c r="A32" i="1"/>
  <c r="B32" i="1"/>
  <c r="C32" i="1"/>
  <c r="D32" i="1"/>
  <c r="E32" i="1"/>
  <c r="F32" i="1"/>
  <c r="G32" i="1"/>
  <c r="J32" i="1"/>
  <c r="M32" i="1"/>
  <c r="N32" i="1"/>
  <c r="O32" i="1"/>
  <c r="R32" i="1"/>
  <c r="S32" i="1"/>
  <c r="U32" i="1"/>
  <c r="AA32" i="1"/>
  <c r="AB32" i="1"/>
  <c r="AC32" i="1"/>
  <c r="A33" i="1"/>
  <c r="B33" i="1"/>
  <c r="C33" i="1"/>
  <c r="D33" i="1"/>
  <c r="E33" i="1"/>
  <c r="F33" i="1"/>
  <c r="G33" i="1"/>
  <c r="H33" i="1"/>
  <c r="I33" i="1" s="1"/>
  <c r="J33" i="1"/>
  <c r="M33" i="1"/>
  <c r="N33" i="1"/>
  <c r="O33" i="1"/>
  <c r="R33" i="1"/>
  <c r="S33" i="1"/>
  <c r="T33" i="1"/>
  <c r="L33" i="1" s="1"/>
  <c r="U33" i="1"/>
  <c r="V33" i="1"/>
  <c r="AA33" i="1"/>
  <c r="AB33" i="1"/>
  <c r="AC33" i="1"/>
  <c r="A34" i="1"/>
  <c r="C34" i="1"/>
  <c r="D34" i="1"/>
  <c r="E34" i="1"/>
  <c r="M34" i="1"/>
  <c r="N34" i="1"/>
  <c r="O34" i="1"/>
  <c r="R34" i="1"/>
  <c r="AA34" i="1"/>
  <c r="AB34" i="1"/>
  <c r="AC34" i="1"/>
  <c r="A35" i="1"/>
  <c r="B35" i="1"/>
  <c r="D35" i="1"/>
  <c r="E35" i="1"/>
  <c r="F35" i="1"/>
  <c r="G35" i="1"/>
  <c r="H35" i="1"/>
  <c r="Z35" i="1" s="1"/>
  <c r="I35" i="1"/>
  <c r="J35" i="1"/>
  <c r="N35" i="1"/>
  <c r="O35" i="1"/>
  <c r="R35" i="1"/>
  <c r="S35" i="1"/>
  <c r="T35" i="1"/>
  <c r="L35" i="1" s="1"/>
  <c r="U35" i="1"/>
  <c r="V35" i="1"/>
  <c r="AA35" i="1"/>
  <c r="AB35" i="1"/>
  <c r="AC35" i="1"/>
  <c r="A36" i="1"/>
  <c r="B36" i="1"/>
  <c r="C36" i="1"/>
  <c r="E36" i="1"/>
  <c r="J36" i="1"/>
  <c r="M36" i="1"/>
  <c r="O36" i="1"/>
  <c r="R36" i="1"/>
  <c r="AA36" i="1"/>
  <c r="AB36" i="1"/>
  <c r="AC36" i="1"/>
  <c r="A37" i="1"/>
  <c r="B37" i="1"/>
  <c r="C37" i="1"/>
  <c r="D37" i="1"/>
  <c r="E37" i="1"/>
  <c r="F37" i="1"/>
  <c r="G37" i="1"/>
  <c r="H37" i="1"/>
  <c r="I37" i="1" s="1"/>
  <c r="J37" i="1"/>
  <c r="M37" i="1"/>
  <c r="N37" i="1"/>
  <c r="O37" i="1"/>
  <c r="R37" i="1"/>
  <c r="S37" i="1"/>
  <c r="T37" i="1"/>
  <c r="L37" i="1" s="1"/>
  <c r="U37" i="1"/>
  <c r="V37" i="1"/>
  <c r="AA37" i="1"/>
  <c r="AB37" i="1"/>
  <c r="AC37" i="1"/>
  <c r="A38" i="1"/>
  <c r="B38" i="1" s="1"/>
  <c r="G38" i="1"/>
  <c r="S38" i="1"/>
  <c r="U38" i="1"/>
  <c r="A39" i="1"/>
  <c r="D39" i="1" s="1"/>
  <c r="U39" i="1"/>
  <c r="A40" i="1"/>
  <c r="E40" i="1" s="1"/>
  <c r="B40" i="1"/>
  <c r="C40" i="1"/>
  <c r="D40" i="1"/>
  <c r="J40" i="1"/>
  <c r="M40" i="1"/>
  <c r="N40" i="1"/>
  <c r="V40" i="1"/>
  <c r="A41" i="1"/>
  <c r="G41" i="1" s="1"/>
  <c r="B41" i="1"/>
  <c r="C41" i="1"/>
  <c r="D41" i="1"/>
  <c r="E41" i="1"/>
  <c r="F41" i="1"/>
  <c r="J41" i="1"/>
  <c r="M41" i="1"/>
  <c r="N41" i="1"/>
  <c r="O41" i="1"/>
  <c r="R41" i="1"/>
  <c r="U41" i="1"/>
  <c r="V41" i="1"/>
  <c r="AA41" i="1"/>
  <c r="AB41" i="1"/>
  <c r="A42" i="1"/>
  <c r="B42" i="1"/>
  <c r="C42" i="1"/>
  <c r="D42" i="1"/>
  <c r="E42" i="1"/>
  <c r="F42" i="1"/>
  <c r="G42" i="1"/>
  <c r="H42" i="1"/>
  <c r="I42" i="1" s="1"/>
  <c r="J42" i="1"/>
  <c r="M42" i="1"/>
  <c r="N42" i="1"/>
  <c r="O42" i="1"/>
  <c r="R42" i="1"/>
  <c r="S42" i="1"/>
  <c r="T42" i="1"/>
  <c r="L42" i="1" s="1"/>
  <c r="U42" i="1"/>
  <c r="V42" i="1"/>
  <c r="Z42" i="1"/>
  <c r="AA42" i="1"/>
  <c r="AB42" i="1"/>
  <c r="AC42" i="1"/>
  <c r="A43" i="1"/>
  <c r="B43" i="1" s="1"/>
  <c r="D43" i="1"/>
  <c r="E43" i="1"/>
  <c r="F43" i="1"/>
  <c r="G43" i="1"/>
  <c r="H43" i="1"/>
  <c r="I43" i="1" s="1"/>
  <c r="N43" i="1"/>
  <c r="O43" i="1"/>
  <c r="R43" i="1"/>
  <c r="S43" i="1"/>
  <c r="T43" i="1"/>
  <c r="L43" i="1" s="1"/>
  <c r="U43" i="1"/>
  <c r="Z43" i="1"/>
  <c r="AA43" i="1"/>
  <c r="AB43" i="1"/>
  <c r="AC43" i="1"/>
  <c r="A44" i="1"/>
  <c r="B44" i="1" s="1"/>
  <c r="F44" i="1"/>
  <c r="G44" i="1"/>
  <c r="H44" i="1"/>
  <c r="I44" i="1" s="1"/>
  <c r="R44" i="1"/>
  <c r="S44" i="1"/>
  <c r="T44" i="1"/>
  <c r="L44" i="1" s="1"/>
  <c r="U44" i="1"/>
  <c r="AB44" i="1"/>
  <c r="AC44" i="1"/>
  <c r="A45" i="1"/>
  <c r="B45" i="1" s="1"/>
  <c r="G45" i="1"/>
  <c r="S45" i="1"/>
  <c r="U45" i="1"/>
  <c r="AC45" i="1"/>
  <c r="A46" i="1"/>
  <c r="D46" i="1" s="1"/>
  <c r="B46" i="1"/>
  <c r="C46" i="1"/>
  <c r="H46" i="1"/>
  <c r="I46" i="1" s="1"/>
  <c r="J46" i="1"/>
  <c r="M46" i="1"/>
  <c r="T46" i="1"/>
  <c r="L46" i="1" s="1"/>
  <c r="U46" i="1"/>
  <c r="V46" i="1"/>
  <c r="A47" i="1"/>
  <c r="D47" i="1" s="1"/>
  <c r="U47" i="1"/>
  <c r="A48" i="1"/>
  <c r="F48" i="1" s="1"/>
  <c r="B48" i="1"/>
  <c r="C48" i="1"/>
  <c r="D48" i="1"/>
  <c r="E48" i="1"/>
  <c r="J48" i="1"/>
  <c r="M48" i="1"/>
  <c r="N48" i="1"/>
  <c r="O48" i="1"/>
  <c r="U48" i="1"/>
  <c r="V48" i="1"/>
  <c r="AA48" i="1"/>
  <c r="A49" i="1"/>
  <c r="H49" i="1" s="1"/>
  <c r="B49" i="1"/>
  <c r="C49" i="1"/>
  <c r="D49" i="1"/>
  <c r="E49" i="1"/>
  <c r="F49" i="1"/>
  <c r="G49" i="1"/>
  <c r="J49" i="1"/>
  <c r="M49" i="1"/>
  <c r="N49" i="1"/>
  <c r="O49" i="1"/>
  <c r="R49" i="1"/>
  <c r="S49" i="1"/>
  <c r="U49" i="1"/>
  <c r="V49" i="1"/>
  <c r="AA49" i="1"/>
  <c r="AB49" i="1"/>
  <c r="AC49" i="1"/>
  <c r="A50" i="1"/>
  <c r="B50" i="1"/>
  <c r="C50" i="1"/>
  <c r="D50" i="1"/>
  <c r="E50" i="1"/>
  <c r="F50" i="1"/>
  <c r="G50" i="1"/>
  <c r="H50" i="1"/>
  <c r="I50" i="1" s="1"/>
  <c r="J50" i="1"/>
  <c r="M50" i="1"/>
  <c r="N50" i="1"/>
  <c r="O50" i="1"/>
  <c r="R50" i="1"/>
  <c r="S50" i="1"/>
  <c r="T50" i="1"/>
  <c r="L50" i="1" s="1"/>
  <c r="U50" i="1"/>
  <c r="V50" i="1"/>
  <c r="Z50" i="1"/>
  <c r="AA50" i="1"/>
  <c r="AB50" i="1"/>
  <c r="AC50" i="1"/>
  <c r="A51" i="1"/>
  <c r="B51" i="1" s="1"/>
  <c r="D51" i="1"/>
  <c r="E51" i="1"/>
  <c r="F51" i="1"/>
  <c r="G51" i="1"/>
  <c r="H51" i="1"/>
  <c r="I51" i="1" s="1"/>
  <c r="N51" i="1"/>
  <c r="O51" i="1"/>
  <c r="R51" i="1"/>
  <c r="S51" i="1"/>
  <c r="T51" i="1"/>
  <c r="L51" i="1" s="1"/>
  <c r="U51" i="1"/>
  <c r="AA51" i="1"/>
  <c r="AB51" i="1"/>
  <c r="AC51" i="1"/>
  <c r="A2" i="1"/>
  <c r="B2" i="1" s="1"/>
  <c r="F2" i="1"/>
  <c r="H2" i="1"/>
  <c r="I2" i="1" s="1"/>
  <c r="R2" i="1"/>
  <c r="T2" i="1"/>
  <c r="L2" i="1" s="1"/>
  <c r="U2" i="1"/>
  <c r="AB2" i="1"/>
  <c r="AC51" i="20" l="1"/>
  <c r="AB51" i="20"/>
  <c r="AA51" i="20"/>
  <c r="X51" i="20"/>
  <c r="V51" i="20"/>
  <c r="U51" i="20"/>
  <c r="T51" i="20"/>
  <c r="L51" i="20" s="1"/>
  <c r="S51" i="20"/>
  <c r="R51" i="20"/>
  <c r="O51" i="20"/>
  <c r="N51" i="20"/>
  <c r="M51" i="20"/>
  <c r="J51" i="20"/>
  <c r="H51" i="20"/>
  <c r="G51" i="20"/>
  <c r="F51" i="20"/>
  <c r="E51" i="20"/>
  <c r="D51" i="20"/>
  <c r="C51" i="20"/>
  <c r="B51" i="20"/>
  <c r="AC50" i="20"/>
  <c r="AB50" i="20"/>
  <c r="AA50" i="20"/>
  <c r="X50" i="20"/>
  <c r="V50" i="20"/>
  <c r="U50" i="20"/>
  <c r="T50" i="20"/>
  <c r="L50" i="20" s="1"/>
  <c r="S50" i="20"/>
  <c r="R50" i="20"/>
  <c r="O50" i="20"/>
  <c r="N50" i="20"/>
  <c r="M50" i="20"/>
  <c r="J50" i="20"/>
  <c r="G50" i="20"/>
  <c r="F50" i="20"/>
  <c r="E50" i="20"/>
  <c r="C50" i="20"/>
  <c r="H50" i="20"/>
  <c r="D50" i="20"/>
  <c r="B50" i="20"/>
  <c r="X49" i="20"/>
  <c r="V49" i="20"/>
  <c r="U49" i="20"/>
  <c r="S49" i="20"/>
  <c r="O49" i="20"/>
  <c r="M49" i="20"/>
  <c r="J49" i="20"/>
  <c r="H49" i="20"/>
  <c r="Z49" i="20" s="1"/>
  <c r="F49" i="20"/>
  <c r="C49" i="20"/>
  <c r="AC49" i="20"/>
  <c r="AB49" i="20"/>
  <c r="AA49" i="20"/>
  <c r="T49" i="20"/>
  <c r="L49" i="20" s="1"/>
  <c r="R49" i="20"/>
  <c r="N49" i="20"/>
  <c r="I49" i="20"/>
  <c r="G49" i="20"/>
  <c r="E49" i="20"/>
  <c r="D49" i="20"/>
  <c r="B49" i="20"/>
  <c r="X48" i="20"/>
  <c r="U48" i="20"/>
  <c r="S48" i="20"/>
  <c r="O48" i="20"/>
  <c r="M48" i="20"/>
  <c r="B48" i="20"/>
  <c r="J48" i="20"/>
  <c r="H48" i="20"/>
  <c r="Z48" i="20" s="1"/>
  <c r="N48" i="20"/>
  <c r="AB48" i="20"/>
  <c r="F48" i="20"/>
  <c r="D48" i="20"/>
  <c r="AC48" i="20"/>
  <c r="AA48" i="20"/>
  <c r="Y48" i="20"/>
  <c r="V48" i="20"/>
  <c r="T48" i="20"/>
  <c r="L48" i="20" s="1"/>
  <c r="R48" i="20"/>
  <c r="I48" i="20"/>
  <c r="G48" i="20"/>
  <c r="E48" i="20"/>
  <c r="C48" i="20"/>
  <c r="AB47" i="20"/>
  <c r="AA47" i="20"/>
  <c r="X47" i="20"/>
  <c r="T47" i="20"/>
  <c r="L47" i="20" s="1"/>
  <c r="R47" i="20"/>
  <c r="O47" i="20"/>
  <c r="U47" i="20"/>
  <c r="F47" i="20"/>
  <c r="Y47" i="20" s="1"/>
  <c r="AC47" i="20"/>
  <c r="V47" i="20"/>
  <c r="S47" i="20"/>
  <c r="N47" i="20"/>
  <c r="J47" i="20"/>
  <c r="H47" i="20"/>
  <c r="G47" i="20"/>
  <c r="E47" i="20"/>
  <c r="D47" i="20"/>
  <c r="C47" i="20"/>
  <c r="B47" i="20"/>
  <c r="AA46" i="20"/>
  <c r="AC46" i="20"/>
  <c r="X46" i="20"/>
  <c r="V46" i="20"/>
  <c r="T46" i="20"/>
  <c r="L46" i="20" s="1"/>
  <c r="R46" i="20"/>
  <c r="N46" i="20"/>
  <c r="G46" i="20"/>
  <c r="D46" i="20"/>
  <c r="B46" i="20"/>
  <c r="U46" i="20"/>
  <c r="S46" i="20"/>
  <c r="O46" i="20"/>
  <c r="M46" i="20"/>
  <c r="J46" i="20"/>
  <c r="H46" i="20"/>
  <c r="F46" i="20"/>
  <c r="E46" i="20"/>
  <c r="C46" i="20"/>
  <c r="AB46" i="20"/>
  <c r="C45" i="20"/>
  <c r="S45" i="20"/>
  <c r="O45" i="20"/>
  <c r="G45" i="20"/>
  <c r="F45" i="20"/>
  <c r="D45" i="20"/>
  <c r="B45" i="20"/>
  <c r="AC45" i="20"/>
  <c r="U45" i="20"/>
  <c r="X45" i="20"/>
  <c r="AB45" i="20"/>
  <c r="AA45" i="20"/>
  <c r="Y45" i="20"/>
  <c r="V45" i="20"/>
  <c r="T45" i="20"/>
  <c r="L45" i="20" s="1"/>
  <c r="N45" i="20"/>
  <c r="J45" i="20"/>
  <c r="H45" i="20"/>
  <c r="E45" i="20"/>
  <c r="R45" i="20"/>
  <c r="M45" i="20"/>
  <c r="U44" i="20"/>
  <c r="O44" i="20"/>
  <c r="N44" i="20"/>
  <c r="H44" i="20"/>
  <c r="F44" i="20"/>
  <c r="D44" i="20"/>
  <c r="J44" i="20"/>
  <c r="T44" i="20"/>
  <c r="L44" i="20" s="1"/>
  <c r="S44" i="20"/>
  <c r="R44" i="20"/>
  <c r="M44" i="20"/>
  <c r="I44" i="20"/>
  <c r="E44" i="20"/>
  <c r="C44" i="20"/>
  <c r="B44" i="20"/>
  <c r="V44" i="20"/>
  <c r="G44" i="20"/>
  <c r="AC44" i="20"/>
  <c r="AB44" i="20"/>
  <c r="AA44" i="20"/>
  <c r="Z44" i="20"/>
  <c r="Y44" i="20"/>
  <c r="X44" i="20"/>
  <c r="AC43" i="20"/>
  <c r="AB43" i="20"/>
  <c r="AA43" i="20"/>
  <c r="X43" i="20"/>
  <c r="U43" i="20"/>
  <c r="T43" i="20"/>
  <c r="L43" i="20" s="1"/>
  <c r="R43" i="20"/>
  <c r="N43" i="20"/>
  <c r="G43" i="20"/>
  <c r="F43" i="20"/>
  <c r="K43" i="20" s="1"/>
  <c r="D43" i="20"/>
  <c r="B43" i="20"/>
  <c r="S43" i="20"/>
  <c r="V43" i="20"/>
  <c r="Y43" i="20"/>
  <c r="O43" i="20"/>
  <c r="C43" i="20"/>
  <c r="E43" i="20"/>
  <c r="H43" i="20"/>
  <c r="J43" i="20"/>
  <c r="M43" i="20"/>
  <c r="AB42" i="20"/>
  <c r="AA42" i="20"/>
  <c r="V42" i="20"/>
  <c r="T42" i="20"/>
  <c r="R42" i="20"/>
  <c r="N42" i="20"/>
  <c r="L42" i="20"/>
  <c r="J42" i="20"/>
  <c r="G42" i="20"/>
  <c r="E42" i="20"/>
  <c r="C42" i="20"/>
  <c r="AC42" i="20"/>
  <c r="X42" i="20"/>
  <c r="U42" i="20"/>
  <c r="S42" i="20"/>
  <c r="O42" i="20"/>
  <c r="M42" i="20"/>
  <c r="H42" i="20"/>
  <c r="F42" i="20"/>
  <c r="D42" i="20"/>
  <c r="B42" i="20"/>
  <c r="H41" i="20"/>
  <c r="E41" i="20"/>
  <c r="B41" i="20"/>
  <c r="G41" i="20"/>
  <c r="D41" i="20"/>
  <c r="C41" i="20"/>
  <c r="F41" i="20"/>
  <c r="K41" i="20" s="1"/>
  <c r="J41" i="20"/>
  <c r="N41" i="20"/>
  <c r="R41" i="20"/>
  <c r="AC41" i="20"/>
  <c r="AB41" i="20"/>
  <c r="AA41" i="20"/>
  <c r="Z41" i="20"/>
  <c r="Y41" i="20"/>
  <c r="X41" i="20"/>
  <c r="V41" i="20"/>
  <c r="U41" i="20"/>
  <c r="T41" i="20"/>
  <c r="L41" i="20" s="1"/>
  <c r="S41" i="20"/>
  <c r="O41" i="20"/>
  <c r="M41" i="20"/>
  <c r="I41" i="20"/>
  <c r="AC40" i="20"/>
  <c r="AA40" i="20"/>
  <c r="V40" i="20"/>
  <c r="T40" i="20"/>
  <c r="U40" i="20"/>
  <c r="B40" i="20"/>
  <c r="R40" i="20"/>
  <c r="O40" i="20"/>
  <c r="AB40" i="20"/>
  <c r="M40" i="20"/>
  <c r="J40" i="20"/>
  <c r="H40" i="20"/>
  <c r="F40" i="20"/>
  <c r="Y40" i="20" s="1"/>
  <c r="D40" i="20"/>
  <c r="X40" i="20"/>
  <c r="Z40" i="20"/>
  <c r="S40" i="20"/>
  <c r="N40" i="20"/>
  <c r="L40" i="20"/>
  <c r="I40" i="20"/>
  <c r="G40" i="20"/>
  <c r="E40" i="20"/>
  <c r="C40" i="20"/>
  <c r="S39" i="20"/>
  <c r="AC39" i="20"/>
  <c r="AB39" i="20"/>
  <c r="AA39" i="20"/>
  <c r="R39" i="20"/>
  <c r="U39" i="20"/>
  <c r="X39" i="20"/>
  <c r="M39" i="20"/>
  <c r="F39" i="20"/>
  <c r="K39" i="20" s="1"/>
  <c r="D39" i="20"/>
  <c r="B39" i="20"/>
  <c r="Y39" i="20"/>
  <c r="V39" i="20"/>
  <c r="T39" i="20"/>
  <c r="G39" i="20"/>
  <c r="E39" i="20"/>
  <c r="C39" i="20"/>
  <c r="O39" i="20"/>
  <c r="N39" i="20"/>
  <c r="L39" i="20"/>
  <c r="J39" i="20"/>
  <c r="H39" i="20"/>
  <c r="T38" i="20"/>
  <c r="M38" i="20"/>
  <c r="J38" i="20"/>
  <c r="G38" i="20"/>
  <c r="D38" i="20"/>
  <c r="E38" i="20"/>
  <c r="AA38" i="20"/>
  <c r="V38" i="20"/>
  <c r="S38" i="20"/>
  <c r="O38" i="20"/>
  <c r="H38" i="20"/>
  <c r="I38" i="20" s="1"/>
  <c r="C38" i="20"/>
  <c r="F38" i="20"/>
  <c r="K38" i="20" s="1"/>
  <c r="L38" i="20"/>
  <c r="AB38" i="20"/>
  <c r="N38" i="20"/>
  <c r="R38" i="20"/>
  <c r="U38" i="20"/>
  <c r="X38" i="20"/>
  <c r="Y38" i="20"/>
  <c r="AC38" i="20"/>
  <c r="B38" i="20"/>
  <c r="T37" i="20"/>
  <c r="L37" i="20" s="1"/>
  <c r="O37" i="20"/>
  <c r="M37" i="20"/>
  <c r="J37" i="20"/>
  <c r="F37" i="20"/>
  <c r="C37" i="20"/>
  <c r="AC37" i="20"/>
  <c r="B37" i="20"/>
  <c r="D37" i="20"/>
  <c r="AB37" i="20"/>
  <c r="G37" i="20"/>
  <c r="R37" i="20"/>
  <c r="U37" i="20"/>
  <c r="X37" i="20"/>
  <c r="AA37" i="20"/>
  <c r="V37" i="20"/>
  <c r="S37" i="20"/>
  <c r="N37" i="20"/>
  <c r="H37" i="20"/>
  <c r="E37" i="20"/>
  <c r="AC36" i="20"/>
  <c r="AA36" i="20"/>
  <c r="T36" i="20"/>
  <c r="O36" i="20"/>
  <c r="L36" i="20"/>
  <c r="G36" i="20"/>
  <c r="E36" i="20"/>
  <c r="B36" i="20"/>
  <c r="N36" i="20"/>
  <c r="S36" i="20"/>
  <c r="V36" i="20"/>
  <c r="C36" i="20"/>
  <c r="H36" i="20"/>
  <c r="I36" i="20" s="1"/>
  <c r="U36" i="20"/>
  <c r="D36" i="20"/>
  <c r="F36" i="20"/>
  <c r="J36" i="20"/>
  <c r="M36" i="20"/>
  <c r="R36" i="20"/>
  <c r="X36" i="20"/>
  <c r="Z36" i="20"/>
  <c r="AB36" i="20"/>
  <c r="O35" i="20"/>
  <c r="C35" i="20"/>
  <c r="F35" i="20"/>
  <c r="R35" i="20"/>
  <c r="D35" i="20"/>
  <c r="U35" i="20"/>
  <c r="X35" i="20"/>
  <c r="AA35" i="20"/>
  <c r="AC35" i="20"/>
  <c r="E35" i="20"/>
  <c r="H35" i="20"/>
  <c r="M35" i="20"/>
  <c r="B35" i="20"/>
  <c r="G35" i="20"/>
  <c r="J35" i="20"/>
  <c r="N35" i="20"/>
  <c r="S35" i="20"/>
  <c r="V35" i="20"/>
  <c r="Y35" i="20"/>
  <c r="AB35" i="20"/>
  <c r="T35" i="20"/>
  <c r="L35" i="20" s="1"/>
  <c r="D34" i="20"/>
  <c r="G34" i="20"/>
  <c r="M34" i="20"/>
  <c r="O34" i="20"/>
  <c r="T34" i="20"/>
  <c r="X34" i="20"/>
  <c r="AA34" i="20"/>
  <c r="AC34" i="20"/>
  <c r="S34" i="20"/>
  <c r="R34" i="20"/>
  <c r="C34" i="20"/>
  <c r="F34" i="20"/>
  <c r="H34" i="20"/>
  <c r="I34" i="20" s="1"/>
  <c r="J34" i="20"/>
  <c r="L34" i="20"/>
  <c r="N34" i="20"/>
  <c r="V34" i="20"/>
  <c r="E34" i="20"/>
  <c r="B34" i="20"/>
  <c r="U34" i="20"/>
  <c r="Z34" i="20"/>
  <c r="AB34" i="20"/>
  <c r="B33" i="20"/>
  <c r="T33" i="20"/>
  <c r="AC33" i="20"/>
  <c r="AB33" i="20"/>
  <c r="V33" i="20"/>
  <c r="R33" i="20"/>
  <c r="N33" i="20"/>
  <c r="C33" i="20"/>
  <c r="F33" i="20"/>
  <c r="Y33" i="20" s="1"/>
  <c r="J33" i="20"/>
  <c r="L33" i="20"/>
  <c r="S33" i="20"/>
  <c r="U33" i="20"/>
  <c r="X33" i="20"/>
  <c r="E33" i="20"/>
  <c r="H33" i="20"/>
  <c r="Z33" i="20" s="1"/>
  <c r="G33" i="20"/>
  <c r="I33" i="20"/>
  <c r="M33" i="20"/>
  <c r="O33" i="20"/>
  <c r="D33" i="20"/>
  <c r="AA33" i="20"/>
  <c r="AB32" i="20"/>
  <c r="X32" i="20"/>
  <c r="U32" i="20"/>
  <c r="S32" i="20"/>
  <c r="M32" i="20"/>
  <c r="F32" i="20"/>
  <c r="C32" i="20"/>
  <c r="D32" i="20"/>
  <c r="B32" i="20"/>
  <c r="AC32" i="20"/>
  <c r="AA32" i="20"/>
  <c r="Y32" i="20"/>
  <c r="V32" i="20"/>
  <c r="R32" i="20"/>
  <c r="T32" i="20"/>
  <c r="L32" i="20" s="1"/>
  <c r="N32" i="20"/>
  <c r="J32" i="20"/>
  <c r="G32" i="20"/>
  <c r="E32" i="20"/>
  <c r="O32" i="20"/>
  <c r="H32" i="20"/>
  <c r="F31" i="20"/>
  <c r="M31" i="20"/>
  <c r="N31" i="20"/>
  <c r="O31" i="20"/>
  <c r="R31" i="20"/>
  <c r="S31" i="20"/>
  <c r="T31" i="20"/>
  <c r="U31" i="20"/>
  <c r="H31" i="20"/>
  <c r="Z31" i="20" s="1"/>
  <c r="V31" i="20"/>
  <c r="X31" i="20"/>
  <c r="Y31" i="20"/>
  <c r="G31" i="20"/>
  <c r="D31" i="20"/>
  <c r="C31" i="20"/>
  <c r="B31" i="20"/>
  <c r="E31" i="20"/>
  <c r="I31" i="20"/>
  <c r="J31" i="20"/>
  <c r="L31" i="20"/>
  <c r="H30" i="20"/>
  <c r="S30" i="20"/>
  <c r="X30" i="20"/>
  <c r="AC30" i="20"/>
  <c r="AB30" i="20"/>
  <c r="AA30" i="20"/>
  <c r="Z30" i="20"/>
  <c r="V30" i="20"/>
  <c r="U30" i="20"/>
  <c r="T30" i="20"/>
  <c r="L30" i="20" s="1"/>
  <c r="R30" i="20"/>
  <c r="O30" i="20"/>
  <c r="N30" i="20"/>
  <c r="M30" i="20"/>
  <c r="J30" i="20"/>
  <c r="I30" i="20"/>
  <c r="G30" i="20"/>
  <c r="F30" i="20"/>
  <c r="E30" i="20"/>
  <c r="D30" i="20"/>
  <c r="C30" i="20"/>
  <c r="B30" i="20"/>
  <c r="O29" i="20"/>
  <c r="AC29" i="20"/>
  <c r="AB29" i="20"/>
  <c r="AA29" i="20"/>
  <c r="M29" i="20"/>
  <c r="E29" i="20"/>
  <c r="N29" i="20"/>
  <c r="S29" i="20"/>
  <c r="T29" i="20"/>
  <c r="U29" i="20"/>
  <c r="V29" i="20"/>
  <c r="X29" i="20"/>
  <c r="R29" i="20"/>
  <c r="J29" i="20"/>
  <c r="G29" i="20"/>
  <c r="H29" i="20"/>
  <c r="D29" i="20"/>
  <c r="L29" i="20"/>
  <c r="F29" i="20"/>
  <c r="C29" i="20"/>
  <c r="B29" i="20"/>
  <c r="H28" i="20"/>
  <c r="I28" i="20" s="1"/>
  <c r="J28" i="20"/>
  <c r="M28" i="20"/>
  <c r="N28" i="20"/>
  <c r="O28" i="20"/>
  <c r="R28" i="20"/>
  <c r="S28" i="20"/>
  <c r="T28" i="20"/>
  <c r="L28" i="20" s="1"/>
  <c r="U28" i="20"/>
  <c r="V28" i="20"/>
  <c r="X28" i="20"/>
  <c r="G28" i="20"/>
  <c r="Z28" i="20"/>
  <c r="AA28" i="20"/>
  <c r="AB28" i="20"/>
  <c r="AC28" i="20"/>
  <c r="B28" i="20"/>
  <c r="C28" i="20"/>
  <c r="D28" i="20"/>
  <c r="E28" i="20"/>
  <c r="F28" i="20"/>
  <c r="V27" i="20"/>
  <c r="T27" i="20"/>
  <c r="L27" i="20" s="1"/>
  <c r="S27" i="20"/>
  <c r="AC27" i="20"/>
  <c r="R27" i="20"/>
  <c r="O27" i="20"/>
  <c r="N27" i="20"/>
  <c r="M27" i="20"/>
  <c r="B27" i="20"/>
  <c r="J27" i="20"/>
  <c r="H27" i="20"/>
  <c r="G27" i="20"/>
  <c r="F27" i="20"/>
  <c r="K27" i="20" s="1"/>
  <c r="E27" i="20"/>
  <c r="D27" i="20"/>
  <c r="C27" i="20"/>
  <c r="AB27" i="20"/>
  <c r="AA27" i="20"/>
  <c r="Y27" i="20"/>
  <c r="X27" i="20"/>
  <c r="U27" i="20"/>
  <c r="H26" i="20"/>
  <c r="I26" i="20" s="1"/>
  <c r="G26" i="20"/>
  <c r="F26" i="20"/>
  <c r="E26" i="20"/>
  <c r="D26" i="20"/>
  <c r="C26" i="20"/>
  <c r="B26" i="20"/>
  <c r="R26" i="20"/>
  <c r="N26" i="20"/>
  <c r="M26" i="20"/>
  <c r="J26" i="20"/>
  <c r="O26" i="20"/>
  <c r="AC26" i="20"/>
  <c r="AB26" i="20"/>
  <c r="AA26" i="20"/>
  <c r="Z26" i="20"/>
  <c r="Y26" i="20"/>
  <c r="X26" i="20"/>
  <c r="V26" i="20"/>
  <c r="U26" i="20"/>
  <c r="T26" i="20"/>
  <c r="L26" i="20" s="1"/>
  <c r="S26" i="20"/>
  <c r="AC25" i="20"/>
  <c r="AB25" i="20"/>
  <c r="AA25" i="20"/>
  <c r="X25" i="20"/>
  <c r="J25" i="20"/>
  <c r="H25" i="20"/>
  <c r="G25" i="20"/>
  <c r="F25" i="20"/>
  <c r="Y25" i="20" s="1"/>
  <c r="V25" i="20"/>
  <c r="N25" i="20"/>
  <c r="M25" i="20"/>
  <c r="O25" i="20"/>
  <c r="R25" i="20"/>
  <c r="S25" i="20"/>
  <c r="T25" i="20"/>
  <c r="L25" i="20" s="1"/>
  <c r="U25" i="20"/>
  <c r="E25" i="20"/>
  <c r="D25" i="20"/>
  <c r="B25" i="20"/>
  <c r="C25" i="20"/>
  <c r="J24" i="20"/>
  <c r="H24" i="20"/>
  <c r="I24" i="20" s="1"/>
  <c r="G24" i="20"/>
  <c r="F24" i="20"/>
  <c r="E24" i="20"/>
  <c r="D24" i="20"/>
  <c r="N24" i="20"/>
  <c r="B24" i="20"/>
  <c r="C24" i="20"/>
  <c r="R24" i="20"/>
  <c r="O24" i="20"/>
  <c r="AB24" i="20"/>
  <c r="AA24" i="20"/>
  <c r="Z24" i="20"/>
  <c r="Y24" i="20"/>
  <c r="AC24" i="20"/>
  <c r="X24" i="20"/>
  <c r="V24" i="20"/>
  <c r="U24" i="20"/>
  <c r="T24" i="20"/>
  <c r="L24" i="20" s="1"/>
  <c r="S24" i="20"/>
  <c r="M24" i="20"/>
  <c r="M23" i="20"/>
  <c r="N23" i="20"/>
  <c r="O23" i="20"/>
  <c r="R23" i="20"/>
  <c r="S23" i="20"/>
  <c r="T23" i="20"/>
  <c r="L23" i="20" s="1"/>
  <c r="U23" i="20"/>
  <c r="V23" i="20"/>
  <c r="X23" i="20"/>
  <c r="AA23" i="20"/>
  <c r="AC23" i="20"/>
  <c r="AB23" i="20"/>
  <c r="J23" i="20"/>
  <c r="H23" i="20"/>
  <c r="G23" i="20"/>
  <c r="F23" i="20"/>
  <c r="E23" i="20"/>
  <c r="D23" i="20"/>
  <c r="C23" i="20"/>
  <c r="B23" i="20"/>
  <c r="N22" i="20"/>
  <c r="D22" i="20"/>
  <c r="U22" i="20"/>
  <c r="AB22" i="20"/>
  <c r="R22" i="20"/>
  <c r="O22" i="20"/>
  <c r="V22" i="20"/>
  <c r="M22" i="20"/>
  <c r="J22" i="20"/>
  <c r="H22" i="20"/>
  <c r="I22" i="20" s="1"/>
  <c r="X22" i="20"/>
  <c r="Z22" i="20"/>
  <c r="AA22" i="20"/>
  <c r="G22" i="20"/>
  <c r="AC22" i="20"/>
  <c r="T22" i="20"/>
  <c r="L22" i="20" s="1"/>
  <c r="F22" i="20"/>
  <c r="E22" i="20"/>
  <c r="C22" i="20"/>
  <c r="B22" i="20"/>
  <c r="S22" i="20"/>
  <c r="AB21" i="20"/>
  <c r="AA21" i="20"/>
  <c r="AC21" i="20"/>
  <c r="C21" i="20"/>
  <c r="D21" i="20"/>
  <c r="E21" i="20"/>
  <c r="F21" i="20"/>
  <c r="B21" i="20"/>
  <c r="Y21" i="20"/>
  <c r="X21" i="20"/>
  <c r="V21" i="20"/>
  <c r="U21" i="20"/>
  <c r="T21" i="20"/>
  <c r="S21" i="20"/>
  <c r="R21" i="20"/>
  <c r="O21" i="20"/>
  <c r="N21" i="20"/>
  <c r="M21" i="20"/>
  <c r="L21" i="20"/>
  <c r="J21" i="20"/>
  <c r="H21" i="20"/>
  <c r="G21" i="20"/>
  <c r="O20" i="20"/>
  <c r="J20" i="20"/>
  <c r="D20" i="20"/>
  <c r="R20" i="20"/>
  <c r="M20" i="20"/>
  <c r="H20" i="20"/>
  <c r="C20" i="20"/>
  <c r="AB20" i="20"/>
  <c r="E20" i="20"/>
  <c r="U20" i="20"/>
  <c r="T20" i="20"/>
  <c r="V20" i="20"/>
  <c r="S20" i="20"/>
  <c r="N20" i="20"/>
  <c r="G20" i="20"/>
  <c r="B20" i="20"/>
  <c r="L20" i="20"/>
  <c r="I20" i="20"/>
  <c r="F20" i="20"/>
  <c r="AC20" i="20"/>
  <c r="AA20" i="20"/>
  <c r="X20" i="20"/>
  <c r="AA19" i="20"/>
  <c r="U19" i="20"/>
  <c r="O19" i="20"/>
  <c r="N19" i="20"/>
  <c r="C19" i="20"/>
  <c r="D19" i="20"/>
  <c r="G19" i="20"/>
  <c r="S19" i="20"/>
  <c r="X19" i="20"/>
  <c r="AC19" i="20"/>
  <c r="E19" i="20"/>
  <c r="T19" i="20"/>
  <c r="L19" i="20" s="1"/>
  <c r="B19" i="20"/>
  <c r="H19" i="20"/>
  <c r="I19" i="20" s="1"/>
  <c r="J19" i="20"/>
  <c r="AB19" i="20"/>
  <c r="V19" i="20"/>
  <c r="R19" i="20"/>
  <c r="M19" i="20"/>
  <c r="F19" i="20"/>
  <c r="E18" i="20"/>
  <c r="H18" i="20"/>
  <c r="T18" i="20"/>
  <c r="X18" i="20"/>
  <c r="C18" i="20"/>
  <c r="Z18" i="20"/>
  <c r="U18" i="20"/>
  <c r="B18" i="20"/>
  <c r="AA18" i="20"/>
  <c r="AB18" i="20"/>
  <c r="AC18" i="20"/>
  <c r="N18" i="20"/>
  <c r="S18" i="20"/>
  <c r="O18" i="20"/>
  <c r="L18" i="20"/>
  <c r="I18" i="20"/>
  <c r="F18" i="20"/>
  <c r="D18" i="20"/>
  <c r="V18" i="20"/>
  <c r="R18" i="20"/>
  <c r="M18" i="20"/>
  <c r="J18" i="20"/>
  <c r="G18" i="20"/>
  <c r="AA17" i="20"/>
  <c r="B17" i="20"/>
  <c r="F17" i="20"/>
  <c r="S17" i="20"/>
  <c r="AB17" i="20"/>
  <c r="X17" i="20"/>
  <c r="T17" i="20"/>
  <c r="L17" i="20" s="1"/>
  <c r="O17" i="20"/>
  <c r="E17" i="20"/>
  <c r="Y17" i="20"/>
  <c r="U17" i="20"/>
  <c r="N17" i="20"/>
  <c r="R17" i="20"/>
  <c r="G17" i="20"/>
  <c r="C17" i="20"/>
  <c r="H17" i="20"/>
  <c r="D17" i="20"/>
  <c r="V17" i="20"/>
  <c r="J17" i="20"/>
  <c r="AC17" i="20"/>
  <c r="M17" i="20"/>
  <c r="J16" i="20"/>
  <c r="N16" i="20"/>
  <c r="S16" i="20"/>
  <c r="V16" i="20"/>
  <c r="M16" i="20"/>
  <c r="T16" i="20"/>
  <c r="H16" i="20"/>
  <c r="AB16" i="20"/>
  <c r="E16" i="20"/>
  <c r="C16" i="20"/>
  <c r="L16" i="20"/>
  <c r="F16" i="20"/>
  <c r="I16" i="20"/>
  <c r="AA16" i="20"/>
  <c r="X16" i="20"/>
  <c r="R16" i="20"/>
  <c r="D16" i="20"/>
  <c r="O16" i="20"/>
  <c r="U16" i="20"/>
  <c r="Z16" i="20"/>
  <c r="AC16" i="20"/>
  <c r="B16" i="20"/>
  <c r="G16" i="20"/>
  <c r="D15" i="20"/>
  <c r="AB15" i="20"/>
  <c r="V15" i="20"/>
  <c r="R15" i="20"/>
  <c r="M15" i="20"/>
  <c r="F15" i="20"/>
  <c r="Y15" i="20" s="1"/>
  <c r="O15" i="20"/>
  <c r="S15" i="20"/>
  <c r="C15" i="20"/>
  <c r="B15" i="20"/>
  <c r="G15" i="20"/>
  <c r="N15" i="20"/>
  <c r="T15" i="20"/>
  <c r="L15" i="20" s="1"/>
  <c r="X15" i="20"/>
  <c r="AA15" i="20"/>
  <c r="J15" i="20"/>
  <c r="E15" i="20"/>
  <c r="AC15" i="20"/>
  <c r="U15" i="20"/>
  <c r="H15" i="20"/>
  <c r="O14" i="20"/>
  <c r="AA14" i="20"/>
  <c r="C14" i="20"/>
  <c r="G14" i="20"/>
  <c r="N14" i="20"/>
  <c r="AC14" i="20"/>
  <c r="U14" i="20"/>
  <c r="M14" i="20"/>
  <c r="J14" i="20"/>
  <c r="E14" i="20"/>
  <c r="AB14" i="20"/>
  <c r="T14" i="20"/>
  <c r="L14" i="20" s="1"/>
  <c r="H14" i="20"/>
  <c r="I14" i="20" s="1"/>
  <c r="B14" i="20"/>
  <c r="F14" i="20"/>
  <c r="R14" i="20"/>
  <c r="S14" i="20"/>
  <c r="D14" i="20"/>
  <c r="Z14" i="20"/>
  <c r="X14" i="20"/>
  <c r="V14" i="20"/>
  <c r="M13" i="20"/>
  <c r="S13" i="20"/>
  <c r="V13" i="20"/>
  <c r="AC13" i="20"/>
  <c r="N13" i="20"/>
  <c r="T13" i="20"/>
  <c r="F13" i="20"/>
  <c r="AB13" i="20"/>
  <c r="Y13" i="20"/>
  <c r="R13" i="20"/>
  <c r="L13" i="20"/>
  <c r="H13" i="20"/>
  <c r="Z13" i="20" s="1"/>
  <c r="B13" i="20"/>
  <c r="AA13" i="20"/>
  <c r="E13" i="20"/>
  <c r="I13" i="20"/>
  <c r="D13" i="20"/>
  <c r="G13" i="20"/>
  <c r="C13" i="20"/>
  <c r="J13" i="20"/>
  <c r="O13" i="20"/>
  <c r="U13" i="20"/>
  <c r="X13" i="20"/>
  <c r="M12" i="20"/>
  <c r="D12" i="20"/>
  <c r="AA12" i="20"/>
  <c r="X12" i="20"/>
  <c r="S12" i="20"/>
  <c r="N12" i="20"/>
  <c r="H12" i="20"/>
  <c r="I12" i="20" s="1"/>
  <c r="G12" i="20"/>
  <c r="J12" i="20"/>
  <c r="U12" i="20"/>
  <c r="O12" i="20"/>
  <c r="V12" i="20"/>
  <c r="AC12" i="20"/>
  <c r="C12" i="20"/>
  <c r="F12" i="20"/>
  <c r="B12" i="20"/>
  <c r="E12" i="20"/>
  <c r="R12" i="20"/>
  <c r="T12" i="20"/>
  <c r="L12" i="20" s="1"/>
  <c r="AB12" i="20"/>
  <c r="F11" i="20"/>
  <c r="Y11" i="20" s="1"/>
  <c r="G11" i="20"/>
  <c r="H11" i="20"/>
  <c r="Z11" i="20" s="1"/>
  <c r="C11" i="20"/>
  <c r="I11" i="20"/>
  <c r="B11" i="20"/>
  <c r="L11" i="20"/>
  <c r="M11" i="20"/>
  <c r="N11" i="20"/>
  <c r="O11" i="20"/>
  <c r="D11" i="20"/>
  <c r="E11" i="20"/>
  <c r="J11" i="20"/>
  <c r="AA10" i="20"/>
  <c r="AB10" i="20"/>
  <c r="AC10" i="20"/>
  <c r="B10" i="20"/>
  <c r="C10" i="20"/>
  <c r="D10" i="20"/>
  <c r="E10" i="20"/>
  <c r="F10" i="20"/>
  <c r="K10" i="20" s="1"/>
  <c r="G10" i="20"/>
  <c r="H10" i="20"/>
  <c r="Z10" i="20" s="1"/>
  <c r="I10" i="20"/>
  <c r="J10" i="20"/>
  <c r="M10" i="20"/>
  <c r="N10" i="20"/>
  <c r="O10" i="20"/>
  <c r="R10" i="20"/>
  <c r="S10" i="20"/>
  <c r="T10" i="20"/>
  <c r="L10" i="20" s="1"/>
  <c r="U10" i="20"/>
  <c r="V10" i="20"/>
  <c r="X10" i="20"/>
  <c r="Y10" i="20"/>
  <c r="R9" i="20"/>
  <c r="O9" i="20"/>
  <c r="N9" i="20"/>
  <c r="G9" i="20"/>
  <c r="H9" i="20"/>
  <c r="M9" i="20"/>
  <c r="B9" i="20"/>
  <c r="C9" i="20"/>
  <c r="D9" i="20"/>
  <c r="J9" i="20"/>
  <c r="E9" i="20"/>
  <c r="F9" i="20"/>
  <c r="K9" i="20" s="1"/>
  <c r="AB9" i="20"/>
  <c r="AC9" i="20"/>
  <c r="AA9" i="20"/>
  <c r="Y9" i="20"/>
  <c r="X9" i="20"/>
  <c r="V9" i="20"/>
  <c r="U9" i="20"/>
  <c r="T9" i="20"/>
  <c r="L9" i="20" s="1"/>
  <c r="S9" i="20"/>
  <c r="N8" i="20"/>
  <c r="O8" i="20"/>
  <c r="R8" i="20"/>
  <c r="S8" i="20"/>
  <c r="T8" i="20"/>
  <c r="U8" i="20"/>
  <c r="X8" i="20"/>
  <c r="AA8" i="20"/>
  <c r="AB8" i="20"/>
  <c r="AC8" i="20"/>
  <c r="D8" i="20"/>
  <c r="V8" i="20"/>
  <c r="G8" i="20"/>
  <c r="B8" i="20"/>
  <c r="C8" i="20"/>
  <c r="E8" i="20"/>
  <c r="F8" i="20"/>
  <c r="Y8" i="20" s="1"/>
  <c r="H8" i="20"/>
  <c r="J8" i="20"/>
  <c r="K8" i="20"/>
  <c r="L8" i="20"/>
  <c r="M8" i="20"/>
  <c r="H7" i="20"/>
  <c r="R7" i="20"/>
  <c r="O7" i="20"/>
  <c r="B7" i="20"/>
  <c r="N7" i="20"/>
  <c r="E7" i="20"/>
  <c r="C7" i="20"/>
  <c r="F7" i="20"/>
  <c r="G7" i="20"/>
  <c r="Y7" i="20"/>
  <c r="I7" i="20"/>
  <c r="J7" i="20"/>
  <c r="M7" i="20"/>
  <c r="AC7" i="20"/>
  <c r="AB7" i="20"/>
  <c r="AA7" i="20"/>
  <c r="D7" i="20"/>
  <c r="X7" i="20"/>
  <c r="V7" i="20"/>
  <c r="U7" i="20"/>
  <c r="T7" i="20"/>
  <c r="L7" i="20" s="1"/>
  <c r="S7" i="20"/>
  <c r="V6" i="20"/>
  <c r="U6" i="20"/>
  <c r="B6" i="20"/>
  <c r="T6" i="20"/>
  <c r="L6" i="20" s="1"/>
  <c r="X6" i="20"/>
  <c r="AA6" i="20"/>
  <c r="AB6" i="20"/>
  <c r="AC6" i="20"/>
  <c r="D6" i="20"/>
  <c r="E6" i="20"/>
  <c r="F6" i="20"/>
  <c r="Y6" i="20" s="1"/>
  <c r="G6" i="20"/>
  <c r="H6" i="20"/>
  <c r="I6" i="20" s="1"/>
  <c r="J6" i="20"/>
  <c r="C6" i="20"/>
  <c r="M6" i="20"/>
  <c r="N6" i="20"/>
  <c r="O6" i="20"/>
  <c r="R6" i="20"/>
  <c r="S6" i="20"/>
  <c r="S5" i="20"/>
  <c r="R5" i="20"/>
  <c r="O5" i="20"/>
  <c r="N5" i="20"/>
  <c r="J5" i="20"/>
  <c r="G5" i="20"/>
  <c r="F5" i="20"/>
  <c r="K5" i="20" s="1"/>
  <c r="E5" i="20"/>
  <c r="C5" i="20"/>
  <c r="B5" i="20"/>
  <c r="U5" i="20"/>
  <c r="M5" i="20"/>
  <c r="H5" i="20"/>
  <c r="I5" i="20" s="1"/>
  <c r="V5" i="20"/>
  <c r="T5" i="20"/>
  <c r="L5" i="20" s="1"/>
  <c r="AC5" i="20"/>
  <c r="X5" i="20"/>
  <c r="Y5" i="20"/>
  <c r="AB5" i="20"/>
  <c r="AA5" i="20"/>
  <c r="D5" i="20"/>
  <c r="B4" i="20"/>
  <c r="C4" i="20"/>
  <c r="D4" i="20"/>
  <c r="E4" i="20"/>
  <c r="F4" i="20"/>
  <c r="G4" i="20"/>
  <c r="H4" i="20"/>
  <c r="I4" i="20" s="1"/>
  <c r="J4" i="20"/>
  <c r="K4" i="20"/>
  <c r="M4" i="20"/>
  <c r="N4" i="20"/>
  <c r="O4" i="20"/>
  <c r="R4" i="20"/>
  <c r="S4" i="20"/>
  <c r="V4" i="20"/>
  <c r="X4" i="20"/>
  <c r="Y4" i="20"/>
  <c r="AA4" i="20"/>
  <c r="AB4" i="20"/>
  <c r="AC4" i="20"/>
  <c r="U4" i="20"/>
  <c r="T4" i="20"/>
  <c r="L4" i="20" s="1"/>
  <c r="S3" i="20"/>
  <c r="M3" i="20"/>
  <c r="N3" i="20"/>
  <c r="O3" i="20"/>
  <c r="R3" i="20"/>
  <c r="V3" i="20"/>
  <c r="T3" i="20"/>
  <c r="L3" i="20" s="1"/>
  <c r="X3" i="20"/>
  <c r="AC3" i="20"/>
  <c r="F3" i="20"/>
  <c r="Y3" i="20" s="1"/>
  <c r="B3" i="20"/>
  <c r="C3" i="20"/>
  <c r="D3" i="20"/>
  <c r="E3" i="20"/>
  <c r="G3" i="20"/>
  <c r="H3" i="20"/>
  <c r="J3" i="20"/>
  <c r="U3" i="20"/>
  <c r="J2" i="20"/>
  <c r="H2" i="20"/>
  <c r="I2" i="20" s="1"/>
  <c r="G2" i="20"/>
  <c r="F2" i="20"/>
  <c r="AB2" i="20"/>
  <c r="E2" i="20"/>
  <c r="D2" i="20"/>
  <c r="C2" i="20"/>
  <c r="B2" i="20"/>
  <c r="AA2" i="20"/>
  <c r="Z2" i="20"/>
  <c r="Y2" i="20"/>
  <c r="X2" i="20"/>
  <c r="U2" i="20"/>
  <c r="V2" i="20"/>
  <c r="M2" i="20"/>
  <c r="R2" i="20"/>
  <c r="N2" i="20"/>
  <c r="O2" i="20"/>
  <c r="S2" i="20"/>
  <c r="T2" i="20"/>
  <c r="L2" i="20" s="1"/>
  <c r="AC2" i="20"/>
  <c r="AC774" i="20"/>
  <c r="AB774" i="20"/>
  <c r="Z774" i="20"/>
  <c r="Y774" i="20"/>
  <c r="V774" i="20"/>
  <c r="U774" i="20"/>
  <c r="T774" i="20"/>
  <c r="S774" i="20"/>
  <c r="R774" i="20"/>
  <c r="N774" i="20"/>
  <c r="M774" i="20"/>
  <c r="L774" i="20"/>
  <c r="K774" i="20"/>
  <c r="J774" i="20"/>
  <c r="I774" i="20"/>
  <c r="H774" i="20"/>
  <c r="AA774" i="20" s="1"/>
  <c r="G774" i="20"/>
  <c r="F774" i="20"/>
  <c r="E774" i="20"/>
  <c r="D774" i="20"/>
  <c r="C774" i="20"/>
  <c r="B774" i="20"/>
  <c r="O774" i="20"/>
  <c r="O773" i="20"/>
  <c r="S773" i="20"/>
  <c r="R773" i="20"/>
  <c r="F773" i="20"/>
  <c r="N773" i="20"/>
  <c r="M773" i="20"/>
  <c r="L773" i="20"/>
  <c r="K773" i="20"/>
  <c r="J773" i="20"/>
  <c r="I773" i="20"/>
  <c r="H773" i="20"/>
  <c r="G773" i="20"/>
  <c r="E773" i="20"/>
  <c r="D773" i="20"/>
  <c r="C773" i="20"/>
  <c r="B773" i="20"/>
  <c r="T773" i="20"/>
  <c r="U773" i="20"/>
  <c r="V773" i="20"/>
  <c r="Y773" i="20"/>
  <c r="Z773" i="20"/>
  <c r="AA773" i="20"/>
  <c r="AB773" i="20"/>
  <c r="AC773" i="20"/>
  <c r="F772" i="20"/>
  <c r="D772" i="20"/>
  <c r="L772" i="20"/>
  <c r="M772" i="20"/>
  <c r="N772" i="20"/>
  <c r="B772" i="20"/>
  <c r="R772" i="20"/>
  <c r="S772" i="20"/>
  <c r="T772" i="20"/>
  <c r="U772" i="20"/>
  <c r="V772" i="20"/>
  <c r="Y772" i="20"/>
  <c r="Z772" i="20"/>
  <c r="O772" i="20"/>
  <c r="AC772" i="20"/>
  <c r="C772" i="20"/>
  <c r="E772" i="20"/>
  <c r="G772" i="20"/>
  <c r="H772" i="20"/>
  <c r="AA772" i="20" s="1"/>
  <c r="J772" i="20"/>
  <c r="K772" i="20"/>
  <c r="I772" i="20"/>
  <c r="AB772" i="20"/>
  <c r="Z771" i="20"/>
  <c r="Y771" i="20"/>
  <c r="V771" i="20"/>
  <c r="U771" i="20"/>
  <c r="S771" i="20"/>
  <c r="O771" i="20"/>
  <c r="M771" i="20"/>
  <c r="K771" i="20"/>
  <c r="H771" i="20"/>
  <c r="F771" i="20"/>
  <c r="C771" i="20"/>
  <c r="B771" i="20"/>
  <c r="AC771" i="20"/>
  <c r="T771" i="20"/>
  <c r="R771" i="20"/>
  <c r="N771" i="20"/>
  <c r="L771" i="20"/>
  <c r="J771" i="20"/>
  <c r="I771" i="20"/>
  <c r="G771" i="20"/>
  <c r="E771" i="20"/>
  <c r="D771" i="20"/>
  <c r="T770" i="20"/>
  <c r="O770" i="20"/>
  <c r="M770" i="20"/>
  <c r="K770" i="20"/>
  <c r="I770" i="20"/>
  <c r="G770" i="20"/>
  <c r="D770" i="20"/>
  <c r="B770" i="20"/>
  <c r="U770" i="20"/>
  <c r="Y770" i="20"/>
  <c r="Z770" i="20"/>
  <c r="AC770" i="20"/>
  <c r="V770" i="20"/>
  <c r="C770" i="20"/>
  <c r="E770" i="20"/>
  <c r="H770" i="20"/>
  <c r="J770" i="20"/>
  <c r="L770" i="20"/>
  <c r="N770" i="20"/>
  <c r="R770" i="20"/>
  <c r="F770" i="20"/>
  <c r="S770" i="20"/>
  <c r="AC769" i="20"/>
  <c r="Y769" i="20"/>
  <c r="U769" i="20"/>
  <c r="S769" i="20"/>
  <c r="N769" i="20"/>
  <c r="M769" i="20"/>
  <c r="J769" i="20"/>
  <c r="F769" i="20"/>
  <c r="B769" i="20"/>
  <c r="V769" i="20"/>
  <c r="D769" i="20"/>
  <c r="H769" i="20"/>
  <c r="AA769" i="20" s="1"/>
  <c r="K769" i="20"/>
  <c r="L769" i="20"/>
  <c r="R769" i="20"/>
  <c r="T769" i="20"/>
  <c r="O769" i="20"/>
  <c r="I769" i="20"/>
  <c r="G769" i="20"/>
  <c r="E769" i="20"/>
  <c r="C769" i="20"/>
  <c r="AB769" i="20"/>
  <c r="Z769" i="20"/>
  <c r="U768" i="20"/>
  <c r="R768" i="20"/>
  <c r="M768" i="20"/>
  <c r="Z768" i="20"/>
  <c r="J768" i="20"/>
  <c r="V768" i="20"/>
  <c r="B768" i="20"/>
  <c r="E768" i="20"/>
  <c r="H768" i="20"/>
  <c r="L768" i="20"/>
  <c r="O768" i="20"/>
  <c r="T768" i="20"/>
  <c r="Y768" i="20"/>
  <c r="I768" i="20"/>
  <c r="G768" i="20"/>
  <c r="D768" i="20"/>
  <c r="F768" i="20"/>
  <c r="C768" i="20"/>
  <c r="AC768" i="20"/>
  <c r="K768" i="20"/>
  <c r="N768" i="20"/>
  <c r="S768" i="20"/>
  <c r="S767" i="20"/>
  <c r="Y767" i="20"/>
  <c r="E767" i="20"/>
  <c r="H767" i="20"/>
  <c r="AB767" i="20" s="1"/>
  <c r="K767" i="20"/>
  <c r="N767" i="20"/>
  <c r="T767" i="20"/>
  <c r="V767" i="20"/>
  <c r="AA767" i="20"/>
  <c r="B767" i="20"/>
  <c r="D767" i="20"/>
  <c r="I767" i="20"/>
  <c r="O767" i="20"/>
  <c r="C767" i="20"/>
  <c r="G767" i="20"/>
  <c r="L767" i="20"/>
  <c r="R767" i="20"/>
  <c r="U767" i="20"/>
  <c r="Z767" i="20"/>
  <c r="AC767" i="20"/>
  <c r="F767" i="20"/>
  <c r="J767" i="20"/>
  <c r="M767" i="20"/>
  <c r="E766" i="20"/>
  <c r="V766" i="20"/>
  <c r="K766" i="20"/>
  <c r="H766" i="20"/>
  <c r="T766" i="20"/>
  <c r="D766" i="20"/>
  <c r="AB766" i="20"/>
  <c r="N766" i="20"/>
  <c r="I766" i="20"/>
  <c r="AC766" i="20"/>
  <c r="Z766" i="20"/>
  <c r="U766" i="20"/>
  <c r="R766" i="20"/>
  <c r="M766" i="20"/>
  <c r="J766" i="20"/>
  <c r="AA766" i="20"/>
  <c r="L766" i="20"/>
  <c r="O766" i="20"/>
  <c r="S766" i="20"/>
  <c r="Y766" i="20"/>
  <c r="F766" i="20"/>
  <c r="C766" i="20"/>
  <c r="B766" i="20"/>
  <c r="G766" i="20"/>
  <c r="Z765" i="20"/>
  <c r="U765" i="20"/>
  <c r="I765" i="20"/>
  <c r="H765" i="20"/>
  <c r="AB765" i="20" s="1"/>
  <c r="G765" i="20"/>
  <c r="F765" i="20"/>
  <c r="E765" i="20"/>
  <c r="D765" i="20"/>
  <c r="C765" i="20"/>
  <c r="B765" i="20"/>
  <c r="N765" i="20"/>
  <c r="O765" i="20"/>
  <c r="M765" i="20"/>
  <c r="S765" i="20"/>
  <c r="Y765" i="20"/>
  <c r="AA765" i="20"/>
  <c r="R765" i="20"/>
  <c r="V765" i="20"/>
  <c r="AC765" i="20"/>
  <c r="T765" i="20"/>
  <c r="L765" i="20"/>
  <c r="K765" i="20"/>
  <c r="J765" i="20"/>
  <c r="AC764" i="20"/>
  <c r="Z764" i="20"/>
  <c r="S764" i="20"/>
  <c r="N764" i="20"/>
  <c r="F764" i="20"/>
  <c r="Y764" i="20"/>
  <c r="J764" i="20"/>
  <c r="L764" i="20"/>
  <c r="R764" i="20"/>
  <c r="V764" i="20"/>
  <c r="C764" i="20"/>
  <c r="B764" i="20"/>
  <c r="D764" i="20"/>
  <c r="E764" i="20"/>
  <c r="H764" i="20"/>
  <c r="AA764" i="20" s="1"/>
  <c r="K764" i="20"/>
  <c r="O764" i="20"/>
  <c r="U764" i="20"/>
  <c r="AB764" i="20"/>
  <c r="T764" i="20"/>
  <c r="M764" i="20"/>
  <c r="I764" i="20"/>
  <c r="G763" i="20"/>
  <c r="D763" i="20"/>
  <c r="V763" i="20"/>
  <c r="C763" i="20"/>
  <c r="E763" i="20"/>
  <c r="F763" i="20"/>
  <c r="H763" i="20"/>
  <c r="I763" i="20"/>
  <c r="J763" i="20"/>
  <c r="L763" i="20"/>
  <c r="O763" i="20"/>
  <c r="S763" i="20"/>
  <c r="T763" i="20"/>
  <c r="K763" i="20"/>
  <c r="M763" i="20"/>
  <c r="N763" i="20"/>
  <c r="AA763" i="20"/>
  <c r="Y763" i="20"/>
  <c r="B763" i="20"/>
  <c r="U763" i="20"/>
  <c r="R763" i="20"/>
  <c r="AB763" i="20"/>
  <c r="Z763" i="20"/>
  <c r="AC763" i="20"/>
  <c r="Z762" i="20"/>
  <c r="T762" i="20"/>
  <c r="N762" i="20"/>
  <c r="K762" i="20"/>
  <c r="I762" i="20"/>
  <c r="E762" i="20"/>
  <c r="B762" i="20"/>
  <c r="J762" i="20"/>
  <c r="O762" i="20"/>
  <c r="Y762" i="20"/>
  <c r="C762" i="20"/>
  <c r="H762" i="20"/>
  <c r="M762" i="20"/>
  <c r="S762" i="20"/>
  <c r="V762" i="20"/>
  <c r="L762" i="20"/>
  <c r="AC762" i="20"/>
  <c r="R762" i="20"/>
  <c r="F762" i="20"/>
  <c r="U762" i="20"/>
  <c r="D762" i="20"/>
  <c r="G762" i="20"/>
  <c r="V761" i="20"/>
  <c r="S761" i="20"/>
  <c r="O761" i="20"/>
  <c r="L761" i="20"/>
  <c r="I761" i="20"/>
  <c r="H761" i="20"/>
  <c r="AB761" i="20" s="1"/>
  <c r="E761" i="20"/>
  <c r="B761" i="20"/>
  <c r="Y761" i="20"/>
  <c r="J761" i="20"/>
  <c r="R761" i="20"/>
  <c r="G761" i="20"/>
  <c r="C761" i="20"/>
  <c r="AC761" i="20"/>
  <c r="M761" i="20"/>
  <c r="N761" i="20"/>
  <c r="K761" i="20"/>
  <c r="F761" i="20"/>
  <c r="D761" i="20"/>
  <c r="AA761" i="20"/>
  <c r="U761" i="20"/>
  <c r="T761" i="20"/>
  <c r="G760" i="20"/>
  <c r="Z760" i="20"/>
  <c r="V760" i="20"/>
  <c r="S760" i="20"/>
  <c r="M760" i="20"/>
  <c r="I760" i="20"/>
  <c r="B760" i="20"/>
  <c r="E760" i="20"/>
  <c r="R760" i="20"/>
  <c r="U760" i="20"/>
  <c r="T760" i="20"/>
  <c r="N760" i="20"/>
  <c r="L760" i="20"/>
  <c r="F760" i="20"/>
  <c r="C760" i="20"/>
  <c r="H760" i="20"/>
  <c r="AB760" i="20" s="1"/>
  <c r="D760" i="20"/>
  <c r="J760" i="20"/>
  <c r="O760" i="20"/>
  <c r="K760" i="20"/>
  <c r="AC760" i="20"/>
  <c r="AA760" i="20"/>
  <c r="Y760" i="20"/>
  <c r="F759" i="20"/>
  <c r="B759" i="20"/>
  <c r="V759" i="20"/>
  <c r="T759" i="20"/>
  <c r="N759" i="20"/>
  <c r="K759" i="20"/>
  <c r="H759" i="20"/>
  <c r="AA759" i="20" s="1"/>
  <c r="AC759" i="20"/>
  <c r="U759" i="20"/>
  <c r="S759" i="20"/>
  <c r="M759" i="20"/>
  <c r="I759" i="20"/>
  <c r="E759" i="20"/>
  <c r="D759" i="20"/>
  <c r="C759" i="20"/>
  <c r="G759" i="20"/>
  <c r="L759" i="20"/>
  <c r="R759" i="20"/>
  <c r="Y759" i="20"/>
  <c r="AB759" i="20"/>
  <c r="Z759" i="20"/>
  <c r="O759" i="20"/>
  <c r="J759" i="20"/>
  <c r="G758" i="20"/>
  <c r="K758" i="20"/>
  <c r="V758" i="20"/>
  <c r="M758" i="20"/>
  <c r="J758" i="20"/>
  <c r="O758" i="20"/>
  <c r="D758" i="20"/>
  <c r="C758" i="20"/>
  <c r="T758" i="20"/>
  <c r="H758" i="20"/>
  <c r="AA758" i="20" s="1"/>
  <c r="AC758" i="20"/>
  <c r="U758" i="20"/>
  <c r="R758" i="20"/>
  <c r="I758" i="20"/>
  <c r="E758" i="20"/>
  <c r="Z758" i="20"/>
  <c r="S758" i="20"/>
  <c r="B758" i="20"/>
  <c r="F758" i="20"/>
  <c r="L758" i="20"/>
  <c r="N758" i="20"/>
  <c r="Y758" i="20"/>
  <c r="AB758" i="20"/>
  <c r="AB757" i="20"/>
  <c r="C757" i="20"/>
  <c r="B757" i="20"/>
  <c r="AA757" i="20"/>
  <c r="Y757" i="20"/>
  <c r="T757" i="20"/>
  <c r="Z757" i="20"/>
  <c r="S757" i="20"/>
  <c r="K757" i="20"/>
  <c r="O757" i="20"/>
  <c r="R757" i="20"/>
  <c r="L757" i="20"/>
  <c r="AC757" i="20"/>
  <c r="I757" i="20"/>
  <c r="D757" i="20"/>
  <c r="H757" i="20"/>
  <c r="M757" i="20"/>
  <c r="U757" i="20"/>
  <c r="V757" i="20"/>
  <c r="G757" i="20"/>
  <c r="N757" i="20"/>
  <c r="J757" i="20"/>
  <c r="F757" i="20"/>
  <c r="E757" i="20"/>
  <c r="V756" i="20"/>
  <c r="S756" i="20"/>
  <c r="M756" i="20"/>
  <c r="E756" i="20"/>
  <c r="B756" i="20"/>
  <c r="D756" i="20"/>
  <c r="H756" i="20"/>
  <c r="AA756" i="20" s="1"/>
  <c r="L756" i="20"/>
  <c r="R756" i="20"/>
  <c r="U756" i="20"/>
  <c r="I756" i="20"/>
  <c r="F756" i="20"/>
  <c r="J756" i="20"/>
  <c r="O756" i="20"/>
  <c r="Z756" i="20"/>
  <c r="AB756" i="20"/>
  <c r="C756" i="20"/>
  <c r="AC756" i="20"/>
  <c r="Y756" i="20"/>
  <c r="T756" i="20"/>
  <c r="N756" i="20"/>
  <c r="K756" i="20"/>
  <c r="G756" i="20"/>
  <c r="T755" i="20"/>
  <c r="R755" i="20"/>
  <c r="M755" i="20"/>
  <c r="Z755" i="20"/>
  <c r="Y755" i="20"/>
  <c r="V755" i="20"/>
  <c r="U755" i="20"/>
  <c r="E755" i="20"/>
  <c r="N755" i="20"/>
  <c r="S755" i="20"/>
  <c r="O755" i="20"/>
  <c r="I755" i="20"/>
  <c r="J755" i="20"/>
  <c r="K755" i="20"/>
  <c r="L755" i="20"/>
  <c r="H755" i="20"/>
  <c r="G755" i="20"/>
  <c r="F755" i="20"/>
  <c r="D755" i="20"/>
  <c r="C755" i="20"/>
  <c r="B755" i="20"/>
  <c r="O754" i="20"/>
  <c r="N754" i="20"/>
  <c r="M754" i="20"/>
  <c r="K754" i="20"/>
  <c r="J754" i="20"/>
  <c r="I754" i="20"/>
  <c r="H754" i="20"/>
  <c r="G754" i="20"/>
  <c r="T754" i="20"/>
  <c r="F754" i="20"/>
  <c r="D754" i="20"/>
  <c r="C754" i="20"/>
  <c r="B754" i="20"/>
  <c r="L754" i="20"/>
  <c r="V754" i="20"/>
  <c r="E754" i="20"/>
  <c r="U754" i="20"/>
  <c r="S754" i="20"/>
  <c r="R754" i="20"/>
  <c r="AC754" i="20"/>
  <c r="AB754" i="20"/>
  <c r="AA754" i="20"/>
  <c r="Z754" i="20"/>
  <c r="Y754" i="20"/>
  <c r="C753" i="20"/>
  <c r="R753" i="20"/>
  <c r="S753" i="20"/>
  <c r="T753" i="20"/>
  <c r="U753" i="20"/>
  <c r="V753" i="20"/>
  <c r="B753" i="20"/>
  <c r="Y753" i="20"/>
  <c r="Z753" i="20"/>
  <c r="AC753" i="20"/>
  <c r="O753" i="20"/>
  <c r="E753" i="20"/>
  <c r="F753" i="20"/>
  <c r="D753" i="20"/>
  <c r="G753" i="20"/>
  <c r="H753" i="20"/>
  <c r="I753" i="20"/>
  <c r="J753" i="20"/>
  <c r="K753" i="20"/>
  <c r="L753" i="20"/>
  <c r="M753" i="20"/>
  <c r="N753" i="20"/>
  <c r="R752" i="20"/>
  <c r="J752" i="20"/>
  <c r="B752" i="20"/>
  <c r="C752" i="20"/>
  <c r="D752" i="20"/>
  <c r="E752" i="20"/>
  <c r="F752" i="20"/>
  <c r="G752" i="20"/>
  <c r="H752" i="20"/>
  <c r="I752" i="20"/>
  <c r="K752" i="20"/>
  <c r="L752" i="20"/>
  <c r="M752" i="20"/>
  <c r="N752" i="20"/>
  <c r="O752" i="20"/>
  <c r="S752" i="20"/>
  <c r="T752" i="20"/>
  <c r="U752" i="20"/>
  <c r="V752" i="20"/>
  <c r="Y752" i="20"/>
  <c r="Z752" i="20"/>
  <c r="AC752" i="20"/>
  <c r="T751" i="20"/>
  <c r="U751" i="20"/>
  <c r="L751" i="20"/>
  <c r="K751" i="20"/>
  <c r="S751" i="20"/>
  <c r="N751" i="20"/>
  <c r="O751" i="20"/>
  <c r="V751" i="20"/>
  <c r="Y751" i="20"/>
  <c r="Z751" i="20"/>
  <c r="J751" i="20"/>
  <c r="AC751" i="20"/>
  <c r="I751" i="20"/>
  <c r="H751" i="20"/>
  <c r="G751" i="20"/>
  <c r="F751" i="20"/>
  <c r="E751" i="20"/>
  <c r="R751" i="20"/>
  <c r="D751" i="20"/>
  <c r="B751" i="20"/>
  <c r="C751" i="20"/>
  <c r="M751" i="20"/>
  <c r="AC750" i="20"/>
  <c r="M750" i="20"/>
  <c r="K750" i="20"/>
  <c r="B750" i="20"/>
  <c r="D750" i="20"/>
  <c r="E750" i="20"/>
  <c r="F750" i="20"/>
  <c r="G750" i="20"/>
  <c r="H750" i="20"/>
  <c r="I750" i="20"/>
  <c r="J750" i="20"/>
  <c r="C750" i="20"/>
  <c r="L750" i="20"/>
  <c r="N750" i="20"/>
  <c r="O750" i="20"/>
  <c r="R750" i="20"/>
  <c r="S750" i="20"/>
  <c r="T750" i="20"/>
  <c r="U750" i="20"/>
  <c r="V750" i="20"/>
  <c r="Y750" i="20"/>
  <c r="Z750" i="20"/>
  <c r="AA750" i="20"/>
  <c r="AB750" i="20"/>
  <c r="AC749" i="20"/>
  <c r="I749" i="20"/>
  <c r="J749" i="20"/>
  <c r="K749" i="20"/>
  <c r="L749" i="20"/>
  <c r="M749" i="20"/>
  <c r="N749" i="20"/>
  <c r="O749" i="20"/>
  <c r="R749" i="20"/>
  <c r="G749" i="20"/>
  <c r="E749" i="20"/>
  <c r="D749" i="20"/>
  <c r="S749" i="20"/>
  <c r="T749" i="20"/>
  <c r="B749" i="20"/>
  <c r="V749" i="20"/>
  <c r="H749" i="20"/>
  <c r="AB749" i="20" s="1"/>
  <c r="C749" i="20"/>
  <c r="Y749" i="20"/>
  <c r="Z749" i="20"/>
  <c r="AA749" i="20"/>
  <c r="F749" i="20"/>
  <c r="U749" i="20"/>
  <c r="B748" i="20"/>
  <c r="H748" i="20"/>
  <c r="AB748" i="20" s="1"/>
  <c r="J748" i="20"/>
  <c r="L748" i="20"/>
  <c r="AA748" i="20"/>
  <c r="V748" i="20"/>
  <c r="K748" i="20"/>
  <c r="D748" i="20"/>
  <c r="AC748" i="20"/>
  <c r="S748" i="20"/>
  <c r="U748" i="20"/>
  <c r="Z748" i="20"/>
  <c r="R748" i="20"/>
  <c r="E748" i="20"/>
  <c r="Y748" i="20"/>
  <c r="T748" i="20"/>
  <c r="M748" i="20"/>
  <c r="N748" i="20"/>
  <c r="O748" i="20"/>
  <c r="I748" i="20"/>
  <c r="G748" i="20"/>
  <c r="C748" i="20"/>
  <c r="K747" i="20"/>
  <c r="C747" i="20"/>
  <c r="H747" i="20"/>
  <c r="M747" i="20"/>
  <c r="AC747" i="20"/>
  <c r="Z747" i="20"/>
  <c r="T747" i="20"/>
  <c r="O747" i="20"/>
  <c r="G747" i="20"/>
  <c r="E747" i="20"/>
  <c r="B747" i="20"/>
  <c r="AA747" i="20"/>
  <c r="V747" i="20"/>
  <c r="R747" i="20"/>
  <c r="J747" i="20"/>
  <c r="D747" i="20"/>
  <c r="U747" i="20"/>
  <c r="N747" i="20"/>
  <c r="AB747" i="20"/>
  <c r="Y747" i="20"/>
  <c r="S747" i="20"/>
  <c r="L747" i="20"/>
  <c r="I747" i="20"/>
  <c r="F747" i="20"/>
  <c r="C746" i="20"/>
  <c r="J746" i="20"/>
  <c r="B746" i="20"/>
  <c r="H746" i="20"/>
  <c r="G746" i="20"/>
  <c r="F746" i="20"/>
  <c r="E746" i="20"/>
  <c r="I746" i="20"/>
  <c r="D746" i="20"/>
  <c r="M745" i="20"/>
  <c r="L745" i="20"/>
  <c r="K745" i="20"/>
  <c r="J745" i="20"/>
  <c r="I745" i="20"/>
  <c r="H745" i="20"/>
  <c r="G745" i="20"/>
  <c r="E745" i="20"/>
  <c r="D745" i="20"/>
  <c r="C745" i="20"/>
  <c r="B745" i="20"/>
  <c r="V745" i="20"/>
  <c r="U745" i="20"/>
  <c r="Y745" i="20"/>
  <c r="Z745" i="20"/>
  <c r="AA745" i="20"/>
  <c r="AB745" i="20"/>
  <c r="AC745" i="20"/>
  <c r="T745" i="20"/>
  <c r="F745" i="20"/>
  <c r="S745" i="20"/>
  <c r="R745" i="20"/>
  <c r="O745" i="20"/>
  <c r="N745" i="20"/>
  <c r="AC744" i="20"/>
  <c r="Z744" i="20"/>
  <c r="Y744" i="20"/>
  <c r="V744" i="20"/>
  <c r="U744" i="20"/>
  <c r="T744" i="20"/>
  <c r="C744" i="20"/>
  <c r="J744" i="20"/>
  <c r="K744" i="20"/>
  <c r="B744" i="20"/>
  <c r="H744" i="20"/>
  <c r="G744" i="20"/>
  <c r="F744" i="20"/>
  <c r="E744" i="20"/>
  <c r="I744" i="20"/>
  <c r="L744" i="20"/>
  <c r="M744" i="20"/>
  <c r="N744" i="20"/>
  <c r="O744" i="20"/>
  <c r="R744" i="20"/>
  <c r="S744" i="20"/>
  <c r="D744" i="20"/>
  <c r="J743" i="20"/>
  <c r="I743" i="20"/>
  <c r="H743" i="20"/>
  <c r="G743" i="20"/>
  <c r="F743" i="20"/>
  <c r="E743" i="20"/>
  <c r="D743" i="20"/>
  <c r="C743" i="20"/>
  <c r="B743" i="20"/>
  <c r="AC743" i="20"/>
  <c r="AB743" i="20"/>
  <c r="AA743" i="20"/>
  <c r="Y743" i="20"/>
  <c r="V743" i="20"/>
  <c r="U743" i="20"/>
  <c r="T743" i="20"/>
  <c r="S743" i="20"/>
  <c r="R743" i="20"/>
  <c r="O743" i="20"/>
  <c r="N743" i="20"/>
  <c r="M743" i="20"/>
  <c r="L743" i="20"/>
  <c r="K743" i="20"/>
  <c r="J742" i="20"/>
  <c r="I742" i="20"/>
  <c r="H742" i="20"/>
  <c r="G742" i="20"/>
  <c r="F742" i="20"/>
  <c r="E742" i="20"/>
  <c r="D742" i="20"/>
  <c r="C742" i="20"/>
  <c r="B742" i="20"/>
  <c r="O742" i="20"/>
  <c r="AB742" i="20"/>
  <c r="AA742" i="20"/>
  <c r="Y742" i="20"/>
  <c r="V742" i="20"/>
  <c r="U742" i="20"/>
  <c r="T742" i="20"/>
  <c r="AC742" i="20"/>
  <c r="S742" i="20"/>
  <c r="R742" i="20"/>
  <c r="N742" i="20"/>
  <c r="M742" i="20"/>
  <c r="L742" i="20"/>
  <c r="K742" i="20"/>
  <c r="AC741" i="20"/>
  <c r="Z741" i="20"/>
  <c r="Y741" i="20"/>
  <c r="V741" i="20"/>
  <c r="U741" i="20"/>
  <c r="S741" i="20"/>
  <c r="R741" i="20"/>
  <c r="O741" i="20"/>
  <c r="N741" i="20"/>
  <c r="M741" i="20"/>
  <c r="L741" i="20"/>
  <c r="G741" i="20"/>
  <c r="F741" i="20"/>
  <c r="E741" i="20"/>
  <c r="D741" i="20"/>
  <c r="T741" i="20"/>
  <c r="K741" i="20"/>
  <c r="B741" i="20"/>
  <c r="J741" i="20"/>
  <c r="I741" i="20"/>
  <c r="H741" i="20"/>
  <c r="C741" i="20"/>
  <c r="K740" i="20"/>
  <c r="J740" i="20"/>
  <c r="I740" i="20"/>
  <c r="H740" i="20"/>
  <c r="G740" i="20"/>
  <c r="F740" i="20"/>
  <c r="E740" i="20"/>
  <c r="D740" i="20"/>
  <c r="C740" i="20"/>
  <c r="B740" i="20"/>
  <c r="AC740" i="20"/>
  <c r="AB740" i="20"/>
  <c r="AA740" i="20"/>
  <c r="Z740" i="20"/>
  <c r="Y740" i="20"/>
  <c r="V740" i="20"/>
  <c r="U740" i="20"/>
  <c r="T740" i="20"/>
  <c r="S740" i="20"/>
  <c r="R740" i="20"/>
  <c r="O740" i="20"/>
  <c r="N740" i="20"/>
  <c r="M740" i="20"/>
  <c r="L740" i="20"/>
  <c r="F739" i="20"/>
  <c r="K739" i="20"/>
  <c r="J739" i="20"/>
  <c r="I739" i="20"/>
  <c r="H739" i="20"/>
  <c r="AB739" i="20" s="1"/>
  <c r="G739" i="20"/>
  <c r="AA739" i="20"/>
  <c r="E739" i="20"/>
  <c r="C739" i="20"/>
  <c r="B739" i="20"/>
  <c r="D739" i="20"/>
  <c r="M739" i="20"/>
  <c r="L739" i="20"/>
  <c r="U739" i="20"/>
  <c r="N739" i="20"/>
  <c r="O739" i="20"/>
  <c r="R739" i="20"/>
  <c r="S739" i="20"/>
  <c r="T739" i="20"/>
  <c r="V739" i="20"/>
  <c r="Y739" i="20"/>
  <c r="Z739" i="20"/>
  <c r="AC739" i="20"/>
  <c r="S738" i="20"/>
  <c r="I738" i="20"/>
  <c r="J738" i="20"/>
  <c r="AC738" i="20"/>
  <c r="Y738" i="20"/>
  <c r="L738" i="20"/>
  <c r="M738" i="20"/>
  <c r="N738" i="20"/>
  <c r="O738" i="20"/>
  <c r="R738" i="20"/>
  <c r="Z738" i="20"/>
  <c r="G738" i="20"/>
  <c r="T738" i="20"/>
  <c r="U738" i="20"/>
  <c r="V738" i="20"/>
  <c r="H738" i="20"/>
  <c r="B738" i="20"/>
  <c r="C738" i="20"/>
  <c r="D738" i="20"/>
  <c r="E738" i="20"/>
  <c r="F738" i="20"/>
  <c r="K738" i="20"/>
  <c r="S737" i="20"/>
  <c r="T737" i="20"/>
  <c r="U737" i="20"/>
  <c r="V737" i="20"/>
  <c r="Y737" i="20"/>
  <c r="Z737" i="20"/>
  <c r="AC737" i="20"/>
  <c r="R737" i="20"/>
  <c r="B737" i="20"/>
  <c r="C737" i="20"/>
  <c r="D737" i="20"/>
  <c r="E737" i="20"/>
  <c r="F737" i="20"/>
  <c r="G737" i="20"/>
  <c r="H737" i="20"/>
  <c r="I737" i="20"/>
  <c r="J737" i="20"/>
  <c r="K737" i="20"/>
  <c r="L737" i="20"/>
  <c r="M737" i="20"/>
  <c r="N737" i="20"/>
  <c r="O737" i="20"/>
  <c r="N736" i="20"/>
  <c r="M736" i="20"/>
  <c r="L736" i="20"/>
  <c r="K736" i="20"/>
  <c r="J736" i="20"/>
  <c r="I736" i="20"/>
  <c r="H736" i="20"/>
  <c r="S736" i="20"/>
  <c r="G736" i="20"/>
  <c r="V736" i="20"/>
  <c r="U736" i="20"/>
  <c r="T736" i="20"/>
  <c r="R736" i="20"/>
  <c r="O736" i="20"/>
  <c r="E736" i="20"/>
  <c r="B736" i="20"/>
  <c r="C736" i="20"/>
  <c r="D736" i="20"/>
  <c r="F736" i="20"/>
  <c r="I735" i="20"/>
  <c r="H735" i="20"/>
  <c r="T735" i="20"/>
  <c r="G735" i="20"/>
  <c r="F735" i="20"/>
  <c r="R735" i="20"/>
  <c r="O735" i="20"/>
  <c r="S735" i="20"/>
  <c r="U735" i="20"/>
  <c r="V735" i="20"/>
  <c r="Y735" i="20"/>
  <c r="AA735" i="20"/>
  <c r="N735" i="20"/>
  <c r="AC735" i="20"/>
  <c r="M735" i="20"/>
  <c r="L735" i="20"/>
  <c r="K735" i="20"/>
  <c r="AB735" i="20"/>
  <c r="J735" i="20"/>
  <c r="E735" i="20"/>
  <c r="D735" i="20"/>
  <c r="C735" i="20"/>
  <c r="B735" i="20"/>
  <c r="J734" i="20"/>
  <c r="AC734" i="20"/>
  <c r="Z734" i="20"/>
  <c r="Y734" i="20"/>
  <c r="V734" i="20"/>
  <c r="U734" i="20"/>
  <c r="T734" i="20"/>
  <c r="S734" i="20"/>
  <c r="R734" i="20"/>
  <c r="O734" i="20"/>
  <c r="N734" i="20"/>
  <c r="M734" i="20"/>
  <c r="L734" i="20"/>
  <c r="K734" i="20"/>
  <c r="I734" i="20"/>
  <c r="H734" i="20"/>
  <c r="G734" i="20"/>
  <c r="F734" i="20"/>
  <c r="E734" i="20"/>
  <c r="D734" i="20"/>
  <c r="C734" i="20"/>
  <c r="B734" i="20"/>
  <c r="G733" i="20"/>
  <c r="U733" i="20"/>
  <c r="V733" i="20"/>
  <c r="H733" i="20"/>
  <c r="I733" i="20"/>
  <c r="J733" i="20"/>
  <c r="B733" i="20"/>
  <c r="C733" i="20"/>
  <c r="D733" i="20"/>
  <c r="E733" i="20"/>
  <c r="Y733" i="20"/>
  <c r="T733" i="20"/>
  <c r="S733" i="20"/>
  <c r="R733" i="20"/>
  <c r="F733" i="20"/>
  <c r="O733" i="20"/>
  <c r="N733" i="20"/>
  <c r="M733" i="20"/>
  <c r="L733" i="20"/>
  <c r="K733" i="20"/>
  <c r="Z733" i="20"/>
  <c r="AA733" i="20"/>
  <c r="AB733" i="20"/>
  <c r="AC733" i="20"/>
  <c r="I732" i="20"/>
  <c r="H732" i="20"/>
  <c r="F732" i="20"/>
  <c r="E732" i="20"/>
  <c r="D732" i="20"/>
  <c r="C732" i="20"/>
  <c r="B732" i="20"/>
  <c r="AC732" i="20"/>
  <c r="L732" i="20"/>
  <c r="Z732" i="20"/>
  <c r="AA732" i="20"/>
  <c r="AB732" i="20"/>
  <c r="G732" i="20"/>
  <c r="Y732" i="20"/>
  <c r="V732" i="20"/>
  <c r="U732" i="20"/>
  <c r="T732" i="20"/>
  <c r="S732" i="20"/>
  <c r="R732" i="20"/>
  <c r="O732" i="20"/>
  <c r="N732" i="20"/>
  <c r="M732" i="20"/>
  <c r="K732" i="20"/>
  <c r="J732" i="20"/>
  <c r="R731" i="20"/>
  <c r="E731" i="20"/>
  <c r="F731" i="20"/>
  <c r="G731" i="20"/>
  <c r="H731" i="20"/>
  <c r="I731" i="20"/>
  <c r="J731" i="20"/>
  <c r="N731" i="20"/>
  <c r="M731" i="20"/>
  <c r="D731" i="20"/>
  <c r="C731" i="20"/>
  <c r="B731" i="20"/>
  <c r="L731" i="20"/>
  <c r="Y731" i="20"/>
  <c r="K731" i="20"/>
  <c r="V731" i="20"/>
  <c r="U731" i="20"/>
  <c r="T731" i="20"/>
  <c r="S731" i="20"/>
  <c r="O731" i="20"/>
  <c r="AC731" i="20"/>
  <c r="AB731" i="20"/>
  <c r="AA731" i="20"/>
  <c r="Z731" i="20"/>
  <c r="D730" i="20"/>
  <c r="E730" i="20"/>
  <c r="F730" i="20"/>
  <c r="G730" i="20"/>
  <c r="H730" i="20"/>
  <c r="I730" i="20"/>
  <c r="J730" i="20"/>
  <c r="K730" i="20"/>
  <c r="M730" i="20"/>
  <c r="L730" i="20"/>
  <c r="B730" i="20"/>
  <c r="N730" i="20"/>
  <c r="O730" i="20"/>
  <c r="R730" i="20"/>
  <c r="S730" i="20"/>
  <c r="T730" i="20"/>
  <c r="U730" i="20"/>
  <c r="V730" i="20"/>
  <c r="Y730" i="20"/>
  <c r="AC730" i="20"/>
  <c r="C730" i="20"/>
  <c r="Y729" i="20"/>
  <c r="V729" i="20"/>
  <c r="U729" i="20"/>
  <c r="T729" i="20"/>
  <c r="S729" i="20"/>
  <c r="R729" i="20"/>
  <c r="O729" i="20"/>
  <c r="N729" i="20"/>
  <c r="M729" i="20"/>
  <c r="L729" i="20"/>
  <c r="K729" i="20"/>
  <c r="J729" i="20"/>
  <c r="I729" i="20"/>
  <c r="H729" i="20"/>
  <c r="F729" i="20"/>
  <c r="E729" i="20"/>
  <c r="D729" i="20"/>
  <c r="C729" i="20"/>
  <c r="B729" i="20"/>
  <c r="G729" i="20"/>
  <c r="AC729" i="20"/>
  <c r="AC728" i="20"/>
  <c r="B728" i="20"/>
  <c r="C728" i="20"/>
  <c r="D728" i="20"/>
  <c r="E728" i="20"/>
  <c r="F728" i="20"/>
  <c r="G728" i="20"/>
  <c r="H728" i="20"/>
  <c r="AB728" i="20" s="1"/>
  <c r="I728" i="20"/>
  <c r="J728" i="20"/>
  <c r="K728" i="20"/>
  <c r="L728" i="20"/>
  <c r="M728" i="20"/>
  <c r="N728" i="20"/>
  <c r="O728" i="20"/>
  <c r="R728" i="20"/>
  <c r="S728" i="20"/>
  <c r="T728" i="20"/>
  <c r="U728" i="20"/>
  <c r="V728" i="20"/>
  <c r="Y728" i="20"/>
  <c r="AA728" i="20"/>
  <c r="AB727" i="20"/>
  <c r="AA727" i="20"/>
  <c r="D726" i="20"/>
  <c r="E726" i="20"/>
  <c r="F726" i="20"/>
  <c r="H726" i="20"/>
  <c r="I726" i="20"/>
  <c r="J726" i="20"/>
  <c r="K726" i="20"/>
  <c r="L726" i="20"/>
  <c r="M726" i="20"/>
  <c r="N726" i="20"/>
  <c r="O726" i="20"/>
  <c r="R726" i="20"/>
  <c r="S726" i="20"/>
  <c r="T726" i="20"/>
  <c r="U726" i="20"/>
  <c r="Y726" i="20"/>
  <c r="C726" i="20"/>
  <c r="Z726" i="20"/>
  <c r="AA726" i="20"/>
  <c r="AB726" i="20"/>
  <c r="AC726" i="20"/>
  <c r="B726" i="20"/>
  <c r="V726" i="20"/>
  <c r="G726" i="20"/>
  <c r="D725" i="20"/>
  <c r="C725" i="20"/>
  <c r="B725" i="20"/>
  <c r="I725" i="20"/>
  <c r="J725" i="20"/>
  <c r="K725" i="20"/>
  <c r="L725" i="20"/>
  <c r="M725" i="20"/>
  <c r="N725" i="20"/>
  <c r="O725" i="20"/>
  <c r="R725" i="20"/>
  <c r="S725" i="20"/>
  <c r="T725" i="20"/>
  <c r="U725" i="20"/>
  <c r="V725" i="20"/>
  <c r="Z725" i="20"/>
  <c r="AC725" i="20"/>
  <c r="Y725" i="20"/>
  <c r="G725" i="20"/>
  <c r="H725" i="20"/>
  <c r="F725" i="20"/>
  <c r="E725" i="20"/>
  <c r="I49" i="1"/>
  <c r="Z49" i="1"/>
  <c r="AA31" i="1"/>
  <c r="N31" i="1"/>
  <c r="C31" i="1"/>
  <c r="AB29" i="1"/>
  <c r="N29" i="1"/>
  <c r="C29" i="1"/>
  <c r="AB27" i="1"/>
  <c r="O27" i="1"/>
  <c r="D27" i="1"/>
  <c r="C20" i="1"/>
  <c r="M20" i="1"/>
  <c r="C16" i="1"/>
  <c r="M16" i="1"/>
  <c r="F16" i="1"/>
  <c r="R16" i="1"/>
  <c r="AB16" i="1"/>
  <c r="G16" i="1"/>
  <c r="S16" i="1"/>
  <c r="AC16" i="1"/>
  <c r="H16" i="1"/>
  <c r="T16" i="1"/>
  <c r="L16" i="1" s="1"/>
  <c r="B4" i="1"/>
  <c r="J4" i="1"/>
  <c r="V4" i="1"/>
  <c r="C4" i="1"/>
  <c r="M4" i="1"/>
  <c r="D4" i="1"/>
  <c r="N4" i="1"/>
  <c r="AA4" i="1"/>
  <c r="E4" i="1"/>
  <c r="O4" i="1"/>
  <c r="AB4" i="1"/>
  <c r="F4" i="1"/>
  <c r="R4" i="1"/>
  <c r="AC4" i="1"/>
  <c r="G4" i="1"/>
  <c r="S4" i="1"/>
  <c r="M47" i="1"/>
  <c r="C47" i="1"/>
  <c r="M39" i="1"/>
  <c r="C39" i="1"/>
  <c r="AC2" i="1"/>
  <c r="S2" i="1"/>
  <c r="V47" i="1"/>
  <c r="J47" i="1"/>
  <c r="B47" i="1"/>
  <c r="T45" i="1"/>
  <c r="L45" i="1" s="1"/>
  <c r="H45" i="1"/>
  <c r="I45" i="1" s="1"/>
  <c r="V39" i="1"/>
  <c r="J39" i="1"/>
  <c r="B39" i="1"/>
  <c r="T38" i="1"/>
  <c r="L38" i="1" s="1"/>
  <c r="H38" i="1"/>
  <c r="I38" i="1" s="1"/>
  <c r="M31" i="1"/>
  <c r="B31" i="1"/>
  <c r="Z29" i="1"/>
  <c r="M29" i="1"/>
  <c r="B29" i="1"/>
  <c r="AA27" i="1"/>
  <c r="N27" i="1"/>
  <c r="B27" i="1"/>
  <c r="H24" i="1"/>
  <c r="T24" i="1"/>
  <c r="L24" i="1" s="1"/>
  <c r="F22" i="1"/>
  <c r="R22" i="1"/>
  <c r="AB22" i="1"/>
  <c r="V20" i="1"/>
  <c r="I20" i="1"/>
  <c r="O16" i="1"/>
  <c r="U20" i="1"/>
  <c r="H20" i="1"/>
  <c r="N16" i="1"/>
  <c r="K15" i="1" s="1"/>
  <c r="H13" i="1"/>
  <c r="T13" i="1"/>
  <c r="L13" i="1" s="1"/>
  <c r="C13" i="1"/>
  <c r="M13" i="1"/>
  <c r="D13" i="1"/>
  <c r="N13" i="1"/>
  <c r="Z13" i="1"/>
  <c r="E13" i="1"/>
  <c r="O13" i="1"/>
  <c r="AA13" i="1"/>
  <c r="T47" i="1"/>
  <c r="L47" i="1" s="1"/>
  <c r="H47" i="1"/>
  <c r="I47" i="1" s="1"/>
  <c r="AC46" i="1"/>
  <c r="S46" i="1"/>
  <c r="G46" i="1"/>
  <c r="AB45" i="1"/>
  <c r="R45" i="1"/>
  <c r="F45" i="1"/>
  <c r="AA44" i="1"/>
  <c r="O44" i="1"/>
  <c r="E44" i="1"/>
  <c r="U40" i="1"/>
  <c r="I40" i="1"/>
  <c r="T39" i="1"/>
  <c r="L39" i="1" s="1"/>
  <c r="H39" i="1"/>
  <c r="I39" i="1" s="1"/>
  <c r="AC38" i="1"/>
  <c r="R38" i="1"/>
  <c r="F38" i="1"/>
  <c r="D36" i="1"/>
  <c r="N36" i="1"/>
  <c r="Z36" i="1"/>
  <c r="V27" i="1"/>
  <c r="U24" i="1"/>
  <c r="G24" i="1"/>
  <c r="U22" i="1"/>
  <c r="H22" i="1"/>
  <c r="T20" i="1"/>
  <c r="L20" i="1" s="1"/>
  <c r="G20" i="1"/>
  <c r="J16" i="1"/>
  <c r="B15" i="1"/>
  <c r="J15" i="1"/>
  <c r="V15" i="1"/>
  <c r="E15" i="1"/>
  <c r="O15" i="1"/>
  <c r="AA15" i="1"/>
  <c r="F15" i="1"/>
  <c r="R15" i="1"/>
  <c r="AB15" i="1"/>
  <c r="G15" i="1"/>
  <c r="S15" i="1"/>
  <c r="AC15" i="1"/>
  <c r="S13" i="1"/>
  <c r="C27" i="1"/>
  <c r="M27" i="1"/>
  <c r="AA2" i="1"/>
  <c r="O2" i="1"/>
  <c r="E2" i="1"/>
  <c r="Z51" i="1"/>
  <c r="T48" i="1"/>
  <c r="L48" i="1" s="1"/>
  <c r="H48" i="1"/>
  <c r="AC47" i="1"/>
  <c r="S47" i="1"/>
  <c r="G47" i="1"/>
  <c r="AB46" i="1"/>
  <c r="R46" i="1"/>
  <c r="F46" i="1"/>
  <c r="AA45" i="1"/>
  <c r="O45" i="1"/>
  <c r="E45" i="1"/>
  <c r="Z44" i="1"/>
  <c r="N44" i="1"/>
  <c r="D44" i="1"/>
  <c r="M43" i="1"/>
  <c r="C43" i="1"/>
  <c r="T40" i="1"/>
  <c r="L40" i="1" s="1"/>
  <c r="H40" i="1"/>
  <c r="Z40" i="1" s="1"/>
  <c r="AC39" i="1"/>
  <c r="S39" i="1"/>
  <c r="G39" i="1"/>
  <c r="AB38" i="1"/>
  <c r="O38" i="1"/>
  <c r="E38" i="1"/>
  <c r="Z37" i="1"/>
  <c r="V36" i="1"/>
  <c r="I36" i="1"/>
  <c r="U31" i="1"/>
  <c r="H31" i="1"/>
  <c r="Z31" i="1" s="1"/>
  <c r="U29" i="1"/>
  <c r="H29" i="1"/>
  <c r="I29" i="1" s="1"/>
  <c r="U27" i="1"/>
  <c r="H27" i="1"/>
  <c r="Z27" i="1" s="1"/>
  <c r="S24" i="1"/>
  <c r="F24" i="1"/>
  <c r="M23" i="1"/>
  <c r="T22" i="1"/>
  <c r="L22" i="1" s="1"/>
  <c r="G22" i="1"/>
  <c r="M21" i="1"/>
  <c r="S20" i="1"/>
  <c r="F20" i="1"/>
  <c r="I16" i="1"/>
  <c r="T15" i="1"/>
  <c r="L15" i="1" s="1"/>
  <c r="R13" i="1"/>
  <c r="C9" i="1"/>
  <c r="M9" i="1"/>
  <c r="D9" i="1"/>
  <c r="N9" i="1"/>
  <c r="F9" i="1"/>
  <c r="R9" i="1"/>
  <c r="AB9" i="1"/>
  <c r="G9" i="1"/>
  <c r="S9" i="1"/>
  <c r="AC9" i="1"/>
  <c r="H9" i="1"/>
  <c r="I9" i="1" s="1"/>
  <c r="T9" i="1"/>
  <c r="L9" i="1" s="1"/>
  <c r="B8" i="1"/>
  <c r="J8" i="1"/>
  <c r="V8" i="1"/>
  <c r="C8" i="1"/>
  <c r="M8" i="1"/>
  <c r="E8" i="1"/>
  <c r="O8" i="1"/>
  <c r="AA8" i="1"/>
  <c r="F8" i="1"/>
  <c r="R8" i="1"/>
  <c r="AB8" i="1"/>
  <c r="G8" i="1"/>
  <c r="S8" i="1"/>
  <c r="AC8" i="1"/>
  <c r="U4" i="1"/>
  <c r="B34" i="1"/>
  <c r="J34" i="1"/>
  <c r="V34" i="1"/>
  <c r="V31" i="1"/>
  <c r="I31" i="1"/>
  <c r="V29" i="1"/>
  <c r="Z2" i="1"/>
  <c r="N2" i="1"/>
  <c r="D2" i="1"/>
  <c r="M51" i="1"/>
  <c r="C51" i="1"/>
  <c r="M2" i="1"/>
  <c r="C2" i="1"/>
  <c r="V51" i="1"/>
  <c r="J51" i="1"/>
  <c r="T49" i="1"/>
  <c r="L49" i="1" s="1"/>
  <c r="AC48" i="1"/>
  <c r="S48" i="1"/>
  <c r="G48" i="1"/>
  <c r="AB47" i="1"/>
  <c r="R47" i="1"/>
  <c r="F47" i="1"/>
  <c r="K47" i="1" s="1"/>
  <c r="AA46" i="1"/>
  <c r="O46" i="1"/>
  <c r="E46" i="1"/>
  <c r="Z45" i="1"/>
  <c r="N45" i="1"/>
  <c r="D45" i="1"/>
  <c r="M44" i="1"/>
  <c r="C44" i="1"/>
  <c r="V43" i="1"/>
  <c r="J43" i="1"/>
  <c r="T41" i="1"/>
  <c r="L41" i="1" s="1"/>
  <c r="H41" i="1"/>
  <c r="AC40" i="1"/>
  <c r="S40" i="1"/>
  <c r="G40" i="1"/>
  <c r="AB39" i="1"/>
  <c r="R39" i="1"/>
  <c r="F39" i="1"/>
  <c r="AA38" i="1"/>
  <c r="N38" i="1"/>
  <c r="D38" i="1"/>
  <c r="U36" i="1"/>
  <c r="H36" i="1"/>
  <c r="U34" i="1"/>
  <c r="H34" i="1"/>
  <c r="Z34" i="1" s="1"/>
  <c r="T31" i="1"/>
  <c r="L31" i="1" s="1"/>
  <c r="F31" i="1"/>
  <c r="T29" i="1"/>
  <c r="L29" i="1" s="1"/>
  <c r="G29" i="1"/>
  <c r="T27" i="1"/>
  <c r="L27" i="1" s="1"/>
  <c r="G27" i="1"/>
  <c r="AC24" i="1"/>
  <c r="R24" i="1"/>
  <c r="E24" i="1"/>
  <c r="G23" i="1"/>
  <c r="S23" i="1"/>
  <c r="AC23" i="1"/>
  <c r="S22" i="1"/>
  <c r="E22" i="1"/>
  <c r="E21" i="1"/>
  <c r="O21" i="1"/>
  <c r="AA21" i="1"/>
  <c r="R20" i="1"/>
  <c r="E20" i="1"/>
  <c r="AA16" i="1"/>
  <c r="E16" i="1"/>
  <c r="N15" i="1"/>
  <c r="J13" i="1"/>
  <c r="T4" i="1"/>
  <c r="L4" i="1" s="1"/>
  <c r="V2" i="1"/>
  <c r="J2" i="1"/>
  <c r="AB48" i="1"/>
  <c r="R48" i="1"/>
  <c r="AA47" i="1"/>
  <c r="O47" i="1"/>
  <c r="E47" i="1"/>
  <c r="Z46" i="1"/>
  <c r="N46" i="1"/>
  <c r="M45" i="1"/>
  <c r="C45" i="1"/>
  <c r="V44" i="1"/>
  <c r="J44" i="1"/>
  <c r="AC41" i="1"/>
  <c r="S41" i="1"/>
  <c r="AB40" i="1"/>
  <c r="R40" i="1"/>
  <c r="F40" i="1"/>
  <c r="AA39" i="1"/>
  <c r="O39" i="1"/>
  <c r="E39" i="1"/>
  <c r="M38" i="1"/>
  <c r="C38" i="1"/>
  <c r="T36" i="1"/>
  <c r="L36" i="1" s="1"/>
  <c r="G36" i="1"/>
  <c r="T34" i="1"/>
  <c r="L34" i="1" s="1"/>
  <c r="G34" i="1"/>
  <c r="H32" i="1"/>
  <c r="Z32" i="1" s="1"/>
  <c r="T32" i="1"/>
  <c r="L32" i="1" s="1"/>
  <c r="R31" i="1"/>
  <c r="F30" i="1"/>
  <c r="R30" i="1"/>
  <c r="AB30" i="1"/>
  <c r="S29" i="1"/>
  <c r="D28" i="1"/>
  <c r="N28" i="1"/>
  <c r="Z28" i="1"/>
  <c r="S27" i="1"/>
  <c r="F27" i="1"/>
  <c r="B26" i="1"/>
  <c r="J26" i="1"/>
  <c r="V26" i="1"/>
  <c r="AB24" i="1"/>
  <c r="O24" i="1"/>
  <c r="D24" i="1"/>
  <c r="V23" i="1"/>
  <c r="AC22" i="1"/>
  <c r="O22" i="1"/>
  <c r="D22" i="1"/>
  <c r="V21" i="1"/>
  <c r="AC20" i="1"/>
  <c r="O20" i="1"/>
  <c r="D20" i="1"/>
  <c r="Z16" i="1"/>
  <c r="D16" i="1"/>
  <c r="M15" i="1"/>
  <c r="I13" i="1"/>
  <c r="U9" i="1"/>
  <c r="U8" i="1"/>
  <c r="G31" i="1"/>
  <c r="S31" i="1"/>
  <c r="AC31" i="1"/>
  <c r="E29" i="1"/>
  <c r="O29" i="1"/>
  <c r="AA29" i="1"/>
  <c r="Z47" i="1"/>
  <c r="N47" i="1"/>
  <c r="V45" i="1"/>
  <c r="J45" i="1"/>
  <c r="AA40" i="1"/>
  <c r="O40" i="1"/>
  <c r="Z39" i="1"/>
  <c r="N39" i="1"/>
  <c r="V38" i="1"/>
  <c r="J38" i="1"/>
  <c r="S36" i="1"/>
  <c r="F36" i="1"/>
  <c r="C35" i="1"/>
  <c r="M35" i="1"/>
  <c r="S34" i="1"/>
  <c r="F34" i="1"/>
  <c r="Z33" i="1"/>
  <c r="V32" i="1"/>
  <c r="I32" i="1"/>
  <c r="AB31" i="1"/>
  <c r="O31" i="1"/>
  <c r="D31" i="1"/>
  <c r="V30" i="1"/>
  <c r="I30" i="1"/>
  <c r="AC29" i="1"/>
  <c r="R29" i="1"/>
  <c r="D29" i="1"/>
  <c r="V28" i="1"/>
  <c r="I28" i="1"/>
  <c r="AC27" i="1"/>
  <c r="R27" i="1"/>
  <c r="E27" i="1"/>
  <c r="I26" i="1"/>
  <c r="AA24" i="1"/>
  <c r="N24" i="1"/>
  <c r="C24" i="1"/>
  <c r="U23" i="1"/>
  <c r="H23" i="1"/>
  <c r="I23" i="1" s="1"/>
  <c r="AA22" i="1"/>
  <c r="N22" i="1"/>
  <c r="C22" i="1"/>
  <c r="U21" i="1"/>
  <c r="H21" i="1"/>
  <c r="Z21" i="1" s="1"/>
  <c r="AB20" i="1"/>
  <c r="N20" i="1"/>
  <c r="B20" i="1"/>
  <c r="V16" i="1"/>
  <c r="B16" i="1"/>
  <c r="I15" i="1"/>
  <c r="AC13" i="1"/>
  <c r="G13" i="1"/>
  <c r="O9" i="1"/>
  <c r="T8" i="1"/>
  <c r="L8" i="1" s="1"/>
  <c r="H4" i="1"/>
  <c r="I4" i="1" s="1"/>
  <c r="T17" i="1"/>
  <c r="L17" i="1" s="1"/>
  <c r="H17" i="1"/>
  <c r="I17" i="1" s="1"/>
  <c r="T10" i="1"/>
  <c r="L10" i="1" s="1"/>
  <c r="H10" i="1"/>
  <c r="I10" i="1" s="1"/>
  <c r="T5" i="1"/>
  <c r="L5" i="1" s="1"/>
  <c r="H5" i="1"/>
  <c r="I5" i="1" s="1"/>
  <c r="AA3" i="1"/>
  <c r="T18" i="1"/>
  <c r="L18" i="1" s="1"/>
  <c r="H18" i="1"/>
  <c r="AC17" i="1"/>
  <c r="S17" i="1"/>
  <c r="G17" i="1"/>
  <c r="Z14" i="1"/>
  <c r="N14" i="1"/>
  <c r="T11" i="1"/>
  <c r="L11" i="1" s="1"/>
  <c r="H11" i="1"/>
  <c r="AC10" i="1"/>
  <c r="S10" i="1"/>
  <c r="G10" i="1"/>
  <c r="S5" i="1"/>
  <c r="G5" i="1"/>
  <c r="Z3" i="1"/>
  <c r="N3" i="1"/>
  <c r="D3" i="1"/>
  <c r="AC5" i="1"/>
  <c r="R5" i="1"/>
  <c r="F5" i="1"/>
  <c r="AB11" i="1"/>
  <c r="R11" i="1"/>
  <c r="AA10" i="1"/>
  <c r="O10" i="1"/>
  <c r="E10" i="1"/>
  <c r="S6" i="1"/>
  <c r="AB5" i="1"/>
  <c r="O5" i="1"/>
  <c r="E5" i="1"/>
  <c r="V3" i="1"/>
  <c r="J3" i="1"/>
  <c r="AA18" i="1"/>
  <c r="O18" i="1"/>
  <c r="Z17" i="1"/>
  <c r="N17" i="1"/>
  <c r="N10" i="1"/>
  <c r="AA5" i="1"/>
  <c r="N5" i="1"/>
  <c r="K51" i="1"/>
  <c r="K45" i="1"/>
  <c r="K38" i="1"/>
  <c r="K37" i="1"/>
  <c r="K29" i="1"/>
  <c r="K21" i="1"/>
  <c r="K13" i="1"/>
  <c r="K9" i="1"/>
  <c r="K5" i="1"/>
  <c r="K3" i="1"/>
  <c r="K2" i="1"/>
  <c r="Z51" i="20" l="1"/>
  <c r="I51" i="20"/>
  <c r="Y51" i="20"/>
  <c r="K51" i="20"/>
  <c r="K50" i="20"/>
  <c r="Y50" i="20"/>
  <c r="Z50" i="20"/>
  <c r="I50" i="20"/>
  <c r="K49" i="20"/>
  <c r="Y49" i="20"/>
  <c r="Z47" i="20"/>
  <c r="I47" i="20"/>
  <c r="Z46" i="20"/>
  <c r="I46" i="20"/>
  <c r="Y46" i="20"/>
  <c r="K46" i="20"/>
  <c r="I45" i="20"/>
  <c r="Z45" i="20"/>
  <c r="Z43" i="20"/>
  <c r="I43" i="20"/>
  <c r="I42" i="20"/>
  <c r="Z42" i="20"/>
  <c r="K42" i="20"/>
  <c r="Y42" i="20"/>
  <c r="I39" i="20"/>
  <c r="Z39" i="20"/>
  <c r="Y37" i="20"/>
  <c r="K37" i="20"/>
  <c r="Z37" i="20"/>
  <c r="I37" i="20"/>
  <c r="K36" i="20"/>
  <c r="Y36" i="20"/>
  <c r="Z35" i="20"/>
  <c r="I35" i="20"/>
  <c r="Y34" i="20"/>
  <c r="K34" i="20"/>
  <c r="I32" i="20"/>
  <c r="Z32" i="20"/>
  <c r="Y30" i="20"/>
  <c r="K30" i="20"/>
  <c r="I29" i="20"/>
  <c r="Z29" i="20"/>
  <c r="K29" i="20"/>
  <c r="Y29" i="20"/>
  <c r="K28" i="20"/>
  <c r="Y28" i="20"/>
  <c r="I27" i="20"/>
  <c r="Z27" i="20"/>
  <c r="Z25" i="20"/>
  <c r="I25" i="20"/>
  <c r="Z23" i="20"/>
  <c r="I23" i="20"/>
  <c r="Y23" i="20"/>
  <c r="K23" i="20"/>
  <c r="K22" i="20"/>
  <c r="Y22" i="20"/>
  <c r="Z21" i="20"/>
  <c r="I21" i="20"/>
  <c r="Y20" i="20"/>
  <c r="K20" i="20"/>
  <c r="Y19" i="20"/>
  <c r="K19" i="20"/>
  <c r="K18" i="20"/>
  <c r="Y18" i="20"/>
  <c r="I17" i="20"/>
  <c r="Z17" i="20"/>
  <c r="Y16" i="20"/>
  <c r="K16" i="20"/>
  <c r="Z15" i="20"/>
  <c r="I15" i="20"/>
  <c r="Y14" i="20"/>
  <c r="K14" i="20"/>
  <c r="K12" i="20"/>
  <c r="Y12" i="20"/>
  <c r="I9" i="20"/>
  <c r="Z9" i="20"/>
  <c r="Z8" i="20"/>
  <c r="I8" i="20"/>
  <c r="K35" i="20"/>
  <c r="K47" i="20"/>
  <c r="K48" i="20"/>
  <c r="K44" i="20"/>
  <c r="K11" i="20"/>
  <c r="K13" i="20"/>
  <c r="K15" i="20"/>
  <c r="K26" i="20"/>
  <c r="K6" i="20"/>
  <c r="K40" i="20"/>
  <c r="K33" i="20"/>
  <c r="K32" i="20"/>
  <c r="K25" i="20"/>
  <c r="K7" i="20"/>
  <c r="K24" i="20"/>
  <c r="K45" i="20"/>
  <c r="K21" i="20"/>
  <c r="K17" i="20"/>
  <c r="K31" i="20"/>
  <c r="AB3" i="20"/>
  <c r="Z3" i="20"/>
  <c r="AA3" i="20"/>
  <c r="I3" i="20"/>
  <c r="K2" i="20"/>
  <c r="K3" i="20"/>
  <c r="AB746" i="20"/>
  <c r="AA746" i="20"/>
  <c r="AB736" i="20"/>
  <c r="AA736" i="20"/>
  <c r="AB771" i="20"/>
  <c r="AA771" i="20"/>
  <c r="AA770" i="20"/>
  <c r="AB770" i="20"/>
  <c r="AB768" i="20"/>
  <c r="AA768" i="20"/>
  <c r="AB762" i="20"/>
  <c r="AA762" i="20"/>
  <c r="AB755" i="20"/>
  <c r="AA755" i="20"/>
  <c r="AB753" i="20"/>
  <c r="AA753" i="20"/>
  <c r="AB752" i="20"/>
  <c r="AA752" i="20"/>
  <c r="AA751" i="20"/>
  <c r="AB751" i="20"/>
  <c r="AA744" i="20"/>
  <c r="AB744" i="20"/>
  <c r="AB741" i="20"/>
  <c r="AA741" i="20"/>
  <c r="AA738" i="20"/>
  <c r="AB738" i="20"/>
  <c r="AB737" i="20"/>
  <c r="AA737" i="20"/>
  <c r="AB734" i="20"/>
  <c r="AA734" i="20"/>
  <c r="AA730" i="20"/>
  <c r="AB730" i="20"/>
  <c r="AB729" i="20"/>
  <c r="AA729" i="20"/>
  <c r="AA725" i="20"/>
  <c r="AB725" i="20"/>
  <c r="K6" i="1"/>
  <c r="K30" i="1"/>
  <c r="K8" i="1"/>
  <c r="K16" i="1"/>
  <c r="K24" i="1"/>
  <c r="K32" i="1"/>
  <c r="K40" i="1"/>
  <c r="K48" i="1"/>
  <c r="I22" i="1"/>
  <c r="Z22" i="1"/>
  <c r="K17" i="1"/>
  <c r="K33" i="1"/>
  <c r="K49" i="1"/>
  <c r="I18" i="1"/>
  <c r="Z18" i="1"/>
  <c r="K25" i="1"/>
  <c r="K41" i="1"/>
  <c r="K10" i="1"/>
  <c r="K18" i="1"/>
  <c r="K26" i="1"/>
  <c r="K34" i="1"/>
  <c r="K42" i="1"/>
  <c r="K50" i="1"/>
  <c r="I11" i="1"/>
  <c r="Z11" i="1"/>
  <c r="I21" i="1"/>
  <c r="Z9" i="1"/>
  <c r="Z23" i="1"/>
  <c r="K11" i="1"/>
  <c r="K19" i="1"/>
  <c r="K27" i="1"/>
  <c r="K35" i="1"/>
  <c r="K43" i="1"/>
  <c r="K4" i="1"/>
  <c r="K12" i="1"/>
  <c r="K20" i="1"/>
  <c r="K28" i="1"/>
  <c r="K36" i="1"/>
  <c r="K44" i="1"/>
  <c r="I34" i="1"/>
  <c r="I27" i="1"/>
  <c r="K46" i="1"/>
  <c r="I41" i="1"/>
  <c r="Z41" i="1"/>
  <c r="K14" i="1"/>
  <c r="K22" i="1"/>
  <c r="K7" i="1"/>
  <c r="K23" i="1"/>
  <c r="K31" i="1"/>
  <c r="K39" i="1"/>
  <c r="Z10" i="1"/>
  <c r="I48" i="1"/>
  <c r="Z48" i="1"/>
  <c r="I24" i="1"/>
  <c r="Z24" i="1"/>
  <c r="Y280" i="23" a="1"/>
  <c r="BS627" i="23"/>
  <c r="F51" i="27"/>
  <c r="H51" i="27" s="1"/>
  <c r="G51" i="27"/>
  <c r="I51" i="27" s="1"/>
  <c r="F52" i="27"/>
  <c r="H52" i="27" s="1"/>
  <c r="G52" i="27"/>
  <c r="I52" i="27" s="1"/>
  <c r="F53" i="27"/>
  <c r="H53" i="27" s="1"/>
  <c r="G53" i="27"/>
  <c r="I53" i="27" s="1"/>
  <c r="F54" i="27"/>
  <c r="H54" i="27" s="1"/>
  <c r="G54" i="27"/>
  <c r="I54" i="27" s="1"/>
  <c r="F55" i="27"/>
  <c r="H55" i="27" s="1"/>
  <c r="G55" i="27"/>
  <c r="I55" i="27" s="1"/>
  <c r="F56" i="27"/>
  <c r="H56" i="27" s="1"/>
  <c r="G56" i="27"/>
  <c r="I56" i="27" s="1"/>
  <c r="F57" i="27"/>
  <c r="H57" i="27" s="1"/>
  <c r="G57" i="27"/>
  <c r="I57" i="27" s="1"/>
  <c r="F58" i="27"/>
  <c r="H58" i="27" s="1"/>
  <c r="G58" i="27"/>
  <c r="I58" i="27" s="1"/>
  <c r="F59" i="27"/>
  <c r="H59" i="27" s="1"/>
  <c r="G59" i="27"/>
  <c r="I59" i="27" s="1"/>
  <c r="F60" i="27"/>
  <c r="H60" i="27" s="1"/>
  <c r="G60" i="27"/>
  <c r="I60" i="27" s="1"/>
  <c r="F61" i="27"/>
  <c r="H61" i="27" s="1"/>
  <c r="G61" i="27"/>
  <c r="I61" i="27" s="1"/>
  <c r="F62" i="27"/>
  <c r="H62" i="27" s="1"/>
  <c r="G62" i="27"/>
  <c r="I62" i="27" s="1"/>
  <c r="F63" i="27"/>
  <c r="H63" i="27" s="1"/>
  <c r="G63" i="27"/>
  <c r="I63" i="27" s="1"/>
  <c r="F64" i="27"/>
  <c r="H64" i="27" s="1"/>
  <c r="G64" i="27"/>
  <c r="I64" i="27" s="1"/>
  <c r="F65" i="27"/>
  <c r="H65" i="27" s="1"/>
  <c r="G65" i="27"/>
  <c r="I65" i="27" s="1"/>
  <c r="F66" i="27"/>
  <c r="H66" i="27" s="1"/>
  <c r="G66" i="27"/>
  <c r="I66" i="27" s="1"/>
  <c r="F67" i="27"/>
  <c r="H67" i="27" s="1"/>
  <c r="G67" i="27"/>
  <c r="I67" i="27" s="1"/>
  <c r="F68" i="27"/>
  <c r="H68" i="27" s="1"/>
  <c r="G68" i="27"/>
  <c r="I68" i="27" s="1"/>
  <c r="F69" i="27"/>
  <c r="H69" i="27" s="1"/>
  <c r="G69" i="27"/>
  <c r="I69" i="27" s="1"/>
  <c r="F70" i="27"/>
  <c r="H70" i="27" s="1"/>
  <c r="G70" i="27"/>
  <c r="I70" i="27" s="1"/>
  <c r="F71" i="27"/>
  <c r="H71" i="27" s="1"/>
  <c r="G71" i="27"/>
  <c r="I71" i="27" s="1"/>
  <c r="F72" i="27"/>
  <c r="H72" i="27" s="1"/>
  <c r="G72" i="27"/>
  <c r="I72" i="27" s="1"/>
  <c r="F73" i="27"/>
  <c r="H73" i="27" s="1"/>
  <c r="G73" i="27"/>
  <c r="I73" i="27" s="1"/>
  <c r="F74" i="27"/>
  <c r="H74" i="27" s="1"/>
  <c r="G74" i="27"/>
  <c r="I74" i="27" s="1"/>
  <c r="F75" i="27"/>
  <c r="H75" i="27" s="1"/>
  <c r="G75" i="27"/>
  <c r="I75" i="27" s="1"/>
  <c r="F76" i="27"/>
  <c r="H76" i="27" s="1"/>
  <c r="G76" i="27"/>
  <c r="I76" i="27" s="1"/>
  <c r="F77" i="27"/>
  <c r="H77" i="27" s="1"/>
  <c r="G77" i="27"/>
  <c r="I77" i="27" s="1"/>
  <c r="F78" i="27"/>
  <c r="H78" i="27" s="1"/>
  <c r="G78" i="27"/>
  <c r="I78" i="27" s="1"/>
  <c r="F79" i="27"/>
  <c r="H79" i="27" s="1"/>
  <c r="G79" i="27"/>
  <c r="I79" i="27" s="1"/>
  <c r="F80" i="27"/>
  <c r="H80" i="27" s="1"/>
  <c r="G80" i="27"/>
  <c r="I80" i="27" s="1"/>
  <c r="F81" i="27"/>
  <c r="H81" i="27" s="1"/>
  <c r="G81" i="27"/>
  <c r="I81" i="27" s="1"/>
  <c r="F82" i="27"/>
  <c r="H82" i="27" s="1"/>
  <c r="G82" i="27"/>
  <c r="I82" i="27" s="1"/>
  <c r="F83" i="27"/>
  <c r="H83" i="27" s="1"/>
  <c r="G83" i="27"/>
  <c r="I83" i="27" s="1"/>
  <c r="F84" i="27"/>
  <c r="H84" i="27" s="1"/>
  <c r="G84" i="27"/>
  <c r="I84" i="27" s="1"/>
  <c r="F85" i="27"/>
  <c r="H85" i="27" s="1"/>
  <c r="G85" i="27"/>
  <c r="I85" i="27" s="1"/>
  <c r="F86" i="27"/>
  <c r="H86" i="27" s="1"/>
  <c r="G86" i="27"/>
  <c r="I86" i="27" s="1"/>
  <c r="F87" i="27"/>
  <c r="H87" i="27" s="1"/>
  <c r="G87" i="27"/>
  <c r="I87" i="27" s="1"/>
  <c r="F88" i="27"/>
  <c r="H88" i="27" s="1"/>
  <c r="G88" i="27"/>
  <c r="I88" i="27" s="1"/>
  <c r="F89" i="27"/>
  <c r="H89" i="27" s="1"/>
  <c r="G89" i="27"/>
  <c r="I89" i="27" s="1"/>
  <c r="F90" i="27"/>
  <c r="H90" i="27" s="1"/>
  <c r="G90" i="27"/>
  <c r="I90" i="27" s="1"/>
  <c r="F91" i="27"/>
  <c r="H91" i="27" s="1"/>
  <c r="G91" i="27"/>
  <c r="I91" i="27" s="1"/>
  <c r="F92" i="27"/>
  <c r="H92" i="27" s="1"/>
  <c r="G92" i="27"/>
  <c r="I92" i="27" s="1"/>
  <c r="F93" i="27"/>
  <c r="H93" i="27" s="1"/>
  <c r="G93" i="27"/>
  <c r="I93" i="27" s="1"/>
  <c r="F94" i="27"/>
  <c r="H94" i="27" s="1"/>
  <c r="G94" i="27"/>
  <c r="I94" i="27" s="1"/>
  <c r="F95" i="27"/>
  <c r="H95" i="27" s="1"/>
  <c r="G95" i="27"/>
  <c r="I95" i="27" s="1"/>
  <c r="F96" i="27"/>
  <c r="H96" i="27" s="1"/>
  <c r="G96" i="27"/>
  <c r="I96" i="27" s="1"/>
  <c r="F97" i="27"/>
  <c r="H97" i="27" s="1"/>
  <c r="G97" i="27"/>
  <c r="I97" i="27" s="1"/>
  <c r="F98" i="27"/>
  <c r="H98" i="27" s="1"/>
  <c r="G98" i="27"/>
  <c r="I98" i="27" s="1"/>
  <c r="F99" i="27"/>
  <c r="H99" i="27" s="1"/>
  <c r="G99" i="27"/>
  <c r="I99" i="27" s="1"/>
  <c r="F100" i="27"/>
  <c r="H100" i="27" s="1"/>
  <c r="G100" i="27"/>
  <c r="I100" i="27" s="1"/>
  <c r="F101" i="27"/>
  <c r="H101" i="27" s="1"/>
  <c r="G101" i="27"/>
  <c r="I101" i="27" s="1"/>
  <c r="F102" i="27"/>
  <c r="H102" i="27" s="1"/>
  <c r="G102" i="27"/>
  <c r="I102" i="27" s="1"/>
  <c r="F103" i="27"/>
  <c r="H103" i="27" s="1"/>
  <c r="G103" i="27"/>
  <c r="I103" i="27" s="1"/>
  <c r="F104" i="27"/>
  <c r="H104" i="27" s="1"/>
  <c r="G104" i="27"/>
  <c r="I104" i="27" s="1"/>
  <c r="F105" i="27"/>
  <c r="H105" i="27" s="1"/>
  <c r="G105" i="27"/>
  <c r="I105" i="27" s="1"/>
  <c r="F106" i="27"/>
  <c r="H106" i="27" s="1"/>
  <c r="G106" i="27"/>
  <c r="I106" i="27" s="1"/>
  <c r="F107" i="27"/>
  <c r="H107" i="27" s="1"/>
  <c r="G107" i="27"/>
  <c r="I107" i="27" s="1"/>
  <c r="F108" i="27"/>
  <c r="H108" i="27" s="1"/>
  <c r="G108" i="27"/>
  <c r="I108" i="27" s="1"/>
  <c r="F109" i="27"/>
  <c r="H109" i="27" s="1"/>
  <c r="G109" i="27"/>
  <c r="I109" i="27" s="1"/>
  <c r="F110" i="27"/>
  <c r="H110" i="27" s="1"/>
  <c r="G110" i="27"/>
  <c r="I110" i="27" s="1"/>
  <c r="F111" i="27"/>
  <c r="H111" i="27" s="1"/>
  <c r="G111" i="27"/>
  <c r="I111" i="27" s="1"/>
  <c r="F112" i="27"/>
  <c r="H112" i="27" s="1"/>
  <c r="G112" i="27"/>
  <c r="I112" i="27" s="1"/>
  <c r="F113" i="27"/>
  <c r="H113" i="27" s="1"/>
  <c r="G113" i="27"/>
  <c r="I113" i="27" s="1"/>
  <c r="F114" i="27"/>
  <c r="H114" i="27" s="1"/>
  <c r="G114" i="27"/>
  <c r="I114" i="27" s="1"/>
  <c r="F115" i="27"/>
  <c r="H115" i="27" s="1"/>
  <c r="G115" i="27"/>
  <c r="I115" i="27" s="1"/>
  <c r="F116" i="27"/>
  <c r="H116" i="27" s="1"/>
  <c r="G116" i="27"/>
  <c r="I116" i="27" s="1"/>
  <c r="F117" i="27"/>
  <c r="H117" i="27" s="1"/>
  <c r="G117" i="27"/>
  <c r="I117" i="27" s="1"/>
  <c r="F118" i="27"/>
  <c r="H118" i="27" s="1"/>
  <c r="G118" i="27"/>
  <c r="I118" i="27" s="1"/>
  <c r="F119" i="27"/>
  <c r="H119" i="27" s="1"/>
  <c r="G119" i="27"/>
  <c r="I119" i="27" s="1"/>
  <c r="F120" i="27"/>
  <c r="H120" i="27" s="1"/>
  <c r="G120" i="27"/>
  <c r="I120" i="27" s="1"/>
  <c r="F121" i="27"/>
  <c r="H121" i="27" s="1"/>
  <c r="G121" i="27"/>
  <c r="I121" i="27" s="1"/>
  <c r="F122" i="27"/>
  <c r="H122" i="27" s="1"/>
  <c r="G122" i="27"/>
  <c r="I122" i="27" s="1"/>
  <c r="F123" i="27"/>
  <c r="H123" i="27" s="1"/>
  <c r="G123" i="27"/>
  <c r="I123" i="27" s="1"/>
  <c r="F124" i="27"/>
  <c r="H124" i="27" s="1"/>
  <c r="G124" i="27"/>
  <c r="I124" i="27" s="1"/>
  <c r="F125" i="27"/>
  <c r="H125" i="27" s="1"/>
  <c r="G125" i="27"/>
  <c r="I125" i="27" s="1"/>
  <c r="F126" i="27"/>
  <c r="H126" i="27" s="1"/>
  <c r="G126" i="27"/>
  <c r="I126" i="27" s="1"/>
  <c r="F127" i="27"/>
  <c r="H127" i="27" s="1"/>
  <c r="G127" i="27"/>
  <c r="I127" i="27" s="1"/>
  <c r="F128" i="27"/>
  <c r="H128" i="27" s="1"/>
  <c r="G128" i="27"/>
  <c r="I128" i="27" s="1"/>
  <c r="F129" i="27"/>
  <c r="H129" i="27" s="1"/>
  <c r="G129" i="27"/>
  <c r="I129" i="27" s="1"/>
  <c r="F130" i="27"/>
  <c r="H130" i="27" s="1"/>
  <c r="G130" i="27"/>
  <c r="I130" i="27" s="1"/>
  <c r="F131" i="27"/>
  <c r="H131" i="27" s="1"/>
  <c r="G131" i="27"/>
  <c r="I131" i="27" s="1"/>
  <c r="F132" i="27"/>
  <c r="H132" i="27" s="1"/>
  <c r="G132" i="27"/>
  <c r="I132" i="27" s="1"/>
  <c r="F133" i="27"/>
  <c r="H133" i="27" s="1"/>
  <c r="G133" i="27"/>
  <c r="I133" i="27" s="1"/>
  <c r="F134" i="27"/>
  <c r="H134" i="27" s="1"/>
  <c r="G134" i="27"/>
  <c r="I134" i="27" s="1"/>
  <c r="F135" i="27"/>
  <c r="H135" i="27" s="1"/>
  <c r="G135" i="27"/>
  <c r="I135" i="27" s="1"/>
  <c r="F136" i="27"/>
  <c r="H136" i="27" s="1"/>
  <c r="G136" i="27"/>
  <c r="I136" i="27" s="1"/>
  <c r="F137" i="27"/>
  <c r="H137" i="27" s="1"/>
  <c r="G137" i="27"/>
  <c r="I137" i="27" s="1"/>
  <c r="F138" i="27"/>
  <c r="H138" i="27" s="1"/>
  <c r="G138" i="27"/>
  <c r="I138" i="27" s="1"/>
  <c r="F139" i="27"/>
  <c r="H139" i="27" s="1"/>
  <c r="G139" i="27"/>
  <c r="I139" i="27" s="1"/>
  <c r="F140" i="27"/>
  <c r="H140" i="27" s="1"/>
  <c r="G140" i="27"/>
  <c r="I140" i="27" s="1"/>
  <c r="F141" i="27"/>
  <c r="H141" i="27" s="1"/>
  <c r="G141" i="27"/>
  <c r="I141" i="27" s="1"/>
  <c r="F142" i="27"/>
  <c r="H142" i="27" s="1"/>
  <c r="G142" i="27"/>
  <c r="I142" i="27" s="1"/>
  <c r="F143" i="27"/>
  <c r="H143" i="27" s="1"/>
  <c r="G143" i="27"/>
  <c r="I143" i="27" s="1"/>
  <c r="F144" i="27"/>
  <c r="H144" i="27" s="1"/>
  <c r="G144" i="27"/>
  <c r="I144" i="27" s="1"/>
  <c r="F145" i="27"/>
  <c r="H145" i="27" s="1"/>
  <c r="G145" i="27"/>
  <c r="I145" i="27" s="1"/>
  <c r="F146" i="27"/>
  <c r="H146" i="27" s="1"/>
  <c r="G146" i="27"/>
  <c r="I146" i="27" s="1"/>
  <c r="F147" i="27"/>
  <c r="H147" i="27" s="1"/>
  <c r="G147" i="27"/>
  <c r="I147" i="27" s="1"/>
  <c r="F148" i="27"/>
  <c r="H148" i="27" s="1"/>
  <c r="G148" i="27"/>
  <c r="I148" i="27" s="1"/>
  <c r="F149" i="27"/>
  <c r="H149" i="27" s="1"/>
  <c r="G149" i="27"/>
  <c r="I149" i="27" s="1"/>
  <c r="F150" i="27"/>
  <c r="H150" i="27" s="1"/>
  <c r="G150" i="27"/>
  <c r="I150" i="27" s="1"/>
  <c r="F151" i="27"/>
  <c r="H151" i="27" s="1"/>
  <c r="G151" i="27"/>
  <c r="I151" i="27" s="1"/>
  <c r="F152" i="27"/>
  <c r="H152" i="27" s="1"/>
  <c r="G152" i="27"/>
  <c r="I152" i="27" s="1"/>
  <c r="F153" i="27"/>
  <c r="H153" i="27" s="1"/>
  <c r="G153" i="27"/>
  <c r="I153" i="27" s="1"/>
  <c r="F154" i="27"/>
  <c r="H154" i="27" s="1"/>
  <c r="G154" i="27"/>
  <c r="I154" i="27" s="1"/>
  <c r="F155" i="27"/>
  <c r="H155" i="27" s="1"/>
  <c r="G155" i="27"/>
  <c r="I155" i="27" s="1"/>
  <c r="F156" i="27"/>
  <c r="H156" i="27" s="1"/>
  <c r="G156" i="27"/>
  <c r="I156" i="27" s="1"/>
  <c r="F157" i="27"/>
  <c r="H157" i="27" s="1"/>
  <c r="G157" i="27"/>
  <c r="I157" i="27" s="1"/>
  <c r="F158" i="27"/>
  <c r="H158" i="27" s="1"/>
  <c r="G158" i="27"/>
  <c r="I158" i="27" s="1"/>
  <c r="F159" i="27"/>
  <c r="H159" i="27" s="1"/>
  <c r="G159" i="27"/>
  <c r="I159" i="27" s="1"/>
  <c r="F160" i="27"/>
  <c r="H160" i="27" s="1"/>
  <c r="G160" i="27"/>
  <c r="I160" i="27" s="1"/>
  <c r="F161" i="27"/>
  <c r="H161" i="27" s="1"/>
  <c r="G161" i="27"/>
  <c r="I161" i="27" s="1"/>
  <c r="F162" i="27"/>
  <c r="H162" i="27" s="1"/>
  <c r="G162" i="27"/>
  <c r="I162" i="27" s="1"/>
  <c r="F163" i="27"/>
  <c r="H163" i="27" s="1"/>
  <c r="G163" i="27"/>
  <c r="I163" i="27" s="1"/>
  <c r="F164" i="27"/>
  <c r="H164" i="27" s="1"/>
  <c r="G164" i="27"/>
  <c r="I164" i="27" s="1"/>
  <c r="F165" i="27"/>
  <c r="H165" i="27" s="1"/>
  <c r="G165" i="27"/>
  <c r="I165" i="27" s="1"/>
  <c r="F166" i="27"/>
  <c r="H166" i="27" s="1"/>
  <c r="G166" i="27"/>
  <c r="I166" i="27" s="1"/>
  <c r="F167" i="27"/>
  <c r="H167" i="27" s="1"/>
  <c r="G167" i="27"/>
  <c r="I167" i="27" s="1"/>
  <c r="F168" i="27"/>
  <c r="H168" i="27" s="1"/>
  <c r="G168" i="27"/>
  <c r="I168" i="27" s="1"/>
  <c r="F169" i="27"/>
  <c r="H169" i="27" s="1"/>
  <c r="G169" i="27"/>
  <c r="I169" i="27" s="1"/>
  <c r="F170" i="27"/>
  <c r="H170" i="27" s="1"/>
  <c r="G170" i="27"/>
  <c r="I170" i="27" s="1"/>
  <c r="F171" i="27"/>
  <c r="H171" i="27" s="1"/>
  <c r="G171" i="27"/>
  <c r="I171" i="27" s="1"/>
  <c r="F172" i="27"/>
  <c r="H172" i="27" s="1"/>
  <c r="G172" i="27"/>
  <c r="I172" i="27" s="1"/>
  <c r="F173" i="27"/>
  <c r="H173" i="27" s="1"/>
  <c r="G173" i="27"/>
  <c r="I173" i="27" s="1"/>
  <c r="F174" i="27"/>
  <c r="H174" i="27" s="1"/>
  <c r="G174" i="27"/>
  <c r="I174" i="27" s="1"/>
  <c r="F175" i="27"/>
  <c r="H175" i="27" s="1"/>
  <c r="G175" i="27"/>
  <c r="I175" i="27" s="1"/>
  <c r="F176" i="27"/>
  <c r="H176" i="27" s="1"/>
  <c r="G176" i="27"/>
  <c r="I176" i="27" s="1"/>
  <c r="F177" i="27"/>
  <c r="H177" i="27" s="1"/>
  <c r="G177" i="27"/>
  <c r="I177" i="27" s="1"/>
  <c r="F178" i="27"/>
  <c r="H178" i="27" s="1"/>
  <c r="G178" i="27"/>
  <c r="I178" i="27" s="1"/>
  <c r="F179" i="27"/>
  <c r="H179" i="27" s="1"/>
  <c r="G179" i="27"/>
  <c r="I179" i="27" s="1"/>
  <c r="F180" i="27"/>
  <c r="H180" i="27" s="1"/>
  <c r="G180" i="27"/>
  <c r="I180" i="27" s="1"/>
  <c r="F181" i="27"/>
  <c r="H181" i="27" s="1"/>
  <c r="G181" i="27"/>
  <c r="I181" i="27" s="1"/>
  <c r="F182" i="27"/>
  <c r="H182" i="27" s="1"/>
  <c r="G182" i="27"/>
  <c r="I182" i="27" s="1"/>
  <c r="F183" i="27"/>
  <c r="H183" i="27" s="1"/>
  <c r="G183" i="27"/>
  <c r="I183" i="27" s="1"/>
  <c r="F184" i="27"/>
  <c r="H184" i="27" s="1"/>
  <c r="G184" i="27"/>
  <c r="I184" i="27" s="1"/>
  <c r="F185" i="27"/>
  <c r="H185" i="27" s="1"/>
  <c r="G185" i="27"/>
  <c r="I185" i="27" s="1"/>
  <c r="F186" i="27"/>
  <c r="H186" i="27" s="1"/>
  <c r="G186" i="27"/>
  <c r="I186" i="27" s="1"/>
  <c r="F187" i="27"/>
  <c r="H187" i="27" s="1"/>
  <c r="G187" i="27"/>
  <c r="I187" i="27" s="1"/>
  <c r="F188" i="27"/>
  <c r="H188" i="27" s="1"/>
  <c r="G188" i="27"/>
  <c r="I188" i="27" s="1"/>
  <c r="F189" i="27"/>
  <c r="H189" i="27" s="1"/>
  <c r="G189" i="27"/>
  <c r="I189" i="27" s="1"/>
  <c r="F190" i="27"/>
  <c r="H190" i="27" s="1"/>
  <c r="G190" i="27"/>
  <c r="I190" i="27" s="1"/>
  <c r="F191" i="27"/>
  <c r="H191" i="27" s="1"/>
  <c r="G191" i="27"/>
  <c r="I191" i="27" s="1"/>
  <c r="F192" i="27"/>
  <c r="H192" i="27" s="1"/>
  <c r="G192" i="27"/>
  <c r="I192" i="27" s="1"/>
  <c r="F2" i="27"/>
  <c r="H2" i="27" s="1"/>
  <c r="G3" i="27"/>
  <c r="I3" i="27" s="1"/>
  <c r="G4" i="27"/>
  <c r="I4" i="27" s="1"/>
  <c r="G5" i="27"/>
  <c r="I5" i="27" s="1"/>
  <c r="G6" i="27"/>
  <c r="I6" i="27" s="1"/>
  <c r="G7" i="27"/>
  <c r="I7" i="27" s="1"/>
  <c r="G8" i="27"/>
  <c r="I8" i="27" s="1"/>
  <c r="G9" i="27"/>
  <c r="I9" i="27" s="1"/>
  <c r="G10" i="27"/>
  <c r="I10" i="27" s="1"/>
  <c r="G11" i="27"/>
  <c r="I11" i="27" s="1"/>
  <c r="G12" i="27"/>
  <c r="I12" i="27" s="1"/>
  <c r="G13" i="27"/>
  <c r="I13" i="27" s="1"/>
  <c r="G14" i="27"/>
  <c r="I14" i="27" s="1"/>
  <c r="G15" i="27"/>
  <c r="I15" i="27" s="1"/>
  <c r="G16" i="27"/>
  <c r="I16" i="27" s="1"/>
  <c r="G17" i="27"/>
  <c r="I17" i="27" s="1"/>
  <c r="G18" i="27"/>
  <c r="I18" i="27" s="1"/>
  <c r="G19" i="27"/>
  <c r="I19" i="27" s="1"/>
  <c r="G20" i="27"/>
  <c r="I20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G38" i="27"/>
  <c r="I38" i="27" s="1"/>
  <c r="G39" i="27"/>
  <c r="I39" i="27" s="1"/>
  <c r="G40" i="27"/>
  <c r="I40" i="27" s="1"/>
  <c r="G41" i="27"/>
  <c r="I41" i="27" s="1"/>
  <c r="G42" i="27"/>
  <c r="I42" i="27" s="1"/>
  <c r="G43" i="27"/>
  <c r="I43" i="27" s="1"/>
  <c r="G44" i="27"/>
  <c r="I44" i="27" s="1"/>
  <c r="G45" i="27"/>
  <c r="I45" i="27" s="1"/>
  <c r="G46" i="27"/>
  <c r="I46" i="27" s="1"/>
  <c r="G47" i="27"/>
  <c r="I47" i="27" s="1"/>
  <c r="G48" i="27"/>
  <c r="I48" i="27" s="1"/>
  <c r="G49" i="27"/>
  <c r="I49" i="27" s="1"/>
  <c r="G50" i="27"/>
  <c r="I50" i="27" s="1"/>
  <c r="G2" i="27"/>
  <c r="I2" i="27" s="1"/>
  <c r="F3" i="27"/>
  <c r="H3" i="27" s="1"/>
  <c r="F4" i="27"/>
  <c r="H4" i="27" s="1"/>
  <c r="F5" i="27"/>
  <c r="H5" i="27" s="1"/>
  <c r="F6" i="27"/>
  <c r="H6" i="27" s="1"/>
  <c r="F7" i="27"/>
  <c r="H7" i="27" s="1"/>
  <c r="F8" i="27"/>
  <c r="H8" i="27" s="1"/>
  <c r="F9" i="27"/>
  <c r="H9" i="27" s="1"/>
  <c r="F10" i="27"/>
  <c r="H10" i="27" s="1"/>
  <c r="F11" i="27"/>
  <c r="H11" i="27" s="1"/>
  <c r="F12" i="27"/>
  <c r="H12" i="27" s="1"/>
  <c r="F13" i="27"/>
  <c r="H13" i="27" s="1"/>
  <c r="F14" i="27"/>
  <c r="H14" i="27" s="1"/>
  <c r="F15" i="27"/>
  <c r="H15" i="27" s="1"/>
  <c r="F16" i="27"/>
  <c r="H16" i="27" s="1"/>
  <c r="F17" i="27"/>
  <c r="H17" i="27" s="1"/>
  <c r="F18" i="27"/>
  <c r="H18" i="27" s="1"/>
  <c r="F19" i="27"/>
  <c r="H19" i="27" s="1"/>
  <c r="F20" i="27"/>
  <c r="H20" i="27" s="1"/>
  <c r="F21" i="27"/>
  <c r="H21" i="27" s="1"/>
  <c r="F22" i="27"/>
  <c r="H22" i="27" s="1"/>
  <c r="F23" i="27"/>
  <c r="H23" i="27" s="1"/>
  <c r="F24" i="27"/>
  <c r="H24" i="27" s="1"/>
  <c r="F25" i="27"/>
  <c r="H25" i="27" s="1"/>
  <c r="F26" i="27"/>
  <c r="H26" i="27" s="1"/>
  <c r="F27" i="27"/>
  <c r="H27" i="27" s="1"/>
  <c r="F28" i="27"/>
  <c r="H28" i="27" s="1"/>
  <c r="F29" i="27"/>
  <c r="H29" i="27" s="1"/>
  <c r="F30" i="27"/>
  <c r="H30" i="27" s="1"/>
  <c r="F31" i="27"/>
  <c r="H31" i="27" s="1"/>
  <c r="F32" i="27"/>
  <c r="H32" i="27" s="1"/>
  <c r="F33" i="27"/>
  <c r="H33" i="27" s="1"/>
  <c r="F34" i="27"/>
  <c r="H34" i="27" s="1"/>
  <c r="F35" i="27"/>
  <c r="H35" i="27" s="1"/>
  <c r="F36" i="27"/>
  <c r="H36" i="27" s="1"/>
  <c r="F37" i="27"/>
  <c r="H37" i="27" s="1"/>
  <c r="F38" i="27"/>
  <c r="H38" i="27" s="1"/>
  <c r="F39" i="27"/>
  <c r="H39" i="27" s="1"/>
  <c r="F40" i="27"/>
  <c r="H40" i="27" s="1"/>
  <c r="F41" i="27"/>
  <c r="H41" i="27" s="1"/>
  <c r="F42" i="27"/>
  <c r="H42" i="27" s="1"/>
  <c r="F43" i="27"/>
  <c r="H43" i="27" s="1"/>
  <c r="F44" i="27"/>
  <c r="H44" i="27" s="1"/>
  <c r="F45" i="27"/>
  <c r="H45" i="27" s="1"/>
  <c r="F46" i="27"/>
  <c r="H46" i="27" s="1"/>
  <c r="F47" i="27"/>
  <c r="H47" i="27" s="1"/>
  <c r="F48" i="27"/>
  <c r="H48" i="27" s="1"/>
  <c r="F49" i="27"/>
  <c r="H49" i="27" s="1"/>
  <c r="F50" i="27"/>
  <c r="H50" i="27" s="1"/>
  <c r="A5" i="25"/>
  <c r="A3" i="25"/>
  <c r="A4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H2" i="22"/>
  <c r="H46" i="22" l="1"/>
  <c r="H7" i="22"/>
  <c r="H6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H348" i="22"/>
  <c r="H349" i="22"/>
  <c r="H350" i="22"/>
  <c r="H351" i="22"/>
  <c r="H352" i="22"/>
  <c r="H353" i="22"/>
  <c r="H354" i="22"/>
  <c r="H355" i="22"/>
  <c r="H356" i="22"/>
  <c r="H357" i="22"/>
  <c r="H358" i="22"/>
  <c r="H359" i="22"/>
  <c r="H360" i="22"/>
  <c r="H361" i="22"/>
  <c r="H362" i="22"/>
  <c r="H363" i="22"/>
  <c r="H364" i="22"/>
  <c r="H365" i="22"/>
  <c r="H366" i="22"/>
  <c r="H367" i="22"/>
  <c r="H368" i="22"/>
  <c r="H369" i="22"/>
  <c r="H370" i="22"/>
  <c r="H371" i="22"/>
  <c r="H372" i="22"/>
  <c r="H373" i="22"/>
  <c r="H374" i="22"/>
  <c r="H375" i="22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H432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H470" i="22"/>
  <c r="H471" i="22"/>
  <c r="H472" i="22"/>
  <c r="H473" i="22"/>
  <c r="H474" i="22"/>
  <c r="H475" i="22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H512" i="22"/>
  <c r="H513" i="22"/>
  <c r="H514" i="22"/>
  <c r="H515" i="22"/>
  <c r="H516" i="22"/>
  <c r="H517" i="22"/>
  <c r="H518" i="22"/>
  <c r="H519" i="22"/>
  <c r="H520" i="22"/>
  <c r="H521" i="22"/>
  <c r="H522" i="22"/>
  <c r="H523" i="22"/>
  <c r="H524" i="22"/>
  <c r="H525" i="22"/>
  <c r="H526" i="22"/>
  <c r="H527" i="22"/>
  <c r="H528" i="22"/>
  <c r="H529" i="22"/>
  <c r="H530" i="22"/>
  <c r="H531" i="22"/>
  <c r="H532" i="22"/>
  <c r="H533" i="22"/>
  <c r="H534" i="22"/>
  <c r="H535" i="22"/>
  <c r="H536" i="22"/>
  <c r="H537" i="22"/>
  <c r="H538" i="22"/>
  <c r="H539" i="22"/>
  <c r="H540" i="22"/>
  <c r="H541" i="22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573" i="22"/>
  <c r="H574" i="22"/>
  <c r="H575" i="22"/>
  <c r="H576" i="22"/>
  <c r="H577" i="22"/>
  <c r="H578" i="22"/>
  <c r="H579" i="22"/>
  <c r="H580" i="22"/>
  <c r="H581" i="22"/>
  <c r="H582" i="22"/>
  <c r="H583" i="22"/>
  <c r="H584" i="22"/>
  <c r="H585" i="22"/>
  <c r="H586" i="22"/>
  <c r="H587" i="22"/>
  <c r="H588" i="22"/>
  <c r="H589" i="22"/>
  <c r="H590" i="22"/>
  <c r="H591" i="22"/>
  <c r="H592" i="22"/>
  <c r="H593" i="22"/>
  <c r="H594" i="22"/>
  <c r="H595" i="22"/>
  <c r="H596" i="22"/>
  <c r="H597" i="22"/>
  <c r="H598" i="22"/>
  <c r="H599" i="22"/>
  <c r="H600" i="22"/>
  <c r="H601" i="22"/>
  <c r="H602" i="22"/>
  <c r="H603" i="22"/>
  <c r="H604" i="22"/>
  <c r="H605" i="22"/>
  <c r="H606" i="22"/>
  <c r="H607" i="22"/>
  <c r="H608" i="22"/>
  <c r="H609" i="22"/>
  <c r="H610" i="22"/>
  <c r="H611" i="22"/>
  <c r="H612" i="22"/>
  <c r="H613" i="22"/>
  <c r="H614" i="22"/>
  <c r="H615" i="22"/>
  <c r="H616" i="22"/>
  <c r="H617" i="22"/>
  <c r="H618" i="22"/>
  <c r="H619" i="22"/>
  <c r="H620" i="22"/>
  <c r="H621" i="22"/>
  <c r="H622" i="22"/>
  <c r="H623" i="22"/>
  <c r="H624" i="22"/>
  <c r="H625" i="22"/>
  <c r="H626" i="22"/>
  <c r="H627" i="22"/>
  <c r="H628" i="22"/>
  <c r="H629" i="22"/>
  <c r="H630" i="22"/>
  <c r="H631" i="22"/>
  <c r="H632" i="22"/>
  <c r="H633" i="22"/>
  <c r="H634" i="22"/>
  <c r="H635" i="22"/>
  <c r="H636" i="22"/>
  <c r="H637" i="22"/>
  <c r="H638" i="22"/>
  <c r="H639" i="22"/>
  <c r="H640" i="22"/>
  <c r="H641" i="22"/>
  <c r="H642" i="22"/>
  <c r="H643" i="22"/>
  <c r="H644" i="22"/>
  <c r="H645" i="22"/>
  <c r="H646" i="22"/>
  <c r="H647" i="22"/>
  <c r="H648" i="22"/>
  <c r="H649" i="22"/>
  <c r="H650" i="22"/>
  <c r="H651" i="22"/>
  <c r="H652" i="22"/>
  <c r="H653" i="22"/>
  <c r="H654" i="22"/>
  <c r="H655" i="22"/>
  <c r="H656" i="22"/>
  <c r="H657" i="22"/>
  <c r="H658" i="22"/>
  <c r="H659" i="22"/>
  <c r="H660" i="22"/>
  <c r="H661" i="22"/>
  <c r="H662" i="22"/>
  <c r="H663" i="22"/>
  <c r="H664" i="22"/>
  <c r="H665" i="22"/>
  <c r="H666" i="22"/>
  <c r="H667" i="22"/>
  <c r="H668" i="22"/>
  <c r="H669" i="22"/>
  <c r="H670" i="22"/>
  <c r="H671" i="22"/>
  <c r="H672" i="22"/>
  <c r="H673" i="22"/>
  <c r="H674" i="22"/>
  <c r="H675" i="22"/>
  <c r="H676" i="22"/>
  <c r="H677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701" i="22"/>
  <c r="H702" i="22"/>
  <c r="H703" i="22"/>
  <c r="H704" i="22"/>
  <c r="H705" i="22"/>
  <c r="H706" i="22"/>
  <c r="H707" i="22"/>
  <c r="H708" i="22"/>
  <c r="H709" i="22"/>
  <c r="H710" i="22"/>
  <c r="H711" i="22"/>
  <c r="H712" i="22"/>
  <c r="H713" i="22"/>
  <c r="H714" i="22"/>
  <c r="H715" i="22"/>
  <c r="H716" i="22"/>
  <c r="H717" i="22"/>
  <c r="H718" i="22"/>
  <c r="H719" i="22"/>
  <c r="H720" i="22"/>
  <c r="H721" i="22"/>
  <c r="H722" i="22"/>
  <c r="H723" i="22"/>
  <c r="H724" i="22"/>
  <c r="H725" i="22"/>
  <c r="H726" i="22"/>
  <c r="H727" i="22"/>
  <c r="H728" i="22"/>
  <c r="H729" i="22"/>
  <c r="H730" i="22"/>
  <c r="H731" i="22"/>
  <c r="H732" i="22"/>
  <c r="H733" i="22"/>
  <c r="H734" i="22"/>
  <c r="H735" i="22"/>
  <c r="H736" i="22"/>
  <c r="H737" i="22"/>
  <c r="H738" i="22"/>
  <c r="H739" i="22"/>
  <c r="H740" i="22"/>
  <c r="H741" i="22"/>
  <c r="H742" i="22"/>
  <c r="H743" i="22"/>
  <c r="H744" i="22"/>
  <c r="H745" i="22"/>
  <c r="H746" i="22"/>
  <c r="H747" i="22"/>
  <c r="H748" i="22"/>
  <c r="H749" i="22"/>
  <c r="H750" i="22"/>
  <c r="H751" i="22"/>
  <c r="H752" i="22"/>
  <c r="H753" i="22"/>
  <c r="H754" i="22"/>
  <c r="H755" i="22"/>
  <c r="H756" i="22"/>
  <c r="H757" i="22"/>
  <c r="H758" i="22"/>
  <c r="H759" i="22"/>
  <c r="H760" i="22"/>
  <c r="H761" i="22"/>
  <c r="H762" i="22"/>
  <c r="H763" i="22"/>
  <c r="H764" i="22"/>
  <c r="H765" i="22"/>
  <c r="H766" i="22"/>
  <c r="H767" i="22"/>
  <c r="H768" i="22"/>
  <c r="H769" i="22"/>
  <c r="H770" i="22"/>
  <c r="H771" i="22"/>
  <c r="H772" i="22"/>
  <c r="H773" i="22"/>
  <c r="H774" i="22"/>
  <c r="H775" i="22"/>
  <c r="H776" i="22"/>
  <c r="H777" i="22"/>
  <c r="H778" i="22"/>
  <c r="H779" i="22"/>
  <c r="H780" i="22"/>
  <c r="H781" i="22"/>
  <c r="H782" i="22"/>
  <c r="H783" i="22"/>
  <c r="H784" i="22"/>
  <c r="H785" i="22"/>
  <c r="H786" i="22"/>
  <c r="H787" i="22"/>
  <c r="H788" i="22"/>
  <c r="H789" i="22"/>
  <c r="H790" i="22"/>
  <c r="H791" i="22"/>
  <c r="H792" i="22"/>
  <c r="H793" i="22"/>
  <c r="H794" i="22"/>
  <c r="H795" i="22"/>
  <c r="H796" i="22"/>
  <c r="H797" i="22"/>
  <c r="H798" i="22"/>
  <c r="H799" i="22"/>
  <c r="H800" i="22"/>
  <c r="H801" i="22"/>
  <c r="H802" i="22"/>
  <c r="H803" i="22"/>
  <c r="H804" i="22"/>
  <c r="H805" i="22"/>
  <c r="H806" i="22"/>
  <c r="H807" i="22"/>
  <c r="H808" i="22"/>
  <c r="H809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H824" i="22"/>
  <c r="H825" i="22"/>
  <c r="H826" i="22"/>
  <c r="H827" i="22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H850" i="22"/>
  <c r="H851" i="22"/>
  <c r="H852" i="22"/>
  <c r="H853" i="22"/>
  <c r="H854" i="22"/>
  <c r="H855" i="22"/>
  <c r="H856" i="22"/>
  <c r="H857" i="22"/>
  <c r="H858" i="22"/>
  <c r="H859" i="22"/>
  <c r="H860" i="22"/>
  <c r="H861" i="22"/>
  <c r="H862" i="22"/>
  <c r="H863" i="22"/>
  <c r="H864" i="22"/>
  <c r="H865" i="22"/>
  <c r="H866" i="22"/>
  <c r="H867" i="22"/>
  <c r="H868" i="22"/>
  <c r="H869" i="22"/>
  <c r="H870" i="22"/>
  <c r="H871" i="22"/>
  <c r="H872" i="22"/>
  <c r="H873" i="22"/>
  <c r="H874" i="22"/>
  <c r="H875" i="22"/>
  <c r="H876" i="22"/>
  <c r="H877" i="22"/>
  <c r="H878" i="22"/>
  <c r="H879" i="22"/>
  <c r="H880" i="22"/>
  <c r="H881" i="22"/>
  <c r="H882" i="22"/>
  <c r="H883" i="22"/>
  <c r="H884" i="22"/>
  <c r="H885" i="22"/>
  <c r="H886" i="22"/>
  <c r="H887" i="22"/>
  <c r="H888" i="22"/>
  <c r="H889" i="22"/>
  <c r="H890" i="22"/>
  <c r="H891" i="22"/>
  <c r="H892" i="22"/>
  <c r="H893" i="22"/>
  <c r="H894" i="22"/>
  <c r="H895" i="22"/>
  <c r="H896" i="22"/>
  <c r="H897" i="22"/>
  <c r="H898" i="22"/>
  <c r="H899" i="22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912" i="22"/>
  <c r="H913" i="22"/>
  <c r="H914" i="22"/>
  <c r="H915" i="22"/>
  <c r="H916" i="22"/>
  <c r="H917" i="22"/>
  <c r="H918" i="22"/>
  <c r="H919" i="22"/>
  <c r="H920" i="22"/>
  <c r="H921" i="22"/>
  <c r="H922" i="22"/>
  <c r="H923" i="22"/>
  <c r="H924" i="22"/>
  <c r="H925" i="22"/>
  <c r="H926" i="22"/>
  <c r="H927" i="22"/>
  <c r="H928" i="22"/>
  <c r="H929" i="22"/>
  <c r="H930" i="22"/>
  <c r="H931" i="22"/>
  <c r="H932" i="22"/>
  <c r="H933" i="22"/>
  <c r="H934" i="22"/>
  <c r="H935" i="22"/>
  <c r="H936" i="22"/>
  <c r="H937" i="22"/>
  <c r="H938" i="22"/>
  <c r="H939" i="22"/>
  <c r="H940" i="22"/>
  <c r="H941" i="22"/>
  <c r="H942" i="22"/>
  <c r="H943" i="22"/>
  <c r="H944" i="22"/>
  <c r="H945" i="22"/>
  <c r="H946" i="22"/>
  <c r="H947" i="22"/>
  <c r="H948" i="22"/>
  <c r="H949" i="22"/>
  <c r="H950" i="22"/>
  <c r="H951" i="22"/>
  <c r="H952" i="22"/>
  <c r="H953" i="22"/>
  <c r="H954" i="22"/>
  <c r="H955" i="22"/>
  <c r="H956" i="22"/>
  <c r="H957" i="22"/>
  <c r="H958" i="22"/>
  <c r="H959" i="22"/>
  <c r="H960" i="22"/>
  <c r="H961" i="22"/>
  <c r="H962" i="22"/>
  <c r="H963" i="22"/>
  <c r="H964" i="22"/>
  <c r="H965" i="22"/>
  <c r="H966" i="22"/>
  <c r="H967" i="22"/>
  <c r="H968" i="22"/>
  <c r="H969" i="22"/>
  <c r="H970" i="22"/>
  <c r="H971" i="22"/>
  <c r="H972" i="22"/>
  <c r="H973" i="22"/>
  <c r="H974" i="22"/>
  <c r="H975" i="22"/>
  <c r="H976" i="22"/>
  <c r="H977" i="22"/>
  <c r="H978" i="22"/>
  <c r="H979" i="22"/>
  <c r="H980" i="22"/>
  <c r="H981" i="22"/>
  <c r="H982" i="22"/>
  <c r="H983" i="22"/>
  <c r="H984" i="22"/>
  <c r="H985" i="22"/>
  <c r="H986" i="22"/>
  <c r="H987" i="22"/>
  <c r="H988" i="22"/>
  <c r="H989" i="22"/>
  <c r="H990" i="22"/>
  <c r="H991" i="22"/>
  <c r="H992" i="22"/>
  <c r="H993" i="22"/>
  <c r="H994" i="22"/>
  <c r="H995" i="22"/>
  <c r="H996" i="22"/>
  <c r="H997" i="22"/>
  <c r="H998" i="22"/>
  <c r="H999" i="22"/>
  <c r="H1000" i="22"/>
  <c r="H1001" i="22"/>
  <c r="H1002" i="22"/>
  <c r="H1003" i="22"/>
  <c r="H1004" i="22"/>
  <c r="H1005" i="22"/>
  <c r="H1006" i="22"/>
  <c r="H1007" i="22"/>
  <c r="H1008" i="22"/>
  <c r="H1009" i="22"/>
  <c r="H1010" i="22"/>
  <c r="H1011" i="22"/>
  <c r="H1012" i="22"/>
  <c r="H1013" i="22"/>
  <c r="H1014" i="22"/>
  <c r="H1015" i="22"/>
  <c r="H1016" i="22"/>
  <c r="H1017" i="22"/>
  <c r="H1018" i="22"/>
  <c r="H1019" i="22"/>
  <c r="H1020" i="22"/>
  <c r="H1021" i="22"/>
  <c r="H1022" i="22"/>
  <c r="H1023" i="22"/>
  <c r="H1024" i="22"/>
  <c r="H1025" i="22"/>
  <c r="H1026" i="22"/>
  <c r="H1027" i="22"/>
  <c r="H1028" i="22"/>
  <c r="H1029" i="22"/>
  <c r="H1030" i="22"/>
  <c r="H1031" i="22"/>
  <c r="H1032" i="22"/>
  <c r="H1033" i="22"/>
  <c r="H1034" i="22"/>
  <c r="H1035" i="22"/>
  <c r="H1036" i="22"/>
  <c r="H1037" i="22"/>
  <c r="H1038" i="22"/>
  <c r="H1039" i="22"/>
  <c r="H1040" i="22"/>
  <c r="H1041" i="22"/>
  <c r="H1042" i="22"/>
  <c r="H1043" i="22"/>
  <c r="H1044" i="22"/>
  <c r="H1045" i="22"/>
  <c r="H1046" i="22"/>
  <c r="H1047" i="22"/>
  <c r="H1048" i="22"/>
  <c r="H1049" i="22"/>
  <c r="H1050" i="22"/>
  <c r="H1051" i="22"/>
  <c r="H1052" i="22"/>
  <c r="H1053" i="22"/>
  <c r="H1054" i="22"/>
  <c r="H1055" i="22"/>
  <c r="H1056" i="22"/>
  <c r="H1057" i="22"/>
  <c r="H1058" i="22"/>
  <c r="H1059" i="22"/>
  <c r="H1060" i="22"/>
  <c r="H1061" i="22"/>
  <c r="H1062" i="22"/>
  <c r="H1063" i="22"/>
  <c r="H1064" i="22"/>
  <c r="H1065" i="22"/>
  <c r="H1066" i="22"/>
  <c r="H1067" i="22"/>
  <c r="H1068" i="22"/>
  <c r="H1069" i="22"/>
  <c r="H1070" i="22"/>
  <c r="H1071" i="22"/>
  <c r="H1072" i="22"/>
  <c r="H1073" i="22"/>
  <c r="H1074" i="22"/>
  <c r="H1075" i="22"/>
  <c r="H1076" i="22"/>
  <c r="H1077" i="22"/>
  <c r="H1078" i="22"/>
  <c r="H1079" i="22"/>
  <c r="H1080" i="22"/>
  <c r="H1081" i="22"/>
  <c r="H1082" i="22"/>
  <c r="H1083" i="22"/>
  <c r="H1084" i="22"/>
  <c r="H1085" i="22"/>
  <c r="H1086" i="22"/>
  <c r="H1087" i="22"/>
  <c r="H1088" i="22"/>
  <c r="H1089" i="22"/>
  <c r="H1090" i="22"/>
  <c r="H1091" i="22"/>
  <c r="H1092" i="22"/>
  <c r="H1093" i="22"/>
  <c r="H1094" i="22"/>
  <c r="H1095" i="22"/>
  <c r="H1096" i="22"/>
  <c r="H1097" i="22"/>
  <c r="H1098" i="22"/>
  <c r="H1099" i="22"/>
  <c r="H1100" i="22"/>
  <c r="H1101" i="22"/>
  <c r="H1102" i="22"/>
  <c r="H1103" i="22"/>
  <c r="H1104" i="22"/>
  <c r="H1105" i="22"/>
  <c r="H1106" i="22"/>
  <c r="H1107" i="22"/>
  <c r="H1108" i="22"/>
  <c r="H1109" i="22"/>
  <c r="H1110" i="22"/>
  <c r="H1111" i="22"/>
  <c r="H1112" i="22"/>
  <c r="H1113" i="22"/>
  <c r="H1114" i="22"/>
  <c r="H1115" i="22"/>
  <c r="H1116" i="22"/>
  <c r="H1117" i="22"/>
  <c r="H1118" i="22"/>
  <c r="H1119" i="22"/>
  <c r="H1120" i="22"/>
  <c r="H1121" i="22"/>
  <c r="H1122" i="22"/>
  <c r="H1123" i="22"/>
  <c r="H1124" i="22"/>
  <c r="H1125" i="22"/>
  <c r="H1126" i="22"/>
  <c r="H1127" i="22"/>
  <c r="H1128" i="22"/>
  <c r="H1129" i="22"/>
  <c r="H1130" i="22"/>
  <c r="H1131" i="22"/>
  <c r="H1132" i="22"/>
  <c r="H1133" i="22"/>
  <c r="H1134" i="22"/>
  <c r="H1135" i="22"/>
  <c r="H1136" i="22"/>
  <c r="H1137" i="22"/>
  <c r="H1138" i="22"/>
  <c r="H1139" i="22"/>
  <c r="H1140" i="22"/>
  <c r="H1141" i="22"/>
  <c r="H1142" i="22"/>
  <c r="H1143" i="22"/>
  <c r="H1144" i="22"/>
  <c r="H1145" i="22"/>
  <c r="H1146" i="22"/>
  <c r="H1147" i="22"/>
  <c r="H1148" i="22"/>
  <c r="H1149" i="22"/>
  <c r="H1150" i="22"/>
  <c r="H1151" i="22"/>
  <c r="H1152" i="22"/>
  <c r="H1153" i="22"/>
  <c r="H1154" i="22"/>
  <c r="H1155" i="22"/>
  <c r="H1156" i="22"/>
  <c r="H1157" i="22"/>
  <c r="H1158" i="22"/>
  <c r="H1159" i="22"/>
  <c r="H1160" i="22"/>
  <c r="H1161" i="22"/>
  <c r="H1162" i="22"/>
  <c r="H1163" i="22"/>
  <c r="H1164" i="22"/>
  <c r="H1165" i="22"/>
  <c r="H1166" i="22"/>
  <c r="H1167" i="22"/>
  <c r="H1168" i="22"/>
  <c r="H1169" i="22"/>
  <c r="H1170" i="22"/>
  <c r="H1171" i="22"/>
  <c r="H1172" i="22"/>
  <c r="H1173" i="22"/>
  <c r="H1174" i="22"/>
  <c r="H1175" i="22"/>
  <c r="H1176" i="22"/>
  <c r="H1177" i="22"/>
  <c r="H1178" i="22"/>
  <c r="H1179" i="22"/>
  <c r="H1180" i="22"/>
  <c r="H1181" i="22"/>
  <c r="H1182" i="22"/>
  <c r="H1183" i="22"/>
  <c r="H1184" i="22"/>
  <c r="H1185" i="22"/>
  <c r="H1186" i="22"/>
  <c r="H1187" i="22"/>
  <c r="H1188" i="22"/>
  <c r="H1189" i="22"/>
  <c r="H1190" i="22"/>
  <c r="H1191" i="22"/>
  <c r="H1192" i="22"/>
  <c r="H3" i="22"/>
  <c r="H4" i="22"/>
  <c r="H5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7" i="22"/>
  <c r="H48" i="22"/>
  <c r="H49" i="22"/>
  <c r="H50" i="22"/>
  <c r="A272" i="21"/>
  <c r="A83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<sst xmlns="http://schemas.openxmlformats.org/spreadsheetml/2006/main" count="47832" uniqueCount="8199">
  <si>
    <t>Journal</t>
  </si>
  <si>
    <t>Annee</t>
  </si>
  <si>
    <t>Mois</t>
  </si>
  <si>
    <t>Date facture</t>
  </si>
  <si>
    <t>Echeance</t>
  </si>
  <si>
    <t>Piece</t>
  </si>
  <si>
    <t>Compte</t>
  </si>
  <si>
    <t>Communication</t>
  </si>
  <si>
    <t>Remarque</t>
  </si>
  <si>
    <t>Mnt.TVAC</t>
  </si>
  <si>
    <t>TVA</t>
  </si>
  <si>
    <t>Taux</t>
  </si>
  <si>
    <t>Mnt.HTVA</t>
  </si>
  <si>
    <t>Mnt.TVA</t>
  </si>
  <si>
    <t>Devise</t>
  </si>
  <si>
    <t>NOM</t>
  </si>
  <si>
    <t>Assujetti</t>
  </si>
  <si>
    <t>Numéro</t>
  </si>
  <si>
    <t>PERSONNEL</t>
  </si>
  <si>
    <t>RCP_PERDEB</t>
  </si>
  <si>
    <t>RCP_PERFIN</t>
  </si>
  <si>
    <t>CLIENT</t>
  </si>
  <si>
    <t>IBS</t>
  </si>
  <si>
    <t>AGRAL</t>
  </si>
  <si>
    <t>MAT</t>
  </si>
  <si>
    <t>BUANDERIE</t>
  </si>
  <si>
    <t>UPI000</t>
  </si>
  <si>
    <t>GRAWEZ</t>
  </si>
  <si>
    <t>BECFTO</t>
  </si>
  <si>
    <t>BELSIM</t>
  </si>
  <si>
    <t>ECOFISC</t>
  </si>
  <si>
    <t>ABBAYESTAV</t>
  </si>
  <si>
    <t>COUTREZSA</t>
  </si>
  <si>
    <t>FREYMANN</t>
  </si>
  <si>
    <t>GAMMAPLAN</t>
  </si>
  <si>
    <t>IDAL</t>
  </si>
  <si>
    <t>COMPTACTIV</t>
  </si>
  <si>
    <t>ODONTO</t>
  </si>
  <si>
    <t>ANTOINEACT</t>
  </si>
  <si>
    <t>PROMOENTRE</t>
  </si>
  <si>
    <t>WUIDAR</t>
  </si>
  <si>
    <t>KRYS</t>
  </si>
  <si>
    <t>VERSOLATO</t>
  </si>
  <si>
    <t>BELGIANCR</t>
  </si>
  <si>
    <t>COGEZAF</t>
  </si>
  <si>
    <t>HUMBLETPAP</t>
  </si>
  <si>
    <t>EQUITY</t>
  </si>
  <si>
    <t>CENTREBRUX</t>
  </si>
  <si>
    <t>BCHDM</t>
  </si>
  <si>
    <t>Client Final</t>
  </si>
  <si>
    <t>Client BOB</t>
  </si>
  <si>
    <t>Document</t>
  </si>
  <si>
    <t>Code Journal</t>
  </si>
  <si>
    <t>Numero Document</t>
  </si>
  <si>
    <t>Date</t>
  </si>
  <si>
    <t>Poste</t>
  </si>
  <si>
    <t>Article</t>
  </si>
  <si>
    <t>Description</t>
  </si>
  <si>
    <t>Categorie</t>
  </si>
  <si>
    <t>Sous-Categorie</t>
  </si>
  <si>
    <t>Mois De</t>
  </si>
  <si>
    <t>Mois A</t>
  </si>
  <si>
    <t>Quantite</t>
  </si>
  <si>
    <t>Mnt.Brut</t>
  </si>
  <si>
    <t>Remise</t>
  </si>
  <si>
    <t>Mnt.Net</t>
  </si>
  <si>
    <t>VCS</t>
  </si>
  <si>
    <t>Compte Ventes BOB</t>
  </si>
  <si>
    <t>Mnt.Achat</t>
  </si>
  <si>
    <t>Compte Achats BOB</t>
  </si>
  <si>
    <t xml:space="preserve"> </t>
  </si>
  <si>
    <t>VE13</t>
  </si>
  <si>
    <t>51 ABONNEMENTS</t>
  </si>
  <si>
    <t>000002 Noms de domaine</t>
  </si>
  <si>
    <t>BERGHMANSJ</t>
  </si>
  <si>
    <t>41 SERVICES</t>
  </si>
  <si>
    <t>000012 Cloud Public</t>
  </si>
  <si>
    <t>TCSERVICES</t>
  </si>
  <si>
    <t>TECNICONE</t>
  </si>
  <si>
    <t>VANGOITSEN</t>
  </si>
  <si>
    <t>DINVERNO</t>
  </si>
  <si>
    <t>COANDCO</t>
  </si>
  <si>
    <t>MATEGRO</t>
  </si>
  <si>
    <t>HERVEVAND</t>
  </si>
  <si>
    <t>PHASYA</t>
  </si>
  <si>
    <t>THGNAMUR</t>
  </si>
  <si>
    <t>METAUXEM</t>
  </si>
  <si>
    <t>PRINCECARA</t>
  </si>
  <si>
    <t>GESTALIA</t>
  </si>
  <si>
    <t>TELECLEAN</t>
  </si>
  <si>
    <t>VININVEST</t>
  </si>
  <si>
    <t>BUZON</t>
  </si>
  <si>
    <t>DEMOLINNOT</t>
  </si>
  <si>
    <t>ALTRA</t>
  </si>
  <si>
    <t>MCPARTENAI</t>
  </si>
  <si>
    <t>109CABINET</t>
  </si>
  <si>
    <t>LEODIUM</t>
  </si>
  <si>
    <t>DEPLOYE</t>
  </si>
  <si>
    <t>ADTP</t>
  </si>
  <si>
    <t>CFP</t>
  </si>
  <si>
    <t>TERVAL</t>
  </si>
  <si>
    <t>SAUVAGEATE</t>
  </si>
  <si>
    <t>CORTOFISC</t>
  </si>
  <si>
    <t>LABROUCK</t>
  </si>
  <si>
    <t>SYNACO2</t>
  </si>
  <si>
    <t>HISDEVIN</t>
  </si>
  <si>
    <t>PRODUPRESS</t>
  </si>
  <si>
    <t>ACCURIS</t>
  </si>
  <si>
    <t>LAGROU</t>
  </si>
  <si>
    <t>PLASTIDOR</t>
  </si>
  <si>
    <t>ARCATECH</t>
  </si>
  <si>
    <t>DECLERCK</t>
  </si>
  <si>
    <t>HOFMAN</t>
  </si>
  <si>
    <t>MEDECINSGE</t>
  </si>
  <si>
    <t>OPTIPROLEX</t>
  </si>
  <si>
    <t>AURAL</t>
  </si>
  <si>
    <t>ATCOMPTA</t>
  </si>
  <si>
    <t>SYNAPHARM</t>
  </si>
  <si>
    <t>AUXCOTEAUX</t>
  </si>
  <si>
    <t>CBFISC</t>
  </si>
  <si>
    <t>FRIANDA</t>
  </si>
  <si>
    <t>NETTOYAGE</t>
  </si>
  <si>
    <t>RUWELEC</t>
  </si>
  <si>
    <t>PQA</t>
  </si>
  <si>
    <t>DEHAYE</t>
  </si>
  <si>
    <t>FIDELIS</t>
  </si>
  <si>
    <t>MATON</t>
  </si>
  <si>
    <t>ANTHE</t>
  </si>
  <si>
    <t>RODERBOURG</t>
  </si>
  <si>
    <t>FABHYDRO</t>
  </si>
  <si>
    <t>GESCKA</t>
  </si>
  <si>
    <t>JADIN</t>
  </si>
  <si>
    <t>LAGNEAUX</t>
  </si>
  <si>
    <t>TRAVHYDRO</t>
  </si>
  <si>
    <t>LEURKY</t>
  </si>
  <si>
    <t>LOMBART</t>
  </si>
  <si>
    <t>EUDEV</t>
  </si>
  <si>
    <t>TRAVHYMAT</t>
  </si>
  <si>
    <t>POLARDG</t>
  </si>
  <si>
    <t>TROXQUETLA</t>
  </si>
  <si>
    <t>DSC</t>
  </si>
  <si>
    <t>SERVIHOME</t>
  </si>
  <si>
    <t>LIBRATAX</t>
  </si>
  <si>
    <t>CLINIQUEPO</t>
  </si>
  <si>
    <t>ACASERV</t>
  </si>
  <si>
    <t>BCS</t>
  </si>
  <si>
    <t>DECUBE</t>
  </si>
  <si>
    <t>DRYTEC</t>
  </si>
  <si>
    <t>GRISARDPHA</t>
  </si>
  <si>
    <t>MAREMERCKX</t>
  </si>
  <si>
    <t>SPRINGUELB</t>
  </si>
  <si>
    <t>DMS</t>
  </si>
  <si>
    <t>Cours</t>
  </si>
  <si>
    <t>Code Postal</t>
  </si>
  <si>
    <t>Localite</t>
  </si>
  <si>
    <t>BE</t>
  </si>
  <si>
    <t>Pdf</t>
  </si>
  <si>
    <t>Adresse</t>
  </si>
  <si>
    <t>Colonne W : mettre numéro tva du client</t>
  </si>
  <si>
    <t>Colonnes P et Q : ça peut rester vide</t>
  </si>
  <si>
    <t>Colonne V : "NA" si non assujeti sinon "BE" pour Belgique et "LU" pour Luxembourg</t>
  </si>
  <si>
    <r>
      <t xml:space="preserve">Colonne X : PDF : </t>
    </r>
    <r>
      <rPr>
        <sz val="11"/>
        <color rgb="FFFF0000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mettre les pdf des factures dans le dossier "PDF pour import BOB" </t>
    </r>
    <r>
      <rPr>
        <b/>
        <sz val="11"/>
        <color theme="1"/>
        <rFont val="Calibri"/>
        <family val="2"/>
        <scheme val="minor"/>
      </rPr>
      <t>U:\rcarreBE\PDF pour import BOB</t>
    </r>
    <r>
      <rPr>
        <sz val="11"/>
        <color theme="1"/>
        <rFont val="Calibri"/>
        <family val="2"/>
        <scheme val="minor"/>
      </rPr>
      <t xml:space="preserve"> avant de lancer l'import. Sans cela, les pdf ne erront pas liés</t>
    </r>
  </si>
  <si>
    <r>
      <t xml:space="preserve">Colonne X : PDF : </t>
    </r>
    <r>
      <rPr>
        <sz val="11"/>
        <color rgb="FFFF0000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mettre le nom du pdf lié à cette fact ou NC (exemple : "</t>
    </r>
    <r>
      <rPr>
        <b/>
        <sz val="11"/>
        <color theme="1"/>
        <rFont val="Calibri"/>
        <family val="2"/>
        <scheme val="minor"/>
      </rPr>
      <t xml:space="preserve">CC12240135.PDF"). </t>
    </r>
    <r>
      <rPr>
        <sz val="11"/>
        <color rgb="FFFF0000"/>
        <rFont val="Calibri"/>
        <family val="2"/>
        <scheme val="minor"/>
      </rPr>
      <t>Le ".PDF" doit y être aussi</t>
    </r>
  </si>
  <si>
    <r>
      <t xml:space="preserve">Colonnes R, S, T, U : coordonnées des clients : </t>
    </r>
    <r>
      <rPr>
        <sz val="11"/>
        <color rgb="FFFF0000"/>
        <rFont val="Calibri"/>
        <family val="2"/>
        <scheme val="minor"/>
      </rPr>
      <t>DOIT ETRE</t>
    </r>
    <r>
      <rPr>
        <sz val="11"/>
        <color theme="1"/>
        <rFont val="Calibri"/>
        <family val="2"/>
        <scheme val="minor"/>
      </rPr>
      <t xml:space="preserve"> remplies, Ca ne peut pas être vide.
On se base sur la référence client (colonne G) pourmettre à jours les coordonnées</t>
    </r>
  </si>
  <si>
    <r>
      <t xml:space="preserve">Colonne X : PDF : </t>
    </r>
    <r>
      <rPr>
        <sz val="11"/>
        <color rgb="FFFF0000"/>
        <rFont val="Calibri"/>
        <family val="2"/>
        <scheme val="minor"/>
      </rPr>
      <t>3.</t>
    </r>
    <r>
      <rPr>
        <sz val="11"/>
        <rFont val="Calibri"/>
        <family val="2"/>
        <scheme val="minor"/>
      </rPr>
      <t xml:space="preserve"> une fois le pdf lié, il va se mettre dans un sous répertoire pour dire que c'est traité</t>
    </r>
  </si>
  <si>
    <t>SBMANAGE</t>
  </si>
  <si>
    <t>PRESTATIONS TECHNIQUES MAXIME FONTAINE</t>
  </si>
  <si>
    <t>PRESTATIONS TECHNIQUES MATIAS PRUVOT</t>
  </si>
  <si>
    <t>GALANDPA</t>
  </si>
  <si>
    <t>PRESTATIONS TECHNIQUES LUDOVIC PUCCI</t>
  </si>
  <si>
    <t>PRESTATIONS TECHNIQUES JORDAN CLEVEN</t>
  </si>
  <si>
    <t>THGEUPEN</t>
  </si>
  <si>
    <t>PRESTATIONS TECHNIQUES BRICE MELIN</t>
  </si>
  <si>
    <t>CLAESVERBU</t>
  </si>
  <si>
    <t>CDL</t>
  </si>
  <si>
    <t>PRESTATIONS TECHNIQUES ROBIN GALVEZ</t>
  </si>
  <si>
    <t>HMC</t>
  </si>
  <si>
    <t>FIMAVEST</t>
  </si>
  <si>
    <t>ALLCLEANI</t>
  </si>
  <si>
    <t>LEMAIREARC</t>
  </si>
  <si>
    <t>PRESTATIONS TECHNIQUES FABRICE SIMON</t>
  </si>
  <si>
    <t>ASTSC</t>
  </si>
  <si>
    <t>PRESTATIONS TECHNIQUES ROMAIN NIHOUL</t>
  </si>
  <si>
    <t>PRESTATIONS TECHNIQUES DAMIEN CIRILLO</t>
  </si>
  <si>
    <t>LAHAYEJF</t>
  </si>
  <si>
    <t>Frais de déplacement kilométriques</t>
  </si>
  <si>
    <t>FIDURENSON</t>
  </si>
  <si>
    <t>PRESTATIONS TECHNIQUES WILLY BUSSIENNE</t>
  </si>
  <si>
    <t>PRESTATIONS TECHNIQUES KILLIAN COPINE</t>
  </si>
  <si>
    <t>SCHENE</t>
  </si>
  <si>
    <t>MAZOUTJ</t>
  </si>
  <si>
    <t>PRESTATIONS TECHNIQUES JONATHAN CHASPIERRE</t>
  </si>
  <si>
    <t>Frais de déplacement forfaitaires</t>
  </si>
  <si>
    <t>CAMEL</t>
  </si>
  <si>
    <t>GRAMITHERM</t>
  </si>
  <si>
    <t>DRMANAG</t>
  </si>
  <si>
    <t>PRESTATIONS TECHNIQUES BERYL DEMOLEON</t>
  </si>
  <si>
    <t>PRESTATIONS TECHNIQUES KEVIN BRASSEUR</t>
  </si>
  <si>
    <t>PRESTATIONS TECHNIQUES UGO MARZOLA</t>
  </si>
  <si>
    <t>DEV4LOG</t>
  </si>
  <si>
    <t>PRESTATIONS TECHNIQUES QUENTIN LIEGEOIS</t>
  </si>
  <si>
    <t>PIRONGEO</t>
  </si>
  <si>
    <t>ALGI</t>
  </si>
  <si>
    <t>MATHYWEL</t>
  </si>
  <si>
    <t>IBLUX</t>
  </si>
  <si>
    <t>PRESTATIONS TECHNIQUES OLIVIER PATINY</t>
  </si>
  <si>
    <t>SPAFID</t>
  </si>
  <si>
    <t>PRESTATIONS TECHNIQUES REDA LABIB</t>
  </si>
  <si>
    <t>PGI</t>
  </si>
  <si>
    <t>WEBCOM2YOU</t>
  </si>
  <si>
    <t>PRESTATIONS TECHNIQUES FLORENT CLAUDY</t>
  </si>
  <si>
    <t>MONNAIE</t>
  </si>
  <si>
    <t>RENKINC</t>
  </si>
  <si>
    <t>MTPCONSULT</t>
  </si>
  <si>
    <t>VANOSBEECK</t>
  </si>
  <si>
    <t>SERVICE - Installation cost - Rcarré /</t>
  </si>
  <si>
    <t>AXIOMESA</t>
  </si>
  <si>
    <t>PRESTATIONS TECHNIQUES MAXIME STOLZ</t>
  </si>
  <si>
    <t>LONGREENAT</t>
  </si>
  <si>
    <t>PRESTATIONS TECHNIQUES REMI FLEURY</t>
  </si>
  <si>
    <t>POLYMAR</t>
  </si>
  <si>
    <t>DAGNEAUX</t>
  </si>
  <si>
    <t>PRESTATIONS TECHNIQUES David DRUSZCZ</t>
  </si>
  <si>
    <t>ETREAC</t>
  </si>
  <si>
    <t>BCPP</t>
  </si>
  <si>
    <t>PRESTATIONS TECHNIQUES OLIVIER RAN</t>
  </si>
  <si>
    <t>81BINVEST</t>
  </si>
  <si>
    <t>PRESTATIONS TECHNIQUES CATHY HEINTZ</t>
  </si>
  <si>
    <t>PRESTATIONS TECHNIQUES ARTHUR HENNUS</t>
  </si>
  <si>
    <t>DBVHP</t>
  </si>
  <si>
    <t>MOTIONPICT</t>
  </si>
  <si>
    <t>BCALIM</t>
  </si>
  <si>
    <t>CRAMSPRL</t>
  </si>
  <si>
    <t>HAUREGARD</t>
  </si>
  <si>
    <t>SA2M</t>
  </si>
  <si>
    <t>HASHEMI</t>
  </si>
  <si>
    <t>DEB001</t>
  </si>
  <si>
    <t>PNCSERVICE</t>
  </si>
  <si>
    <t>TECNOCOND</t>
  </si>
  <si>
    <t>ASSURGROUP</t>
  </si>
  <si>
    <t>BPRCAR</t>
  </si>
  <si>
    <t>SOBELFISC</t>
  </si>
  <si>
    <t>BVGROUP</t>
  </si>
  <si>
    <t>LEGRANDSFI</t>
  </si>
  <si>
    <t>GOFFARDC</t>
  </si>
  <si>
    <t>DECKERSV</t>
  </si>
  <si>
    <t>HOUBEN</t>
  </si>
  <si>
    <t>COUNSONMAT</t>
  </si>
  <si>
    <t>NETSERVICE</t>
  </si>
  <si>
    <t>BOUBASUD</t>
  </si>
  <si>
    <t>CIMEX</t>
  </si>
  <si>
    <t>BUREAUARCH</t>
  </si>
  <si>
    <t>VELAYA</t>
  </si>
  <si>
    <t xml:space="preserve">JOSLEON </t>
  </si>
  <si>
    <t>DYNAMIACC</t>
  </si>
  <si>
    <t xml:space="preserve">MACBETHCON </t>
  </si>
  <si>
    <t>CENTRETRI</t>
  </si>
  <si>
    <t>N</t>
  </si>
  <si>
    <t>PARTNER TECHNOLOGY SPRL</t>
  </si>
  <si>
    <t>X</t>
  </si>
  <si>
    <t>ETREAC CONSULTING SPRLU</t>
  </si>
  <si>
    <t>CHAUFFAGE FREDERICK SRL</t>
  </si>
  <si>
    <t>MENUISERIE SERVATY SPRL</t>
  </si>
  <si>
    <t>PLASTURGIE LAZZERINI SA</t>
  </si>
  <si>
    <t>ARCHIBALD ANALYTICS SRL</t>
  </si>
  <si>
    <t>FSIMON</t>
  </si>
  <si>
    <t>Client</t>
  </si>
  <si>
    <t>81BBAT</t>
  </si>
  <si>
    <t>81BIMMO</t>
  </si>
  <si>
    <t>81BSRL</t>
  </si>
  <si>
    <t>81B SPRL</t>
  </si>
  <si>
    <t>AAIKO</t>
  </si>
  <si>
    <t>ACCOUNTIT</t>
  </si>
  <si>
    <t>LU</t>
  </si>
  <si>
    <t>ACEL</t>
  </si>
  <si>
    <t>ADVISION</t>
  </si>
  <si>
    <t>AGENCEDEV</t>
  </si>
  <si>
    <t>AIRBNC</t>
  </si>
  <si>
    <t>ALL CLEANI</t>
  </si>
  <si>
    <t>FR</t>
  </si>
  <si>
    <t>ARCADESRED</t>
  </si>
  <si>
    <t>ARCATECH SA</t>
  </si>
  <si>
    <t>ARCLA</t>
  </si>
  <si>
    <t>ART001</t>
  </si>
  <si>
    <t>ASSONLE</t>
  </si>
  <si>
    <t>ATGS</t>
  </si>
  <si>
    <t>AUCTUM</t>
  </si>
  <si>
    <t>AWOODPROJE</t>
  </si>
  <si>
    <t>BAO001</t>
  </si>
  <si>
    <t>BAROMEDIC</t>
  </si>
  <si>
    <t>BCP</t>
  </si>
  <si>
    <t>BECHOUX</t>
  </si>
  <si>
    <t>BECOVFIDUS</t>
  </si>
  <si>
    <t>BEFORYOU</t>
  </si>
  <si>
    <t>BELETTE</t>
  </si>
  <si>
    <t>BELGIUMCOA</t>
  </si>
  <si>
    <t>BELLEFLAMM</t>
  </si>
  <si>
    <t>BENTAYEB</t>
  </si>
  <si>
    <t>BERREWAERT</t>
  </si>
  <si>
    <t>BERVAES</t>
  </si>
  <si>
    <t>BIOFAGNE</t>
  </si>
  <si>
    <t>BLE001</t>
  </si>
  <si>
    <t>BRICTEUX1</t>
  </si>
  <si>
    <t>LVM MANAGEMENT</t>
  </si>
  <si>
    <t>CABINETPFF</t>
  </si>
  <si>
    <t>CARLISI</t>
  </si>
  <si>
    <t>CAROLORACI</t>
  </si>
  <si>
    <t>CDCINFO</t>
  </si>
  <si>
    <t>CHAUFFRED</t>
  </si>
  <si>
    <t>CHIENSCHAT</t>
  </si>
  <si>
    <t>CHIQUE</t>
  </si>
  <si>
    <t>CHRISTALE</t>
  </si>
  <si>
    <t>CITYRENT</t>
  </si>
  <si>
    <t>COBEVRI</t>
  </si>
  <si>
    <t>COFIDENA</t>
  </si>
  <si>
    <t>COGEPHOTO</t>
  </si>
  <si>
    <t>COMPOSIA</t>
  </si>
  <si>
    <t>CONSOMME</t>
  </si>
  <si>
    <t>COPPEE</t>
  </si>
  <si>
    <t>CORNETBERN</t>
  </si>
  <si>
    <t>DANIELRENA</t>
  </si>
  <si>
    <t>DANSCONSEI</t>
  </si>
  <si>
    <t>DECUBECONS</t>
  </si>
  <si>
    <t>DECUBE CONSULT SRL</t>
  </si>
  <si>
    <t>ETS L. DEJONGHE SA</t>
  </si>
  <si>
    <t>DEL003</t>
  </si>
  <si>
    <t>DELIGHTING</t>
  </si>
  <si>
    <t>DIGITALLIF</t>
  </si>
  <si>
    <t>DOHOGNE</t>
  </si>
  <si>
    <t>DOOM43519X</t>
  </si>
  <si>
    <t>DPFINTAX</t>
  </si>
  <si>
    <t>DRB</t>
  </si>
  <si>
    <t>DUMOULINBM</t>
  </si>
  <si>
    <t>DYN80315</t>
  </si>
  <si>
    <t>ECOPLGROUP</t>
  </si>
  <si>
    <t>EDEN</t>
  </si>
  <si>
    <t>EDITIONSJB</t>
  </si>
  <si>
    <t>EGMANAGEME</t>
  </si>
  <si>
    <t>ENESCONSTR</t>
  </si>
  <si>
    <t>EUROBOIS</t>
  </si>
  <si>
    <t>FABBRICOTT</t>
  </si>
  <si>
    <t>FAS</t>
  </si>
  <si>
    <t>FIDUDEP</t>
  </si>
  <si>
    <t>FIDULEO</t>
  </si>
  <si>
    <t>FIMAVEST B.V.</t>
  </si>
  <si>
    <t>NL</t>
  </si>
  <si>
    <t>FINAEMBO</t>
  </si>
  <si>
    <t>FISCAMAX</t>
  </si>
  <si>
    <t>FISCODIM</t>
  </si>
  <si>
    <t>FLECO</t>
  </si>
  <si>
    <t>FORTEMPS3</t>
  </si>
  <si>
    <t>FRANCAR</t>
  </si>
  <si>
    <t>FUTURH</t>
  </si>
  <si>
    <t>GELATERIA</t>
  </si>
  <si>
    <t>GELIS</t>
  </si>
  <si>
    <t>GESTLIFT</t>
  </si>
  <si>
    <t>GLOBULE</t>
  </si>
  <si>
    <t>GORREMANS</t>
  </si>
  <si>
    <t>GROTTESREM</t>
  </si>
  <si>
    <t>HAGECO</t>
  </si>
  <si>
    <t>HAMALCABI</t>
  </si>
  <si>
    <t>HANSEZ</t>
  </si>
  <si>
    <t>HEN00428</t>
  </si>
  <si>
    <t>HEYLOC</t>
  </si>
  <si>
    <t>HOMECONSUL</t>
  </si>
  <si>
    <t>HVAC</t>
  </si>
  <si>
    <t>HYDROGAZ</t>
  </si>
  <si>
    <t>IBGRAF</t>
  </si>
  <si>
    <t>IBLUX SA</t>
  </si>
  <si>
    <t>IDLUNCH</t>
  </si>
  <si>
    <t>ILOINVEST</t>
  </si>
  <si>
    <t>IMMOMED</t>
  </si>
  <si>
    <t>IREMIS</t>
  </si>
  <si>
    <t>IVZINC</t>
  </si>
  <si>
    <t>JASPART</t>
  </si>
  <si>
    <t>JOBARDENT</t>
  </si>
  <si>
    <t>JOSLEON</t>
  </si>
  <si>
    <t>JPSFINANCI</t>
  </si>
  <si>
    <t>JUPIPNEU</t>
  </si>
  <si>
    <t>KADRESS</t>
  </si>
  <si>
    <t>KESSEN</t>
  </si>
  <si>
    <t>LACAVEAVIN</t>
  </si>
  <si>
    <t>LAEDAM</t>
  </si>
  <si>
    <t>LAERA</t>
  </si>
  <si>
    <t>LEDUCJACQU</t>
  </si>
  <si>
    <t>LEGRAND ET PARTNER</t>
  </si>
  <si>
    <t>LEGRASAVOC</t>
  </si>
  <si>
    <t>LEROYSPRL</t>
  </si>
  <si>
    <t>LHOMME</t>
  </si>
  <si>
    <t>LONHIENNE</t>
  </si>
  <si>
    <t>MAAG FRA</t>
  </si>
  <si>
    <t>MEAT CUTTING SERVICES</t>
  </si>
  <si>
    <t>MACAVERST</t>
  </si>
  <si>
    <t>MACBETHCON</t>
  </si>
  <si>
    <t>MACLOT</t>
  </si>
  <si>
    <t>MAGMACOLLE</t>
  </si>
  <si>
    <t>MAISFREIN</t>
  </si>
  <si>
    <t>DE</t>
  </si>
  <si>
    <t>MATPARTNE</t>
  </si>
  <si>
    <t>MCP</t>
  </si>
  <si>
    <t>MIESSEN2</t>
  </si>
  <si>
    <t>MOORP</t>
  </si>
  <si>
    <t>MTCONSULT</t>
  </si>
  <si>
    <t>NICOLORS</t>
  </si>
  <si>
    <t>NUTRIETHIC</t>
  </si>
  <si>
    <t>NVFP</t>
  </si>
  <si>
    <t>ORBAN</t>
  </si>
  <si>
    <t>PAPJJJ</t>
  </si>
  <si>
    <t>PARIDAENS</t>
  </si>
  <si>
    <t>PARODI</t>
  </si>
  <si>
    <t>PATHON</t>
  </si>
  <si>
    <t>PAULYMAI</t>
  </si>
  <si>
    <t>PHH</t>
  </si>
  <si>
    <t>PHILMOTT</t>
  </si>
  <si>
    <t>PICTON</t>
  </si>
  <si>
    <t>PIRON</t>
  </si>
  <si>
    <t>PLASTUGIE</t>
  </si>
  <si>
    <t>POSTHOTEL</t>
  </si>
  <si>
    <t>PPPSPRL</t>
  </si>
  <si>
    <t>PRA002</t>
  </si>
  <si>
    <t>PROCONSEIL</t>
  </si>
  <si>
    <t>RCARREBE</t>
  </si>
  <si>
    <t>RDRACING</t>
  </si>
  <si>
    <t>REUCHAMPS</t>
  </si>
  <si>
    <t>RICHIRSRL</t>
  </si>
  <si>
    <t>RMDA</t>
  </si>
  <si>
    <t>ROJUMA</t>
  </si>
  <si>
    <t>ROMILLYALA</t>
  </si>
  <si>
    <t>ROOBROUCK</t>
  </si>
  <si>
    <t>SAINTENOY</t>
  </si>
  <si>
    <t>SALAZAR</t>
  </si>
  <si>
    <t>SDEL</t>
  </si>
  <si>
    <t>SERAINGATH</t>
  </si>
  <si>
    <t>SERVATY</t>
  </si>
  <si>
    <t>STYLECO</t>
  </si>
  <si>
    <t>TABLEUPI</t>
  </si>
  <si>
    <t>TAS002</t>
  </si>
  <si>
    <t>TAX&amp;LEGAL</t>
  </si>
  <si>
    <t>TECNOFORM</t>
  </si>
  <si>
    <t>THG EUPEN</t>
  </si>
  <si>
    <t>THG NAMUR</t>
  </si>
  <si>
    <t>THOMASPAT</t>
  </si>
  <si>
    <t>TURBINE</t>
  </si>
  <si>
    <t>TUTSG</t>
  </si>
  <si>
    <t>TYCHON</t>
  </si>
  <si>
    <t>URBEO</t>
  </si>
  <si>
    <t>URLICH</t>
  </si>
  <si>
    <t>VDB</t>
  </si>
  <si>
    <t>VESALE</t>
  </si>
  <si>
    <t>WELLINGCON</t>
  </si>
  <si>
    <t>YOUREDGE</t>
  </si>
  <si>
    <t>ZEVENNEPHI</t>
  </si>
  <si>
    <t>Tiers</t>
  </si>
  <si>
    <t>Remarques perso</t>
  </si>
  <si>
    <t>Cellule en rouge : pas d'info dans le fichier de remi</t>
  </si>
  <si>
    <t>Texte en rouge : la donnée était présente mais a été modifié</t>
  </si>
  <si>
    <t>Colonne Date et échéance : mettre en format date</t>
  </si>
  <si>
    <r>
      <t xml:space="preserve">Données clients - Bob : </t>
    </r>
    <r>
      <rPr>
        <b/>
        <sz val="11"/>
        <color theme="1"/>
        <rFont val="Calibri"/>
        <family val="2"/>
        <scheme val="minor"/>
      </rPr>
      <t>données à remplacer</t>
    </r>
  </si>
  <si>
    <t>Par</t>
  </si>
  <si>
    <t>Remplacer</t>
  </si>
  <si>
    <t>VEPS</t>
  </si>
  <si>
    <t>Centre bruxellois : formule a modif pour arriver a mettre du V et pas SDD</t>
  </si>
  <si>
    <t xml:space="preserve">Une fois que les valeurs sont copiées : </t>
  </si>
  <si>
    <t>Colonne avec des montants (voir image) : mettre en format nombre</t>
  </si>
  <si>
    <t>MFONTAINE</t>
  </si>
  <si>
    <t>LPUCCI</t>
  </si>
  <si>
    <t>JCLEVEN</t>
  </si>
  <si>
    <t>BMELIN</t>
  </si>
  <si>
    <t>R2LUX</t>
  </si>
  <si>
    <t>Analytique personnel BOB</t>
  </si>
  <si>
    <t>aaa - MODIF MANUELLE</t>
  </si>
  <si>
    <t>bbb - MODIF MANUELLE</t>
  </si>
  <si>
    <t>Voir a mettre pour les ventes hardware un autre libéllé que la communiqution pour savoir ce que l'on vend</t>
  </si>
  <si>
    <t>A vérif de bien mettre le tier pour le client qui reçois la facture et mettre l'analytque pour le second client concerné</t>
  </si>
  <si>
    <t>clientid</t>
  </si>
  <si>
    <t>Analytique client</t>
  </si>
  <si>
    <t>ETS V. DEHAYE S.A. [CONTRAT_D][R2BE] #410000241</t>
  </si>
  <si>
    <t>ARCADES RED[R2BE] #410000734</t>
  </si>
  <si>
    <t>ACEL SPRL[R2BE] #410000527</t>
  </si>
  <si>
    <t>BPR CAR SERVICES SPRL[R2BE] #410000533</t>
  </si>
  <si>
    <t>BV GROUP ASSURANCES[R2BE] #410000541</t>
  </si>
  <si>
    <t>BUREAU VINCENT CARLISI[R2BE] #410000532</t>
  </si>
  <si>
    <t>COMPTA ORBAN SPRL[R2BE] #410000535</t>
  </si>
  <si>
    <t>DANSCONSEILS[R2BE] #410000540</t>
  </si>
  <si>
    <t>JASPART-BAUFAYS ASSURA.[R2BE] #410000529</t>
  </si>
  <si>
    <t>SOBELFISC SPRL[R2BE] #410000536</t>
  </si>
  <si>
    <t>ETUDE HUISSIER DE [CONTRAT_C][R2BE] #410000705</t>
  </si>
  <si>
    <t>ASSURGROUP SPRL[R2BE] #410000530</t>
  </si>
  <si>
    <t>PROCONSEILS ASSURANCES[R2BE] #410000546</t>
  </si>
  <si>
    <t>GOFFARD CONSEIL SPRL[R2BE] #410000569</t>
  </si>
  <si>
    <t>SB MANAGEMENT SRL[R2BE] #410000670</t>
  </si>
  <si>
    <t>AUX COTEAUX DE VINALMON[R2BE] #410000018</t>
  </si>
  <si>
    <t>AGRAL SA [CONTRAT_D][R2BE] #410000174</t>
  </si>
  <si>
    <t>MAT+ SCRL [CONTRAT_D][R2BE] #410000170</t>
  </si>
  <si>
    <t>A L'EST D'EDEN[R2BE] #410000344</t>
  </si>
  <si>
    <t>LA BUANDERIE SCRL FS [CONTRAT_DT][R2BE] #410000277</t>
  </si>
  <si>
    <t>IZIFIN[R2BE] #410000688</t>
  </si>
  <si>
    <t>FID. CFGS SAINTENOY[R2BE] #410000195</t>
  </si>
  <si>
    <t>MEBF MECA SA[R2BE] #410000637</t>
  </si>
  <si>
    <t>ESPACE TOURISME ET CULT.....IBGRAF [CONTRAT_D][R2BE] #410000005</t>
  </si>
  <si>
    <t>NETTOYAGE EVRARD SPRL [CONTRAT_D][R2BE] #410000122</t>
  </si>
  <si>
    <t>FIDUCIAIRE LAGNEAUX [CONTRAT_DT][R2BE] #410000471</t>
  </si>
  <si>
    <t>FISCODIM [CONTRAT_D][R2BE] #410000245</t>
  </si>
  <si>
    <t>FORTEMPS ET FILS SPRL [BLOQUE][R2BE] #410000057</t>
  </si>
  <si>
    <t>GESLIFT SPRL [CONTRAT_D][R2BE] #410000063</t>
  </si>
  <si>
    <t>LIBRA-TAX &amp; ACCOUNTANCY [CONTRAT_D][R2BE] #410000668</t>
  </si>
  <si>
    <t>JUPIPNEUS SA[R2BE] #410000090</t>
  </si>
  <si>
    <t>MATON SPORTS SPRL [CONTRAT_D][R2BE] #410000281</t>
  </si>
  <si>
    <t>PATHON SPRL [CONTRAT_D][R2BE] #410000463</t>
  </si>
  <si>
    <t>PIRON ET FILS SA [CONTRAT_D][R2BE] #410000125</t>
  </si>
  <si>
    <t>PRODUCTION PRINTING[R2BE] #410000410</t>
  </si>
  <si>
    <t>UPIGNAC SA [CONTRAT_DT][R2BE] #410000098</t>
  </si>
  <si>
    <t>ATELIER HENRARD SPRL [CONTRAT_D][R2BE] #410000077</t>
  </si>
  <si>
    <t>ENTRE CHIENS ET CHATS[R2BE] #410000384</t>
  </si>
  <si>
    <t>FISCAMAX SPRL[R2BE] #410000610</t>
  </si>
  <si>
    <t>PHASYA SA [CONTRAT_D][R2BE] #410000593</t>
  </si>
  <si>
    <t>FAB'HYDRO [CONTRAT_D][R2BE] #410000342</t>
  </si>
  <si>
    <t>MAISON MAAG[R2BE] #410000110</t>
  </si>
  <si>
    <t>IBGRAF BUSINESS SOL. [CONTRAT_D][R2BE] #410000001</t>
  </si>
  <si>
    <t>CL. DENT. CDPY[R2BE] #410000671</t>
  </si>
  <si>
    <t>TRANS. VGH [CONTRAT_DT][R2BE] #410000677</t>
  </si>
  <si>
    <t>EMMANUEL GRAWEZ [CONTRAT_D][R2BE] #410000424</t>
  </si>
  <si>
    <t>SERVI-HOME SPRL[R2BE] [PLUG&amp;GO] #410000632</t>
  </si>
  <si>
    <t>DSC ACCOUNTING SRL [CONTRAT_T][R2BE] [PLUG&amp;GO] #410000626</t>
  </si>
  <si>
    <t>F.R.A.B. SPRL [CONTRAT_D][R2BE] #410000040</t>
  </si>
  <si>
    <t>ASSOCIATION LAEDAM[R2BE] #410000571</t>
  </si>
  <si>
    <t>AUCTUM CONSULTING SPRL[R2BE] #410000016</t>
  </si>
  <si>
    <t>BAONVILLE SPRL[R2BE] #410000357</t>
  </si>
  <si>
    <t>B-CALIM [CONTRAT_C][R2BE] #410000020</t>
  </si>
  <si>
    <t>BECFTO [CONTRAT_DT][R2BE] #410000518</t>
  </si>
  <si>
    <t>BECHOUX LOUIS (SNACK)[R2BE] #410000209</t>
  </si>
  <si>
    <t>BELETTE LIEGEOISE[R2BE] #410000431</t>
  </si>
  <si>
    <t>BELSIM ENGINEERING SA [CONTRAT_DCT][R2BE] #410000477</t>
  </si>
  <si>
    <t>BLEROT ETS [CONTRAT_D][R2BE] #410000024</t>
  </si>
  <si>
    <t>BUSINESS CONSULTING[R2BE] #410000586</t>
  </si>
  <si>
    <t>CAMEL SPRL [CONTRAT_D][R2BE] #410000506</t>
  </si>
  <si>
    <t>CAROLO RACING SA[R2BE] #410000002</t>
  </si>
  <si>
    <t>CB FISC [CONTRAT_DT][R2BE] #410000029</t>
  </si>
  <si>
    <t>CDL SPRL [CONTRAT_C][R2BE] #410000371</t>
  </si>
  <si>
    <t>COFIDENA SPRL[R2BE] #410000247</t>
  </si>
  <si>
    <t>COGEPHOTO LIEGE SA[R2BE] #410000253</t>
  </si>
  <si>
    <t>COGEZAF SA[R2BE] #410000033</t>
  </si>
  <si>
    <t>CFGG - COMPTABILITE [CONTRAT_DC][R2BE] #410000435</t>
  </si>
  <si>
    <t>DELHEZ COMBUSTIBLES[R2BE] #410000043</t>
  </si>
  <si>
    <t>DELIGHTING [CONTRAT_D][R2BE] #410000255</t>
  </si>
  <si>
    <t>D'INVERNO JEAN-PASCAL [CONTRAT_D][R2BE] #410000550</t>
  </si>
  <si>
    <t>DOCTEUR PAUL MOOR SPRL[R2BE] #410000117</t>
  </si>
  <si>
    <t>D.R.B. SPRL[R2BE] #410000502</t>
  </si>
  <si>
    <t>DYNA SA[R2BE] #410000048</t>
  </si>
  <si>
    <t>E-COFISC SPRL [CONTRAT_D][R2BE] #410000404</t>
  </si>
  <si>
    <t>ECOPLASTER GROUP SPRL [CONTRAT_T][R2BE] #410000460</t>
  </si>
  <si>
    <t>EDITIONS JACQUES BREL [CONTRAT_D][R2BE] #410000581</t>
  </si>
  <si>
    <t>ETS COUTREZ ET CIE SA [CONTRAT_D][R2BE] #410000036</t>
  </si>
  <si>
    <t>EUROBOIS SA[R2BE] #410000053</t>
  </si>
  <si>
    <t>FERME D ASSONLEVILLE[R2BE] #410000015</t>
  </si>
  <si>
    <t>FIDELIS SPRL [CONTRAT_D][R2BE] #410000251</t>
  </si>
  <si>
    <t>FIDUCIAIRE DE SPA[R2BE] #410000141</t>
  </si>
  <si>
    <t>ONYXE [CONTRAT_D][R2BE] #410000326</t>
  </si>
  <si>
    <t>FRANCAR SPRL[R2BE] #410000449</t>
  </si>
  <si>
    <t>FREYMANN SPRL [CONTRAT_D][R2BE] #410000059</t>
  </si>
  <si>
    <t>GALAND PACKAGING SA[R2BE] #410000061</t>
  </si>
  <si>
    <t>GAMMA PLAN SA [CONTRAT_C][R2BE] #410000492</t>
  </si>
  <si>
    <t>GEORGES TUTS[R2BE] #410000126</t>
  </si>
  <si>
    <t>GESCKA SC SPRL [CONTRAT_C][R2BE] #410000418</t>
  </si>
  <si>
    <t>GILBERT L'HOMME ETS SA [CONTRAT_D][R2BE] #410000101</t>
  </si>
  <si>
    <t>GRAMITHERM EUROPE SA[R2BE] #410000614</t>
  </si>
  <si>
    <t>HAGECO BV[R2BE] #410000564</t>
  </si>
  <si>
    <t>HMC BELGIUM SPRL[R2BE] #410000378</t>
  </si>
  <si>
    <t>HYDROGAZ S.A. [CONTRAT_D][R2BE] #410000282</t>
  </si>
  <si>
    <t>ID LUNCH SPRL [CONTRAT_D][R2BE] #410000300</t>
  </si>
  <si>
    <t>IDAL [CONTRAT_DT][R2BE] #410000252</t>
  </si>
  <si>
    <t>IMMOMED MULDAM[R2BE] #410000188</t>
  </si>
  <si>
    <t>JADIN CATHERINE ETUDE [CONTRAT_D][R2BE] #410000459</t>
  </si>
  <si>
    <t>JOBARDENT SP[R2BE] #410000618</t>
  </si>
  <si>
    <t>LA CAVE A VINS[R2BE] #410000204</t>
  </si>
  <si>
    <t>LA COMPT'ACTIVE [CONTRAT_DCT][R2BE] #410000035</t>
  </si>
  <si>
    <t>LA MAISON DU FREIN [CONTRAT_D][R2BE] #410000343</t>
  </si>
  <si>
    <t>LA TURBINE EUROPE SPRL[R2BE] #410000503</t>
  </si>
  <si>
    <t>LA TABLE D'UPIGNAC[R2BE] #410000580</t>
  </si>
  <si>
    <t>LAERA BRENDA (MME)[R2BE] #410000572</t>
  </si>
  <si>
    <t>LN COMPTA-FISC [CONTRAT_D][R2BE] #410000108</t>
  </si>
  <si>
    <t>MAISON BERVAES S.A.[R2BE] #410000193</t>
  </si>
  <si>
    <t>MAISON PRAILLET S.A.[R2BE] #410000350</t>
  </si>
  <si>
    <t>MATEGRO SPRL [CONTRAT_D][R2BE] #410000585</t>
  </si>
  <si>
    <t>MAZOUT JANSSEN [CONTRAT_D][R2BE] #410000278</t>
  </si>
  <si>
    <t>MCP [CONTRAT_DCT][R2BE] #410000112</t>
  </si>
  <si>
    <t>O-DONTO Sc Sprl [CONTRAT_DT][R2BE] #410000420</t>
  </si>
  <si>
    <t>PACHA BUSINESS SA [CONTRAT_D][R2BE] #410000157</t>
  </si>
  <si>
    <t>PAPETERIE JJJ [BLOQUE][R2BE] #410000313</t>
  </si>
  <si>
    <t>LIBREBOOK EUROPE SRL [CONTRAT_D][R2BE] #410000521</t>
  </si>
  <si>
    <t>PICTON &amp; CO SPRL[R2BE] #410000579</t>
  </si>
  <si>
    <t>POLYMAR SPRL[R2BE] #410000430</t>
  </si>
  <si>
    <t>PORCS QUALITE ARDENNE [CONTRAT_D][R2BE] #410000226</t>
  </si>
  <si>
    <t>POST HOTEL HERSTAL [CONTRAT_D][R2BE] #410000128</t>
  </si>
  <si>
    <t>PROMOTIONS ET ENTREPR. [CONTRAT_D][R2BE] #410000213</t>
  </si>
  <si>
    <t>RD RACING[R2BE] #410000229</t>
  </si>
  <si>
    <t>CECILE RENKIN[R2BE] #410000473</t>
  </si>
  <si>
    <t>RESSORTS KESSEN SA [CONTRAT_D][R2BE] #410000091</t>
  </si>
  <si>
    <t>REUCHAMPS JACQUES[R2BE] #410000623</t>
  </si>
  <si>
    <t>RUWELEC SPRL [CONTRAT_D][R2BE] #410000134</t>
  </si>
  <si>
    <t>SALAZAR LUIS (Mr)[R2BE] #410000200</t>
  </si>
  <si>
    <t>SCHENE SA [CONTRAT_D][R2BE] #410000163</t>
  </si>
  <si>
    <t>STYLECO[R2BE] #410000142</t>
  </si>
  <si>
    <t>TASSET PASCAL SPRL[R2BE] #410000143</t>
  </si>
  <si>
    <t>TECHNIC ONE [CONTRAT_D][R2BE] #410000290</t>
  </si>
  <si>
    <t>TECNOCONDUITE 2000[R2BE] #410000291</t>
  </si>
  <si>
    <t>TROXQUET-LAMBERT SPRL [CONTRAT_D][R2BE] #410000624</t>
  </si>
  <si>
    <t>TC SERVICES BELGIUM SPR [CONTRAT_D][R2BE] #410000511</t>
  </si>
  <si>
    <t>TYCHON SA (MENUISERIE)[R2BE] #410000146</t>
  </si>
  <si>
    <t>VANOSBEECK ASSO. EXPERT [CONTRAT_C][R2BE] #410000299</t>
  </si>
  <si>
    <t>WUIDAR SPRL [CONTRAT_D][R2BE] #410000394</t>
  </si>
  <si>
    <t>DOCTEUR BERNARD MULDER[R2BE] #410000119</t>
  </si>
  <si>
    <t>F.A.S.[R2BE] #410000202</t>
  </si>
  <si>
    <t>THE CITY RENT SA[R2BE] [PLUG&amp;GO] #410000669</t>
  </si>
  <si>
    <t>ROJUMA SCS[R2BE] #410000607</t>
  </si>
  <si>
    <t>ACA SERVICES SPRL[R2BE] #410000687</t>
  </si>
  <si>
    <t>THG NAMUR SA [CONTRAT_C][R2BE] #410000606</t>
  </si>
  <si>
    <t>GELATERIA JOHN JOHN[R2BE] #410000686</t>
  </si>
  <si>
    <t>PHH M&amp;S Sprl[R2BE] #410000358</t>
  </si>
  <si>
    <t>OPTICIEN KRYS [CONTRAT_D][R2BE] #410000390</t>
  </si>
  <si>
    <t>DR MANAGEMENT SCS[R2BE] #410000641</t>
  </si>
  <si>
    <t>HVAC MAINTENANCE SPRL[R2BE] #410000500</t>
  </si>
  <si>
    <t>CHRISTALE SPRL[R2BE] [PLUG&amp;GO] #410000647</t>
  </si>
  <si>
    <t>NVFP SRL[R2BE] #410000708</t>
  </si>
  <si>
    <t>PRINCE CARAVANING [CONTRAT_D][R2BE] #410000684</t>
  </si>
  <si>
    <t>AIR B N C[R2BE] [PLUG&amp;GO] #410000707</t>
  </si>
  <si>
    <t>ETS LEROY[R2BE] [PLUG&amp;GO] #410000733</t>
  </si>
  <si>
    <t>DMS SRL[R2BE] #410000710</t>
  </si>
  <si>
    <t>BUREAU VERSOLATO interv[R2BE] #410000236</t>
  </si>
  <si>
    <t>A&amp;D VISION[R2BE] #410000312</t>
  </si>
  <si>
    <t>BUREAU VERSOLATO [CONTRAT_D][R2BE] #410000216</t>
  </si>
  <si>
    <t>EUDEV CAPITAL PARTNER [CONTRAT_C][R2BE] #410000596</t>
  </si>
  <si>
    <t>DOHOGNE SYSTEM SA[R2BE] #410000395</t>
  </si>
  <si>
    <t>SDEL asbl[R2BE] #410000094</t>
  </si>
  <si>
    <t>VESALE PHARMACEUTICA[R2BE] #410000268</t>
  </si>
  <si>
    <t>VDB SPRL[R2BE] #410000631</t>
  </si>
  <si>
    <t>FIDUDEP SPRL[R2BE] [PLUG&amp;GO] #410000655</t>
  </si>
  <si>
    <t>BIO FAGNES SPRL[R2BE] [PLUG&amp;GO] #410000661</t>
  </si>
  <si>
    <t>ALL CLEANING[R2BE] [PLUG&amp;GO] #410000664</t>
  </si>
  <si>
    <t>H DE ST-ONGE IV[R2BE] [PLUG&amp;GO] #410000653</t>
  </si>
  <si>
    <t>MANAGING TAX CONSULT[R2BE] [PLUG&amp;GO] #410000692</t>
  </si>
  <si>
    <t>B&amp;C ASSOCIATES SPRL[R2BE] [PLUG&amp;GO] #410000662</t>
  </si>
  <si>
    <t>AD REALISATIONS SA[R2BE] [PLUG&amp;GO] #410000663</t>
  </si>
  <si>
    <t>ISIRO[R2BE] [PLUG&amp;GO] #410000644</t>
  </si>
  <si>
    <t>DOMAINE DE LA[R2BE] [PLUG&amp;GO] #410000656</t>
  </si>
  <si>
    <t>HEFAH SPRL[R2BE] [PLUG&amp;GO] #410000652</t>
  </si>
  <si>
    <t>LE MARCHE MATINAL DE[R2BE] [PLUG&amp;GO] #410000650</t>
  </si>
  <si>
    <t>ANTHE [CONTRAT_C][R2BE] #410000286</t>
  </si>
  <si>
    <t>VAL SAINT LAMBERT [CONTRAT_DC][R2BE] #410000311</t>
  </si>
  <si>
    <t>TECNOFORM SPRL[R2BE] #410000292</t>
  </si>
  <si>
    <t>HAUREGARD SABINE [CONTRAT_C][R2BE] #410000417</t>
  </si>
  <si>
    <t>TRAVHYDRO BELGIQUE [CONTRAT_C][R2BE] #410000489</t>
  </si>
  <si>
    <t>THG EUPEN SA.....IBGRAF[R2BE] #410000191</t>
  </si>
  <si>
    <t>THG SAINT-VITH.....IBGRAF[R2BE] #410000508</t>
  </si>
  <si>
    <t>GLOBULE BLEU SPRL[R2BE] #410000267</t>
  </si>
  <si>
    <t>HERVE VANDEN HAUTE [CONTRAT_D][R2BE] #410000589</t>
  </si>
  <si>
    <t>ETREAC CONSULTING SPRLU[R2BE] #410000514</t>
  </si>
  <si>
    <t>LEURKY SPRL [CONTRAT_D][R2BE] #410000563</t>
  </si>
  <si>
    <t>FIMAVEST B.V. [CONTRAT_C][R2BE] #410000544</t>
  </si>
  <si>
    <t>POLARD GERARD [CONTRAT_C][R2BE] #410000608</t>
  </si>
  <si>
    <t>HEYLOC S.R.L.[R2BE] #410000685</t>
  </si>
  <si>
    <t>GESTALIA CONSULT SRL[R2BE] #410000689</t>
  </si>
  <si>
    <t>LEMAIRE ARCHITECTURE[R2BE] #410000712</t>
  </si>
  <si>
    <t>AAIKO CONSULT SRL[R2BE] #410000711</t>
  </si>
  <si>
    <t>AWOODPROJECT SARL[R2BE] #410000513</t>
  </si>
  <si>
    <t>81B SPRL[R2BE] #410000211</t>
  </si>
  <si>
    <t>81B BAT sprl[R2BE] #410000399</t>
  </si>
  <si>
    <t>81B INVEST SPRL[R2BE] #410000584</t>
  </si>
  <si>
    <t>81B IMMO[R2BE] #410000583</t>
  </si>
  <si>
    <t>LA CHIQUE BOUTIQUE[R2BE] #410000545</t>
  </si>
  <si>
    <t>COBEVRI SA[R2BE] #410000553</t>
  </si>
  <si>
    <t>DIGITAL LIFE[R2BE] #410000478</t>
  </si>
  <si>
    <t>BE FOR YOU SRL[R2BE] #410000598</t>
  </si>
  <si>
    <t>PLUG AND GO INFO[R2BE] [PLUG&amp;GO] #410000602</t>
  </si>
  <si>
    <t>KANTOOR GORREMANS [CONTRAT_C][R2BE] #410000280</t>
  </si>
  <si>
    <t>PAPETERIE HUMBLET SRL [CONTRAT_DT][R2BE] #410000079</t>
  </si>
  <si>
    <t>TELECLEAN SA[R2BE] [PLUG&amp;GO] #410000701</t>
  </si>
  <si>
    <t>LOMBART PHILIPPE [CONTRAT_C][R2BE] #410000566</t>
  </si>
  <si>
    <t>EQUITY SRL C/O SHIFFT. [CONTRAT_C][R2BE] #410000436</t>
  </si>
  <si>
    <t>CDC INFORMATIQUE[R2BE] #410000732</t>
  </si>
  <si>
    <t>BUREAU CO AND CO SRL [CONTRAT_C][R2BE] #410000556</t>
  </si>
  <si>
    <t>BCPP SPRL[R2BE] #410000552</t>
  </si>
  <si>
    <t>MT CONSULT SPRL[R2BE] [PLUG&amp;GO] #410000649</t>
  </si>
  <si>
    <t>LONHIENNE REVISEUR SRL[R2BE] #410000742</t>
  </si>
  <si>
    <t>WELING CONSULTING SRL[R2BE] #410000612</t>
  </si>
  <si>
    <t>THOMAS PATRICK SRL[R2BE] [PLUG&amp;GO] #410000736</t>
  </si>
  <si>
    <t>LEGRAND SFI[R2BE] #410000561</t>
  </si>
  <si>
    <t>PARIDAENS AF SRL[R2BE] #410000806</t>
  </si>
  <si>
    <t>COMPOSIA SRL[R2BE] #410000784</t>
  </si>
  <si>
    <t>CENTRE BRUXELLOIS.....IBGRAF [CONTRAT_C][R2BE] #410000409</t>
  </si>
  <si>
    <t>ATELIERS POL SAUVAGE [CONTRAT_D][R2BE] #410000780</t>
  </si>
  <si>
    <t>BCHDM SPRL [CONTRAT_D][R2BE] #410000408</t>
  </si>
  <si>
    <t>DEMOLIN NOTAIRE SRL [CONTRAT_D][R2BE] #410000757</t>
  </si>
  <si>
    <t>MANAGEMENT CONSULTANCE [CONTRAT_DCT][R2BE] #410000762</t>
  </si>
  <si>
    <t>BUZON PEDESTAL INTERN. [CONTRAT_D][R2BE] #410000730</t>
  </si>
  <si>
    <t>RMDA SPRL[R2BE] #410000816</t>
  </si>
  <si>
    <t>VRANKEN POMMERY BENELUX[R2BE] #410000815</t>
  </si>
  <si>
    <t>YOUR EDGE CONSULTING[R2BE] #410000750</t>
  </si>
  <si>
    <t>WEBCOM2YOU SARL[R2BE] #410000814</t>
  </si>
  <si>
    <t>CORTOFISC SRL [CONTRAT_D][R2BE] #410000790</t>
  </si>
  <si>
    <t>BUSINESS MANAGEMENT[R2BE] #410000813</t>
  </si>
  <si>
    <t>SOLIGERE SCRL[R2BE] #410000487</t>
  </si>
  <si>
    <t>CLAES VERBURGH &amp; CO [CONTRAT_C][R2BE] #410000258</t>
  </si>
  <si>
    <t>ACCUEILDESTOUT-PETITS[CONTRAT_D][R2BE]#410000769</t>
  </si>
  <si>
    <t>ED ADVISORY SRL[R2BE] #410000504</t>
  </si>
  <si>
    <t>BERREWAERTS[R2BE] #410000844</t>
  </si>
  <si>
    <t>PRODUPRESS ADVERTISING [CONTRAT_D][R2BE] #410000821</t>
  </si>
  <si>
    <t>LAGROU SA [CONTRAT_T][R2BE] #410000832</t>
  </si>
  <si>
    <t>NUTRI-ETHIC SA[R2BE] #410000843</t>
  </si>
  <si>
    <t>COMPTABILITE FISCALITE PATRIMOINE [R2BE] #410000770</t>
  </si>
  <si>
    <t>BENTAYEB KHOLOUD[R2BE] #410000833</t>
  </si>
  <si>
    <t>A.S.T.S.C. SRL[R2BE] #410000836</t>
  </si>
  <si>
    <t>OPTIPROLEXSPRL[R2BE]#410000915</t>
  </si>
  <si>
    <t>URLICH &amp; VALENTIN ETS[R2BE] #410000725</t>
  </si>
  <si>
    <t>109CABINETD'AVOCAT[R2BE]#410000766</t>
  </si>
  <si>
    <t>CABINETP-FFERONSCPRL[R2BE]#410000872</t>
  </si>
  <si>
    <t>FRIANDASA[R2BE]#410000060</t>
  </si>
  <si>
    <t>MAISONPAULYSA[R2BE]#410000123</t>
  </si>
  <si>
    <t>DECUBESA[R2BE]#410000828</t>
  </si>
  <si>
    <t>LEODIUMAVOCATSSASPJ[R2BE]#410000767</t>
  </si>
  <si>
    <t>HOFMAN[R2BE]#410000882</t>
  </si>
  <si>
    <t>SYNACOSA[R2BE]#410000809</t>
  </si>
  <si>
    <t>LABROUCKSRL[CONTRAT_D][R2BE]#410000798</t>
  </si>
  <si>
    <t>ETUDENOTAIREDECLERCK[R2BE]#410000867</t>
  </si>
  <si>
    <t>SERAING ATHLETIQUE ASBL [CONTRAT_D][R2BE] #410000591</t>
  </si>
  <si>
    <t>WISTA SRL[R2BE] [PLUG&amp;GO] #410000795</t>
  </si>
  <si>
    <t>DOOME MARIE-JOSE SPRL[R2BE] #410000308</t>
  </si>
  <si>
    <t>CONSOMME CONSULTE SNC[R2BE] #410000752</t>
  </si>
  <si>
    <t>FUTUR H ASBL[R2BE] #410000758</t>
  </si>
  <si>
    <t>ALTRA SA [CONTRAT_D][R2BE] #410000759</t>
  </si>
  <si>
    <t>ATGS SC SPRL[R2BE] #410000324</t>
  </si>
  <si>
    <t>KADRESS BVBA SRL [CONTRAT_D][R2BE] #410000756</t>
  </si>
  <si>
    <t>DECKERS VIRGINIE[R2BE] #410000787</t>
  </si>
  <si>
    <t>EMBOURG SERVICES[R2BE] #410000438</t>
  </si>
  <si>
    <t>JPS FINANCIAL SRL[R2BE] #410000797</t>
  </si>
  <si>
    <t>COPPEE ELODIE[R2BE] #410000568</t>
  </si>
  <si>
    <t>CABINET SPRINGUEL[R2BE] #410000812</t>
  </si>
  <si>
    <t>AURAL SRL[R2BE] #410000936</t>
  </si>
  <si>
    <t>EG MANAGEMENT SNC[R2BE] #410000938</t>
  </si>
  <si>
    <t>FIDUCIAIRE LEONARD ET[R2BE] #410000873</t>
  </si>
  <si>
    <t>ACCURIS SPRL [CONTRAT_D][R2BE] #410000824</t>
  </si>
  <si>
    <t>TAX &amp; LEGAL SOLUTIONS[R2BE] #410000761</t>
  </si>
  <si>
    <t>DE BO VAN HISSENHOVEN &amp;[R2BE] #410000792</t>
  </si>
  <si>
    <t>BELGIUM COATINGS SA[R2BE] #410000950</t>
  </si>
  <si>
    <t>BELLEFLAMME SA[R2BE] #410000841</t>
  </si>
  <si>
    <t>ENES CONSTRUCT SRL[R2BE] #410000948</t>
  </si>
  <si>
    <t>PLASTURGIE LAZZERINI SA[R2BE] #410000951</t>
  </si>
  <si>
    <t>MACLOT GC SRL[R2BE] #410000947</t>
  </si>
  <si>
    <t>MONNAIE SA[R2BE] #410000946MONNAIE</t>
  </si>
  <si>
    <t>CORNET BERNARD[R2BE] #410000942</t>
  </si>
  <si>
    <t>SYNAPHARM INDUSTRIAL[R2BE] #410000928</t>
  </si>
  <si>
    <t>ZEVENNE PHILIPPE[R2BE] #410000933</t>
  </si>
  <si>
    <t>PIERRE LEGRAS AVOCAT[R2BE] #410000952</t>
  </si>
  <si>
    <t>VININVEST SA [CONTRAT_D][R2BE] #410000727</t>
  </si>
  <si>
    <t>BRICTEUX[R2BE] #410000856</t>
  </si>
  <si>
    <t>TRAVHYMAT SRL [CONTRAT_C][R2BE] #410000599</t>
  </si>
  <si>
    <t>AT COMPTA SARL[R2BE] #410000940</t>
  </si>
  <si>
    <t>MEDECINS GENERALISTES[R2BE] #410000903</t>
  </si>
  <si>
    <t>LAHAYE JEAN-FRANCOIS[R2BE] #410000906</t>
  </si>
  <si>
    <t>DP FINTAX SRL[R2BE] #410000957</t>
  </si>
  <si>
    <t>MDB SA[R2BE] #410000768</t>
  </si>
  <si>
    <t>IV ZINC SRL[R2BE] #410000956</t>
  </si>
  <si>
    <t>TERVAL SA[R2BE] #410000779</t>
  </si>
  <si>
    <t>CABINET M HAMAL[R2BE] #410000880</t>
  </si>
  <si>
    <t>ARCLA MANAGEMENT SRL[R2BE] #410000958</t>
  </si>
  <si>
    <t>BAROMEDIC SRL[R2BE] #410000939</t>
  </si>
  <si>
    <t>BECOVFIDUS SRL[R2BE] #410000831</t>
  </si>
  <si>
    <t>COUNSON MATHILDE[R2BE] #410000901</t>
  </si>
  <si>
    <t>MAGMA COLLECTIVE ASBL[R2BE] #410000971</t>
  </si>
  <si>
    <t>BUREAU SPRINGUEL SRL[R2BE] #410000944</t>
  </si>
  <si>
    <t>CIMEX SRL[R2BE] #410000840</t>
  </si>
  <si>
    <t>SA2M SARL[R2BE] #410000972</t>
  </si>
  <si>
    <t>FLECO SRL[R2BE] #410000963</t>
  </si>
  <si>
    <t>ROMILLY ALAIN[R2BE] #410000925</t>
  </si>
  <si>
    <t>DANIEL RENARD FINANCE[R2BE] #410000865</t>
  </si>
  <si>
    <t>FABBRICOTTI MARINA[R2BE] #410000871</t>
  </si>
  <si>
    <t>PHARMACIE F. GRISARD[R2BE] #410000878</t>
  </si>
  <si>
    <t>G. PIRON SPRL[R2BE] #410000918</t>
  </si>
  <si>
    <t>MACA-VERSTAPPEN[R2BE] #410000897</t>
  </si>
  <si>
    <t>CHAUFFAGE MIESSEN SPRL[R2BE] #410000905</t>
  </si>
  <si>
    <t>NICOLORS SRL[R2BE] #410000976</t>
  </si>
  <si>
    <t>PLASTIDOR SRL[R2BE] #410000838</t>
  </si>
  <si>
    <t>BOUBASUD SRL[R2BE] #410000772</t>
  </si>
  <si>
    <t>HOME CONSULT SERVICES[R2BE] #410000839</t>
  </si>
  <si>
    <t>MARECHAL ET MERCKX SPRL[R2BE] #410000900</t>
  </si>
  <si>
    <t>HOUBEN[R2BE] #410000883</t>
  </si>
  <si>
    <t>ILO INVEST[R2BE] #410000884</t>
  </si>
  <si>
    <t>MENUISERIE SERVATY SPRL[R2BE] #410000927</t>
  </si>
  <si>
    <t>BUREAU D'ARCHITECTURE[R2BE] #410000899</t>
  </si>
  <si>
    <t>BUREAU HASHEMI[R2BE] #410000974</t>
  </si>
  <si>
    <t>VELAYA CLINIQUE SRL[R2BE] #410000977</t>
  </si>
  <si>
    <t>GROTTES DE REMOUCHAMPS[R2BE] #410000975</t>
  </si>
  <si>
    <t>ALGI SA [CONTRAT_D][R2BE] #410000966</t>
  </si>
  <si>
    <t>MOTION PICTURE[R2BE] #410000989</t>
  </si>
  <si>
    <t>RCARRE BELGIQUE INTERNE[R2BE] #410000467</t>
  </si>
  <si>
    <t>KLEVER SRL[R2BE] #410000943</t>
  </si>
  <si>
    <t>MTP CONSULT SARL [CONTRAT_D][R2BE] #410000994</t>
  </si>
  <si>
    <t>CABINET ORL HANSEZ SPRL[R2BE] #410000881</t>
  </si>
  <si>
    <t>GIP EM BRONCO LUXCO 2[R2BE] #410000991</t>
  </si>
  <si>
    <t>FIDUCIAIRE RENSON ET[R2BE] #410000981</t>
  </si>
  <si>
    <t>DRYTEC SA[R2BE] #410000870</t>
  </si>
  <si>
    <t>PHILIPPE MOTTARD SPRL[R2BE] #410000910</t>
  </si>
  <si>
    <t>NET SERVICES[R2BE] #410000912</t>
  </si>
  <si>
    <t>AGENCE DE DEVELOPPEMENT[R2BE] #410000634</t>
  </si>
  <si>
    <t>PNC SERVICES SARL-s [CONTRAT_C][R2BE] #410001005</t>
  </si>
  <si>
    <t>LEON JOS SRL[R2BE] #410001014</t>
  </si>
  <si>
    <t>CENTRE DE TRI DE TINLOT[R2BE] #410001018</t>
  </si>
  <si>
    <t>IREMIS SARL[R2BE] #410001021</t>
  </si>
  <si>
    <t>MATHYWEL SARL[R2BE] #410001009</t>
  </si>
  <si>
    <t>DYNAMIC ACCOUNT [CONTRAT_D][R2BE] #410001023</t>
  </si>
  <si>
    <t>Nom</t>
  </si>
  <si>
    <t>Nr.intracommunautaire</t>
  </si>
  <si>
    <t>Code Assujest.</t>
  </si>
  <si>
    <t>Famille</t>
  </si>
  <si>
    <t>Compte Maitre</t>
  </si>
  <si>
    <t>410000003</t>
  </si>
  <si>
    <t>F.R.A.B. S.P.R.L.</t>
  </si>
  <si>
    <t>BE0438307861</t>
  </si>
  <si>
    <t>1</t>
  </si>
  <si>
    <t>01 BASIQUE</t>
  </si>
  <si>
    <t>410000040</t>
  </si>
  <si>
    <t>410000004</t>
  </si>
  <si>
    <t>BE0820988796</t>
  </si>
  <si>
    <t>410000001</t>
  </si>
  <si>
    <t>410000005</t>
  </si>
  <si>
    <t>ESPACE TOURISME ET CULT ASBL</t>
  </si>
  <si>
    <t>BE0806286368</t>
  </si>
  <si>
    <t>410000006</t>
  </si>
  <si>
    <t>DOCTEUR ADAM-MULDER</t>
  </si>
  <si>
    <t>4</t>
  </si>
  <si>
    <t>410000009</t>
  </si>
  <si>
    <t>AGRAL SA</t>
  </si>
  <si>
    <t>BE0429223515</t>
  </si>
  <si>
    <t>410000174</t>
  </si>
  <si>
    <t>410000010</t>
  </si>
  <si>
    <t>FED AIDE ET SOINS A DOM ASBL</t>
  </si>
  <si>
    <t>410000081</t>
  </si>
  <si>
    <t>410000011</t>
  </si>
  <si>
    <t>S.A. PACHA BUSINESS     SA</t>
  </si>
  <si>
    <t>BE0469551858</t>
  </si>
  <si>
    <t>410000162</t>
  </si>
  <si>
    <t>410000025</t>
  </si>
  <si>
    <t>BUANDERIE PAYS DE FRANC HIMONT SCRL</t>
  </si>
  <si>
    <t>BE0892328437</t>
  </si>
  <si>
    <t>410000277</t>
  </si>
  <si>
    <t>410000026</t>
  </si>
  <si>
    <t>BUANDERIE DU PLATEAU DE HERVE SCRL</t>
  </si>
  <si>
    <t>BE0524825626</t>
  </si>
  <si>
    <t>410000028</t>
  </si>
  <si>
    <t>SA CAROLO RACING</t>
  </si>
  <si>
    <t>BE0426542553</t>
  </si>
  <si>
    <t>410000042</t>
  </si>
  <si>
    <t>BE0413102412</t>
  </si>
  <si>
    <t>410000165</t>
  </si>
  <si>
    <t>410000045</t>
  </si>
  <si>
    <t>FIDUCIAIRE DESIR SPRL</t>
  </si>
  <si>
    <t>BE0438478305</t>
  </si>
  <si>
    <t>410000251</t>
  </si>
  <si>
    <t>410000057</t>
  </si>
  <si>
    <t>FORTEMPS ET FILS SPRL</t>
  </si>
  <si>
    <t>BE0424284037</t>
  </si>
  <si>
    <t>410000704</t>
  </si>
  <si>
    <t>410000072</t>
  </si>
  <si>
    <t>BUANDERIE DE LA HAGUETT E</t>
  </si>
  <si>
    <t>BE0822272859</t>
  </si>
  <si>
    <t>410000074</t>
  </si>
  <si>
    <t>HAZARD ANDRE SC</t>
  </si>
  <si>
    <t>BE0757643442</t>
  </si>
  <si>
    <t>410000668</t>
  </si>
  <si>
    <t>IBGRAF-NAMUR</t>
  </si>
  <si>
    <t>BE0440428993</t>
  </si>
  <si>
    <t>410000096</t>
  </si>
  <si>
    <t>BE0401658984</t>
  </si>
  <si>
    <t>410000112</t>
  </si>
  <si>
    <t>BE0786226273</t>
  </si>
  <si>
    <t>410000762</t>
  </si>
  <si>
    <t>410000154</t>
  </si>
  <si>
    <t>WOOD OPTIC DIFFUSION SA</t>
  </si>
  <si>
    <t>LU16490577</t>
  </si>
  <si>
    <t>3</t>
  </si>
  <si>
    <t>410000155</t>
  </si>
  <si>
    <t>BE0823789623</t>
  </si>
  <si>
    <t>410000382</t>
  </si>
  <si>
    <t>410000160</t>
  </si>
  <si>
    <t>BE0538929327</t>
  </si>
  <si>
    <t>410000164</t>
  </si>
  <si>
    <t>BUREAU COMPT. GOSSET    REMY</t>
  </si>
  <si>
    <t>410000082</t>
  </si>
  <si>
    <t>410000169</t>
  </si>
  <si>
    <t>FIDUCIAIRE ROQUET</t>
  </si>
  <si>
    <t>410000172</t>
  </si>
  <si>
    <t>FIDUCIAIRE HUPPERTEZ</t>
  </si>
  <si>
    <t>BE0446139325</t>
  </si>
  <si>
    <t>410000427</t>
  </si>
  <si>
    <t>410000188</t>
  </si>
  <si>
    <t>IMMOMED MULDAM</t>
  </si>
  <si>
    <t>BE0546667947</t>
  </si>
  <si>
    <t>410000317</t>
  </si>
  <si>
    <t>410000232</t>
  </si>
  <si>
    <t>DR PAUL MOOR</t>
  </si>
  <si>
    <t>410000236</t>
  </si>
  <si>
    <t>BUREAU VERSOLATO interv</t>
  </si>
  <si>
    <t>BE0870448603</t>
  </si>
  <si>
    <t>410000216</t>
  </si>
  <si>
    <t>410000242</t>
  </si>
  <si>
    <t>WALLONIE IMAGE PROD.</t>
  </si>
  <si>
    <t>BE0431001682</t>
  </si>
  <si>
    <t>410000270</t>
  </si>
  <si>
    <t>#COGEZAF SA</t>
  </si>
  <si>
    <t>BE0427535517</t>
  </si>
  <si>
    <t>410000264</t>
  </si>
  <si>
    <t>410000284</t>
  </si>
  <si>
    <t>ATGS   INTERV</t>
  </si>
  <si>
    <t>BE0811038873</t>
  </si>
  <si>
    <t>410000324</t>
  </si>
  <si>
    <t>410000313</t>
  </si>
  <si>
    <t>PAPETERIE JJJ</t>
  </si>
  <si>
    <t>BE0548815409</t>
  </si>
  <si>
    <t>410000079</t>
  </si>
  <si>
    <t>410000335</t>
  </si>
  <si>
    <t>HENKENS FRERES ADMINIST RATION</t>
  </si>
  <si>
    <t>BE0402458344</t>
  </si>
  <si>
    <t>410000070</t>
  </si>
  <si>
    <t>410000336</t>
  </si>
  <si>
    <t>HENKENS FRERES CHAUDRON ERIE</t>
  </si>
  <si>
    <t>410000337</t>
  </si>
  <si>
    <t>HENKENS FRERES THERMIC</t>
  </si>
  <si>
    <t>410000338</t>
  </si>
  <si>
    <t>HENKENS FRERES MENOPRO</t>
  </si>
  <si>
    <t>410000385</t>
  </si>
  <si>
    <t>BE0728908478</t>
  </si>
  <si>
    <t>410000556</t>
  </si>
  <si>
    <t>410000409</t>
  </si>
  <si>
    <t>CENTRE BRUXELLOIS</t>
  </si>
  <si>
    <t>BE0419301702</t>
  </si>
  <si>
    <t>410000419</t>
  </si>
  <si>
    <t>ARTAU ARCHITECTURES     SPRL</t>
  </si>
  <si>
    <t>BE0435594633</t>
  </si>
  <si>
    <t>410000429</t>
  </si>
  <si>
    <t>BERNARD CONTAINERS SPRL</t>
  </si>
  <si>
    <t>BE0881228370</t>
  </si>
  <si>
    <t>410000432</t>
  </si>
  <si>
    <t>410000440</t>
  </si>
  <si>
    <t>FIN2DRIVE FINANCE</t>
  </si>
  <si>
    <t>410000480</t>
  </si>
  <si>
    <t>JARDINS D'ARTHEY</t>
  </si>
  <si>
    <t>BE0436115958</t>
  </si>
  <si>
    <t>410000508</t>
  </si>
  <si>
    <t>THG SAINT-VITH</t>
  </si>
  <si>
    <t>410000544</t>
  </si>
  <si>
    <t>NL59429852</t>
  </si>
  <si>
    <t>410000564</t>
  </si>
  <si>
    <t>410000582</t>
  </si>
  <si>
    <t>STAELENS VIRGINIE SPRL  IBGRAF</t>
  </si>
  <si>
    <t>410000609</t>
  </si>
  <si>
    <t>MORELLI ET FILS SPRL</t>
  </si>
  <si>
    <t>BE0461161853</t>
  </si>
  <si>
    <t>18 IT-PARTNERS</t>
  </si>
  <si>
    <t>410000602</t>
  </si>
  <si>
    <t>410000706</t>
  </si>
  <si>
    <t>BUZON GROUP SCA</t>
  </si>
  <si>
    <t>BE0430058210</t>
  </si>
  <si>
    <t>410000730</t>
  </si>
  <si>
    <t>410000746</t>
  </si>
  <si>
    <t>QUALIAS SCRL</t>
  </si>
  <si>
    <t>410000945</t>
  </si>
  <si>
    <t>AGILIS SC</t>
  </si>
  <si>
    <t>BE0453437386</t>
  </si>
  <si>
    <t>410000845</t>
  </si>
  <si>
    <t>Code BOB (formule)</t>
  </si>
  <si>
    <t xml:space="preserve">IBGRAF BUSINESS SOL.   </t>
  </si>
  <si>
    <t xml:space="preserve">BE0806286368        </t>
  </si>
  <si>
    <t xml:space="preserve">           </t>
  </si>
  <si>
    <t xml:space="preserve">Zoning des Hauts-Sarts             </t>
  </si>
  <si>
    <t xml:space="preserve">Rue d'Abhooz, 27                   </t>
  </si>
  <si>
    <t xml:space="preserve">B  </t>
  </si>
  <si>
    <t xml:space="preserve">HERSTAL                       </t>
  </si>
  <si>
    <t xml:space="preserve">                              </t>
  </si>
  <si>
    <t xml:space="preserve">                    </t>
  </si>
  <si>
    <t xml:space="preserve">              </t>
  </si>
  <si>
    <t>Y</t>
  </si>
  <si>
    <t>A</t>
  </si>
  <si>
    <t xml:space="preserve">MO2   </t>
  </si>
  <si>
    <t xml:space="preserve">  </t>
  </si>
  <si>
    <t>I...0</t>
  </si>
  <si>
    <t xml:space="preserve">0000,00  000,00  0000  </t>
  </si>
  <si>
    <t xml:space="preserve">                                  </t>
  </si>
  <si>
    <t xml:space="preserve">                                   </t>
  </si>
  <si>
    <t xml:space="preserve">compta.ibs@ibgraf.com                   </t>
  </si>
  <si>
    <t>*</t>
  </si>
  <si>
    <t xml:space="preserve">CAROLO RACING SRL      </t>
  </si>
  <si>
    <t xml:space="preserve">BE0426542553        </t>
  </si>
  <si>
    <t xml:space="preserve">Grand Rue, 112                     </t>
  </si>
  <si>
    <t xml:space="preserve">CHARLEROI                     </t>
  </si>
  <si>
    <t xml:space="preserve">+32 71 420887 </t>
  </si>
  <si>
    <t xml:space="preserve">+32 71 423348 </t>
  </si>
  <si>
    <t xml:space="preserve">CAROLORACI                    </t>
  </si>
  <si>
    <t xml:space="preserve">L:200kms            </t>
  </si>
  <si>
    <t>NORMAL</t>
  </si>
  <si>
    <t>+32 475 771736</t>
  </si>
  <si>
    <t xml:space="preserve">0000,00  000,00  0078  </t>
  </si>
  <si>
    <t xml:space="preserve">carolo.racing@skynet.be                 </t>
  </si>
  <si>
    <t xml:space="preserve">F.R.A.B. S.P.R.L.      </t>
  </si>
  <si>
    <t xml:space="preserve">BE0438307861        </t>
  </si>
  <si>
    <t xml:space="preserve">A l'att. de Mr Roquet              </t>
  </si>
  <si>
    <t xml:space="preserve">Avenue de l'Atlantique, 122        </t>
  </si>
  <si>
    <t xml:space="preserve">WOLUWE-ST-PIERRE              </t>
  </si>
  <si>
    <t xml:space="preserve">+32 2 7748800 </t>
  </si>
  <si>
    <t xml:space="preserve">+32 2 7748801 </t>
  </si>
  <si>
    <t xml:space="preserve">DEB001                        </t>
  </si>
  <si>
    <t>Z</t>
  </si>
  <si>
    <t xml:space="preserve">F.R.A.B. SPRL          </t>
  </si>
  <si>
    <t>+32 475 331182</t>
  </si>
  <si>
    <t xml:space="preserve">     </t>
  </si>
  <si>
    <t xml:space="preserve">0000,00  000,00  0076  </t>
  </si>
  <si>
    <t xml:space="preserve">fx.roquet@roquet.be                     </t>
  </si>
  <si>
    <t xml:space="preserve">81B SPRL               </t>
  </si>
  <si>
    <t xml:space="preserve">BE0820988796        </t>
  </si>
  <si>
    <t xml:space="preserve">Rue des Clarisses, 28/11           </t>
  </si>
  <si>
    <t xml:space="preserve">LIEGE                         </t>
  </si>
  <si>
    <t xml:space="preserve">+32 4 2263600 </t>
  </si>
  <si>
    <t xml:space="preserve">MO4   </t>
  </si>
  <si>
    <t xml:space="preserve">0000,00  000,00  0029  </t>
  </si>
  <si>
    <t xml:space="preserve">comptabilite@ibgraf.be                  </t>
  </si>
  <si>
    <t>ESPACE TOURISME ET CULT</t>
  </si>
  <si>
    <t xml:space="preserve">ASBL       </t>
  </si>
  <si>
    <t xml:space="preserve">A l'att de Mme Duchateau           </t>
  </si>
  <si>
    <t xml:space="preserve">Abbaye de Stavelot BP 52           </t>
  </si>
  <si>
    <t xml:space="preserve">STAVELOT                      </t>
  </si>
  <si>
    <t xml:space="preserve">+32 80 880878 </t>
  </si>
  <si>
    <t xml:space="preserve">+32 80 880777 </t>
  </si>
  <si>
    <t xml:space="preserve">PRIVEE                        </t>
  </si>
  <si>
    <t xml:space="preserve">KMs: 112            </t>
  </si>
  <si>
    <t xml:space="preserve">0100,00  000,00  0000  </t>
  </si>
  <si>
    <t xml:space="preserve">comptabilite@ibgraf.com                 </t>
  </si>
  <si>
    <t xml:space="preserve">DOCTEUR ADAM-MULDER    </t>
  </si>
  <si>
    <t xml:space="preserve">Rue Pierre Michaux 77              </t>
  </si>
  <si>
    <t xml:space="preserve">VIVEGNIS                      </t>
  </si>
  <si>
    <t xml:space="preserve">0000,00  000,00  0005  </t>
  </si>
  <si>
    <t xml:space="preserve">AFFU-SERVICES SPRL     </t>
  </si>
  <si>
    <t xml:space="preserve">BE0886532785        </t>
  </si>
  <si>
    <t xml:space="preserve">Premiere Avenue 145                </t>
  </si>
  <si>
    <t xml:space="preserve">+32 4 3797300 </t>
  </si>
  <si>
    <t xml:space="preserve">+32 4 3741273 </t>
  </si>
  <si>
    <t xml:space="preserve">affu-service@skynet.be                  </t>
  </si>
  <si>
    <t>AGEFI EXP COMTABLES ASS</t>
  </si>
  <si>
    <t xml:space="preserve">BE0881257866        </t>
  </si>
  <si>
    <t xml:space="preserve">Avenue Paul Pastur 281 bte 13      </t>
  </si>
  <si>
    <t xml:space="preserve">MONT-SUR-MARCHIENNE           </t>
  </si>
  <si>
    <t xml:space="preserve">+32 67 493850 </t>
  </si>
  <si>
    <t xml:space="preserve">+32 67 493879 </t>
  </si>
  <si>
    <t xml:space="preserve">L:204kms            </t>
  </si>
  <si>
    <t>+32 475 407457</t>
  </si>
  <si>
    <t xml:space="preserve">0000,00  000,00  0096  </t>
  </si>
  <si>
    <t xml:space="preserve">S.BLOQUIAU@AGEFI.BE                     </t>
  </si>
  <si>
    <t xml:space="preserve">AGRAL SA               </t>
  </si>
  <si>
    <t xml:space="preserve">BE0429223515        </t>
  </si>
  <si>
    <t xml:space="preserve">Rue du Brabant Wallon, 1           </t>
  </si>
  <si>
    <t xml:space="preserve">COURCELLES                    </t>
  </si>
  <si>
    <t xml:space="preserve">+32 71 451461 </t>
  </si>
  <si>
    <t xml:space="preserve">+32 71 460142 </t>
  </si>
  <si>
    <t>+32 475 647541</t>
  </si>
  <si>
    <t xml:space="preserve">0000,00  000,00  0082  </t>
  </si>
  <si>
    <t xml:space="preserve">LAURENT.LEFRANT@AGRAL.BE                </t>
  </si>
  <si>
    <t>FED AIDE ET SOINS A DOM</t>
  </si>
  <si>
    <t xml:space="preserve">Avenue Adolphe Lacomble, 69        </t>
  </si>
  <si>
    <t xml:space="preserve">BRUXELLES                     </t>
  </si>
  <si>
    <t xml:space="preserve">+32 2 7352424 </t>
  </si>
  <si>
    <t>+32 2 735 8586</t>
  </si>
  <si>
    <t xml:space="preserve">L:192kms            </t>
  </si>
  <si>
    <t xml:space="preserve">0000,00  000,00  0088  </t>
  </si>
  <si>
    <t xml:space="preserve">PIERRE.DILLE@FASD.BE                    </t>
  </si>
  <si>
    <t xml:space="preserve">S.A. PACHA BUSINESS    </t>
  </si>
  <si>
    <t xml:space="preserve">BE0469551858        </t>
  </si>
  <si>
    <t xml:space="preserve">SA         </t>
  </si>
  <si>
    <t xml:space="preserve">Route de Bruxelles, 5              </t>
  </si>
  <si>
    <t xml:space="preserve">AWANS                         </t>
  </si>
  <si>
    <t>+32 4 246 9297</t>
  </si>
  <si>
    <t>+32 4 246 9320</t>
  </si>
  <si>
    <t>+32 474 983598</t>
  </si>
  <si>
    <t xml:space="preserve">0000,00  000,00  0038  </t>
  </si>
  <si>
    <t xml:space="preserve">                                        </t>
  </si>
  <si>
    <t xml:space="preserve">ETS CHARLES ANTOINE    </t>
  </si>
  <si>
    <t xml:space="preserve">BE0404394285        </t>
  </si>
  <si>
    <t xml:space="preserve">Rue Joseph Wauters, 16             </t>
  </si>
  <si>
    <t xml:space="preserve">+32 4 2407756 </t>
  </si>
  <si>
    <t>+32 4 248 0045</t>
  </si>
  <si>
    <t xml:space="preserve">Faillite 12/12/2017 </t>
  </si>
  <si>
    <t xml:space="preserve">0000,00  000,00  0006  </t>
  </si>
  <si>
    <t xml:space="preserve">ASCELEC SPRL           </t>
  </si>
  <si>
    <t xml:space="preserve">BE0436044395        </t>
  </si>
  <si>
    <t xml:space="preserve">SPRL       </t>
  </si>
  <si>
    <t xml:space="preserve">Cour Lemaire, 7                    </t>
  </si>
  <si>
    <t xml:space="preserve">BATTICE                       </t>
  </si>
  <si>
    <t xml:space="preserve">+32 87 660876 </t>
  </si>
  <si>
    <t xml:space="preserve">+32 87 660877 </t>
  </si>
  <si>
    <t>+32 478 390068</t>
  </si>
  <si>
    <t xml:space="preserve">0000,00  000,00  0037  </t>
  </si>
  <si>
    <t xml:space="preserve">ASODEP SPRL            </t>
  </si>
  <si>
    <t xml:space="preserve">BE0899844155        </t>
  </si>
  <si>
    <t xml:space="preserve">Rue Charles Bormans, 42            </t>
  </si>
  <si>
    <t xml:space="preserve">BAS-OHA                       </t>
  </si>
  <si>
    <t xml:space="preserve">+32 85 842446 </t>
  </si>
  <si>
    <t xml:space="preserve">+32 85 845407 </t>
  </si>
  <si>
    <t>+32 477 450525</t>
  </si>
  <si>
    <t xml:space="preserve">dimitri@asodep.be                       </t>
  </si>
  <si>
    <t xml:space="preserve">FERME D ASSONLEVILLE   </t>
  </si>
  <si>
    <t xml:space="preserve">BE0466419154        </t>
  </si>
  <si>
    <t xml:space="preserve">A l'att de Mme Petit               </t>
  </si>
  <si>
    <t xml:space="preserve">Route de la Bruyere, 100           </t>
  </si>
  <si>
    <t xml:space="preserve">UPIGNY                        </t>
  </si>
  <si>
    <t xml:space="preserve">+32 81 512597 </t>
  </si>
  <si>
    <t xml:space="preserve">L:140kms            </t>
  </si>
  <si>
    <t xml:space="preserve">0000,00  000,00  0036  </t>
  </si>
  <si>
    <t xml:space="preserve">ap@upignac.be                           </t>
  </si>
  <si>
    <t xml:space="preserve">AUCTUM CONSULTING SPRL </t>
  </si>
  <si>
    <t xml:space="preserve">BE0839477887        </t>
  </si>
  <si>
    <t xml:space="preserve">A l'att. de Mr Husquinet           </t>
  </si>
  <si>
    <t xml:space="preserve">AV DE L'OBSERVATOIRE, 24           </t>
  </si>
  <si>
    <t xml:space="preserve">0000,00  000,00  0024  </t>
  </si>
  <si>
    <t xml:space="preserve">dhusquinet@gmail.com                    </t>
  </si>
  <si>
    <t xml:space="preserve">AUTOSECURITE SA        </t>
  </si>
  <si>
    <t xml:space="preserve">BE0444402332        </t>
  </si>
  <si>
    <t xml:space="preserve">Zoning Industriel de Petit Rech    </t>
  </si>
  <si>
    <t xml:space="preserve">VERVIERS                      </t>
  </si>
  <si>
    <t xml:space="preserve">+32 87 572009 </t>
  </si>
  <si>
    <t xml:space="preserve">+32 87 324000 </t>
  </si>
  <si>
    <t>+32 476 824152</t>
  </si>
  <si>
    <t xml:space="preserve">0000,00  000,00  0054  </t>
  </si>
  <si>
    <t>AUX COTEAUX DE VINALMON</t>
  </si>
  <si>
    <t xml:space="preserve">BE0422476867        </t>
  </si>
  <si>
    <t xml:space="preserve">Chaussee de Tirlemont 227          </t>
  </si>
  <si>
    <t xml:space="preserve">WANZE                         </t>
  </si>
  <si>
    <t xml:space="preserve">+32 85 255263 </t>
  </si>
  <si>
    <t xml:space="preserve">+32 85 250702 </t>
  </si>
  <si>
    <t xml:space="preserve">40km fiche IBgraf!  </t>
  </si>
  <si>
    <t>+32 475 714503</t>
  </si>
  <si>
    <t xml:space="preserve">ajacques@auxcoteaux.be                  </t>
  </si>
  <si>
    <t xml:space="preserve">CLUB ANDRE BAILLON IHP </t>
  </si>
  <si>
    <t xml:space="preserve">A l'att. de Mme Averlant           </t>
  </si>
  <si>
    <t xml:space="preserve">Rue des Fontaines Rola             </t>
  </si>
  <si>
    <t xml:space="preserve">+32 4 2337009 </t>
  </si>
  <si>
    <t xml:space="preserve">+32 4 2993369 </t>
  </si>
  <si>
    <t xml:space="preserve">0000,00  000,00  0011  </t>
  </si>
  <si>
    <t xml:space="preserve">CLUBANDREBAILLON.HP@SKYNET.BE           </t>
  </si>
  <si>
    <t xml:space="preserve">B-CALIM                </t>
  </si>
  <si>
    <t xml:space="preserve">BE0884678008        </t>
  </si>
  <si>
    <t xml:space="preserve">A l'att. de Mme Bisqueret          </t>
  </si>
  <si>
    <t xml:space="preserve">Rue de Vise, 389                   </t>
  </si>
  <si>
    <t xml:space="preserve">WANDRE                        </t>
  </si>
  <si>
    <t>+32 4 36273 62</t>
  </si>
  <si>
    <t>+32 4 36274 62</t>
  </si>
  <si>
    <t xml:space="preserve">0000,00  000,00  0015  </t>
  </si>
  <si>
    <t xml:space="preserve">celine.brabant@b-calim.be               </t>
  </si>
  <si>
    <t xml:space="preserve">BEAUPAIN JEAN-CLAUDE   </t>
  </si>
  <si>
    <t xml:space="preserve">BE0607429737        </t>
  </si>
  <si>
    <t xml:space="preserve">A l'att. de Mr Beaupain            </t>
  </si>
  <si>
    <t xml:space="preserve">Rue Lucien Defay, 6                </t>
  </si>
  <si>
    <t>+32 87 2305 22</t>
  </si>
  <si>
    <t>+32 87 2329 88</t>
  </si>
  <si>
    <t>+32 475 821487</t>
  </si>
  <si>
    <t xml:space="preserve">0000,00  000,00  0052  </t>
  </si>
  <si>
    <t xml:space="preserve">beaupain.jc@skynet.be                   </t>
  </si>
  <si>
    <t xml:space="preserve">BEAUTYLUX              </t>
  </si>
  <si>
    <t xml:space="preserve">BE0420297436        </t>
  </si>
  <si>
    <t xml:space="preserve">0000,00  000,00  0090  </t>
  </si>
  <si>
    <t xml:space="preserve">BELCUP SA              </t>
  </si>
  <si>
    <t xml:space="preserve">BE0433891886        </t>
  </si>
  <si>
    <t xml:space="preserve">A l'att. de Mr Keivers             </t>
  </si>
  <si>
    <t xml:space="preserve">Rue Saint-Eloi, 211                </t>
  </si>
  <si>
    <t xml:space="preserve">WAREMME                       </t>
  </si>
  <si>
    <t>+32 19 32 4373</t>
  </si>
  <si>
    <t>+32 19 3300 56</t>
  </si>
  <si>
    <t xml:space="preserve">27 km fiche IBGraf  </t>
  </si>
  <si>
    <t>+32 477 304721</t>
  </si>
  <si>
    <t xml:space="preserve">belcup@belcup.be                        </t>
  </si>
  <si>
    <t xml:space="preserve">BLEROT ETS             </t>
  </si>
  <si>
    <t xml:space="preserve">BE0402317002        </t>
  </si>
  <si>
    <t xml:space="preserve">A l'att. de Mr Blerot              </t>
  </si>
  <si>
    <t xml:space="preserve">Rue Haute Treme, 8                 </t>
  </si>
  <si>
    <t xml:space="preserve">STEMBERT                      </t>
  </si>
  <si>
    <t>+32 87 3356 65</t>
  </si>
  <si>
    <t>+32 87 3512 13</t>
  </si>
  <si>
    <t xml:space="preserve">0052,00  000,00  0000  </t>
  </si>
  <si>
    <t xml:space="preserve">s.hauzoul@brasserieblerot.be            </t>
  </si>
  <si>
    <t>BUANDERIE PAYS DE FRANC</t>
  </si>
  <si>
    <t xml:space="preserve">BE0892328437        </t>
  </si>
  <si>
    <t>HIMONT SCRL</t>
  </si>
  <si>
    <t xml:space="preserve">Rue Charles Rittweger, 37          </t>
  </si>
  <si>
    <t xml:space="preserve">THEUX                         </t>
  </si>
  <si>
    <t>+32 87 4606 08</t>
  </si>
  <si>
    <t>+32 473 719949</t>
  </si>
  <si>
    <t xml:space="preserve">0075,00  000,00  0000  </t>
  </si>
  <si>
    <t>BUANDERIE DU PLATEAU DE</t>
  </si>
  <si>
    <t xml:space="preserve">BE0524825626        </t>
  </si>
  <si>
    <t xml:space="preserve">HERVE SCRL </t>
  </si>
  <si>
    <t xml:space="preserve">Route Henri Chapelle, 7            </t>
  </si>
  <si>
    <t>+32 87 3400 25</t>
  </si>
  <si>
    <t>+32 470 937943</t>
  </si>
  <si>
    <t xml:space="preserve">0062,00  000,00  0000  </t>
  </si>
  <si>
    <t>CABINET PETTA ET ASSOCI</t>
  </si>
  <si>
    <t xml:space="preserve">BE0832786966        </t>
  </si>
  <si>
    <t xml:space="preserve">ES SPRL    </t>
  </si>
  <si>
    <t xml:space="preserve">Rue des Meuneries, 10              </t>
  </si>
  <si>
    <t xml:space="preserve">HERVE                         </t>
  </si>
  <si>
    <t>+32 87 6920 00</t>
  </si>
  <si>
    <t>+32 87 6920 08</t>
  </si>
  <si>
    <t xml:space="preserve">0000,00  000,00  0034  </t>
  </si>
  <si>
    <t xml:space="preserve">SA CAROLO RACING       </t>
  </si>
  <si>
    <t xml:space="preserve">Grand'Rue, 112                     </t>
  </si>
  <si>
    <t>+32 71 4221 07</t>
  </si>
  <si>
    <t>+32 71 4233 48</t>
  </si>
  <si>
    <t xml:space="preserve">L:196kms            </t>
  </si>
  <si>
    <t xml:space="preserve">CB FISC                </t>
  </si>
  <si>
    <t xml:space="preserve">BE0430259039        </t>
  </si>
  <si>
    <t xml:space="preserve">A l'att. de M. Belleflamme         </t>
  </si>
  <si>
    <t xml:space="preserve">Rue Affnay, 13                     </t>
  </si>
  <si>
    <t xml:space="preserve">DALHEM (NEUFCHATEAU)          </t>
  </si>
  <si>
    <t>+32 4 259 4751</t>
  </si>
  <si>
    <t>+32 4 259 4756</t>
  </si>
  <si>
    <t xml:space="preserve">0000,00  000,00  0040  </t>
  </si>
  <si>
    <t xml:space="preserve">info@cbfisc.be                          </t>
  </si>
  <si>
    <t xml:space="preserve">DEXIA LEASE BELGIUM SA </t>
  </si>
  <si>
    <t xml:space="preserve">BE0427903127        </t>
  </si>
  <si>
    <t xml:space="preserve">Place Rogier, 11                   </t>
  </si>
  <si>
    <t>+32 2 222 3708</t>
  </si>
  <si>
    <t>+32 2 222 3713</t>
  </si>
  <si>
    <t>CHARLES ANTOINE DIFFUSI</t>
  </si>
  <si>
    <t xml:space="preserve">BE0413727368        </t>
  </si>
  <si>
    <t xml:space="preserve">ON         </t>
  </si>
  <si>
    <t xml:space="preserve">Rue Joseph Wauters, (14 OU 16 )    </t>
  </si>
  <si>
    <t xml:space="preserve">+32 4 2480045 </t>
  </si>
  <si>
    <t xml:space="preserve">faillite            </t>
  </si>
  <si>
    <t xml:space="preserve">ANTFIN@SKYNET.BE                        </t>
  </si>
  <si>
    <t>CHIRURGICAL MAINTENANCE</t>
  </si>
  <si>
    <t xml:space="preserve">BE0441522521        </t>
  </si>
  <si>
    <t xml:space="preserve">Rue des Semailles, 17B             </t>
  </si>
  <si>
    <t xml:space="preserve">FLEMALLE                      </t>
  </si>
  <si>
    <t>+32 4 367 1900</t>
  </si>
  <si>
    <t>+32 4 367 1400</t>
  </si>
  <si>
    <t>+32 475 300090</t>
  </si>
  <si>
    <t xml:space="preserve">COGEZAF SA             </t>
  </si>
  <si>
    <t xml:space="preserve">BE0427535517        </t>
  </si>
  <si>
    <t xml:space="preserve">A l'att. de Mr Bruyr               </t>
  </si>
  <si>
    <t xml:space="preserve">Rue des Haipes, 11                 </t>
  </si>
  <si>
    <t xml:space="preserve">GEMBLOUX                      </t>
  </si>
  <si>
    <t>+32 81 6268 68</t>
  </si>
  <si>
    <t>+32 81 6016 81</t>
  </si>
  <si>
    <t xml:space="preserve">L:157kms. AUSSI EN  </t>
  </si>
  <si>
    <t xml:space="preserve"># VIA AGIL          </t>
  </si>
  <si>
    <t xml:space="preserve">0000,00  000,00  0019  </t>
  </si>
  <si>
    <t xml:space="preserve">info@cogezaf.be                         </t>
  </si>
  <si>
    <t xml:space="preserve">COMEFAX SPRL           </t>
  </si>
  <si>
    <t xml:space="preserve">BE0434273651        </t>
  </si>
  <si>
    <t xml:space="preserve">Zoning Industriel des H            </t>
  </si>
  <si>
    <t>+32 4 337 5851</t>
  </si>
  <si>
    <t>+32 4 240 4008</t>
  </si>
  <si>
    <t xml:space="preserve">info@comefax.be                         </t>
  </si>
  <si>
    <t xml:space="preserve">LA COMPT'ACTIVE        </t>
  </si>
  <si>
    <t xml:space="preserve">BE0808877456        </t>
  </si>
  <si>
    <t xml:space="preserve">AVENUE TOUSSAINT GERKENS, 67       </t>
  </si>
  <si>
    <t xml:space="preserve">BEAUFAYS                      </t>
  </si>
  <si>
    <t xml:space="preserve">+32 4 2321607 </t>
  </si>
  <si>
    <t xml:space="preserve">+32 4 2321402 </t>
  </si>
  <si>
    <t>+32 495 433460</t>
  </si>
  <si>
    <t xml:space="preserve">christel@comptactive.be                 </t>
  </si>
  <si>
    <t xml:space="preserve">ETS COUTREZ ET CIE SA  </t>
  </si>
  <si>
    <t xml:space="preserve">BE0402388167        </t>
  </si>
  <si>
    <t xml:space="preserve">Rue Louis Bleriot, 1               </t>
  </si>
  <si>
    <t xml:space="preserve">GRACE HOLLOGNE                </t>
  </si>
  <si>
    <t xml:space="preserve">+32 4 2645745 </t>
  </si>
  <si>
    <t>departement transpor</t>
  </si>
  <si>
    <t xml:space="preserve">invoicing@coutrez.be                    </t>
  </si>
  <si>
    <t xml:space="preserve">CROSSET GEORGES SPRL   </t>
  </si>
  <si>
    <t xml:space="preserve">BE0402389157        </t>
  </si>
  <si>
    <t xml:space="preserve">Rue des Dominicains, 16            </t>
  </si>
  <si>
    <t>+32 4 223 3549</t>
  </si>
  <si>
    <t>+32 4 222 2881</t>
  </si>
  <si>
    <t>+32 495 227842</t>
  </si>
  <si>
    <t xml:space="preserve">jamila2357@hotmail.com                  </t>
  </si>
  <si>
    <t xml:space="preserve">DAI SPRL               </t>
  </si>
  <si>
    <t xml:space="preserve">BE0863822018        </t>
  </si>
  <si>
    <t xml:space="preserve">Rue Felix Paulsen, 4               </t>
  </si>
  <si>
    <t xml:space="preserve">ANGLEUR                       </t>
  </si>
  <si>
    <t>+32 4 367 1969</t>
  </si>
  <si>
    <t xml:space="preserve">MO3   </t>
  </si>
  <si>
    <t xml:space="preserve">0000,00  000,00  0033  </t>
  </si>
  <si>
    <t xml:space="preserve">info@dainet.be                          </t>
  </si>
  <si>
    <t xml:space="preserve">DB PROTEC SPRL         </t>
  </si>
  <si>
    <t xml:space="preserve">BE0898761814        </t>
  </si>
  <si>
    <t xml:space="preserve">A l'att de Mr Boque                </t>
  </si>
  <si>
    <t xml:space="preserve">Rue de Perwez, 51                  </t>
  </si>
  <si>
    <t xml:space="preserve">GRAND-LEEZ                    </t>
  </si>
  <si>
    <t>+32 81 2282 66</t>
  </si>
  <si>
    <t>MMoore ne connait pa</t>
  </si>
  <si>
    <t>+32 475 597384</t>
  </si>
  <si>
    <t xml:space="preserve">0000,00  000,00  0150  </t>
  </si>
  <si>
    <t xml:space="preserve">didier@dbprotec.be                      </t>
  </si>
  <si>
    <t xml:space="preserve">A l'att de Mr Roquet               </t>
  </si>
  <si>
    <t>+32 2 774 8800</t>
  </si>
  <si>
    <t>+32 2 774 8801</t>
  </si>
  <si>
    <t xml:space="preserve">L:198kms.Taxipost   </t>
  </si>
  <si>
    <t>bxl: 86km, erpent 50</t>
  </si>
  <si>
    <t xml:space="preserve">couillet 120km      </t>
  </si>
  <si>
    <t xml:space="preserve">0000,00  000,00  0072  </t>
  </si>
  <si>
    <t xml:space="preserve">CATHERINE DEFAYS       </t>
  </si>
  <si>
    <t xml:space="preserve">Rue du Mery, 12                    </t>
  </si>
  <si>
    <t>+32 475 848423</t>
  </si>
  <si>
    <t xml:space="preserve">0000,00  000,00  0027  </t>
  </si>
  <si>
    <t xml:space="preserve">ETS L. DEJONGHE SA     </t>
  </si>
  <si>
    <t xml:space="preserve">BE0413102412        </t>
  </si>
  <si>
    <t xml:space="preserve">A l'att de M Schomers              </t>
  </si>
  <si>
    <t xml:space="preserve">Rue du Parc, 50 C                  </t>
  </si>
  <si>
    <t xml:space="preserve">ALLEUR                        </t>
  </si>
  <si>
    <t>+32 4 352 3135</t>
  </si>
  <si>
    <t>+32 4 358 8694</t>
  </si>
  <si>
    <t>+32 477 618947</t>
  </si>
  <si>
    <t xml:space="preserve">0000,00  000,00  0020  </t>
  </si>
  <si>
    <t xml:space="preserve">dejonghe@groupe-rg.be                   </t>
  </si>
  <si>
    <t xml:space="preserve">DELHEZ COMBUSTIBLES    </t>
  </si>
  <si>
    <t xml:space="preserve">BE0464736995        </t>
  </si>
  <si>
    <t xml:space="preserve">Route du Chateau, 4                </t>
  </si>
  <si>
    <t xml:space="preserve">OLNE                          </t>
  </si>
  <si>
    <t xml:space="preserve">+32 87 267350 </t>
  </si>
  <si>
    <t>+32 87 4635 85</t>
  </si>
  <si>
    <t xml:space="preserve">MME JANSSEN                   </t>
  </si>
  <si>
    <t xml:space="preserve">me proprio Mazout   </t>
  </si>
  <si>
    <t xml:space="preserve">Janssen             </t>
  </si>
  <si>
    <t>+32 473 977568</t>
  </si>
  <si>
    <t xml:space="preserve">0000,00  000,00  0044  </t>
  </si>
  <si>
    <t xml:space="preserve">info@delhez-combustibles.be             </t>
  </si>
  <si>
    <t xml:space="preserve">CHAUDRONNERIE DEROUAUX </t>
  </si>
  <si>
    <t xml:space="preserve">BE0713141723        </t>
  </si>
  <si>
    <t xml:space="preserve">Rue des Chapeliers, 11             </t>
  </si>
  <si>
    <t xml:space="preserve">ENSIVAL                       </t>
  </si>
  <si>
    <t>+32 87 4452 49</t>
  </si>
  <si>
    <t xml:space="preserve">+32 87 333 72 </t>
  </si>
  <si>
    <t xml:space="preserve">PAS DE BCDE                   </t>
  </si>
  <si>
    <t>+32 474 681104</t>
  </si>
  <si>
    <t xml:space="preserve">FIDUCIAIRE DESIR SPRL  </t>
  </si>
  <si>
    <t xml:space="preserve">BE0438478305        </t>
  </si>
  <si>
    <t xml:space="preserve">Chaussee Verte, 402                </t>
  </si>
  <si>
    <t xml:space="preserve">FEXHE-LE-HT-CL.               </t>
  </si>
  <si>
    <t>+32 4 250 1511</t>
  </si>
  <si>
    <t>+32 4 250 5140</t>
  </si>
  <si>
    <t xml:space="preserve">Radiee 30/07/2010   </t>
  </si>
  <si>
    <t>+32 475 533279</t>
  </si>
  <si>
    <t>DPA SOLUTION INFORMATIQ</t>
  </si>
  <si>
    <t xml:space="preserve">FR94424144426       </t>
  </si>
  <si>
    <t xml:space="preserve">UE         </t>
  </si>
  <si>
    <t xml:space="preserve">2 Rue Duhaa                        </t>
  </si>
  <si>
    <t xml:space="preserve">F  </t>
  </si>
  <si>
    <t xml:space="preserve">BRUGES                        </t>
  </si>
  <si>
    <t>+33 5 57922999</t>
  </si>
  <si>
    <t>+33 5 57923288</t>
  </si>
  <si>
    <t xml:space="preserve">424 144 426 00022             </t>
  </si>
  <si>
    <t xml:space="preserve">6202A                         </t>
  </si>
  <si>
    <t xml:space="preserve">contact@dpa-solutions-informatique.fr   </t>
  </si>
  <si>
    <t xml:space="preserve">DURBUY ADVENTURE       </t>
  </si>
  <si>
    <t xml:space="preserve">BE0453918131        </t>
  </si>
  <si>
    <t xml:space="preserve">Rue de Rome, 1                     </t>
  </si>
  <si>
    <t xml:space="preserve">DURBUY                        </t>
  </si>
  <si>
    <t>+32 86 219 274</t>
  </si>
  <si>
    <t xml:space="preserve">0000,00  000,00  0130  </t>
  </si>
  <si>
    <t xml:space="preserve">DYNA SA                </t>
  </si>
  <si>
    <t xml:space="preserve">BE0426700822        </t>
  </si>
  <si>
    <t xml:space="preserve">A l'att de Mr Ralet                </t>
  </si>
  <si>
    <t xml:space="preserve">RUE BUREAU, 37                     </t>
  </si>
  <si>
    <t xml:space="preserve">FLERON                        </t>
  </si>
  <si>
    <t>+32 4 358 3350</t>
  </si>
  <si>
    <t>+32 4 358 1380</t>
  </si>
  <si>
    <t xml:space="preserve">0000,00  000,00  0028  </t>
  </si>
  <si>
    <t xml:space="preserve">ralet.compta@gmail.com                  </t>
  </si>
  <si>
    <t xml:space="preserve">ECO SPRL - BUR. EXPERT </t>
  </si>
  <si>
    <t xml:space="preserve">BE0465723625        </t>
  </si>
  <si>
    <t xml:space="preserve">COMPTABLE  </t>
  </si>
  <si>
    <t xml:space="preserve">M.A. HENKIMBRANT                   </t>
  </si>
  <si>
    <t xml:space="preserve">Avenue de Spa, 90/2                </t>
  </si>
  <si>
    <t xml:space="preserve">HEUSY                         </t>
  </si>
  <si>
    <t>+32 87 2922 50</t>
  </si>
  <si>
    <t>+32 87 2922 51</t>
  </si>
  <si>
    <t>Radiee le 23/03/2021</t>
  </si>
  <si>
    <t xml:space="preserve">eco.compta@skynet.be                    </t>
  </si>
  <si>
    <t xml:space="preserve">ECOSOL SA              </t>
  </si>
  <si>
    <t xml:space="preserve">BE0451946952        </t>
  </si>
  <si>
    <t xml:space="preserve">Avenue de la Corniche, 13          </t>
  </si>
  <si>
    <t xml:space="preserve">SPA                           </t>
  </si>
  <si>
    <t>+32 87 2237 19</t>
  </si>
  <si>
    <t>+32 87 2266 23</t>
  </si>
  <si>
    <t xml:space="preserve">80km - fiche ibgraf </t>
  </si>
  <si>
    <t xml:space="preserve">30 km!!!            </t>
  </si>
  <si>
    <t xml:space="preserve">0000,00  000,00  0030  </t>
  </si>
  <si>
    <t xml:space="preserve">EDSON MJP              </t>
  </si>
  <si>
    <t xml:space="preserve">BE0426025879        </t>
  </si>
  <si>
    <t xml:space="preserve">Rue Achille Masset, 2bis           </t>
  </si>
  <si>
    <t>+32 4 250 9010</t>
  </si>
  <si>
    <t>+32 4 250 9011</t>
  </si>
  <si>
    <t xml:space="preserve">0000,00  000,00  0035  </t>
  </si>
  <si>
    <t xml:space="preserve">ESPACE CLEAN SPRL      </t>
  </si>
  <si>
    <t xml:space="preserve">BE0880392487        </t>
  </si>
  <si>
    <t xml:space="preserve">ATTN: MADAME YERNA                 </t>
  </si>
  <si>
    <t xml:space="preserve">AV. JOSEPH PReVERS 29, BAT.2, N/6  </t>
  </si>
  <si>
    <t>+32 4 287 7267</t>
  </si>
  <si>
    <t>+32 493 500474</t>
  </si>
  <si>
    <t xml:space="preserve">EUROBOIS SA            </t>
  </si>
  <si>
    <t xml:space="preserve">BE0459560660        </t>
  </si>
  <si>
    <t xml:space="preserve">ZONING DES HAUTS SARTS             </t>
  </si>
  <si>
    <t xml:space="preserve">PROLONGEMENT RUE DE L'ABBAYE 30    </t>
  </si>
  <si>
    <t>+32 4 264 1424</t>
  </si>
  <si>
    <t>+32 4 264 0512</t>
  </si>
  <si>
    <t xml:space="preserve">Mr Lecocq                     </t>
  </si>
  <si>
    <t>N...0</t>
  </si>
  <si>
    <t xml:space="preserve">eurobois@skynet.be                      </t>
  </si>
  <si>
    <t xml:space="preserve">JEANNINE EVRARD        </t>
  </si>
  <si>
    <t xml:space="preserve">BE0652493264        </t>
  </si>
  <si>
    <t xml:space="preserve">Rue de Henumont, 38                </t>
  </si>
  <si>
    <t xml:space="preserve">TROIS PONTS                   </t>
  </si>
  <si>
    <t>+32 80 86 4063</t>
  </si>
  <si>
    <t xml:space="preserve">FBFP PROVINCE DE LIEGE </t>
  </si>
  <si>
    <t xml:space="preserve">Rue Lulay, 54                      </t>
  </si>
  <si>
    <t xml:space="preserve">GLONS                         </t>
  </si>
  <si>
    <t>+32 4 228 9097</t>
  </si>
  <si>
    <t>+32 478 488857</t>
  </si>
  <si>
    <t>FLAMAND-LABORY ETS HORT</t>
  </si>
  <si>
    <t xml:space="preserve">BE0464658011        </t>
  </si>
  <si>
    <t xml:space="preserve">ICOLES     </t>
  </si>
  <si>
    <t xml:space="preserve">Rue du Marais, 127                 </t>
  </si>
  <si>
    <t xml:space="preserve">TIHANGE                       </t>
  </si>
  <si>
    <t>+32 85 2123 71</t>
  </si>
  <si>
    <t>Radiee le 30/09/2014</t>
  </si>
  <si>
    <t xml:space="preserve">0000,00  000,00  0080  </t>
  </si>
  <si>
    <t xml:space="preserve">FORTEMPS ET FILS SPRL  </t>
  </si>
  <si>
    <t xml:space="preserve">BE0424284037        </t>
  </si>
  <si>
    <t xml:space="preserve">A l'att de Mme Fortemps            </t>
  </si>
  <si>
    <t xml:space="preserve">Rue Achille Antoine, 1             </t>
  </si>
  <si>
    <t xml:space="preserve">SOMME-LEUZE                   </t>
  </si>
  <si>
    <t>+32 86 32 2075</t>
  </si>
  <si>
    <t>+32 86 32 3369</t>
  </si>
  <si>
    <t xml:space="preserve">JEAN FORTEMPS                 </t>
  </si>
  <si>
    <t xml:space="preserve">114 kms             </t>
  </si>
  <si>
    <t>+32 473 872160</t>
  </si>
  <si>
    <t xml:space="preserve">compta.fortemps@proximus.be             </t>
  </si>
  <si>
    <t xml:space="preserve">FOXWOOD SPRL           </t>
  </si>
  <si>
    <t xml:space="preserve">BE0875199623        </t>
  </si>
  <si>
    <t xml:space="preserve">Place Saint Denis, 32              </t>
  </si>
  <si>
    <t xml:space="preserve">HUY                           </t>
  </si>
  <si>
    <t>+32 85 4139 80</t>
  </si>
  <si>
    <t xml:space="preserve">benoit.renard@foxwood.be                </t>
  </si>
  <si>
    <t xml:space="preserve">FREYMANN SPRL          </t>
  </si>
  <si>
    <t xml:space="preserve">BE0860294681        </t>
  </si>
  <si>
    <t xml:space="preserve">A l'att de Mr Freymann             </t>
  </si>
  <si>
    <t xml:space="preserve">Rue Hovemont, 9                    </t>
  </si>
  <si>
    <t>+32 87 5413 68</t>
  </si>
  <si>
    <t>+32 87 5410 68</t>
  </si>
  <si>
    <t xml:space="preserve">0000,00  000,00  0065  </t>
  </si>
  <si>
    <t xml:space="preserve">freymann@freymann.be                    </t>
  </si>
  <si>
    <t xml:space="preserve">FRIANDA SA             </t>
  </si>
  <si>
    <t xml:space="preserve">BE0430590621        </t>
  </si>
  <si>
    <t xml:space="preserve">Hauts Sarts 2eme Avenue            </t>
  </si>
  <si>
    <t>+32 4 247 1606</t>
  </si>
  <si>
    <t>+32 4 247 1626</t>
  </si>
  <si>
    <t xml:space="preserve">ludovic@frianda.com                     </t>
  </si>
  <si>
    <t xml:space="preserve">GALAND PACKAGING SA    </t>
  </si>
  <si>
    <t xml:space="preserve">BE0418423356        </t>
  </si>
  <si>
    <t xml:space="preserve">A l'att de Mme Vandelhazelkamf     </t>
  </si>
  <si>
    <t xml:space="preserve">Rue Louis Mestrez, 5               </t>
  </si>
  <si>
    <t xml:space="preserve">AWIRS                         </t>
  </si>
  <si>
    <t>+32 4 250 2658</t>
  </si>
  <si>
    <t>+32 4 250 3961</t>
  </si>
  <si>
    <t xml:space="preserve">0000,00  000,00  0050  </t>
  </si>
  <si>
    <t xml:space="preserve">invoices@chronopack.com                 </t>
  </si>
  <si>
    <t xml:space="preserve">ETS GENON SPRL         </t>
  </si>
  <si>
    <t xml:space="preserve">BE0417376152        </t>
  </si>
  <si>
    <t xml:space="preserve">Rue Branche Planchard, 129         </t>
  </si>
  <si>
    <t xml:space="preserve">ANS                           </t>
  </si>
  <si>
    <t>+32 4 246 4241</t>
  </si>
  <si>
    <t>+32 4 246 5959</t>
  </si>
  <si>
    <t xml:space="preserve">GESLIFT SPRL           </t>
  </si>
  <si>
    <t xml:space="preserve">BE0827470871        </t>
  </si>
  <si>
    <t xml:space="preserve">Rue Cour LEMAIRE, 7                </t>
  </si>
  <si>
    <t>+32 496 560803</t>
  </si>
  <si>
    <t xml:space="preserve">facturation@geslift.be                  </t>
  </si>
  <si>
    <t xml:space="preserve">GILFI SA               </t>
  </si>
  <si>
    <t xml:space="preserve">BE0427120890        </t>
  </si>
  <si>
    <t xml:space="preserve">Rue Crufer, 7 Zoning Artisanal     </t>
  </si>
  <si>
    <t xml:space="preserve">FRANCORCHAMPS                 </t>
  </si>
  <si>
    <t>+32 87 27 5254</t>
  </si>
  <si>
    <t>+32 87 2757 20</t>
  </si>
  <si>
    <t xml:space="preserve">42 km fiche IBGraf  </t>
  </si>
  <si>
    <t xml:space="preserve">sinon 86            </t>
  </si>
  <si>
    <t>+32 495 505353</t>
  </si>
  <si>
    <t xml:space="preserve">0000,00  000,00  0042  </t>
  </si>
  <si>
    <t>GOBEL SA      JARDIN DU</t>
  </si>
  <si>
    <t xml:space="preserve">BE0439493439        </t>
  </si>
  <si>
    <t xml:space="preserve">COEUR      </t>
  </si>
  <si>
    <t xml:space="preserve">Rue de Magnee, 82                  </t>
  </si>
  <si>
    <t>+32 4 358 4152</t>
  </si>
  <si>
    <t>+32 4 358 7789</t>
  </si>
  <si>
    <t>Radiee le 04/07/2019</t>
  </si>
  <si>
    <t xml:space="preserve">0000,00  000,00  0032  </t>
  </si>
  <si>
    <t xml:space="preserve">GODFRIAUX ET FILS      </t>
  </si>
  <si>
    <t xml:space="preserve">BE0809463713        </t>
  </si>
  <si>
    <t xml:space="preserve">Chaussee de Charleroi, 24          </t>
  </si>
  <si>
    <t xml:space="preserve">Thorembais St                 </t>
  </si>
  <si>
    <t>+32 81 6550 79</t>
  </si>
  <si>
    <t>+32 81 6559 06</t>
  </si>
  <si>
    <t xml:space="preserve">L:156kms            </t>
  </si>
  <si>
    <t xml:space="preserve">0000,00  000,00  0014  </t>
  </si>
  <si>
    <t xml:space="preserve">GO UP BENELUX SA       </t>
  </si>
  <si>
    <t xml:space="preserve">BE0865120333        </t>
  </si>
  <si>
    <t xml:space="preserve">Rue Tempiet, 26                    </t>
  </si>
  <si>
    <t xml:space="preserve">SOUMAGNE                      </t>
  </si>
  <si>
    <t>+32 4 387 4850</t>
  </si>
  <si>
    <t>+32 4 387 4854</t>
  </si>
  <si>
    <t>Radiee le 20/09/2016</t>
  </si>
  <si>
    <t xml:space="preserve">0475/86 82 85 </t>
  </si>
  <si>
    <t xml:space="preserve">GRE-LIEGE ASBL         </t>
  </si>
  <si>
    <t xml:space="preserve">Rue Sainte Marie, 5                </t>
  </si>
  <si>
    <t>+32 4 224 6515</t>
  </si>
  <si>
    <t>+32 4 224 6511</t>
  </si>
  <si>
    <t>MATERIAUX GROGNARD SPRL</t>
  </si>
  <si>
    <t xml:space="preserve">BE0404378845        </t>
  </si>
  <si>
    <t xml:space="preserve">Rue de la Grotte, 12               </t>
  </si>
  <si>
    <t xml:space="preserve">VIELSALM                      </t>
  </si>
  <si>
    <t>+32 80 21 6028</t>
  </si>
  <si>
    <t>+32 80 21 7918</t>
  </si>
  <si>
    <t xml:space="preserve">162 kms             </t>
  </si>
  <si>
    <t xml:space="preserve">HENKENS FRERES SA      </t>
  </si>
  <si>
    <t xml:space="preserve">BE0402458344        </t>
  </si>
  <si>
    <t xml:space="preserve">A l'att de Mr Henkens              </t>
  </si>
  <si>
    <t xml:space="preserve">Rue Saint Martin 6                 </t>
  </si>
  <si>
    <t xml:space="preserve">HENRI-CHAPELLE                </t>
  </si>
  <si>
    <t>+32 87 88 0761</t>
  </si>
  <si>
    <t>+32 87 88 3450</t>
  </si>
  <si>
    <t xml:space="preserve">30km fiche IBgraf   </t>
  </si>
  <si>
    <t>+32 498 906140</t>
  </si>
  <si>
    <t xml:space="preserve">compta@henkens-freres.be                </t>
  </si>
  <si>
    <t xml:space="preserve">G. ART PROJECTS SA     </t>
  </si>
  <si>
    <t xml:space="preserve">BE0433502995        </t>
  </si>
  <si>
    <t xml:space="preserve">Rue Marcel De Brogniez, 20         </t>
  </si>
  <si>
    <t xml:space="preserve">BASSENGE                      </t>
  </si>
  <si>
    <t>+32 4 286 9906</t>
  </si>
  <si>
    <t>+32 4 286 9901</t>
  </si>
  <si>
    <t>Radiee le 11/06/2019</t>
  </si>
  <si>
    <t>BUANDERIE DE LA HAGUETT</t>
  </si>
  <si>
    <t xml:space="preserve">BE0822272859        </t>
  </si>
  <si>
    <t xml:space="preserve">E          </t>
  </si>
  <si>
    <t xml:space="preserve">AVENUE DES ALLIES 65               </t>
  </si>
  <si>
    <t xml:space="preserve">MALMEDY                       </t>
  </si>
  <si>
    <t>+32 80 2218 82</t>
  </si>
  <si>
    <t>+32 80 6785 54</t>
  </si>
  <si>
    <t>Radiee le 15/07/2015</t>
  </si>
  <si>
    <t>+32 492 973930</t>
  </si>
  <si>
    <t xml:space="preserve">0125,00  000,00  0000  </t>
  </si>
  <si>
    <t>MONSIEUR BERNARD HALLEU</t>
  </si>
  <si>
    <t xml:space="preserve">X          </t>
  </si>
  <si>
    <t xml:space="preserve">Place General Jacques, 20          </t>
  </si>
  <si>
    <t>+32 87 2270 40</t>
  </si>
  <si>
    <t xml:space="preserve">PRIVE                         </t>
  </si>
  <si>
    <t xml:space="preserve">0000,00  000,00  0053  </t>
  </si>
  <si>
    <t xml:space="preserve">HAZARD ANDRE SC        </t>
  </si>
  <si>
    <t xml:space="preserve">BE0757643442        </t>
  </si>
  <si>
    <t xml:space="preserve">Rue du Plan incline 91/12          </t>
  </si>
  <si>
    <t>+32 4 223 5363</t>
  </si>
  <si>
    <t>+32 4 221 0046</t>
  </si>
  <si>
    <t xml:space="preserve">MME ACHTER                    </t>
  </si>
  <si>
    <t xml:space="preserve">infos.hazard@gmail.com                  </t>
  </si>
  <si>
    <t xml:space="preserve">HEENS MARCEL SA        </t>
  </si>
  <si>
    <t xml:space="preserve">BE0426307773        </t>
  </si>
  <si>
    <t xml:space="preserve">Rue Trappe, 9                      </t>
  </si>
  <si>
    <t>+32 4 222 1813</t>
  </si>
  <si>
    <t>+32 4 223 5806</t>
  </si>
  <si>
    <t xml:space="preserve">0000,00  000,00  0025  </t>
  </si>
  <si>
    <t xml:space="preserve">BUREAU SEQUARIS HERZET </t>
  </si>
  <si>
    <t xml:space="preserve">BE0407577073        </t>
  </si>
  <si>
    <t xml:space="preserve">Avenue de Spa, 81                  </t>
  </si>
  <si>
    <t>+32 87 2921 10</t>
  </si>
  <si>
    <t>+32 87 2921 19</t>
  </si>
  <si>
    <t xml:space="preserve">hscabinet@skynet.be                     </t>
  </si>
  <si>
    <t xml:space="preserve">ATELIER HENRARD SPRL   </t>
  </si>
  <si>
    <t xml:space="preserve">BE0439332596        </t>
  </si>
  <si>
    <t xml:space="preserve">A l'att. de Mme HENRARD            </t>
  </si>
  <si>
    <t xml:space="preserve">Rue du Bola, 44                    </t>
  </si>
  <si>
    <t xml:space="preserve">GRAND-RECHAIN                 </t>
  </si>
  <si>
    <t>+32 87 3392 57</t>
  </si>
  <si>
    <t>+32 87 3413 51</t>
  </si>
  <si>
    <t xml:space="preserve">20 km fiche IBgraf  </t>
  </si>
  <si>
    <t xml:space="preserve">nadia@henrardhydraulique.be             </t>
  </si>
  <si>
    <t xml:space="preserve">HORECA DEPANNAGE       </t>
  </si>
  <si>
    <t xml:space="preserve">BE0457427947        </t>
  </si>
  <si>
    <t xml:space="preserve">Rue Zenobe Gramme, 22              </t>
  </si>
  <si>
    <t xml:space="preserve">DISON                         </t>
  </si>
  <si>
    <t>+32 87 4458 65</t>
  </si>
  <si>
    <t>+32 87 8919 34</t>
  </si>
  <si>
    <t xml:space="preserve">horeca.depannage@skynet.be              </t>
  </si>
  <si>
    <t xml:space="preserve">PAPETERIE HUMBLET SRL  </t>
  </si>
  <si>
    <t xml:space="preserve">BE0548815409        </t>
  </si>
  <si>
    <t xml:space="preserve">A l'att de Mr Humblet              </t>
  </si>
  <si>
    <t xml:space="preserve">Rue Elisa Dumonceau, 22            </t>
  </si>
  <si>
    <t>+32 4 264 0710</t>
  </si>
  <si>
    <t>+32 4 248 9027</t>
  </si>
  <si>
    <t xml:space="preserve">Sébastien Dumoulin            </t>
  </si>
  <si>
    <t>sebastien@papeterieh</t>
  </si>
  <si>
    <t xml:space="preserve">umblet.com          </t>
  </si>
  <si>
    <t xml:space="preserve">PAPETERIE HUMBLET      </t>
  </si>
  <si>
    <t xml:space="preserve">compta@papeteriehumblet.be              </t>
  </si>
  <si>
    <t xml:space="preserve">SAPA EXTRUSION EXPA SA </t>
  </si>
  <si>
    <t xml:space="preserve">BE0454060661        </t>
  </si>
  <si>
    <t xml:space="preserve">A l'att De Mr Dewandre             </t>
  </si>
  <si>
    <t xml:space="preserve">Siebeponisweg,12                   </t>
  </si>
  <si>
    <t xml:space="preserve">EUPEN                         </t>
  </si>
  <si>
    <t>+32 87 8990 95</t>
  </si>
  <si>
    <t>+32 87 8903 47</t>
  </si>
  <si>
    <t xml:space="preserve">charles-henri.dewandre@sapagroup.com    </t>
  </si>
  <si>
    <t xml:space="preserve">IBGRAF-NAMUR           </t>
  </si>
  <si>
    <t xml:space="preserve">BE0440428993        </t>
  </si>
  <si>
    <t xml:space="preserve">Rue de la Station, 206             </t>
  </si>
  <si>
    <t xml:space="preserve">WALHAIN                       </t>
  </si>
  <si>
    <t>+32 81 56 0116</t>
  </si>
  <si>
    <t>+32 81 56 0381</t>
  </si>
  <si>
    <t>Radiee le 28/06/2018</t>
  </si>
  <si>
    <t xml:space="preserve">19.6                </t>
  </si>
  <si>
    <t xml:space="preserve">IBLUX SA               </t>
  </si>
  <si>
    <t xml:space="preserve">LU14208743          </t>
  </si>
  <si>
    <t xml:space="preserve">Batiment Eco2, 2eme etage          </t>
  </si>
  <si>
    <t xml:space="preserve">6, Rue d'Arlon                     </t>
  </si>
  <si>
    <t xml:space="preserve">L  </t>
  </si>
  <si>
    <t xml:space="preserve">windhof                       </t>
  </si>
  <si>
    <t xml:space="preserve">+352 29 09 34 </t>
  </si>
  <si>
    <t xml:space="preserve">+352 29 09 39 </t>
  </si>
  <si>
    <t xml:space="preserve">B106984                       </t>
  </si>
  <si>
    <t>Radiee le 11/08/2010</t>
  </si>
  <si>
    <t xml:space="preserve">35.45               </t>
  </si>
  <si>
    <t xml:space="preserve">compta.iblux@ibgraf.com                 </t>
  </si>
  <si>
    <t>IMERYS MINERAUX BELGIQU</t>
  </si>
  <si>
    <t xml:space="preserve">BE0403488920        </t>
  </si>
  <si>
    <t xml:space="preserve">Rue du Canal, 2                    </t>
  </si>
  <si>
    <t xml:space="preserve">LIXHE                         </t>
  </si>
  <si>
    <t>+32 4 379 9851</t>
  </si>
  <si>
    <t>+32 4 379 8283</t>
  </si>
  <si>
    <t>+32 494 516309</t>
  </si>
  <si>
    <t>ING EQUIPMENT LEASE BEL</t>
  </si>
  <si>
    <t xml:space="preserve">BE0427980034        </t>
  </si>
  <si>
    <t xml:space="preserve">GIUM SA    </t>
  </si>
  <si>
    <t xml:space="preserve">AV MARNIX, 24                      </t>
  </si>
  <si>
    <t>+32 2 739 6411</t>
  </si>
  <si>
    <t>+32 2 739 6401</t>
  </si>
  <si>
    <t>FIDUCIAIRE INTEGRITY SA</t>
  </si>
  <si>
    <t xml:space="preserve">BE0668869834        </t>
  </si>
  <si>
    <t xml:space="preserve">Voie de l'Air Pur, 17-19           </t>
  </si>
  <si>
    <t>+32 4 355 9700</t>
  </si>
  <si>
    <t>+32 4 355 9709</t>
  </si>
  <si>
    <t xml:space="preserve">INTERBAT SPRL          </t>
  </si>
  <si>
    <t xml:space="preserve">BE0441799861        </t>
  </si>
  <si>
    <t xml:space="preserve">Rue Fontaine, 229                  </t>
  </si>
  <si>
    <t xml:space="preserve">SERAING                       </t>
  </si>
  <si>
    <t>+32 4 338 1535</t>
  </si>
  <si>
    <t>+32 4 338 4885</t>
  </si>
  <si>
    <t>+32 475 810408</t>
  </si>
  <si>
    <t xml:space="preserve">0000,00  000,00  0043  </t>
  </si>
  <si>
    <t xml:space="preserve">JCI VERVIERS PVS       </t>
  </si>
  <si>
    <t xml:space="preserve">Bld des Gerardchamps, 5            </t>
  </si>
  <si>
    <t xml:space="preserve">JPG WATCHES SPRL       </t>
  </si>
  <si>
    <t xml:space="preserve">BE0886836158        </t>
  </si>
  <si>
    <t xml:space="preserve">De Breukeleer, 14                  </t>
  </si>
  <si>
    <t xml:space="preserve">KOBBEGEM                      </t>
  </si>
  <si>
    <t>+32 2 411 8959</t>
  </si>
  <si>
    <t>+32 2 411 4574</t>
  </si>
  <si>
    <t xml:space="preserve">L:222kms - faillite </t>
  </si>
  <si>
    <t>+32 475 447914</t>
  </si>
  <si>
    <t xml:space="preserve">0000,00  000,00  0120  </t>
  </si>
  <si>
    <t xml:space="preserve">JUPIPNEUS SA           </t>
  </si>
  <si>
    <t xml:space="preserve">BE0430656640        </t>
  </si>
  <si>
    <t xml:space="preserve">Rue de Vise, 358A                  </t>
  </si>
  <si>
    <t>+32 4 370 0000</t>
  </si>
  <si>
    <t>+32 4 362 3132</t>
  </si>
  <si>
    <t xml:space="preserve">invoices.vp@qteam.be                    </t>
  </si>
  <si>
    <t xml:space="preserve">RESSORTS KESSEN SA     </t>
  </si>
  <si>
    <t xml:space="preserve">BE0413583056        </t>
  </si>
  <si>
    <t xml:space="preserve">A l'att de Mr Collignon            </t>
  </si>
  <si>
    <t xml:space="preserve">Rue de l'Hippodrome, 148           </t>
  </si>
  <si>
    <t xml:space="preserve">SCLESSIN                      </t>
  </si>
  <si>
    <t>+32 4 343 0259</t>
  </si>
  <si>
    <t xml:space="preserve">Ressorts@kessen.be                      </t>
  </si>
  <si>
    <t xml:space="preserve">XHENEUMONT INVEST SPRL </t>
  </si>
  <si>
    <t xml:space="preserve">BE0429925675        </t>
  </si>
  <si>
    <t xml:space="preserve">Rue de Verviers, 68                </t>
  </si>
  <si>
    <t>+32 87 6934 34</t>
  </si>
  <si>
    <t>+32 87 6934 35</t>
  </si>
  <si>
    <t>+32 495 389090</t>
  </si>
  <si>
    <t xml:space="preserve">MICHEL LAMBERT SA      </t>
  </si>
  <si>
    <t xml:space="preserve">BE0417114351        </t>
  </si>
  <si>
    <t xml:space="preserve">Route du Condroz, 475              </t>
  </si>
  <si>
    <t>+32 4 367 1515</t>
  </si>
  <si>
    <t>+32 4 367 6588</t>
  </si>
  <si>
    <t xml:space="preserve">SDEL asbl              </t>
  </si>
  <si>
    <t xml:space="preserve">A l'att de Mme Oliveri             </t>
  </si>
  <si>
    <t xml:space="preserve">Rue Bagolet, 13                    </t>
  </si>
  <si>
    <t xml:space="preserve">LIEGE 1                       </t>
  </si>
  <si>
    <t>+32 4 253 0056</t>
  </si>
  <si>
    <t>+32 4 253 0063</t>
  </si>
  <si>
    <t xml:space="preserve">sdel.be             </t>
  </si>
  <si>
    <t xml:space="preserve">Sourires d'Enfants  </t>
  </si>
  <si>
    <t xml:space="preserve">Larisa              </t>
  </si>
  <si>
    <t xml:space="preserve">valerie.oliveri@sdel.be                 </t>
  </si>
  <si>
    <t>LEGRAND ET PARTNER SPRL</t>
  </si>
  <si>
    <t xml:space="preserve">BE0401658984        </t>
  </si>
  <si>
    <t xml:space="preserve">Rue du Clerc, 5                    </t>
  </si>
  <si>
    <t xml:space="preserve">Viesville                     </t>
  </si>
  <si>
    <t>+32 71 35 2434</t>
  </si>
  <si>
    <t>+32 71 35 2439</t>
  </si>
  <si>
    <t xml:space="preserve">LEGRAND ET PARTNER     </t>
  </si>
  <si>
    <t xml:space="preserve">VIESVILLE                     </t>
  </si>
  <si>
    <t xml:space="preserve">071/35 24 34  </t>
  </si>
  <si>
    <t xml:space="preserve">071/35 24 39  </t>
  </si>
  <si>
    <t xml:space="preserve">0475/25 12 12 </t>
  </si>
  <si>
    <t xml:space="preserve">SOCIETE LEGROS JC      </t>
  </si>
  <si>
    <t xml:space="preserve">BE0601812645        </t>
  </si>
  <si>
    <t xml:space="preserve">Avenue Greiner, 1A                 </t>
  </si>
  <si>
    <t>+32 4 336 1271</t>
  </si>
  <si>
    <t>+32 4 338 0681</t>
  </si>
  <si>
    <t xml:space="preserve">UPIGNAC SA             </t>
  </si>
  <si>
    <t xml:space="preserve">BE0427769010        </t>
  </si>
  <si>
    <t xml:space="preserve">Rue de Frise 97                    </t>
  </si>
  <si>
    <t>+32 8 151 2005</t>
  </si>
  <si>
    <t>L:140kms. forfait IB</t>
  </si>
  <si>
    <t xml:space="preserve">0050,00  000,00  0000  </t>
  </si>
  <si>
    <t xml:space="preserve">SACE                   </t>
  </si>
  <si>
    <t xml:space="preserve">BE0416868782        </t>
  </si>
  <si>
    <t xml:space="preserve">Avenue du Parc Industriel, 11      </t>
  </si>
  <si>
    <t xml:space="preserve">MILMORT                       </t>
  </si>
  <si>
    <t>+32 4 289 0075</t>
  </si>
  <si>
    <t>+32 4 286 9199</t>
  </si>
  <si>
    <t xml:space="preserve">0003,00  000,00  0005  </t>
  </si>
  <si>
    <t xml:space="preserve">M.C.B. SPRL BOUCHERIE  </t>
  </si>
  <si>
    <t xml:space="preserve">BE0478402317        </t>
  </si>
  <si>
    <t xml:space="preserve">Rue du Puit-en-Sock 109            </t>
  </si>
  <si>
    <t>+32 4 343 9354</t>
  </si>
  <si>
    <t>+32 4 343 9562</t>
  </si>
  <si>
    <t>Radiee le 20/06/2018</t>
  </si>
  <si>
    <t xml:space="preserve">GILBERT L'HOMME ETS SA </t>
  </si>
  <si>
    <t xml:space="preserve">BE0428042588        </t>
  </si>
  <si>
    <t xml:space="preserve">Rue de la Vallee 21                </t>
  </si>
  <si>
    <t xml:space="preserve">HANNUT                        </t>
  </si>
  <si>
    <t>+32 19 5133 98</t>
  </si>
  <si>
    <t>+32 19 5125 75</t>
  </si>
  <si>
    <t xml:space="preserve">96km. IBgraf: 90    </t>
  </si>
  <si>
    <t xml:space="preserve">jeanfrancois@lhomme.be                  </t>
  </si>
  <si>
    <t xml:space="preserve">ETS LENAERTS           </t>
  </si>
  <si>
    <t xml:space="preserve">BE0457580276        </t>
  </si>
  <si>
    <t xml:space="preserve">Rue Haute Claire 16                </t>
  </si>
  <si>
    <t>+32 4 278 1561</t>
  </si>
  <si>
    <t>+32 4 278 1559</t>
  </si>
  <si>
    <t>+32 497 637794</t>
  </si>
  <si>
    <t xml:space="preserve">LENOIR ET FILS         </t>
  </si>
  <si>
    <t xml:space="preserve">BE0806508379        </t>
  </si>
  <si>
    <t xml:space="preserve">Ruelle de la Barriere, 15          </t>
  </si>
  <si>
    <t xml:space="preserve">HOGNOUL                       </t>
  </si>
  <si>
    <t>+32 4 257 7160</t>
  </si>
  <si>
    <t>+32 4 257 6929</t>
  </si>
  <si>
    <t>Ouverture de faillit</t>
  </si>
  <si>
    <t>Depuis le 23/05/2016</t>
  </si>
  <si>
    <t>+32 477 524700</t>
  </si>
  <si>
    <t xml:space="preserve">lenoir-sprl@skynet.be                   </t>
  </si>
  <si>
    <t xml:space="preserve">LETTRE AGE SPRL        </t>
  </si>
  <si>
    <t xml:space="preserve">BE0439525311        </t>
  </si>
  <si>
    <t xml:space="preserve">Boulevard de Gerardchamps,2        </t>
  </si>
  <si>
    <t>+32 87 3326 50</t>
  </si>
  <si>
    <t>+32 496 706410</t>
  </si>
  <si>
    <t xml:space="preserve">lettre.age.ab@skynet.be                 </t>
  </si>
  <si>
    <t xml:space="preserve">LEYMARIE SA            </t>
  </si>
  <si>
    <t xml:space="preserve">BE0439603208        </t>
  </si>
  <si>
    <t xml:space="preserve">A l'att de Mr Leymarie             </t>
  </si>
  <si>
    <t xml:space="preserve">Chaussee de Louvain, 19            </t>
  </si>
  <si>
    <t xml:space="preserve">Eghezee                       </t>
  </si>
  <si>
    <t>+32 81 8113 39</t>
  </si>
  <si>
    <t>+32 81 8129 07</t>
  </si>
  <si>
    <t>L:124kms. Ibgraf: 30</t>
  </si>
  <si>
    <t>+32 475 966138</t>
  </si>
  <si>
    <t xml:space="preserve">leymarie@skynet.be                      </t>
  </si>
  <si>
    <t>LIGUE FRANCOPHONE DE FO</t>
  </si>
  <si>
    <t>OT EN SALLE</t>
  </si>
  <si>
    <t xml:space="preserve">Quai Roi Albert, 72                </t>
  </si>
  <si>
    <t>+32 4 341 4194</t>
  </si>
  <si>
    <t>+32 4 343 6771</t>
  </si>
  <si>
    <t xml:space="preserve">lffs@lffs.be                            </t>
  </si>
  <si>
    <t>LIRE ET ECRIRE EN WALLO</t>
  </si>
  <si>
    <t xml:space="preserve">NIE ASBL   </t>
  </si>
  <si>
    <t xml:space="preserve">Rue Artoisenet, 7                  </t>
  </si>
  <si>
    <t xml:space="preserve">NAMUR                         </t>
  </si>
  <si>
    <t>+32 81 2425 09</t>
  </si>
  <si>
    <t>+32 494 191775</t>
  </si>
  <si>
    <t xml:space="preserve">0000,00  000,00  0140  </t>
  </si>
  <si>
    <t xml:space="preserve">LN COMPTA-FISC         </t>
  </si>
  <si>
    <t xml:space="preserve">BE0810521508        </t>
  </si>
  <si>
    <t xml:space="preserve">LONGREE NATHALIE                   </t>
  </si>
  <si>
    <t xml:space="preserve">Rue des Mehons, 11                 </t>
  </si>
  <si>
    <t xml:space="preserve">SLINS                         </t>
  </si>
  <si>
    <t>+32 4 266 2805</t>
  </si>
  <si>
    <t>+32 493 508975</t>
  </si>
  <si>
    <t xml:space="preserve">nathalie.longree@gmail.com              </t>
  </si>
  <si>
    <t xml:space="preserve">LORISSA SPRL           </t>
  </si>
  <si>
    <t xml:space="preserve">BE0478219106        </t>
  </si>
  <si>
    <t xml:space="preserve">Rue Theophile Massart 32           </t>
  </si>
  <si>
    <t xml:space="preserve">HAINE-SAINT-PAUL              </t>
  </si>
  <si>
    <t>+32 64 8484 03</t>
  </si>
  <si>
    <t xml:space="preserve">L:224kms            </t>
  </si>
  <si>
    <t>+32 475 548586</t>
  </si>
  <si>
    <t xml:space="preserve">0000,00  000,00  0110  </t>
  </si>
  <si>
    <t xml:space="preserve">lorissa@skynet.be                       </t>
  </si>
  <si>
    <t xml:space="preserve">MAISON MAAG            </t>
  </si>
  <si>
    <t xml:space="preserve">BE0424980556        </t>
  </si>
  <si>
    <t xml:space="preserve">Allee Verte, 14                    </t>
  </si>
  <si>
    <t xml:space="preserve">VISE                          </t>
  </si>
  <si>
    <t>+32 4 379 1312</t>
  </si>
  <si>
    <t xml:space="preserve">0000,00  000,00  0018  </t>
  </si>
  <si>
    <t xml:space="preserve">maagvins@skynet.be                      </t>
  </si>
  <si>
    <t xml:space="preserve">MAGIS GEORGES ETS SA   </t>
  </si>
  <si>
    <t xml:space="preserve">BE0442082646        </t>
  </si>
  <si>
    <t xml:space="preserve">Rue Henri Pirenne, 23              </t>
  </si>
  <si>
    <t>Radiee le 17/09/2021</t>
  </si>
  <si>
    <t>+32 495 506606</t>
  </si>
  <si>
    <t xml:space="preserve">ets.g.magis@skynet.be                   </t>
  </si>
  <si>
    <t xml:space="preserve">MCP                    </t>
  </si>
  <si>
    <t xml:space="preserve">BE0786226273        </t>
  </si>
  <si>
    <t xml:space="preserve">MANAGEMENT CONSULTANCE PARTIC      </t>
  </si>
  <si>
    <t xml:space="preserve">Chaussee de Nivelles, 133          </t>
  </si>
  <si>
    <t xml:space="preserve">ARQUENNES                     </t>
  </si>
  <si>
    <t>+32 67 87 8701</t>
  </si>
  <si>
    <t>+32 67 87 9391</t>
  </si>
  <si>
    <t xml:space="preserve">28/4/17: fourni IT: Hardware  </t>
  </si>
  <si>
    <t xml:space="preserve">224 km A/R          </t>
  </si>
  <si>
    <t>societe soeur de Les</t>
  </si>
  <si>
    <t>Jardins de Arquennes</t>
  </si>
  <si>
    <t xml:space="preserve">info@mcparq.be                          </t>
  </si>
  <si>
    <t xml:space="preserve">OTTO MARKERT &amp; SOHN    </t>
  </si>
  <si>
    <t xml:space="preserve">DE183725978         </t>
  </si>
  <si>
    <t xml:space="preserve">GmbH       </t>
  </si>
  <si>
    <t xml:space="preserve">Oderstrasse 51                     </t>
  </si>
  <si>
    <t xml:space="preserve">D  </t>
  </si>
  <si>
    <t xml:space="preserve">NEUMšNSTER                    </t>
  </si>
  <si>
    <t xml:space="preserve">0473/45 11 09 </t>
  </si>
  <si>
    <t xml:space="preserve">g.thoennes@markert.be                   </t>
  </si>
  <si>
    <t xml:space="preserve">MEERTENS DANY          </t>
  </si>
  <si>
    <t xml:space="preserve">BE0426356471        </t>
  </si>
  <si>
    <t xml:space="preserve">Rue Douffet, 49                    </t>
  </si>
  <si>
    <t>+32 4 343 4938</t>
  </si>
  <si>
    <t xml:space="preserve">Faillite 21/12/2020 </t>
  </si>
  <si>
    <t xml:space="preserve">0000,00  000,00  0026  </t>
  </si>
  <si>
    <t xml:space="preserve">METALSAB SPRL          </t>
  </si>
  <si>
    <t xml:space="preserve">BE0876507440        </t>
  </si>
  <si>
    <t xml:space="preserve">A l'att de Mr Dimaria              </t>
  </si>
  <si>
    <t xml:space="preserve">Rue Petite Foxhalle, 116           </t>
  </si>
  <si>
    <t>+32 4 240 0278</t>
  </si>
  <si>
    <t>+32 4 285 6375</t>
  </si>
  <si>
    <t>+32 494 484360</t>
  </si>
  <si>
    <t xml:space="preserve">info ou melchior.dimaria@metalsab.be    </t>
  </si>
  <si>
    <t>MONDE SAUVAGE SAFARI PA</t>
  </si>
  <si>
    <t xml:space="preserve">BE0425002530        </t>
  </si>
  <si>
    <t xml:space="preserve">RC SPRL    </t>
  </si>
  <si>
    <t xml:space="preserve">A l'att. de Mr Lanuit              </t>
  </si>
  <si>
    <t xml:space="preserve">Fagne de Deigne 3                  </t>
  </si>
  <si>
    <t xml:space="preserve">DEIGNE-AYWAILLE               </t>
  </si>
  <si>
    <t>+32 4 360 9070</t>
  </si>
  <si>
    <t>+32 4 360 9108</t>
  </si>
  <si>
    <t xml:space="preserve">0000,00  000,00  0070  </t>
  </si>
  <si>
    <t xml:space="preserve">direction@mondesauvage.be               </t>
  </si>
  <si>
    <t xml:space="preserve">DOCTEUR PAUL MOOR SPRL </t>
  </si>
  <si>
    <t xml:space="preserve">BE0477891977        </t>
  </si>
  <si>
    <t xml:space="preserve">Avenue Emile Vandervel 22          </t>
  </si>
  <si>
    <t>+32 1 933 1717</t>
  </si>
  <si>
    <t xml:space="preserve">0000,00  000,00  0060  </t>
  </si>
  <si>
    <t xml:space="preserve">docteur@paulmoor.be                     </t>
  </si>
  <si>
    <t xml:space="preserve">PRODUITS &amp; SERVICES    </t>
  </si>
  <si>
    <t xml:space="preserve">BE0846478319        </t>
  </si>
  <si>
    <t xml:space="preserve">A l'att de Mr Thones               </t>
  </si>
  <si>
    <t xml:space="preserve">Rue de la Cooperation 104          </t>
  </si>
  <si>
    <t>+32 4 336 2498</t>
  </si>
  <si>
    <t>+32 473 451109</t>
  </si>
  <si>
    <t xml:space="preserve">guthse@hotmail.com                      </t>
  </si>
  <si>
    <t xml:space="preserve">DOCTEUR BERNARD MULDER </t>
  </si>
  <si>
    <t xml:space="preserve">Rue de Tongres, 169                </t>
  </si>
  <si>
    <t xml:space="preserve">HACCOURT                      </t>
  </si>
  <si>
    <t>+32 49 6867622</t>
  </si>
  <si>
    <t>+32 477 514913</t>
  </si>
  <si>
    <t xml:space="preserve">0000,00  000,00  0007  </t>
  </si>
  <si>
    <t xml:space="preserve">bernard@docteurmulder.be                </t>
  </si>
  <si>
    <t>NATIONAL COMPUTER APPLI</t>
  </si>
  <si>
    <t xml:space="preserve">BE0757204368        </t>
  </si>
  <si>
    <t xml:space="preserve">CATION NCA </t>
  </si>
  <si>
    <t xml:space="preserve">Rue Celestin Demblon, 62           </t>
  </si>
  <si>
    <t xml:space="preserve">OUPEYE                        </t>
  </si>
  <si>
    <t>+32 4 264 5152</t>
  </si>
  <si>
    <t>+32 4 264 8921</t>
  </si>
  <si>
    <t xml:space="preserve">PAS DE NACE                   </t>
  </si>
  <si>
    <t xml:space="preserve">ncainformatique@gmail.com               </t>
  </si>
  <si>
    <t xml:space="preserve">NELLES FRERES SA       </t>
  </si>
  <si>
    <t xml:space="preserve">BE0434648486        </t>
  </si>
  <si>
    <t xml:space="preserve">Rue Au dessus des Trous, 4         </t>
  </si>
  <si>
    <t>+32 80 3306 85</t>
  </si>
  <si>
    <t>+32 80 33 9990</t>
  </si>
  <si>
    <t xml:space="preserve">0000,00  000,00  0100  </t>
  </si>
  <si>
    <t xml:space="preserve">NETTOYAGE EVRARD SPRL  </t>
  </si>
  <si>
    <t xml:space="preserve">BE0841523795        </t>
  </si>
  <si>
    <t xml:space="preserve">Route de Trois Ponts, 2            </t>
  </si>
  <si>
    <t>+32 47 5898860</t>
  </si>
  <si>
    <t xml:space="preserve">forfait 100€ IBgraf </t>
  </si>
  <si>
    <t xml:space="preserve">118 km              </t>
  </si>
  <si>
    <t xml:space="preserve">invoices@nettoyage-evrard.be            </t>
  </si>
  <si>
    <t xml:space="preserve">MAISON PAULY SA        </t>
  </si>
  <si>
    <t xml:space="preserve">BE0422325429        </t>
  </si>
  <si>
    <t xml:space="preserve">A l'att de Mme Pauly               </t>
  </si>
  <si>
    <t xml:space="preserve">Rue Reine Astrid, 32               </t>
  </si>
  <si>
    <t xml:space="preserve">ST-GEORGES-S.M.               </t>
  </si>
  <si>
    <t>+32 4 275 1323</t>
  </si>
  <si>
    <t>+32 4 275 9089</t>
  </si>
  <si>
    <t xml:space="preserve">0000,00  000,00  0056  </t>
  </si>
  <si>
    <t xml:space="preserve">maisonpauly@skynet.be                   </t>
  </si>
  <si>
    <t xml:space="preserve">PEETERS TPI SA         </t>
  </si>
  <si>
    <t xml:space="preserve">BE0872257355        </t>
  </si>
  <si>
    <t xml:space="preserve">A l'att de Mme Mottet              </t>
  </si>
  <si>
    <t xml:space="preserve">Chaussee de Ramet, 12              </t>
  </si>
  <si>
    <t xml:space="preserve">YVOZ RAMET                    </t>
  </si>
  <si>
    <t>+32 4 247 4774</t>
  </si>
  <si>
    <t>+32 4 247 4770</t>
  </si>
  <si>
    <t>+32 475 414159</t>
  </si>
  <si>
    <t xml:space="preserve">heloise.mottet@peeterspi.be             </t>
  </si>
  <si>
    <t xml:space="preserve">PIRON ET FILS SA       </t>
  </si>
  <si>
    <t xml:space="preserve">BE0424572166        </t>
  </si>
  <si>
    <t xml:space="preserve">Rue Lavaulx, 1                     </t>
  </si>
  <si>
    <t xml:space="preserve">JENEFFE                       </t>
  </si>
  <si>
    <t>+32 4 250 1710</t>
  </si>
  <si>
    <t>+32 4 250 5007</t>
  </si>
  <si>
    <t>+32 495 545060</t>
  </si>
  <si>
    <t xml:space="preserve">0000,00  000,00  0046  </t>
  </si>
  <si>
    <t xml:space="preserve">compta@piron-sa.be                      </t>
  </si>
  <si>
    <t xml:space="preserve">GEORGES TUTS           </t>
  </si>
  <si>
    <t xml:space="preserve">BE0604114911        </t>
  </si>
  <si>
    <t xml:space="preserve">A l'att de Mr Tuts                 </t>
  </si>
  <si>
    <t xml:space="preserve">Rue Pont Saint Pierre, 22          </t>
  </si>
  <si>
    <t>+32 4 286 2070</t>
  </si>
  <si>
    <t>+32 478 270332</t>
  </si>
  <si>
    <t xml:space="preserve">tuts.georges@skynet.be                  </t>
  </si>
  <si>
    <t xml:space="preserve">PL@NETE                </t>
  </si>
  <si>
    <t xml:space="preserve">BE0599413973        </t>
  </si>
  <si>
    <t xml:space="preserve">Rue Edouard Remoucha               </t>
  </si>
  <si>
    <t xml:space="preserve">GRACE-HOLLOGNE                </t>
  </si>
  <si>
    <t>+32 4 250 3515</t>
  </si>
  <si>
    <t>+32 495 258835</t>
  </si>
  <si>
    <t xml:space="preserve">POST HOTEL HERSTAL     </t>
  </si>
  <si>
    <t xml:space="preserve">BE0407676053        </t>
  </si>
  <si>
    <t xml:space="preserve">RUE HURBISE, 160                   </t>
  </si>
  <si>
    <t>+32 4 264 6400</t>
  </si>
  <si>
    <t>+32 4 264 7695</t>
  </si>
  <si>
    <t xml:space="preserve">gm.posthotel@hotelesglobales.com        </t>
  </si>
  <si>
    <t xml:space="preserve">PRODISEPHAR            </t>
  </si>
  <si>
    <t xml:space="preserve">BE0456227523        </t>
  </si>
  <si>
    <t xml:space="preserve">Zoning Ouest  16                   </t>
  </si>
  <si>
    <t xml:space="preserve">LESSINES                      </t>
  </si>
  <si>
    <t>+32 68 2644 90</t>
  </si>
  <si>
    <t>+32 68 2644 99</t>
  </si>
  <si>
    <t xml:space="preserve">300km               </t>
  </si>
  <si>
    <t>+32 496 958391</t>
  </si>
  <si>
    <t xml:space="preserve">0150,00  000,00  0000  </t>
  </si>
  <si>
    <t xml:space="preserve">PROMOMED SA            </t>
  </si>
  <si>
    <t xml:space="preserve">BE0464089768        </t>
  </si>
  <si>
    <t xml:space="preserve">Avenue Georges Cosse 20            </t>
  </si>
  <si>
    <t xml:space="preserve">FERNELMONT                    </t>
  </si>
  <si>
    <t>+32 81 2492 50</t>
  </si>
  <si>
    <t xml:space="preserve">REGIE DES QUARTIERS DE </t>
  </si>
  <si>
    <t xml:space="preserve">LIEGE ASBL </t>
  </si>
  <si>
    <t xml:space="preserve">La Batte, 10                       </t>
  </si>
  <si>
    <t>+32 4 221 9127</t>
  </si>
  <si>
    <t>+32 4 221 9130</t>
  </si>
  <si>
    <t xml:space="preserve">OLINN BELGIUM          </t>
  </si>
  <si>
    <t xml:space="preserve">BE0474106997        </t>
  </si>
  <si>
    <t xml:space="preserve">AXIS PARC                          </t>
  </si>
  <si>
    <t xml:space="preserve">Rue Emile Francqui, 4              </t>
  </si>
  <si>
    <t xml:space="preserve">MONT-SAINT-GUIBERT            </t>
  </si>
  <si>
    <t xml:space="preserve">armando.cimino@rentys.com               </t>
  </si>
  <si>
    <t xml:space="preserve">ROTARY LIEGE BIERZET   </t>
  </si>
  <si>
    <t xml:space="preserve">BE0887356988        </t>
  </si>
  <si>
    <t xml:space="preserve">Rue de Jemeppe, 19                 </t>
  </si>
  <si>
    <t>+32 4 233 6060</t>
  </si>
  <si>
    <t>+32 4 235 6686</t>
  </si>
  <si>
    <t xml:space="preserve">RUWELEC SRL            </t>
  </si>
  <si>
    <t xml:space="preserve">BE0443144401        </t>
  </si>
  <si>
    <t xml:space="preserve">Rue des Alouettes, 70              </t>
  </si>
  <si>
    <t xml:space="preserve">LIERS                         </t>
  </si>
  <si>
    <t>+32 4 362 7984</t>
  </si>
  <si>
    <t>+32 4 370 2379</t>
  </si>
  <si>
    <t xml:space="preserve">PASCAL RUWET                  </t>
  </si>
  <si>
    <t xml:space="preserve">facturation@ruwelec.be                  </t>
  </si>
  <si>
    <t xml:space="preserve">SERONVALLE AGRI SPRL   </t>
  </si>
  <si>
    <t xml:space="preserve">BE0837403275        </t>
  </si>
  <si>
    <t xml:space="preserve">A l'att. de M. Lambert             </t>
  </si>
  <si>
    <t xml:space="preserve">Rue Oborne,46                      </t>
  </si>
  <si>
    <t>+32 4 286 1704</t>
  </si>
  <si>
    <t>+32 4 286 1705</t>
  </si>
  <si>
    <t>+32 473 982595</t>
  </si>
  <si>
    <t xml:space="preserve">0000,00  000,00  0022  </t>
  </si>
  <si>
    <t xml:space="preserve">lambert@seronvalle.be                   </t>
  </si>
  <si>
    <t xml:space="preserve">SHERWOOD               </t>
  </si>
  <si>
    <t xml:space="preserve">BE0439288056        </t>
  </si>
  <si>
    <t xml:space="preserve">Rue de l Expansion, 5              </t>
  </si>
  <si>
    <t>+32 4 23970 50</t>
  </si>
  <si>
    <t>+32 4 23970 51</t>
  </si>
  <si>
    <t xml:space="preserve">concurrent          </t>
  </si>
  <si>
    <t>SHERWOOD SOFTWARE SERVI</t>
  </si>
  <si>
    <t xml:space="preserve">BE0872780264        </t>
  </si>
  <si>
    <t xml:space="preserve">CES SPRL   </t>
  </si>
  <si>
    <t xml:space="preserve">Rue de l'Expansion, 5              </t>
  </si>
  <si>
    <t xml:space="preserve">SIDV SPRL              </t>
  </si>
  <si>
    <t xml:space="preserve">BE0871125227        </t>
  </si>
  <si>
    <t xml:space="preserve">Rue Albert Digneffe, 7             </t>
  </si>
  <si>
    <t>+32 4 358 5450</t>
  </si>
  <si>
    <t>+32 11 88 7381</t>
  </si>
  <si>
    <t>+32 497 775865</t>
  </si>
  <si>
    <t xml:space="preserve">SMB SECURITY SA        </t>
  </si>
  <si>
    <t xml:space="preserve">BE0878787138        </t>
  </si>
  <si>
    <t>+32 4 277 9055</t>
  </si>
  <si>
    <t xml:space="preserve">SOLACIO                </t>
  </si>
  <si>
    <t xml:space="preserve">BE0837906784        </t>
  </si>
  <si>
    <t xml:space="preserve">Rue de l'Usine,2 bte 9             </t>
  </si>
  <si>
    <t>+32 87 7722 64</t>
  </si>
  <si>
    <t>+32 87 2250 76</t>
  </si>
  <si>
    <t>+32 479 540693</t>
  </si>
  <si>
    <t xml:space="preserve">FIDUCIAIRE DE SPA      </t>
  </si>
  <si>
    <t xml:space="preserve">A l'att de Mme Bertholet           </t>
  </si>
  <si>
    <t xml:space="preserve">Avenue de la Boviere 12            </t>
  </si>
  <si>
    <t>+32 87 7712 03</t>
  </si>
  <si>
    <t>+32 87 7751 60</t>
  </si>
  <si>
    <t>tar. pref km (86kms)</t>
  </si>
  <si>
    <t>+32 496 696034</t>
  </si>
  <si>
    <t xml:space="preserve">bertholetanne@skynet.be                 </t>
  </si>
  <si>
    <t xml:space="preserve">STYLECO                </t>
  </si>
  <si>
    <t xml:space="preserve">BE0598015490        </t>
  </si>
  <si>
    <t xml:space="preserve">A l'att de Mme Bertrand            </t>
  </si>
  <si>
    <t xml:space="preserve">Route de Bruxelles, 3              </t>
  </si>
  <si>
    <t>+32 495 262710</t>
  </si>
  <si>
    <t xml:space="preserve">info@styleco.be                         </t>
  </si>
  <si>
    <t xml:space="preserve">TASSET PASCAL SPRL     </t>
  </si>
  <si>
    <t xml:space="preserve">BE0442685234        </t>
  </si>
  <si>
    <t xml:space="preserve">Rue Biomont, 166                   </t>
  </si>
  <si>
    <t>+32 87 3337 11</t>
  </si>
  <si>
    <t>+32 87 3365 49</t>
  </si>
  <si>
    <t xml:space="preserve">pascal.tasset@skynet.be                 </t>
  </si>
  <si>
    <t>FIDUCIAIRE THISSEN &amp; PA</t>
  </si>
  <si>
    <t xml:space="preserve">BE0562761732        </t>
  </si>
  <si>
    <t xml:space="preserve">RTNER SCRL </t>
  </si>
  <si>
    <t xml:space="preserve">Rue de Bouhemont, 21               </t>
  </si>
  <si>
    <t xml:space="preserve">WAIMES                        </t>
  </si>
  <si>
    <t>+32 80 6701 50</t>
  </si>
  <si>
    <t>+32 80 6701 60</t>
  </si>
  <si>
    <t xml:space="preserve">120 km fiche IBgraf </t>
  </si>
  <si>
    <t>TUBEMEUSE INDUSTRIES SA</t>
  </si>
  <si>
    <t xml:space="preserve">BE0429411278        </t>
  </si>
  <si>
    <t xml:space="preserve">Rue d'Alleur, 26                   </t>
  </si>
  <si>
    <t xml:space="preserve">ROCOURT                       </t>
  </si>
  <si>
    <t>+32 4 23135 35</t>
  </si>
  <si>
    <t xml:space="preserve">0000,00  000,00  0017  </t>
  </si>
  <si>
    <t xml:space="preserve">TYCHON SA (MENUISERIE) </t>
  </si>
  <si>
    <t xml:space="preserve">BE0403926905        </t>
  </si>
  <si>
    <t xml:space="preserve">4eme Avenue, 146                   </t>
  </si>
  <si>
    <t>+32 4 36546 05</t>
  </si>
  <si>
    <t>+32 4 36770 07</t>
  </si>
  <si>
    <t xml:space="preserve">info@tychon.be                          </t>
  </si>
  <si>
    <t xml:space="preserve">ULYSSE FINANCE SPRL    </t>
  </si>
  <si>
    <t xml:space="preserve">BE0889448923        </t>
  </si>
  <si>
    <t xml:space="preserve">Rue Boulanger, 5                   </t>
  </si>
  <si>
    <t xml:space="preserve">HERMALLE-SOUS-ARGENTEAU       </t>
  </si>
  <si>
    <t xml:space="preserve">+32 4 3741993 </t>
  </si>
  <si>
    <t>+32 4 37416 81</t>
  </si>
  <si>
    <t xml:space="preserve">VALMETAL               </t>
  </si>
  <si>
    <t xml:space="preserve">BE0412904056        </t>
  </si>
  <si>
    <t xml:space="preserve">A l'att de M. Valentinetti         </t>
  </si>
  <si>
    <t xml:space="preserve">RUE TONY ROSS 6                    </t>
  </si>
  <si>
    <t xml:space="preserve">EMBOURG                       </t>
  </si>
  <si>
    <t>+32 4 26345 58</t>
  </si>
  <si>
    <t xml:space="preserve">0000,00  000,00  0048  </t>
  </si>
  <si>
    <t xml:space="preserve">frpv@valmetal.be                        </t>
  </si>
  <si>
    <t xml:space="preserve">VJP EXPERTS COMPTABLES </t>
  </si>
  <si>
    <t xml:space="preserve">BE0880440393        </t>
  </si>
  <si>
    <t xml:space="preserve">Voie de l'Ardenne,12               </t>
  </si>
  <si>
    <t>+32 4 36761 17</t>
  </si>
  <si>
    <t>+32 4 36764 22</t>
  </si>
  <si>
    <t xml:space="preserve">vincent@verdin.be                       </t>
  </si>
  <si>
    <t xml:space="preserve">AVIETA SA              </t>
  </si>
  <si>
    <t xml:space="preserve">BE0424858713        </t>
  </si>
  <si>
    <t xml:space="preserve">Rue de villers, 36                 </t>
  </si>
  <si>
    <t xml:space="preserve">VINALMONT                     </t>
  </si>
  <si>
    <t>+32 8 561 1773</t>
  </si>
  <si>
    <t>+32 8 561 2460</t>
  </si>
  <si>
    <t xml:space="preserve">info@avieta.com                         </t>
  </si>
  <si>
    <t xml:space="preserve">VODATEL SPRL           </t>
  </si>
  <si>
    <t xml:space="preserve">BE0841901701        </t>
  </si>
  <si>
    <t xml:space="preserve">Rue Joseph Heusdens 36             </t>
  </si>
  <si>
    <t xml:space="preserve">GRÂCE-HOLLOGNE                </t>
  </si>
  <si>
    <t>+32 4 277 9056</t>
  </si>
  <si>
    <t xml:space="preserve">0000,00  000,00  0031  </t>
  </si>
  <si>
    <t xml:space="preserve">IMPRIMERIE WAGELMANS   </t>
  </si>
  <si>
    <t xml:space="preserve">BE0403930467        </t>
  </si>
  <si>
    <t xml:space="preserve">Rue Saint Hadelin, 12              </t>
  </si>
  <si>
    <t>+32 4 379 1688</t>
  </si>
  <si>
    <t>+32 4 379 9129</t>
  </si>
  <si>
    <t xml:space="preserve">MAISON WILLEMS SPRL    </t>
  </si>
  <si>
    <t xml:space="preserve">BE0416027951        </t>
  </si>
  <si>
    <t xml:space="preserve">RUE GUILLAUME MAISIER, 65          </t>
  </si>
  <si>
    <t xml:space="preserve">LIMBOURG                      </t>
  </si>
  <si>
    <t>+32 87 7625637</t>
  </si>
  <si>
    <t xml:space="preserve">+32 87 764642 </t>
  </si>
  <si>
    <t xml:space="preserve">75 km IBgraf        </t>
  </si>
  <si>
    <t>+32 497 909142</t>
  </si>
  <si>
    <t xml:space="preserve">0000,00  000,00  0075  </t>
  </si>
  <si>
    <t xml:space="preserve">MAISONWILLEMS@SKYNET.BE                 </t>
  </si>
  <si>
    <t xml:space="preserve">LU16490577          </t>
  </si>
  <si>
    <t xml:space="preserve">11A Op der Hei                     </t>
  </si>
  <si>
    <t xml:space="preserve">HOSINGEN                      </t>
  </si>
  <si>
    <t xml:space="preserve">+352 92 05 35 </t>
  </si>
  <si>
    <t xml:space="preserve">+352 92 05 32 </t>
  </si>
  <si>
    <t xml:space="preserve">0000,00  000,00  0214  </t>
  </si>
  <si>
    <t xml:space="preserve">MEAT CUTTING SERVICES  </t>
  </si>
  <si>
    <t xml:space="preserve">BE0823789623        </t>
  </si>
  <si>
    <t xml:space="preserve">ATTN: M. BOULARD                   </t>
  </si>
  <si>
    <t xml:space="preserve">Rue Lambert Dewonck 234            </t>
  </si>
  <si>
    <t>+32 4 355 0015</t>
  </si>
  <si>
    <t xml:space="preserve">d.boulard@meatcuttingservices.com       </t>
  </si>
  <si>
    <t xml:space="preserve">BERGHMANS JEAN-PIERRE  </t>
  </si>
  <si>
    <t xml:space="preserve">A l'att de Mme Van Eyck            </t>
  </si>
  <si>
    <t xml:space="preserve">Rue Charles Dubois, 28             </t>
  </si>
  <si>
    <t xml:space="preserve">LIMELETTE                     </t>
  </si>
  <si>
    <t xml:space="preserve">190 km, 48km fiche  </t>
  </si>
  <si>
    <t xml:space="preserve">ibgraf              </t>
  </si>
  <si>
    <t xml:space="preserve">cecile.van.eyck@lhoist.com              </t>
  </si>
  <si>
    <t xml:space="preserve">PACHA BUSINESS SA      </t>
  </si>
  <si>
    <t xml:space="preserve">ANTOINE ACTIVE                     </t>
  </si>
  <si>
    <t>+32 4 2469 297</t>
  </si>
  <si>
    <t>+32 4 2469 320</t>
  </si>
  <si>
    <t xml:space="preserve">INFO@ANTOINEACTIVE.BE                   </t>
  </si>
  <si>
    <t xml:space="preserve">REVATECH SA            </t>
  </si>
  <si>
    <t xml:space="preserve">BE0421012761        </t>
  </si>
  <si>
    <t xml:space="preserve">A l'att de Mr Bertrand             </t>
  </si>
  <si>
    <t xml:space="preserve">Zoning industriel d'Ehein          </t>
  </si>
  <si>
    <t xml:space="preserve">ENGIS                         </t>
  </si>
  <si>
    <t xml:space="preserve">0000,00  000,00  0061  </t>
  </si>
  <si>
    <t xml:space="preserve">raphael.bertrand@revatech.be            </t>
  </si>
  <si>
    <t xml:space="preserve">BEAL INTERNATIONAL SA  </t>
  </si>
  <si>
    <t xml:space="preserve">BE0414592153        </t>
  </si>
  <si>
    <t xml:space="preserve">Rue du Tronquoy, 8                 </t>
  </si>
  <si>
    <t>+32 8 183 5757</t>
  </si>
  <si>
    <t xml:space="preserve">beal.international@skynet.be            </t>
  </si>
  <si>
    <t xml:space="preserve">URBEO                  </t>
  </si>
  <si>
    <t xml:space="preserve">BE0538929327        </t>
  </si>
  <si>
    <t xml:space="preserve">A l'att de M. Philippe Dias        </t>
  </si>
  <si>
    <t xml:space="preserve">Rue des Mineurs, 39                </t>
  </si>
  <si>
    <t>+32 4 264 8259</t>
  </si>
  <si>
    <t>+32 4 240 3934</t>
  </si>
  <si>
    <t>+32 486 570933</t>
  </si>
  <si>
    <t xml:space="preserve">CEST PAS BETE SA       </t>
  </si>
  <si>
    <t xml:space="preserve">BE0457262057        </t>
  </si>
  <si>
    <t>+32 81 601 460</t>
  </si>
  <si>
    <t>+32 81 601 660</t>
  </si>
  <si>
    <t xml:space="preserve">135km; fiche IB 20  </t>
  </si>
  <si>
    <t xml:space="preserve">info@cestpasbete.eu                     </t>
  </si>
  <si>
    <t xml:space="preserve">ANTOINE ACTIVE         </t>
  </si>
  <si>
    <t xml:space="preserve">info@antoineactive.be                   </t>
  </si>
  <si>
    <t xml:space="preserve">SCHENE SA              </t>
  </si>
  <si>
    <t xml:space="preserve">BE0425077160        </t>
  </si>
  <si>
    <t xml:space="preserve">A l'att de Mr Schene               </t>
  </si>
  <si>
    <t xml:space="preserve">Avenue du Parc, 16                 </t>
  </si>
  <si>
    <t xml:space="preserve">CHAINEUX                      </t>
  </si>
  <si>
    <t>+32 87 335 968</t>
  </si>
  <si>
    <t>+32 87 334 223</t>
  </si>
  <si>
    <t>+32 499 266810</t>
  </si>
  <si>
    <t xml:space="preserve">compta@schene.be                        </t>
  </si>
  <si>
    <t xml:space="preserve">BUREAU COMPT. GOSSET   </t>
  </si>
  <si>
    <t xml:space="preserve">REMY       </t>
  </si>
  <si>
    <t xml:space="preserve">Rue Haut-Va, 16                    </t>
  </si>
  <si>
    <t xml:space="preserve">BE </t>
  </si>
  <si>
    <t xml:space="preserve">MANHAY                        </t>
  </si>
  <si>
    <t>+32 8 645 5356</t>
  </si>
  <si>
    <t xml:space="preserve">132Km; IBgraf: 60   </t>
  </si>
  <si>
    <t xml:space="preserve">DE JONGHE ETS SA       </t>
  </si>
  <si>
    <t xml:space="preserve">ATTN. MR SCHOMERS                  </t>
  </si>
  <si>
    <t xml:space="preserve">Rue du Parc, 50 c                  </t>
  </si>
  <si>
    <t>+32 4 358 3135</t>
  </si>
  <si>
    <t xml:space="preserve">arret collaboration </t>
  </si>
  <si>
    <t xml:space="preserve">DE JONGHE              </t>
  </si>
  <si>
    <t xml:space="preserve">i.schmidt@groupe-rg.be                  </t>
  </si>
  <si>
    <t xml:space="preserve">ENTREPRISE NIZET       </t>
  </si>
  <si>
    <t xml:space="preserve">BE0418046541        </t>
  </si>
  <si>
    <t xml:space="preserve">A l'att. de Mr SACRE               </t>
  </si>
  <si>
    <t xml:space="preserve">Rue Laid Burniat 2                 </t>
  </si>
  <si>
    <t xml:space="preserve">OTTIGNIES-LOUVAIN-LA-NEUVE    </t>
  </si>
  <si>
    <t>+32 4 96578270</t>
  </si>
  <si>
    <t xml:space="preserve">0000,00  000,00  0171  </t>
  </si>
  <si>
    <t xml:space="preserve">jos@nizet.be                            </t>
  </si>
  <si>
    <t xml:space="preserve">ESPACE PLAN            </t>
  </si>
  <si>
    <t xml:space="preserve">BE0430504806        </t>
  </si>
  <si>
    <t xml:space="preserve">Chaussee de Waterloo, 482          </t>
  </si>
  <si>
    <t xml:space="preserve">IXELLES                       </t>
  </si>
  <si>
    <t>+32 2 537 6446</t>
  </si>
  <si>
    <t>+32 2 538 1417</t>
  </si>
  <si>
    <t xml:space="preserve">espace.plan@skynet.be                   </t>
  </si>
  <si>
    <t xml:space="preserve">CARDINALS &amp; FILS SPRL  </t>
  </si>
  <si>
    <t xml:space="preserve">BE0843069659        </t>
  </si>
  <si>
    <t xml:space="preserve">Rue du Cimetiere, 8                </t>
  </si>
  <si>
    <t>+32 4 75783217</t>
  </si>
  <si>
    <t xml:space="preserve">0000,00  000,00  0039  </t>
  </si>
  <si>
    <t xml:space="preserve">FIDUCIAIRE ROQUET      </t>
  </si>
  <si>
    <t xml:space="preserve">ERPENT                        </t>
  </si>
  <si>
    <t>+32 81 321 000</t>
  </si>
  <si>
    <t>+32 81 321 001</t>
  </si>
  <si>
    <t xml:space="preserve">MAT+ SCRL              </t>
  </si>
  <si>
    <t xml:space="preserve">BE0891052391        </t>
  </si>
  <si>
    <t xml:space="preserve">A l'att. de Mme Angelique Lerat    </t>
  </si>
  <si>
    <t xml:space="preserve">Place Verte, 22                    </t>
  </si>
  <si>
    <t xml:space="preserve">FRAIRE                        </t>
  </si>
  <si>
    <t>+32 71 650 050</t>
  </si>
  <si>
    <t xml:space="preserve">Mme Elodie Coppee             </t>
  </si>
  <si>
    <t xml:space="preserve">L:177kms            </t>
  </si>
  <si>
    <t xml:space="preserve">+32 496264942 </t>
  </si>
  <si>
    <t xml:space="preserve">0000,00  000,00  0114  </t>
  </si>
  <si>
    <t xml:space="preserve">info@matpartners.be                     </t>
  </si>
  <si>
    <t xml:space="preserve">COEXPAIR SA            </t>
  </si>
  <si>
    <t xml:space="preserve">BE0886067581        </t>
  </si>
  <si>
    <t xml:space="preserve">Rue des Entrepreneurs, 10          </t>
  </si>
  <si>
    <t xml:space="preserve">DAUSSOULX                     </t>
  </si>
  <si>
    <t>+32 81 566 200</t>
  </si>
  <si>
    <t xml:space="preserve">L:142kms            </t>
  </si>
  <si>
    <t xml:space="preserve">FIDUCIAIRE HUPPERTEZ   </t>
  </si>
  <si>
    <t xml:space="preserve">BE0446139325        </t>
  </si>
  <si>
    <t xml:space="preserve">Rue des Anciennes Granges, 1       </t>
  </si>
  <si>
    <t xml:space="preserve">+32 80 799965 </t>
  </si>
  <si>
    <t xml:space="preserve">+32 80 799901 </t>
  </si>
  <si>
    <t xml:space="preserve">108 km, IBg 34km    </t>
  </si>
  <si>
    <t xml:space="preserve">FERRARA GAETAN SPRL    </t>
  </si>
  <si>
    <t xml:space="preserve">BE0470981025        </t>
  </si>
  <si>
    <t xml:space="preserve">Rue Bon Espoir 3                   </t>
  </si>
  <si>
    <t>+32 4 289 0046</t>
  </si>
  <si>
    <t>+32 4 289 0047</t>
  </si>
  <si>
    <t xml:space="preserve">INFO@EVISTONE.COM                       </t>
  </si>
  <si>
    <t xml:space="preserve">A l'att. de Mr.Lefrant             </t>
  </si>
  <si>
    <t>+32 71 45 1461</t>
  </si>
  <si>
    <t>+32 71 460 142</t>
  </si>
  <si>
    <t xml:space="preserve">L:202kms            </t>
  </si>
  <si>
    <t xml:space="preserve">compta@agral.be                         </t>
  </si>
  <si>
    <t xml:space="preserve">ASSURALIA              </t>
  </si>
  <si>
    <t xml:space="preserve">BE0407878367        </t>
  </si>
  <si>
    <t xml:space="preserve">A l'att. de Mr Noel                </t>
  </si>
  <si>
    <t xml:space="preserve">Square de Meeus, 29                </t>
  </si>
  <si>
    <t xml:space="preserve">+32 2 5475742 </t>
  </si>
  <si>
    <t xml:space="preserve">L:197kms            </t>
  </si>
  <si>
    <t xml:space="preserve">FDZ                    </t>
  </si>
  <si>
    <t xml:space="preserve">BE0874346617        </t>
  </si>
  <si>
    <t xml:space="preserve">A l'att. de Mr Wintgens            </t>
  </si>
  <si>
    <t xml:space="preserve">rue en Bois 63                     </t>
  </si>
  <si>
    <t>+32 4 248 2077</t>
  </si>
  <si>
    <t>+32 4248 25 10</t>
  </si>
  <si>
    <t xml:space="preserve">ILLU DESIGN            </t>
  </si>
  <si>
    <t xml:space="preserve">BE0459685869        </t>
  </si>
  <si>
    <t xml:space="preserve">A l'att. de Mr Buterra             </t>
  </si>
  <si>
    <t xml:space="preserve">Rue de la Diguette                 </t>
  </si>
  <si>
    <t xml:space="preserve">+32 4 3611533 </t>
  </si>
  <si>
    <t xml:space="preserve">INTEGRALE              </t>
  </si>
  <si>
    <t xml:space="preserve">BE0221518504        </t>
  </si>
  <si>
    <t xml:space="preserve">A l'att. de Mr Binstok             </t>
  </si>
  <si>
    <t xml:space="preserve">Place Saint-Jacques 11/101         </t>
  </si>
  <si>
    <t xml:space="preserve">LIÈGE                         </t>
  </si>
  <si>
    <t>+32 4 232 4411</t>
  </si>
  <si>
    <t xml:space="preserve">INTEGRAL               </t>
  </si>
  <si>
    <t xml:space="preserve">STRATEC                </t>
  </si>
  <si>
    <t xml:space="preserve">BE0425677966        </t>
  </si>
  <si>
    <t xml:space="preserve">A l'att. de Mr Duvigneaud          </t>
  </si>
  <si>
    <t xml:space="preserve">Avenue Adolphe Lacomble 69-71      </t>
  </si>
  <si>
    <t xml:space="preserve">SCHAERBEEK                    </t>
  </si>
  <si>
    <t>+32 2 735 0995</t>
  </si>
  <si>
    <t>+32 2 735 4917</t>
  </si>
  <si>
    <t xml:space="preserve">inconnu chez IBgraf </t>
  </si>
  <si>
    <t xml:space="preserve">0000,00  000,00  0191  </t>
  </si>
  <si>
    <t xml:space="preserve">ADMIN WELKENRAEDT      </t>
  </si>
  <si>
    <t xml:space="preserve">BE0206621975        </t>
  </si>
  <si>
    <t xml:space="preserve">A l'att. de Mrv Debeux             </t>
  </si>
  <si>
    <t xml:space="preserve">Rue de l'École 6                   </t>
  </si>
  <si>
    <t xml:space="preserve">WELKENRAEDT                   </t>
  </si>
  <si>
    <t>+32 8 789 9186</t>
  </si>
  <si>
    <t xml:space="preserve">0000,00  000,00  0067  </t>
  </si>
  <si>
    <t xml:space="preserve">CPAS DE SERAING        </t>
  </si>
  <si>
    <t xml:space="preserve">BE0212165427        </t>
  </si>
  <si>
    <t xml:space="preserve">Avenue du Centenaire 400           </t>
  </si>
  <si>
    <t xml:space="preserve">SERAING-OUGREE                </t>
  </si>
  <si>
    <t>+32 4 385 9200</t>
  </si>
  <si>
    <t>+32 4 385 9258</t>
  </si>
  <si>
    <t xml:space="preserve">0000,00  000,00  0051  </t>
  </si>
  <si>
    <t xml:space="preserve">VILLE DE SOIGNIES      </t>
  </si>
  <si>
    <t xml:space="preserve">BE0207298995        </t>
  </si>
  <si>
    <t xml:space="preserve">A l'att. de Mme Gorez              </t>
  </si>
  <si>
    <t xml:space="preserve">Place Verte 32                     </t>
  </si>
  <si>
    <t xml:space="preserve">SOIGNIES                      </t>
  </si>
  <si>
    <t>+32 37 347 386</t>
  </si>
  <si>
    <t xml:space="preserve">L:254kms            </t>
  </si>
  <si>
    <t xml:space="preserve">0000,00  000,00  0128  </t>
  </si>
  <si>
    <t xml:space="preserve">VILLE DE ANHEE         </t>
  </si>
  <si>
    <t xml:space="preserve">BE0206701159        </t>
  </si>
  <si>
    <t xml:space="preserve">A l'att. de M. Gerain              </t>
  </si>
  <si>
    <t xml:space="preserve">Place Communale 6                  </t>
  </si>
  <si>
    <t xml:space="preserve">ANHEE                         </t>
  </si>
  <si>
    <t>+32 82 69 8626</t>
  </si>
  <si>
    <t xml:space="preserve">PHOENYX TAX SCRL       </t>
  </si>
  <si>
    <t xml:space="preserve">BE0443937920        </t>
  </si>
  <si>
    <t xml:space="preserve">Rue Alfred Defuisseaux, 116        </t>
  </si>
  <si>
    <t xml:space="preserve">LONCIN                        </t>
  </si>
  <si>
    <t>+32 4 239 7400</t>
  </si>
  <si>
    <t>+32 4 361 0309</t>
  </si>
  <si>
    <t xml:space="preserve">nkneip@phoenyx.be                       </t>
  </si>
  <si>
    <t xml:space="preserve">SERBI                  </t>
  </si>
  <si>
    <t xml:space="preserve">BE0449015869        </t>
  </si>
  <si>
    <t xml:space="preserve">A l'att. de Mr Normand             </t>
  </si>
  <si>
    <t xml:space="preserve">Rue Voie de liege, 15              </t>
  </si>
  <si>
    <t>+32 43 794 573</t>
  </si>
  <si>
    <t>+32 43 795 782</t>
  </si>
  <si>
    <t>+32 475 487366</t>
  </si>
  <si>
    <t xml:space="preserve">0000,00  000,00  0012  </t>
  </si>
  <si>
    <t xml:space="preserve">normand@serbi.be                        </t>
  </si>
  <si>
    <t xml:space="preserve">ALPHA GESTION SC       </t>
  </si>
  <si>
    <t xml:space="preserve">BE0442157078        </t>
  </si>
  <si>
    <t xml:space="preserve">A l'att. de Mr.Debievre            </t>
  </si>
  <si>
    <t xml:space="preserve">Rue Reine Astrid, 76               </t>
  </si>
  <si>
    <t>+32 4 2460 601</t>
  </si>
  <si>
    <t xml:space="preserve">alphagestion@skynet.be                  </t>
  </si>
  <si>
    <t xml:space="preserve">BECF MYRIAM HERREMANS  </t>
  </si>
  <si>
    <t xml:space="preserve">BE0440762456        </t>
  </si>
  <si>
    <t xml:space="preserve">Rue Ste Anne, 10                   </t>
  </si>
  <si>
    <t xml:space="preserve">BRAINE-L'ALLEUD               </t>
  </si>
  <si>
    <t>+32 2 387 2800</t>
  </si>
  <si>
    <t>+32 2 387 2811</t>
  </si>
  <si>
    <t xml:space="preserve">L:220kms            </t>
  </si>
  <si>
    <t xml:space="preserve">IMMOMED MULDAM         </t>
  </si>
  <si>
    <t xml:space="preserve">BE0546667947        </t>
  </si>
  <si>
    <t xml:space="preserve">Rue du Pre de la Haye, 6           </t>
  </si>
  <si>
    <t>+32 4 248 0292</t>
  </si>
  <si>
    <t xml:space="preserve"> ...0</t>
  </si>
  <si>
    <t xml:space="preserve">0000,00  000,00  0008  </t>
  </si>
  <si>
    <t xml:space="preserve">COPILOT SCRL           </t>
  </si>
  <si>
    <t xml:space="preserve">BE0438107824        </t>
  </si>
  <si>
    <t xml:space="preserve">Quai Godefroid Kurth, 30           </t>
  </si>
  <si>
    <t>+32 4 340 1919</t>
  </si>
  <si>
    <t>+32 4 340 1910</t>
  </si>
  <si>
    <t xml:space="preserve">info@copilot.be                         </t>
  </si>
  <si>
    <t xml:space="preserve">MLD CONCEPT SPRL       </t>
  </si>
  <si>
    <t xml:space="preserve">BE0862102445        </t>
  </si>
  <si>
    <t xml:space="preserve">A l'att. de Mr Casul               </t>
  </si>
  <si>
    <t xml:space="preserve">Rue de la Legende, 45a             </t>
  </si>
  <si>
    <t xml:space="preserve">SPRIMONT                      </t>
  </si>
  <si>
    <t>+32 4 336 3594</t>
  </si>
  <si>
    <t>+32 4 337 7854</t>
  </si>
  <si>
    <t xml:space="preserve">0000,00  000,00  0062  </t>
  </si>
  <si>
    <t xml:space="preserve">fabrice@mldconcept.com                  </t>
  </si>
  <si>
    <t xml:space="preserve">THG EUPEN SA           </t>
  </si>
  <si>
    <t xml:space="preserve">BE0465145385        </t>
  </si>
  <si>
    <t xml:space="preserve">A l'att. de Mr Jonathan Binot      </t>
  </si>
  <si>
    <t xml:space="preserve">Werthplatz, 11                     </t>
  </si>
  <si>
    <t>+32 87 596 989</t>
  </si>
  <si>
    <t>+32 87 596 981</t>
  </si>
  <si>
    <t xml:space="preserve">NE PAS FACTURER     </t>
  </si>
  <si>
    <t xml:space="preserve">LES MAJ             </t>
  </si>
  <si>
    <t xml:space="preserve">0000,00  000,00  0068  </t>
  </si>
  <si>
    <t xml:space="preserve">jonathan.binot@thg.be                   </t>
  </si>
  <si>
    <t xml:space="preserve">CRAM SPRL              </t>
  </si>
  <si>
    <t xml:space="preserve">BE0437876113        </t>
  </si>
  <si>
    <t xml:space="preserve">A l'att. de Mr Simonis             </t>
  </si>
  <si>
    <t xml:space="preserve">Boulevard Piercot, 33              </t>
  </si>
  <si>
    <t xml:space="preserve">me gerant que       </t>
  </si>
  <si>
    <t xml:space="preserve">Jupipneus           </t>
  </si>
  <si>
    <t xml:space="preserve">Marc.simonis@cram.be                    </t>
  </si>
  <si>
    <t xml:space="preserve">MAISON BERVAES S.A.    </t>
  </si>
  <si>
    <t xml:space="preserve">BE0404229484        </t>
  </si>
  <si>
    <t xml:space="preserve">A l'att de Mme Bervaes             </t>
  </si>
  <si>
    <t xml:space="preserve">Rue Gretry, 177-179                </t>
  </si>
  <si>
    <t>+32 43 435 426</t>
  </si>
  <si>
    <t>+32 43 417 198</t>
  </si>
  <si>
    <t xml:space="preserve">bervaes.liege@skynet.be                 </t>
  </si>
  <si>
    <t>GODEFROID GINETTE (Mme)</t>
  </si>
  <si>
    <t xml:space="preserve">Rue d'Angleur, 1                   </t>
  </si>
  <si>
    <t>+32 43 441 622</t>
  </si>
  <si>
    <t xml:space="preserve">ginette.godefroid@skynet.be             </t>
  </si>
  <si>
    <t xml:space="preserve">FID. CFGS SAINTENOY    </t>
  </si>
  <si>
    <t xml:space="preserve">BE0474338908        </t>
  </si>
  <si>
    <t xml:space="preserve">A l'att. de Mr Saintenoy           </t>
  </si>
  <si>
    <t xml:space="preserve">Avenue Moliere, 2, Bte B           </t>
  </si>
  <si>
    <t xml:space="preserve">WAVRE                         </t>
  </si>
  <si>
    <t>+32 10 611 981</t>
  </si>
  <si>
    <t>+32 10 611 982</t>
  </si>
  <si>
    <t xml:space="preserve">MR SAINTENOY                  </t>
  </si>
  <si>
    <t xml:space="preserve">L:183kms-Wal:30kms  </t>
  </si>
  <si>
    <t xml:space="preserve">CFGS COMPTA SAINTENOY  </t>
  </si>
  <si>
    <t xml:space="preserve">0000,00  001,00  0000  </t>
  </si>
  <si>
    <t xml:space="preserve">msaintenoy@cfgs.be                      </t>
  </si>
  <si>
    <t xml:space="preserve">FIDUCIAIRE DE L'EST    </t>
  </si>
  <si>
    <t xml:space="preserve">BE0438176120        </t>
  </si>
  <si>
    <t xml:space="preserve">A l'att. de M. Demonceau           </t>
  </si>
  <si>
    <t xml:space="preserve">Rue Prince Albert, 4               </t>
  </si>
  <si>
    <t>+32 87 883 833</t>
  </si>
  <si>
    <t>+32 497 708578</t>
  </si>
  <si>
    <t xml:space="preserve">info@fde.be                             </t>
  </si>
  <si>
    <t xml:space="preserve">DEFAYS DENIS (Mr)      </t>
  </si>
  <si>
    <t xml:space="preserve">BE0873669003        </t>
  </si>
  <si>
    <t xml:space="preserve">Donsart, 23                        </t>
  </si>
  <si>
    <t xml:space="preserve">AUBEL                         </t>
  </si>
  <si>
    <t>+32 87 706 580</t>
  </si>
  <si>
    <t xml:space="preserve">MAIRLOT JOCELYNE (Mme) </t>
  </si>
  <si>
    <t xml:space="preserve">RUE DU FORTIN 3/103                </t>
  </si>
  <si>
    <t xml:space="preserve">LIBRAMONT-CHEVIGNY            </t>
  </si>
  <si>
    <t xml:space="preserve">SONEFA ASBL            </t>
  </si>
  <si>
    <t xml:space="preserve">BE0411649390        </t>
  </si>
  <si>
    <t xml:space="preserve">A l'att. de M. Nelis               </t>
  </si>
  <si>
    <t xml:space="preserve">RUE DE LA LUZERNE, 22              </t>
  </si>
  <si>
    <t xml:space="preserve">JAMBES                        </t>
  </si>
  <si>
    <t>+32 81 3283 73</t>
  </si>
  <si>
    <t xml:space="preserve">economat.hermant@sonefa.be              </t>
  </si>
  <si>
    <t xml:space="preserve">SALAZAR LUIS (Mr)      </t>
  </si>
  <si>
    <t xml:space="preserve">BE0597485158        </t>
  </si>
  <si>
    <t xml:space="preserve">Rue Monulphe, 67                   </t>
  </si>
  <si>
    <t>+352 475857707</t>
  </si>
  <si>
    <t xml:space="preserve">luis@salazar.be                         </t>
  </si>
  <si>
    <t xml:space="preserve">GEDIMAT LACROIX Sprl   </t>
  </si>
  <si>
    <t xml:space="preserve">BE0433837745        </t>
  </si>
  <si>
    <t xml:space="preserve">A l'att. de Mr G. Lacroix          </t>
  </si>
  <si>
    <t xml:space="preserve">Rue Oborne, 38                     </t>
  </si>
  <si>
    <t>+324 286 17 27</t>
  </si>
  <si>
    <t xml:space="preserve">GEDIMAT LACROIX        </t>
  </si>
  <si>
    <t xml:space="preserve">info@gedimatlacroix.be                  </t>
  </si>
  <si>
    <t xml:space="preserve">F.A.S.                 </t>
  </si>
  <si>
    <t xml:space="preserve">BE0433135781        </t>
  </si>
  <si>
    <t xml:space="preserve">A l'att. de Mr Lennerts            </t>
  </si>
  <si>
    <t xml:space="preserve">Rue de Herve, 125                  </t>
  </si>
  <si>
    <t xml:space="preserve">+32 87 661500 </t>
  </si>
  <si>
    <t xml:space="preserve">+32 87 661515 </t>
  </si>
  <si>
    <t>+32 478 661500</t>
  </si>
  <si>
    <t xml:space="preserve">BNP PARIBAS FORTIS     </t>
  </si>
  <si>
    <t xml:space="preserve">BE0444779741        </t>
  </si>
  <si>
    <t xml:space="preserve">LEASE GROUP SA                     </t>
  </si>
  <si>
    <t xml:space="preserve">Chaussee de Gand,1440              </t>
  </si>
  <si>
    <t xml:space="preserve">LA CAVE A VINS         </t>
  </si>
  <si>
    <t xml:space="preserve">BE0870959238        </t>
  </si>
  <si>
    <t xml:space="preserve">A l'att. de Mr Nihon               </t>
  </si>
  <si>
    <t xml:space="preserve">Rue de Jupille, 12                 </t>
  </si>
  <si>
    <t xml:space="preserve">32 43 741290  </t>
  </si>
  <si>
    <t xml:space="preserve">0000,00  000,00  0021  </t>
  </si>
  <si>
    <t xml:space="preserve">michelnihon@hotmail.com                 </t>
  </si>
  <si>
    <t xml:space="preserve">CSET ASBL              </t>
  </si>
  <si>
    <t xml:space="preserve">BE0423444788        </t>
  </si>
  <si>
    <t xml:space="preserve">ATTN: MR.DECHANXHE E.              </t>
  </si>
  <si>
    <t xml:space="preserve">RUE DE L'ATHENEE, 5                </t>
  </si>
  <si>
    <t xml:space="preserve">ESNEUX                        </t>
  </si>
  <si>
    <t xml:space="preserve">32 43 803535  </t>
  </si>
  <si>
    <t xml:space="preserve">0000,00  000,00  0074  </t>
  </si>
  <si>
    <t xml:space="preserve">cset@skynet.be                          </t>
  </si>
  <si>
    <t xml:space="preserve">EMS SA                 </t>
  </si>
  <si>
    <t xml:space="preserve">BE0446519506        </t>
  </si>
  <si>
    <t xml:space="preserve">Hauts Sarts - Zone 3               </t>
  </si>
  <si>
    <t xml:space="preserve">Rue de l'Eperonnerie, 2            </t>
  </si>
  <si>
    <t xml:space="preserve">+32 42 280407 </t>
  </si>
  <si>
    <t>+32 494 825571</t>
  </si>
  <si>
    <t xml:space="preserve">info@ems.be ou Cupelli.s@ems.be         </t>
  </si>
  <si>
    <t xml:space="preserve">METRODIM SPRL          </t>
  </si>
  <si>
    <t xml:space="preserve">BE0461344272        </t>
  </si>
  <si>
    <t xml:space="preserve">info@ems.be                             </t>
  </si>
  <si>
    <t xml:space="preserve">TACO SYSTEMS           </t>
  </si>
  <si>
    <t xml:space="preserve">BE0472271125        </t>
  </si>
  <si>
    <t xml:space="preserve">A l'att. de Mr Rodrigez            </t>
  </si>
  <si>
    <t xml:space="preserve">Chaussee de Bruxelles, 245         </t>
  </si>
  <si>
    <t xml:space="preserve">WATERLOO                      </t>
  </si>
  <si>
    <t>+32 497 482834</t>
  </si>
  <si>
    <t xml:space="preserve">BECHOUX LOUIS (SNACK)  </t>
  </si>
  <si>
    <t xml:space="preserve">BE0424721824        </t>
  </si>
  <si>
    <t xml:space="preserve">A l'att. de Mme Bechoux            </t>
  </si>
  <si>
    <t xml:space="preserve">la Golette, 11                     </t>
  </si>
  <si>
    <t xml:space="preserve">RENDEUX                       </t>
  </si>
  <si>
    <t xml:space="preserve">+32 84 477227 </t>
  </si>
  <si>
    <t xml:space="preserve">160km; IBgraf 50    </t>
  </si>
  <si>
    <t xml:space="preserve">bechoux.snacks@skynet.be                </t>
  </si>
  <si>
    <t xml:space="preserve">HUSTINX YVES           </t>
  </si>
  <si>
    <t xml:space="preserve">Chemin du Carmel, 19               </t>
  </si>
  <si>
    <t xml:space="preserve">ATTN: BRUNO ROLOUX                 </t>
  </si>
  <si>
    <t>+32 42 26 3600</t>
  </si>
  <si>
    <t xml:space="preserve">compta@81b.com                          </t>
  </si>
  <si>
    <t xml:space="preserve">RCARRE LUXEMBOURG      </t>
  </si>
  <si>
    <t xml:space="preserve">LU18654501          </t>
  </si>
  <si>
    <t>38-40, PARC D'ACTIVITES DE CAPELLEN</t>
  </si>
  <si>
    <t xml:space="preserve">CAPELLEN                      </t>
  </si>
  <si>
    <t xml:space="preserve">comptabilite@rcarre.com                 </t>
  </si>
  <si>
    <t xml:space="preserve">PROMOTIONS ET ENTREPR. </t>
  </si>
  <si>
    <t xml:space="preserve">BE0406821859        </t>
  </si>
  <si>
    <t xml:space="preserve">A l'att. de Mme Yans               </t>
  </si>
  <si>
    <t xml:space="preserve">Rue de Vise, 437                   </t>
  </si>
  <si>
    <t>+32 43 62 9844</t>
  </si>
  <si>
    <t>+32 43 62 1374</t>
  </si>
  <si>
    <t xml:space="preserve">0000,00  000,00  0016  </t>
  </si>
  <si>
    <t xml:space="preserve">iyans@promotion-et-entreprise.be        </t>
  </si>
  <si>
    <t xml:space="preserve">AVS GROUP              </t>
  </si>
  <si>
    <t xml:space="preserve">BE0470524234        </t>
  </si>
  <si>
    <t xml:space="preserve">Avenue J. Prevers 29 Bat 2N/6      </t>
  </si>
  <si>
    <t xml:space="preserve">SOLIBAT SA             </t>
  </si>
  <si>
    <t xml:space="preserve">BE0460242531        </t>
  </si>
  <si>
    <t xml:space="preserve">A l'att. de M. Y. Geron            </t>
  </si>
  <si>
    <t xml:space="preserve">Rue des Trois Entites, 16          </t>
  </si>
  <si>
    <t xml:space="preserve">CLERMONT                      </t>
  </si>
  <si>
    <t xml:space="preserve">+32 87 446737 </t>
  </si>
  <si>
    <t>+32 474 983908</t>
  </si>
  <si>
    <t xml:space="preserve">yg@solibat.be                           </t>
  </si>
  <si>
    <t xml:space="preserve">BUREAU VERSOLATO       </t>
  </si>
  <si>
    <t xml:space="preserve">BE0870448603        </t>
  </si>
  <si>
    <t xml:space="preserve">A l'att. de Mme Versolato          </t>
  </si>
  <si>
    <t xml:space="preserve">RUE DE DOLEMBREUX 105              </t>
  </si>
  <si>
    <t>+32 4 380 4550</t>
  </si>
  <si>
    <t xml:space="preserve">MME VERSOLATO                 </t>
  </si>
  <si>
    <t xml:space="preserve">bureauversolato@skynet.be               </t>
  </si>
  <si>
    <t xml:space="preserve">COMPTA-FISCALITE       </t>
  </si>
  <si>
    <t xml:space="preserve">BE0834482882        </t>
  </si>
  <si>
    <t xml:space="preserve">P. MASSET SCS                      </t>
  </si>
  <si>
    <t xml:space="preserve">Rue de l'Enclume, 7                </t>
  </si>
  <si>
    <t xml:space="preserve">GRIVEGNEE                     </t>
  </si>
  <si>
    <t xml:space="preserve">+32 42 524318 </t>
  </si>
  <si>
    <t>+32 498 371439</t>
  </si>
  <si>
    <t xml:space="preserve">piemasset@voo.be                        </t>
  </si>
  <si>
    <t xml:space="preserve">EDIFISC SPRL           </t>
  </si>
  <si>
    <t xml:space="preserve">BE0871459876        </t>
  </si>
  <si>
    <t xml:space="preserve">Rue du Lieutenant Lozet, 3         </t>
  </si>
  <si>
    <t xml:space="preserve">NEUFCHATEAU                   </t>
  </si>
  <si>
    <t xml:space="preserve">+32 61 270043 </t>
  </si>
  <si>
    <t xml:space="preserve">+32 61 278120 </t>
  </si>
  <si>
    <t xml:space="preserve">depl. depuis LUX    </t>
  </si>
  <si>
    <t xml:space="preserve">vu avec LNU         </t>
  </si>
  <si>
    <t xml:space="preserve">0000,00  000,00  0104  </t>
  </si>
  <si>
    <t xml:space="preserve">EXQUANDO interv.       </t>
  </si>
  <si>
    <t xml:space="preserve">BE0819213104        </t>
  </si>
  <si>
    <t xml:space="preserve">AVENUE EDISON 20                   </t>
  </si>
  <si>
    <t>+32 10 280 201</t>
  </si>
  <si>
    <t>ROSIERES:SIEGE,194KM</t>
  </si>
  <si>
    <t xml:space="preserve">CONTACT@EXQUANDO.BE                     </t>
  </si>
  <si>
    <t xml:space="preserve">BUR.COMPT DE LA SEMOIS </t>
  </si>
  <si>
    <t xml:space="preserve">BE0808555871        </t>
  </si>
  <si>
    <t xml:space="preserve">SCIV SPRL  </t>
  </si>
  <si>
    <t xml:space="preserve">A l'att. de M. Delogne             </t>
  </si>
  <si>
    <t xml:space="preserve">PLACE GEORGES MONGIN, 9            </t>
  </si>
  <si>
    <t xml:space="preserve">ALLE SUR SEMOIS               </t>
  </si>
  <si>
    <t xml:space="preserve">+32 61 503035 </t>
  </si>
  <si>
    <t xml:space="preserve">+32 61 503036 </t>
  </si>
  <si>
    <t xml:space="preserve">BUREAU COMPTABLE DE    </t>
  </si>
  <si>
    <t>+32 475 900086</t>
  </si>
  <si>
    <t xml:space="preserve">0100,00  000,00  0194  </t>
  </si>
  <si>
    <t xml:space="preserve">delogned@skynet.be                      </t>
  </si>
  <si>
    <t xml:space="preserve">DETALLE FIDUCIAIRE     </t>
  </si>
  <si>
    <t xml:space="preserve">BE0841705226        </t>
  </si>
  <si>
    <t xml:space="preserve">A l'att de Mme Detalle             </t>
  </si>
  <si>
    <t xml:space="preserve">RUE DE CHENESTRE 72D               </t>
  </si>
  <si>
    <t xml:space="preserve">SAINT-ANDRE                   </t>
  </si>
  <si>
    <t xml:space="preserve">32 473 314918 </t>
  </si>
  <si>
    <t xml:space="preserve">32 4 3702416  </t>
  </si>
  <si>
    <t xml:space="preserve">sarah.detalle@detalle-fiduciaire.be     </t>
  </si>
  <si>
    <t xml:space="preserve">R&amp;D COMPTABILITE       </t>
  </si>
  <si>
    <t xml:space="preserve">62, Duarrefstroos                  </t>
  </si>
  <si>
    <t xml:space="preserve">WEISWAMPACH                   </t>
  </si>
  <si>
    <t>+352 26 957121</t>
  </si>
  <si>
    <t xml:space="preserve">rdcompta@pt.lu                          </t>
  </si>
  <si>
    <t xml:space="preserve">B.C.G.FI.              </t>
  </si>
  <si>
    <t xml:space="preserve">BE0476657703        </t>
  </si>
  <si>
    <t xml:space="preserve">Expert Comptable Conseil Fiscal    </t>
  </si>
  <si>
    <t xml:space="preserve">RUE D'ANGOUSSART 173               </t>
  </si>
  <si>
    <t xml:space="preserve">BIERGES                       </t>
  </si>
  <si>
    <t xml:space="preserve">+32 28 806540 </t>
  </si>
  <si>
    <t xml:space="preserve">+32 28 806549 </t>
  </si>
  <si>
    <t xml:space="preserve">181km, ibgraf 50    </t>
  </si>
  <si>
    <t>MR ET MME JULES GILLARD</t>
  </si>
  <si>
    <t xml:space="preserve">BE0757242574        </t>
  </si>
  <si>
    <t xml:space="preserve">RUE DU TIEGE 133                   </t>
  </si>
  <si>
    <t xml:space="preserve">+32 42 786868 </t>
  </si>
  <si>
    <t xml:space="preserve">CHIVEO SA              </t>
  </si>
  <si>
    <t xml:space="preserve">BE0886480822        </t>
  </si>
  <si>
    <t xml:space="preserve">A l'att. de Mme Viatour            </t>
  </si>
  <si>
    <t xml:space="preserve">RUE SAINT-EXUPERY B17              </t>
  </si>
  <si>
    <t xml:space="preserve">+32 42 630939 </t>
  </si>
  <si>
    <t xml:space="preserve">Valerie Viatour               </t>
  </si>
  <si>
    <t>+32 473 400756</t>
  </si>
  <si>
    <t xml:space="preserve">VALERIE.VIATOUR@CHIVEO.BE               </t>
  </si>
  <si>
    <t xml:space="preserve">PORCS QUALITE ARDENNE  </t>
  </si>
  <si>
    <t xml:space="preserve">BE0439092076        </t>
  </si>
  <si>
    <t xml:space="preserve">AVENUE DE NORVEGE 14               </t>
  </si>
  <si>
    <t xml:space="preserve">+32 80 770372 </t>
  </si>
  <si>
    <t xml:space="preserve">Mr Joël Pauwels               </t>
  </si>
  <si>
    <t xml:space="preserve">compta@pqa.be                           </t>
  </si>
  <si>
    <t xml:space="preserve">SYNERGLASS SOFT        </t>
  </si>
  <si>
    <t xml:space="preserve">BE0442553491        </t>
  </si>
  <si>
    <t xml:space="preserve">Z.I. DE DAMRE                      </t>
  </si>
  <si>
    <t xml:space="preserve">RUE DES SPINETTES 7                </t>
  </si>
  <si>
    <t xml:space="preserve">+32 42 476352 </t>
  </si>
  <si>
    <t>+32 475 763521</t>
  </si>
  <si>
    <t xml:space="preserve">PIERRE.MATHIEU@SYNERGLASS-SOFT.COM      </t>
  </si>
  <si>
    <t xml:space="preserve">PHELECT SPRL           </t>
  </si>
  <si>
    <t xml:space="preserve">BE0439839075        </t>
  </si>
  <si>
    <t xml:space="preserve">Z.I. DES PLENESSES                 </t>
  </si>
  <si>
    <t xml:space="preserve">RUE DES TROIS ENTITES 15           </t>
  </si>
  <si>
    <t xml:space="preserve">THIMISTER-CLERMONT            </t>
  </si>
  <si>
    <t xml:space="preserve">+32 87 560274 </t>
  </si>
  <si>
    <t xml:space="preserve">+32 87 560273 </t>
  </si>
  <si>
    <t xml:space="preserve">M.LAGUESSE@PHELECT.BE                   </t>
  </si>
  <si>
    <t xml:space="preserve">RD RACING              </t>
  </si>
  <si>
    <t xml:space="preserve">BE0840236467        </t>
  </si>
  <si>
    <t xml:space="preserve">ROUTE DU CHATEAU 6                 </t>
  </si>
  <si>
    <t xml:space="preserve">+32 87 267302 </t>
  </si>
  <si>
    <t xml:space="preserve">TAGESSTATTE VoG ASBL   </t>
  </si>
  <si>
    <t xml:space="preserve">BE0413793387        </t>
  </si>
  <si>
    <t xml:space="preserve">JŽSEBERG 4                         </t>
  </si>
  <si>
    <t xml:space="preserve">MEYERODE                      </t>
  </si>
  <si>
    <t xml:space="preserve">+32 80 349860 </t>
  </si>
  <si>
    <t xml:space="preserve">Monika VEITHEN                </t>
  </si>
  <si>
    <t xml:space="preserve">0000,00  000,00  0149  </t>
  </si>
  <si>
    <t xml:space="preserve">TSMEYERODE@SKYNET.BE                    </t>
  </si>
  <si>
    <t xml:space="preserve">LES PERCE-NEIGE ASBL   </t>
  </si>
  <si>
    <t xml:space="preserve">RUE JEAN GILSON 1                  </t>
  </si>
  <si>
    <t xml:space="preserve">+32 81 302201 </t>
  </si>
  <si>
    <t xml:space="preserve">Pascal JANSSEN                </t>
  </si>
  <si>
    <t>+32 479 998741</t>
  </si>
  <si>
    <t xml:space="preserve">0000,00  000,00  0124  </t>
  </si>
  <si>
    <t xml:space="preserve">PASCAL.JANSSEN@LESPERCENEIGE.BE         </t>
  </si>
  <si>
    <t xml:space="preserve">DR PAUL MOOR           </t>
  </si>
  <si>
    <t xml:space="preserve">BE                  </t>
  </si>
  <si>
    <t xml:space="preserve">AVENUE EMILE VANDERVELDE 22        </t>
  </si>
  <si>
    <t xml:space="preserve">+32 19 331717 </t>
  </si>
  <si>
    <t xml:space="preserve">DEMULLEWIE ET HOFFAIT  </t>
  </si>
  <si>
    <t xml:space="preserve">BE0439374465        </t>
  </si>
  <si>
    <t xml:space="preserve">RUE COURTOIS 18                    </t>
  </si>
  <si>
    <t xml:space="preserve">+32 4 2212071 </t>
  </si>
  <si>
    <t xml:space="preserve">+32 4 2235251 </t>
  </si>
  <si>
    <t xml:space="preserve">BUREAU@DHARCHITECTE.BE                  </t>
  </si>
  <si>
    <t xml:space="preserve">LE THINIHEID ASBL      </t>
  </si>
  <si>
    <t xml:space="preserve">RUE THINIHEID 56                   </t>
  </si>
  <si>
    <t xml:space="preserve">+32 87 279140 </t>
  </si>
  <si>
    <t xml:space="preserve">FR@THINIHEID.BE                         </t>
  </si>
  <si>
    <t xml:space="preserve">IWAN SIMONIS S.A.      </t>
  </si>
  <si>
    <t xml:space="preserve">BE0428960130        </t>
  </si>
  <si>
    <t xml:space="preserve">RUE DE RENOUPRe 2                  </t>
  </si>
  <si>
    <t xml:space="preserve">ANDRIMONT                     </t>
  </si>
  <si>
    <t xml:space="preserve">+32 87 334142 </t>
  </si>
  <si>
    <t xml:space="preserve">+32 87 314144 </t>
  </si>
  <si>
    <t xml:space="preserve">JEANFRANCOIS@IWANSIMONIS.COM            </t>
  </si>
  <si>
    <t xml:space="preserve">RUE PAUL VAN HOEGAERDEN 10         </t>
  </si>
  <si>
    <t xml:space="preserve">EXQUANDO               </t>
  </si>
  <si>
    <t xml:space="preserve">RUE DE LA HULPE 130A               </t>
  </si>
  <si>
    <t xml:space="preserve">ROSIERES                      </t>
  </si>
  <si>
    <t xml:space="preserve">EMOCAR SA              </t>
  </si>
  <si>
    <t xml:space="preserve">BE0416795538        </t>
  </si>
  <si>
    <t xml:space="preserve">RENAULT VERVIERS                   </t>
  </si>
  <si>
    <t xml:space="preserve">THIER DE HODIMONT 105              </t>
  </si>
  <si>
    <t>+32 87 3949 46</t>
  </si>
  <si>
    <t>+32 87 3949 55</t>
  </si>
  <si>
    <t xml:space="preserve">HUGUES.GILSON@RENAULTVERVIERS.BE        </t>
  </si>
  <si>
    <t xml:space="preserve">ERA                    </t>
  </si>
  <si>
    <t xml:space="preserve">BE0430436213        </t>
  </si>
  <si>
    <t xml:space="preserve">RUE NAZARETH 16                    </t>
  </si>
  <si>
    <t xml:space="preserve">+32 87 394220 </t>
  </si>
  <si>
    <t xml:space="preserve">+32 495 23 70 </t>
  </si>
  <si>
    <t xml:space="preserve">RENE.HICK@ERA-ENTREPRISE.EU             </t>
  </si>
  <si>
    <t xml:space="preserve">B. BEAM SPRL           </t>
  </si>
  <si>
    <t xml:space="preserve">BE0458162474        </t>
  </si>
  <si>
    <t xml:space="preserve">Z.I. LES PLENESSES                 </t>
  </si>
  <si>
    <t xml:space="preserve">RUE DU PROGRES, 8                  </t>
  </si>
  <si>
    <t>+32 87 22 89 8</t>
  </si>
  <si>
    <t>+32 475 761453</t>
  </si>
  <si>
    <t xml:space="preserve">ETS V. DEHAYE S.A.     </t>
  </si>
  <si>
    <t xml:space="preserve">BE0401878720        </t>
  </si>
  <si>
    <t xml:space="preserve">RUE GEORGES MOREAU, 57             </t>
  </si>
  <si>
    <t xml:space="preserve">ANDERLECHT/BRUXELLES          </t>
  </si>
  <si>
    <t>+32 2 521 4749</t>
  </si>
  <si>
    <t>+32 2 522 0268</t>
  </si>
  <si>
    <t xml:space="preserve">L=210KM             </t>
  </si>
  <si>
    <t xml:space="preserve">0000,00  000,00  0086  </t>
  </si>
  <si>
    <t xml:space="preserve">accounting@dehaye.com                   </t>
  </si>
  <si>
    <t xml:space="preserve">WALLONIE IMAGE PROD.   </t>
  </si>
  <si>
    <t xml:space="preserve">BE0431001682        </t>
  </si>
  <si>
    <t xml:space="preserve">PÔLE IMAGE DE LIEGE - BAT. T       </t>
  </si>
  <si>
    <t xml:space="preserve">RUE DE MULHOUSE 36                 </t>
  </si>
  <si>
    <t xml:space="preserve">LIEGE 2                       </t>
  </si>
  <si>
    <t xml:space="preserve">+32 43 401040 </t>
  </si>
  <si>
    <t>+32 43 40 1041</t>
  </si>
  <si>
    <t xml:space="preserve">MONSIEUR DUCOLOT PIERRE       </t>
  </si>
  <si>
    <t xml:space="preserve">WIP                 </t>
  </si>
  <si>
    <t xml:space="preserve">FISCUS CONSILIUM FID.  </t>
  </si>
  <si>
    <t xml:space="preserve">BE0895177366        </t>
  </si>
  <si>
    <t xml:space="preserve">CHAUSSEE DE MARCHE, 795            </t>
  </si>
  <si>
    <t xml:space="preserve">WIERDE                        </t>
  </si>
  <si>
    <t>+32 81 24 3970</t>
  </si>
  <si>
    <t>+32 81 24 3979</t>
  </si>
  <si>
    <t xml:space="preserve">secretariat@fcfgroup.be                 </t>
  </si>
  <si>
    <t xml:space="preserve">GALLO SERVICE + SPRL   </t>
  </si>
  <si>
    <t xml:space="preserve">BE0473682276        </t>
  </si>
  <si>
    <t xml:space="preserve">RUE DE LA LIMITE 145               </t>
  </si>
  <si>
    <t xml:space="preserve">PARC INDUSTRIEL DES HAUTS SARTS    </t>
  </si>
  <si>
    <t>+32 4 240 4456</t>
  </si>
  <si>
    <t>+32 4 240 4455</t>
  </si>
  <si>
    <t>+32 495 389332</t>
  </si>
  <si>
    <t xml:space="preserve">FISCODIM               </t>
  </si>
  <si>
    <t xml:space="preserve">BE0870940333        </t>
  </si>
  <si>
    <t xml:space="preserve">AVENUE DES MUGUETS 11              </t>
  </si>
  <si>
    <t>+32 2 354 1137</t>
  </si>
  <si>
    <t>+32 2 351 0401</t>
  </si>
  <si>
    <t xml:space="preserve">MONSIEUR PIERRE DIMANCHE      </t>
  </si>
  <si>
    <t>+32 475 260401</t>
  </si>
  <si>
    <t xml:space="preserve">0000,00  000,00  0064  </t>
  </si>
  <si>
    <t xml:space="preserve">FISCODIM@SKYNET.BE                      </t>
  </si>
  <si>
    <t xml:space="preserve">PHARMACIENS-UNIS SCRL  </t>
  </si>
  <si>
    <t xml:space="preserve">BE0402352931        </t>
  </si>
  <si>
    <t xml:space="preserve">RUE DE MULHOUSE, 37                </t>
  </si>
  <si>
    <t>+32 4 340 4080</t>
  </si>
  <si>
    <t xml:space="preserve">FIGAS.UNIS@SKYNET.BE                    </t>
  </si>
  <si>
    <t xml:space="preserve">COFIDENA SPRL          </t>
  </si>
  <si>
    <t xml:space="preserve">BE0877885038        </t>
  </si>
  <si>
    <t xml:space="preserve">ALLEE DES MESANGES, 3              </t>
  </si>
  <si>
    <t>+32 4 387 9065</t>
  </si>
  <si>
    <t>+32 4 379 1888</t>
  </si>
  <si>
    <t xml:space="preserve">D.Charneux nb km/2  </t>
  </si>
  <si>
    <t>+32 475 597147</t>
  </si>
  <si>
    <t xml:space="preserve">cofidena@skynet.be                      </t>
  </si>
  <si>
    <t xml:space="preserve">SIMONIS EDDY           </t>
  </si>
  <si>
    <t xml:space="preserve">BE0774237271        </t>
  </si>
  <si>
    <t xml:space="preserve">LES TRIXHES 16                     </t>
  </si>
  <si>
    <t>+32 87 68 8381</t>
  </si>
  <si>
    <t xml:space="preserve">SENIORIE SOHEIT TINLOT </t>
  </si>
  <si>
    <t xml:space="preserve">BE0441624766        </t>
  </si>
  <si>
    <t xml:space="preserve">RUE DU CENTRE 16                   </t>
  </si>
  <si>
    <t xml:space="preserve">TINLOT                        </t>
  </si>
  <si>
    <t xml:space="preserve">+32 85 512829 </t>
  </si>
  <si>
    <t>+32 479 746299</t>
  </si>
  <si>
    <t xml:space="preserve">X.ORBAN@HOTMAIL.COM                     </t>
  </si>
  <si>
    <t xml:space="preserve">ADMIN. CHAUDFONTAINE   </t>
  </si>
  <si>
    <t xml:space="preserve">BE0207339973        </t>
  </si>
  <si>
    <t xml:space="preserve">A L'ATTN. DE MR. BOSTAN            </t>
  </si>
  <si>
    <t xml:space="preserve">AVENUE DU  CENTENAIRE 14           </t>
  </si>
  <si>
    <t xml:space="preserve">CHAUDFONTAINE                 </t>
  </si>
  <si>
    <t>+32 4 36 15445</t>
  </si>
  <si>
    <t xml:space="preserve">INFORMATIQUE@CHAUDFONTAINE.BE           </t>
  </si>
  <si>
    <t xml:space="preserve">FIDELIS SRL            </t>
  </si>
  <si>
    <t xml:space="preserve">BE0886189822        </t>
  </si>
  <si>
    <t>me Dir-Scenic Events</t>
  </si>
  <si>
    <t xml:space="preserve">nø295               </t>
  </si>
  <si>
    <t xml:space="preserve">fd@comptafidelis.be                     </t>
  </si>
  <si>
    <t xml:space="preserve">IDAL                   </t>
  </si>
  <si>
    <t xml:space="preserve">BE0442859636        </t>
  </si>
  <si>
    <t xml:space="preserve">A l'att de Mme S. Quetin           </t>
  </si>
  <si>
    <t xml:space="preserve">RUE DU BATAILLON DES CANARIS, 12   </t>
  </si>
  <si>
    <t xml:space="preserve">BOUGE                         </t>
  </si>
  <si>
    <t>+32 4 344 0036</t>
  </si>
  <si>
    <t>+32 4 344 0056</t>
  </si>
  <si>
    <t xml:space="preserve">Sylvie Wodon                  </t>
  </si>
  <si>
    <t xml:space="preserve">ALLER-RETOUR 132.4  </t>
  </si>
  <si>
    <t xml:space="preserve">s.quetin@idal-groupe.be                 </t>
  </si>
  <si>
    <t xml:space="preserve">COGEPHOTO LIEGE SA     </t>
  </si>
  <si>
    <t xml:space="preserve">BE0402352634        </t>
  </si>
  <si>
    <t xml:space="preserve">ATTN: MONSIEUR GRANDJEAN           </t>
  </si>
  <si>
    <t xml:space="preserve">RUE BONNE FORTUNE 15               </t>
  </si>
  <si>
    <t>+32 4 222 3764</t>
  </si>
  <si>
    <t xml:space="preserve">COGEPHOTO@SKANET.BE                     </t>
  </si>
  <si>
    <t xml:space="preserve">DELIGHTING             </t>
  </si>
  <si>
    <t xml:space="preserve">BE0471130285        </t>
  </si>
  <si>
    <t xml:space="preserve">ATTN.: MONSIEUR DELAUDE            </t>
  </si>
  <si>
    <t xml:space="preserve">CHAUSSEE DE WAVRE 101/A            </t>
  </si>
  <si>
    <t xml:space="preserve">+32 19 514114 </t>
  </si>
  <si>
    <t xml:space="preserve">+32 19 516460 </t>
  </si>
  <si>
    <t xml:space="preserve">Matthieu 30.6.15    </t>
  </si>
  <si>
    <t xml:space="preserve">ok pr les 96 kms    </t>
  </si>
  <si>
    <t xml:space="preserve">A cote de pharmacie </t>
  </si>
  <si>
    <t xml:space="preserve">PEPINIERE NIZET        </t>
  </si>
  <si>
    <t xml:space="preserve">BE0894051869        </t>
  </si>
  <si>
    <t xml:space="preserve">RUE BASSE CAMPAGNE, 39             </t>
  </si>
  <si>
    <t>+32 4 264 0233</t>
  </si>
  <si>
    <t>+32 4 248 1024</t>
  </si>
  <si>
    <t xml:space="preserve">DAMIEN NIZET                  </t>
  </si>
  <si>
    <t xml:space="preserve">PEPINIERE.NIZET@SKYNET.BE               </t>
  </si>
  <si>
    <t xml:space="preserve">WIN SA                 </t>
  </si>
  <si>
    <t xml:space="preserve">BE0810473996        </t>
  </si>
  <si>
    <t xml:space="preserve">Rue du Fort d'Andoy, 3             </t>
  </si>
  <si>
    <t xml:space="preserve">nathalie.lebrun@staff.win.be            </t>
  </si>
  <si>
    <t xml:space="preserve">CLAES VERBURGH &amp; CO    </t>
  </si>
  <si>
    <t xml:space="preserve">BE0458198801        </t>
  </si>
  <si>
    <t xml:space="preserve">A l'att. de Mr Goeminne            </t>
  </si>
  <si>
    <t xml:space="preserve">Bd du Jubile, 71, bte 3            </t>
  </si>
  <si>
    <t xml:space="preserve">pgoeminne@cvfiducia.be                  </t>
  </si>
  <si>
    <t xml:space="preserve">SCHROYEN ALPHONSE SA   </t>
  </si>
  <si>
    <t xml:space="preserve">BE0419620911        </t>
  </si>
  <si>
    <t xml:space="preserve">RUE DE HERVE, 122                  </t>
  </si>
  <si>
    <t>+32 87 67 5889</t>
  </si>
  <si>
    <t>+32 87 66 1265</t>
  </si>
  <si>
    <t xml:space="preserve">FABIO TOMASETIG               </t>
  </si>
  <si>
    <t xml:space="preserve">TOTALBATTICE@HOTMAIL.FR                 </t>
  </si>
  <si>
    <t xml:space="preserve">MEDI-LINE              </t>
  </si>
  <si>
    <t xml:space="preserve">BE0452084633        </t>
  </si>
  <si>
    <t xml:space="preserve">LIEGE SCIENCE PARK                 </t>
  </si>
  <si>
    <t xml:space="preserve">RUE DES GARDES FRONTIERES, 5       </t>
  </si>
  <si>
    <t>+32 4 366 0278</t>
  </si>
  <si>
    <t>+32 4 366 0207</t>
  </si>
  <si>
    <t xml:space="preserve">P.MAWET@MEDILINE.BE           </t>
  </si>
  <si>
    <t xml:space="preserve">INFO@MEDILINE.BE                        </t>
  </si>
  <si>
    <t xml:space="preserve">SOFICO                 </t>
  </si>
  <si>
    <t xml:space="preserve">BE0252151302        </t>
  </si>
  <si>
    <t xml:space="preserve">RUE DU CANL DE L'OURTHE, 9 BTE 3   </t>
  </si>
  <si>
    <t>+32 4 231 67 0</t>
  </si>
  <si>
    <t xml:space="preserve">CONTACT@SOFOCO.ORG                      </t>
  </si>
  <si>
    <t>LES JARDINS D'ARQUENNES</t>
  </si>
  <si>
    <t xml:space="preserve">BE0627791819        </t>
  </si>
  <si>
    <t xml:space="preserve">A l'att de Mr Piscitello           </t>
  </si>
  <si>
    <t xml:space="preserve">CHAUSSEE DE NIVELLES, 138          </t>
  </si>
  <si>
    <t xml:space="preserve">+32 67 877778 </t>
  </si>
  <si>
    <t xml:space="preserve">+32 67 879160 </t>
  </si>
  <si>
    <t xml:space="preserve">224 KM A/R          </t>
  </si>
  <si>
    <t>societe soeur de MCP</t>
  </si>
  <si>
    <t xml:space="preserve">piscitellof@lesjardinsdarquennes.be     </t>
  </si>
  <si>
    <t xml:space="preserve">RCUBE PROFESSIONAL     </t>
  </si>
  <si>
    <t xml:space="preserve">LU25289344          </t>
  </si>
  <si>
    <t>SERVICES SA</t>
  </si>
  <si>
    <t xml:space="preserve">77-79 parc d'activites             </t>
  </si>
  <si>
    <t>+352 26 30 341</t>
  </si>
  <si>
    <t>+352 26 303434</t>
  </si>
  <si>
    <t xml:space="preserve">RCUBE                  </t>
  </si>
  <si>
    <t xml:space="preserve">finance@rcube.lu                        </t>
  </si>
  <si>
    <t xml:space="preserve">GRAILLET GEORGES SPRL  </t>
  </si>
  <si>
    <t xml:space="preserve">BE0473267156        </t>
  </si>
  <si>
    <t xml:space="preserve">Rue sur les Keyeux, 49             </t>
  </si>
  <si>
    <t xml:space="preserve">+32 43772817  </t>
  </si>
  <si>
    <t xml:space="preserve">+32 43775190  </t>
  </si>
  <si>
    <t xml:space="preserve">+32 495534909 </t>
  </si>
  <si>
    <t xml:space="preserve">georgesgraillet@hotmail.com             </t>
  </si>
  <si>
    <t xml:space="preserve">TONNELLERIE OMEGA SPRL </t>
  </si>
  <si>
    <t xml:space="preserve">BE0839360893        </t>
  </si>
  <si>
    <t xml:space="preserve">ATTN: MR LOONSTEEN                 </t>
  </si>
  <si>
    <t xml:space="preserve">RUE DU MONT CORNET, 44             </t>
  </si>
  <si>
    <t xml:space="preserve">LASNE                         </t>
  </si>
  <si>
    <t xml:space="preserve">SOCIeTe EPOUSE 345  </t>
  </si>
  <si>
    <t xml:space="preserve">DELTA DECO          </t>
  </si>
  <si>
    <t xml:space="preserve">+32 474447120 </t>
  </si>
  <si>
    <t xml:space="preserve">0000,00  000,00  0208  </t>
  </si>
  <si>
    <t xml:space="preserve">GLOBULE BLEU SPRL      </t>
  </si>
  <si>
    <t xml:space="preserve">BE0475155191        </t>
  </si>
  <si>
    <t xml:space="preserve">QUAI MATIVA 62                     </t>
  </si>
  <si>
    <t>+32 4 23 98444</t>
  </si>
  <si>
    <t xml:space="preserve">GLOBULE BLEU           </t>
  </si>
  <si>
    <t xml:space="preserve">herve@globulebleu.com                   </t>
  </si>
  <si>
    <t xml:space="preserve">VESALE PHARMACEUTICA   </t>
  </si>
  <si>
    <t xml:space="preserve">BE0452282591        </t>
  </si>
  <si>
    <t xml:space="preserve">RUE LOUIS ALLAERT 9                </t>
  </si>
  <si>
    <t xml:space="preserve">NOVILLE SUR MEHAIGNE          </t>
  </si>
  <si>
    <t>+32 81 5600 06</t>
  </si>
  <si>
    <t>+32 81 8134 15</t>
  </si>
  <si>
    <t xml:space="preserve">info@vesalepharma.com                   </t>
  </si>
  <si>
    <t xml:space="preserve">ACCUFRI SPRL           </t>
  </si>
  <si>
    <t xml:space="preserve">BE0420760561        </t>
  </si>
  <si>
    <t xml:space="preserve">A l'att. de Mr D'Ambrosio          </t>
  </si>
  <si>
    <t xml:space="preserve">Rue Sous L'Eau, 42                 </t>
  </si>
  <si>
    <t xml:space="preserve">LIEGE BRESSOUX                </t>
  </si>
  <si>
    <t xml:space="preserve"> info@accufri.be                        </t>
  </si>
  <si>
    <t xml:space="preserve">#COGEZAF SA            </t>
  </si>
  <si>
    <t>+32 81 6018 81</t>
  </si>
  <si>
    <t xml:space="preserve">L : 157 KMS. EXISTE </t>
  </si>
  <si>
    <t xml:space="preserve">AUSSI EN DIRECT     </t>
  </si>
  <si>
    <t xml:space="preserve">TIVALOR CVBA           </t>
  </si>
  <si>
    <t xml:space="preserve">BE0633705651        </t>
  </si>
  <si>
    <t xml:space="preserve">Havenlaan, 86C Bte 419             </t>
  </si>
  <si>
    <t xml:space="preserve">AD HOC TAX CONSULTING  </t>
  </si>
  <si>
    <t xml:space="preserve">BE0463442541        </t>
  </si>
  <si>
    <t xml:space="preserve">A l'att. de Mr Renders             </t>
  </si>
  <si>
    <t xml:space="preserve">Rue des Garennes, 2A               </t>
  </si>
  <si>
    <t xml:space="preserve">WATERMAEL-BOITSF.             </t>
  </si>
  <si>
    <t xml:space="preserve">FDF vu avec CWA     </t>
  </si>
  <si>
    <t xml:space="preserve">206km a/r           </t>
  </si>
  <si>
    <t xml:space="preserve">0085,00  000,00  0000  </t>
  </si>
  <si>
    <t xml:space="preserve">marc.renders@adtc.be                    </t>
  </si>
  <si>
    <t xml:space="preserve">DUIJKERS MARC (Mr)     </t>
  </si>
  <si>
    <t xml:space="preserve">Rue du Tournay, 47                 </t>
  </si>
  <si>
    <t xml:space="preserve">marc.duijkers@hotmail.be                </t>
  </si>
  <si>
    <t xml:space="preserve">XHONNEUX FRERES SPRL   </t>
  </si>
  <si>
    <t xml:space="preserve">BE0402477744        </t>
  </si>
  <si>
    <t xml:space="preserve">A l'att de Mr Honeux               </t>
  </si>
  <si>
    <t xml:space="preserve">Rue Xhonneux, 18                   </t>
  </si>
  <si>
    <t xml:space="preserve">thierry@xhonneux.be                     </t>
  </si>
  <si>
    <t xml:space="preserve">MTH JEANMART           </t>
  </si>
  <si>
    <t xml:space="preserve">BE0425645205        </t>
  </si>
  <si>
    <t xml:space="preserve">A l'att. de Mme Roloux             </t>
  </si>
  <si>
    <t xml:space="preserve">Rue de la Tuilerie, 107            </t>
  </si>
  <si>
    <t xml:space="preserve">BE0636803515        </t>
  </si>
  <si>
    <t xml:space="preserve">(ETS)      </t>
  </si>
  <si>
    <t xml:space="preserve">A L'ATTN DE MR COUTREZ             </t>
  </si>
  <si>
    <t xml:space="preserve">RUE LOUIS BLERIOT, 1               </t>
  </si>
  <si>
    <t xml:space="preserve">departement douane  </t>
  </si>
  <si>
    <t xml:space="preserve">emmanuel.coutrez@coutrez.be             </t>
  </si>
  <si>
    <t xml:space="preserve">LA BUANDERIE SC ES     </t>
  </si>
  <si>
    <t xml:space="preserve">RUE DE LA CITE, 18 BOITE 613       </t>
  </si>
  <si>
    <t xml:space="preserve">+32 87460608  </t>
  </si>
  <si>
    <t>+32 2473719949</t>
  </si>
  <si>
    <t xml:space="preserve">0056,00  000,00  0000  </t>
  </si>
  <si>
    <t xml:space="preserve">buanderie.theux@gmail.com               </t>
  </si>
  <si>
    <t xml:space="preserve">MAZOUT JANSSEN         </t>
  </si>
  <si>
    <t xml:space="preserve">BE0808501334        </t>
  </si>
  <si>
    <t xml:space="preserve">VOIE DES FOSSES, 71                </t>
  </si>
  <si>
    <t xml:space="preserve">DALHEM                        </t>
  </si>
  <si>
    <t>+32 4 379 3797</t>
  </si>
  <si>
    <t>+32 4 379 8657</t>
  </si>
  <si>
    <t xml:space="preserve">MÊ proprio  Delhez  </t>
  </si>
  <si>
    <t xml:space="preserve"> Combustibles       </t>
  </si>
  <si>
    <t xml:space="preserve">info@mazout-janssen.be                  </t>
  </si>
  <si>
    <t xml:space="preserve">TECONEX SA             </t>
  </si>
  <si>
    <t xml:space="preserve">BE0429524116        </t>
  </si>
  <si>
    <t xml:space="preserve">Rue de Magnee, 108                 </t>
  </si>
  <si>
    <t xml:space="preserve">BEYNE-HEUSAY                  </t>
  </si>
  <si>
    <t xml:space="preserve">KANTOOR GORREMANS      </t>
  </si>
  <si>
    <t xml:space="preserve">BE0418390989        </t>
  </si>
  <si>
    <t xml:space="preserve">ATTN. MONSIEUR GORREMANS           </t>
  </si>
  <si>
    <t xml:space="preserve">ZANDSTRAAT 5                       </t>
  </si>
  <si>
    <t xml:space="preserve">ZOLDER                        </t>
  </si>
  <si>
    <t xml:space="preserve">+32 78 158001 </t>
  </si>
  <si>
    <t xml:space="preserve">+32 78 158002 </t>
  </si>
  <si>
    <t xml:space="preserve">118 KM A/R          </t>
  </si>
  <si>
    <t xml:space="preserve">0000,00  000,00  0118  </t>
  </si>
  <si>
    <t xml:space="preserve">alain@gorremans.be                      </t>
  </si>
  <si>
    <t xml:space="preserve">MATON SPORTS SPRL      </t>
  </si>
  <si>
    <t xml:space="preserve">BE0439164332        </t>
  </si>
  <si>
    <t xml:space="preserve">ATTN. MADAME THOMAS                </t>
  </si>
  <si>
    <t xml:space="preserve">AU TIGE DE VILLIERS 1              </t>
  </si>
  <si>
    <t>+32 85 21 4249</t>
  </si>
  <si>
    <t xml:space="preserve">secretariat@matonsports.be              </t>
  </si>
  <si>
    <t xml:space="preserve">HYDROGAZ S.A.          </t>
  </si>
  <si>
    <t xml:space="preserve">BE0404257990        </t>
  </si>
  <si>
    <t xml:space="preserve">RUE DE L'INFORMATIQUE, 3           </t>
  </si>
  <si>
    <t xml:space="preserve">+32 4 2476060 </t>
  </si>
  <si>
    <t xml:space="preserve">+32 4 2476069 </t>
  </si>
  <si>
    <t xml:space="preserve">M. MARLOYE                    </t>
  </si>
  <si>
    <t xml:space="preserve">THONON@HYDRAGAZ.BE  </t>
  </si>
  <si>
    <t xml:space="preserve">easi@hydrogaz.be                        </t>
  </si>
  <si>
    <t xml:space="preserve">LES DEMOISELLES NATURE </t>
  </si>
  <si>
    <t xml:space="preserve">BE0635945658        </t>
  </si>
  <si>
    <t xml:space="preserve">MADAME CHRISTELLE GUILLEAUME       </t>
  </si>
  <si>
    <t xml:space="preserve">RUE HAUTE, 35                      </t>
  </si>
  <si>
    <t>NATURAE : nom offiel</t>
  </si>
  <si>
    <t>sinon nom du magasin</t>
  </si>
  <si>
    <t>+32 494 938241</t>
  </si>
  <si>
    <t xml:space="preserve">christelle.guilleaume@outlook.com       </t>
  </si>
  <si>
    <t xml:space="preserve">ATGS   INTERV          </t>
  </si>
  <si>
    <t xml:space="preserve">BE0811038873        </t>
  </si>
  <si>
    <t xml:space="preserve">PARC INDUSTRIEL DES HAUTS-SARTS    </t>
  </si>
  <si>
    <t xml:space="preserve">PREMIERE AVENUE, 185               </t>
  </si>
  <si>
    <t xml:space="preserve">MONSIEUR FABRICE PERRI        </t>
  </si>
  <si>
    <t xml:space="preserve">ADVICE &amp; TAX GLOBAL </t>
  </si>
  <si>
    <t xml:space="preserve">SOLUTIONS           </t>
  </si>
  <si>
    <t>+32 497 167902</t>
  </si>
  <si>
    <t xml:space="preserve">BELMECA S.A.           </t>
  </si>
  <si>
    <t xml:space="preserve">BE0453486876        </t>
  </si>
  <si>
    <t xml:space="preserve">PARC DES HAUTS SARTS               </t>
  </si>
  <si>
    <t xml:space="preserve">4EME AVENUE, 38                    </t>
  </si>
  <si>
    <t>+32 4 274 5110</t>
  </si>
  <si>
    <t xml:space="preserve">Claude.goffinet@stisa.be                </t>
  </si>
  <si>
    <t xml:space="preserve">ANTHE                  </t>
  </si>
  <si>
    <t xml:space="preserve">BE0899346881        </t>
  </si>
  <si>
    <t xml:space="preserve">A l'att. de Mme Pequet             </t>
  </si>
  <si>
    <t xml:space="preserve">Rue de la Cablerie,5               </t>
  </si>
  <si>
    <t xml:space="preserve">+32 4 2680126 </t>
  </si>
  <si>
    <t xml:space="preserve">+32 474651716 </t>
  </si>
  <si>
    <t xml:space="preserve">comptabilite@anthe.biz                  </t>
  </si>
  <si>
    <t>CENTRE TECHNIQUE HORTIC</t>
  </si>
  <si>
    <t xml:space="preserve">BE0881637750        </t>
  </si>
  <si>
    <t xml:space="preserve">GEMBLOUX   </t>
  </si>
  <si>
    <t xml:space="preserve">Institut de recherche              </t>
  </si>
  <si>
    <t xml:space="preserve">Chemin de la Siberie, 4            </t>
  </si>
  <si>
    <t xml:space="preserve">0000,00  000,00  0164  </t>
  </si>
  <si>
    <t xml:space="preserve">AFRICA GENERICS SPRL   </t>
  </si>
  <si>
    <t xml:space="preserve">BE0862701370        </t>
  </si>
  <si>
    <t xml:space="preserve">MONSIEUR PHILIPPE AMEDODJI         </t>
  </si>
  <si>
    <t xml:space="preserve">RUE DES GUILLEMINS, 48             </t>
  </si>
  <si>
    <t xml:space="preserve">+32 487706099 </t>
  </si>
  <si>
    <t xml:space="preserve">info@africa-generics.net                </t>
  </si>
  <si>
    <t xml:space="preserve">MJ2 BEAUTY WORLD       </t>
  </si>
  <si>
    <t xml:space="preserve">BE0636857854        </t>
  </si>
  <si>
    <t xml:space="preserve">MONSIEUR DORIS KEKE                </t>
  </si>
  <si>
    <t xml:space="preserve">RUE DE GUILLEMINS, 11              </t>
  </si>
  <si>
    <t>+32 4 265 6845</t>
  </si>
  <si>
    <t xml:space="preserve">DORISKEKE@HOTMAIL.COM                   </t>
  </si>
  <si>
    <t xml:space="preserve">TECHNIC ONE            </t>
  </si>
  <si>
    <t xml:space="preserve">BE0424130718        </t>
  </si>
  <si>
    <t xml:space="preserve">ATTN: MONSIEUR CARON               </t>
  </si>
  <si>
    <t xml:space="preserve">Z.I. LES PLENESSES, 76             </t>
  </si>
  <si>
    <t xml:space="preserve">THIMISTER                     </t>
  </si>
  <si>
    <t>+32 87 44 0110</t>
  </si>
  <si>
    <t>+32 87 44 0111</t>
  </si>
  <si>
    <t xml:space="preserve">compta@technic-one.com                  </t>
  </si>
  <si>
    <t xml:space="preserve">TECNOCONDUITE 2000     </t>
  </si>
  <si>
    <t xml:space="preserve">BE0449731986        </t>
  </si>
  <si>
    <t xml:space="preserve">ATTN: ANNE-MARIE DAUVISTER         </t>
  </si>
  <si>
    <t xml:space="preserve">AVENUE DE L'INDEPENDANCE, 101      </t>
  </si>
  <si>
    <t>+32 4 370 0707</t>
  </si>
  <si>
    <t>+32 4 370 6670</t>
  </si>
  <si>
    <t xml:space="preserve">0000,00  000,00  0013  </t>
  </si>
  <si>
    <t xml:space="preserve">info@tecnoconduite.be                   </t>
  </si>
  <si>
    <t xml:space="preserve">TECNOFORM SPRL         </t>
  </si>
  <si>
    <t xml:space="preserve">BE0822740043        </t>
  </si>
  <si>
    <t xml:space="preserve">ATTN: MADAME HAUZOUL               </t>
  </si>
  <si>
    <t xml:space="preserve">RUE ANTOINE DE BERGHES, 36         </t>
  </si>
  <si>
    <t>+32 484 489056</t>
  </si>
  <si>
    <t>+32 471 516922</t>
  </si>
  <si>
    <t xml:space="preserve">HAUZOUL SOPHIE         </t>
  </si>
  <si>
    <t xml:space="preserve">BE0896764802        </t>
  </si>
  <si>
    <t xml:space="preserve">RUE SLAR, 9                        </t>
  </si>
  <si>
    <t xml:space="preserve">FEMME DE MR BLEROT  </t>
  </si>
  <si>
    <t xml:space="preserve">BLEROT ets 24       </t>
  </si>
  <si>
    <t xml:space="preserve">SERONVALE JOS SPRL     </t>
  </si>
  <si>
    <t xml:space="preserve">BE0420730075        </t>
  </si>
  <si>
    <t xml:space="preserve">RUE DE LA STATION, 5               </t>
  </si>
  <si>
    <t xml:space="preserve">+32 42861704  </t>
  </si>
  <si>
    <t xml:space="preserve">graineterie@yahoo.fr                    </t>
  </si>
  <si>
    <t xml:space="preserve">SCENIC EVENTS -S.D.C.  </t>
  </si>
  <si>
    <t xml:space="preserve">BE0794033783        </t>
  </si>
  <si>
    <t xml:space="preserve">A l'att. de Mr DESIR               </t>
  </si>
  <si>
    <t xml:space="preserve">rue Joseph Desir, 15               </t>
  </si>
  <si>
    <t xml:space="preserve">MOMALLE                       </t>
  </si>
  <si>
    <t xml:space="preserve">me Dir-Fidelis 251  </t>
  </si>
  <si>
    <t>DEGOTTE CARAVANES UNITS</t>
  </si>
  <si>
    <t xml:space="preserve">BE0430224296        </t>
  </si>
  <si>
    <t xml:space="preserve">Zoning des Hauts Sarts             </t>
  </si>
  <si>
    <t xml:space="preserve">Rue de Hermee, 246                 </t>
  </si>
  <si>
    <t xml:space="preserve">sav@degotte.com                         </t>
  </si>
  <si>
    <t xml:space="preserve">FIDUTOP SA             </t>
  </si>
  <si>
    <t xml:space="preserve">BE0449483845        </t>
  </si>
  <si>
    <t xml:space="preserve">ATTN: MONSIEUR SEBASTIEN PETERS    </t>
  </si>
  <si>
    <t xml:space="preserve">RUE DES NATIONS UNIES, 125         </t>
  </si>
  <si>
    <t>+32 4 247 3222</t>
  </si>
  <si>
    <t>+32 4 247 2774</t>
  </si>
  <si>
    <t>+32 498 101313</t>
  </si>
  <si>
    <t xml:space="preserve">SEBASTIEN.P@FIDUTOP.BE                  </t>
  </si>
  <si>
    <t xml:space="preserve">PROXY SERVICES         </t>
  </si>
  <si>
    <t xml:space="preserve">BE0889114569        </t>
  </si>
  <si>
    <t xml:space="preserve">ATTN: STEPHAN GILLARD              </t>
  </si>
  <si>
    <t xml:space="preserve">GRAND ROUTE, 2                     </t>
  </si>
  <si>
    <t xml:space="preserve">+32 4 2785850 </t>
  </si>
  <si>
    <t xml:space="preserve">+32 4 2780250 </t>
  </si>
  <si>
    <t xml:space="preserve">Stephan.gillard@proxy-services.be       </t>
  </si>
  <si>
    <t>VANOSBEECK ASSO. EXPERT</t>
  </si>
  <si>
    <t xml:space="preserve">BE0437799996        </t>
  </si>
  <si>
    <t xml:space="preserve">COMPTABLES </t>
  </si>
  <si>
    <t xml:space="preserve">ATTN: MADAME PATRICIA VANOSBEECK   </t>
  </si>
  <si>
    <t xml:space="preserve">CHAUSSEE DE BRUXELLES 133          </t>
  </si>
  <si>
    <t xml:space="preserve">BRAINE-LE-COMTE               </t>
  </si>
  <si>
    <t xml:space="preserve">+32 67 410720 </t>
  </si>
  <si>
    <t xml:space="preserve">+32 67 709806 </t>
  </si>
  <si>
    <t xml:space="preserve">+32 489336462 </t>
  </si>
  <si>
    <t xml:space="preserve">PATRICIA@VANOSBEECK.BE                  </t>
  </si>
  <si>
    <t xml:space="preserve">ID LUNCH SPRL          </t>
  </si>
  <si>
    <t xml:space="preserve">BE0439928949        </t>
  </si>
  <si>
    <t xml:space="preserve">RUE DE L'ARRET, 38                 </t>
  </si>
  <si>
    <t xml:space="preserve">+32 4 2505652 </t>
  </si>
  <si>
    <t>+32 4 250 5755</t>
  </si>
  <si>
    <t xml:space="preserve">info@idlunch.eu                         </t>
  </si>
  <si>
    <t xml:space="preserve">TOUSSAINT INDUSTRY     </t>
  </si>
  <si>
    <t xml:space="preserve">BE0880230260        </t>
  </si>
  <si>
    <t xml:space="preserve">HAMEAU DE GERONSARTS 17            </t>
  </si>
  <si>
    <t xml:space="preserve">FRASNES-LEZ-COUVIN            </t>
  </si>
  <si>
    <t xml:space="preserve">+32 603446 26 </t>
  </si>
  <si>
    <t>+32 60 39 0989</t>
  </si>
  <si>
    <t xml:space="preserve">284km a/r           </t>
  </si>
  <si>
    <t xml:space="preserve">INFO@TOUSSAINT-INDUSTRY.COM             </t>
  </si>
  <si>
    <t xml:space="preserve">DAD FRERES SA          </t>
  </si>
  <si>
    <t xml:space="preserve">BE0875280983        </t>
  </si>
  <si>
    <t xml:space="preserve">GRAND ROUTE, 252                   </t>
  </si>
  <si>
    <t xml:space="preserve">VERLAINE                      </t>
  </si>
  <si>
    <t>+32 4 275 7300</t>
  </si>
  <si>
    <t>+32 4 273 0251</t>
  </si>
  <si>
    <t xml:space="preserve">+32 478306778 </t>
  </si>
  <si>
    <t xml:space="preserve">SDEGIVE@ADVERLAINE.BE                   </t>
  </si>
  <si>
    <t xml:space="preserve">BRAUN SPRL             </t>
  </si>
  <si>
    <t xml:space="preserve">BE0464489151        </t>
  </si>
  <si>
    <t xml:space="preserve">RUE DE HERMEE, 249                 </t>
  </si>
  <si>
    <t xml:space="preserve">+32 4 2890455 </t>
  </si>
  <si>
    <t>+32 4 289 0456</t>
  </si>
  <si>
    <t xml:space="preserve">VDV FERRONNERIE        </t>
  </si>
  <si>
    <t xml:space="preserve">BE0885402241        </t>
  </si>
  <si>
    <t xml:space="preserve">RUE GEORGES COSSE, 26B             </t>
  </si>
  <si>
    <t xml:space="preserve">+32 81 245020 </t>
  </si>
  <si>
    <t>+32 474 522389</t>
  </si>
  <si>
    <t xml:space="preserve">HOBBY NATURE - LACROIX </t>
  </si>
  <si>
    <t xml:space="preserve">BE0421168654        </t>
  </si>
  <si>
    <t xml:space="preserve">ET FILS    </t>
  </si>
  <si>
    <t xml:space="preserve">COUR LEMAIRE                       </t>
  </si>
  <si>
    <t xml:space="preserve">ROUTE DE MAESTRICHT, 1             </t>
  </si>
  <si>
    <t xml:space="preserve">+32 87 327309 </t>
  </si>
  <si>
    <t xml:space="preserve">INFO@HOBBYNATURE.COM                    </t>
  </si>
  <si>
    <t xml:space="preserve">UDF S.P.R.L.           </t>
  </si>
  <si>
    <t xml:space="preserve">BE0464158757        </t>
  </si>
  <si>
    <t xml:space="preserve">A l'att. de Mr Di Carlo            </t>
  </si>
  <si>
    <t xml:space="preserve">Rue de Fexhe-Slins, 65B            </t>
  </si>
  <si>
    <t xml:space="preserve">HERMEE                        </t>
  </si>
  <si>
    <t xml:space="preserve">+32 4 2899900 </t>
  </si>
  <si>
    <t xml:space="preserve">+32 4 2899909 </t>
  </si>
  <si>
    <t xml:space="preserve">VISIO ING CONSULT SPRL </t>
  </si>
  <si>
    <t xml:space="preserve">BE0866884248        </t>
  </si>
  <si>
    <t xml:space="preserve">A l'att. de Mr Gerard              </t>
  </si>
  <si>
    <t xml:space="preserve">REMPARTS SAINT CHRISTOPHE 35       </t>
  </si>
  <si>
    <t xml:space="preserve">+32 019636448 </t>
  </si>
  <si>
    <t>+32 0485501634</t>
  </si>
  <si>
    <t xml:space="preserve">0000,00  000,00  0093  </t>
  </si>
  <si>
    <t xml:space="preserve">f.gerard@visioingconsult.be             </t>
  </si>
  <si>
    <t xml:space="preserve">DOOME MARIE-JOSE SPRL  </t>
  </si>
  <si>
    <t xml:space="preserve">BE0634830257        </t>
  </si>
  <si>
    <t xml:space="preserve">JONENDOOME@SKYNET.BE                    </t>
  </si>
  <si>
    <t xml:space="preserve">CORIS BIOCONCEPT       </t>
  </si>
  <si>
    <t xml:space="preserve">BE0459020430        </t>
  </si>
  <si>
    <t xml:space="preserve">ATTN: MONSIEUR BALLEZ              </t>
  </si>
  <si>
    <t xml:space="preserve">RUE JEAN SONET, 4A                 </t>
  </si>
  <si>
    <t>+32 81 71 9917</t>
  </si>
  <si>
    <t xml:space="preserve">THG MALMEDY SPRL       </t>
  </si>
  <si>
    <t xml:space="preserve">BE0844231877        </t>
  </si>
  <si>
    <t xml:space="preserve">A l'att. de Mr O. Roche            </t>
  </si>
  <si>
    <t xml:space="preserve">Place de Rome, 11                  </t>
  </si>
  <si>
    <t xml:space="preserve">THG MALMEDY            </t>
  </si>
  <si>
    <t xml:space="preserve">0000,00  000,00  0108  </t>
  </si>
  <si>
    <t xml:space="preserve">olivier.roche@thg.be                    </t>
  </si>
  <si>
    <t xml:space="preserve">VAL SAINT LAMBERT      </t>
  </si>
  <si>
    <t xml:space="preserve">BE0425334904        </t>
  </si>
  <si>
    <t xml:space="preserve">COUR DU VAL, 245                   </t>
  </si>
  <si>
    <t xml:space="preserve">+32 4 3373200 </t>
  </si>
  <si>
    <t xml:space="preserve">FABIENNE.VANBOVEN@VAL-SAINT-LAMBERT.COM </t>
  </si>
  <si>
    <t xml:space="preserve">A&amp;D VISION             </t>
  </si>
  <si>
    <t xml:space="preserve">BE0644471859        </t>
  </si>
  <si>
    <t xml:space="preserve">BOULEVARD DE LA SAUVENIERE, 176    </t>
  </si>
  <si>
    <t>+32 498 617006</t>
  </si>
  <si>
    <t xml:space="preserve">ADVISIONSPRL@GMAIL.COM                  </t>
  </si>
  <si>
    <t xml:space="preserve">PAPETERIE JJJ          </t>
  </si>
  <si>
    <t xml:space="preserve">ATTN: MONSIEUR DUMOULIN            </t>
  </si>
  <si>
    <t xml:space="preserve">RUE FRUMHY, 10                     </t>
  </si>
  <si>
    <t xml:space="preserve">BARCHON                       </t>
  </si>
  <si>
    <t xml:space="preserve">LIEN AVEC 79        </t>
  </si>
  <si>
    <t xml:space="preserve">PAPETERIE  HUMBLET  </t>
  </si>
  <si>
    <t>+32 479 652597</t>
  </si>
  <si>
    <t>LEMAIRE PARC ET JARDINS</t>
  </si>
  <si>
    <t xml:space="preserve">BE0435491396        </t>
  </si>
  <si>
    <t xml:space="preserve">A l'att. de Mr Paul Lemaire        </t>
  </si>
  <si>
    <t xml:space="preserve">Rue d'Eupen, 45                    </t>
  </si>
  <si>
    <t xml:space="preserve">info@paul-lemaire.be                    </t>
  </si>
  <si>
    <t xml:space="preserve">LIBRAIRIE DE LA CLEF   </t>
  </si>
  <si>
    <t xml:space="preserve">BE0834051431        </t>
  </si>
  <si>
    <t xml:space="preserve">A l'att. de Mr Godin               </t>
  </si>
  <si>
    <t xml:space="preserve">Rue de la Clef, 11                 </t>
  </si>
  <si>
    <t xml:space="preserve">BIOREM                 </t>
  </si>
  <si>
    <t xml:space="preserve">BE0449421190        </t>
  </si>
  <si>
    <t xml:space="preserve">A l'att. de Mr Lakaye              </t>
  </si>
  <si>
    <t xml:space="preserve">Allee du Chateau, 13               </t>
  </si>
  <si>
    <t xml:space="preserve">NEUVILLE-EN-CONDROZ           </t>
  </si>
  <si>
    <t>IMMOMED MULDAM   (Siege</t>
  </si>
  <si>
    <t xml:space="preserve">social)    </t>
  </si>
  <si>
    <t xml:space="preserve">RUE DE TONGRES, 169                </t>
  </si>
  <si>
    <t xml:space="preserve">+32 4 2480292 </t>
  </si>
  <si>
    <t xml:space="preserve">SPRL JM. RIGAUX        </t>
  </si>
  <si>
    <t xml:space="preserve">BE0874376212        </t>
  </si>
  <si>
    <t xml:space="preserve">Avocat     </t>
  </si>
  <si>
    <t xml:space="preserve">BOULEVARD D'AVROY, 270             </t>
  </si>
  <si>
    <t>+32 4 252 2291</t>
  </si>
  <si>
    <t>+32 4 252 6898</t>
  </si>
  <si>
    <t xml:space="preserve">RIGAUX@RIGAUX-AVOCATS.BE                </t>
  </si>
  <si>
    <t xml:space="preserve">POM IMPORT             </t>
  </si>
  <si>
    <t xml:space="preserve">BE0433682545        </t>
  </si>
  <si>
    <t xml:space="preserve">A l'att de Mr Irgel                </t>
  </si>
  <si>
    <t xml:space="preserve">Rue de l'Expansion, 39             </t>
  </si>
  <si>
    <t xml:space="preserve">0000,00  000,00  0045  </t>
  </si>
  <si>
    <t xml:space="preserve">SEQUOIA SA             </t>
  </si>
  <si>
    <t xml:space="preserve">BE0451462843        </t>
  </si>
  <si>
    <t xml:space="preserve">A l'att de Mr Boccar               </t>
  </si>
  <si>
    <t xml:space="preserve">Manalhant, 10                      </t>
  </si>
  <si>
    <t xml:space="preserve">dboccar@sequoia-habitat.be              </t>
  </si>
  <si>
    <t xml:space="preserve">MEN AT WORK            </t>
  </si>
  <si>
    <t xml:space="preserve">BE0476647706        </t>
  </si>
  <si>
    <t xml:space="preserve">Rue des Semailles, 20/3            </t>
  </si>
  <si>
    <t xml:space="preserve">factures@menatworksa.be                 </t>
  </si>
  <si>
    <t xml:space="preserve">VCOMPTA                </t>
  </si>
  <si>
    <t xml:space="preserve">BE0807789472        </t>
  </si>
  <si>
    <t xml:space="preserve">RUE D'ARTAGNAN (VIS), 28 Boite 7   </t>
  </si>
  <si>
    <t xml:space="preserve">jessica@vcompta.be                      </t>
  </si>
  <si>
    <t xml:space="preserve">ATELIERS FRANCOIS S.A. </t>
  </si>
  <si>
    <t xml:space="preserve">BE0403953332        </t>
  </si>
  <si>
    <t xml:space="preserve">AF COMPRESSORS                     </t>
  </si>
  <si>
    <t xml:space="preserve">RUE COTE D'OR 274                  </t>
  </si>
  <si>
    <t xml:space="preserve">+32 4 2297010 </t>
  </si>
  <si>
    <t xml:space="preserve">ATGS SC SPRL           </t>
  </si>
  <si>
    <t xml:space="preserve">MONSIEUR FABRICE PERRI             </t>
  </si>
  <si>
    <t xml:space="preserve">VOIE DU TRAM, 4                    </t>
  </si>
  <si>
    <t xml:space="preserve">HEURE-LE-ROMAIN               </t>
  </si>
  <si>
    <t>+32 4 240 4770</t>
  </si>
  <si>
    <t xml:space="preserve">+32 42 574607 </t>
  </si>
  <si>
    <t xml:space="preserve">ADRESSE DE FAC DU   </t>
  </si>
  <si>
    <t xml:space="preserve">ATGS INTERV 284     </t>
  </si>
  <si>
    <t xml:space="preserve">FABRICE.PERRI@ATGS.BE                   </t>
  </si>
  <si>
    <t xml:space="preserve">HLSA SPRL              </t>
  </si>
  <si>
    <t xml:space="preserve">BE0816738614        </t>
  </si>
  <si>
    <t xml:space="preserve">ATTN: MONSIEUR TREMBLEZ            </t>
  </si>
  <si>
    <t xml:space="preserve">RUE DES SEMAILLES 23/2             </t>
  </si>
  <si>
    <t xml:space="preserve">+32 4 2223823 </t>
  </si>
  <si>
    <t xml:space="preserve">INFOLSA.BE          </t>
  </si>
  <si>
    <t xml:space="preserve">ONYXE                  </t>
  </si>
  <si>
    <t xml:space="preserve">BE0438460982        </t>
  </si>
  <si>
    <t xml:space="preserve">info@onyxe.be                           </t>
  </si>
  <si>
    <t xml:space="preserve">BLEGNY ENERGY ASBL     </t>
  </si>
  <si>
    <t xml:space="preserve">BE0425139221        </t>
  </si>
  <si>
    <t xml:space="preserve">A l'att. de Mme Vervier            </t>
  </si>
  <si>
    <t xml:space="preserve">Rue Troisfontaines, 11             </t>
  </si>
  <si>
    <t xml:space="preserve">BLEGNY                        </t>
  </si>
  <si>
    <t xml:space="preserve">+32 43779953  </t>
  </si>
  <si>
    <t xml:space="preserve">ineke.vervier@blegny.be                 </t>
  </si>
  <si>
    <t xml:space="preserve">MAGICIAN'S COMPANY     </t>
  </si>
  <si>
    <t xml:space="preserve">BE0846553147        </t>
  </si>
  <si>
    <t xml:space="preserve">RUE DE L'YSER 81                   </t>
  </si>
  <si>
    <t>+32 474 325169</t>
  </si>
  <si>
    <t xml:space="preserve">C. Kerstenne - P.   </t>
  </si>
  <si>
    <t xml:space="preserve">Bougard             </t>
  </si>
  <si>
    <t>+32 474 791344</t>
  </si>
  <si>
    <t xml:space="preserve">info@in-the-air.be                      </t>
  </si>
  <si>
    <t xml:space="preserve">PASTA DELLA MAMMA      </t>
  </si>
  <si>
    <t xml:space="preserve">BE0420150550        </t>
  </si>
  <si>
    <t xml:space="preserve">Z.I. DES HAUTS-SARTS               </t>
  </si>
  <si>
    <t xml:space="preserve">4eme AVENUE, 35                    </t>
  </si>
  <si>
    <t>+32 4 240 1444</t>
  </si>
  <si>
    <t>+32 4 240 1600</t>
  </si>
  <si>
    <t xml:space="preserve">TECHNO TOOLS           </t>
  </si>
  <si>
    <t xml:space="preserve">BE0423867828        </t>
  </si>
  <si>
    <t xml:space="preserve">A l'att. de Mr Beuken              </t>
  </si>
  <si>
    <t xml:space="preserve">Rue de Hermee, 216                 </t>
  </si>
  <si>
    <t xml:space="preserve">V.BEUKEN@TECHNOTOOLS;BE                 </t>
  </si>
  <si>
    <t xml:space="preserve">EXELIO S.A.            </t>
  </si>
  <si>
    <t xml:space="preserve">BE0886531302        </t>
  </si>
  <si>
    <t xml:space="preserve">RUE DE LA CHINA, 65                </t>
  </si>
  <si>
    <t xml:space="preserve">LOUVEIGNE                     </t>
  </si>
  <si>
    <t>+32 4 27802 28</t>
  </si>
  <si>
    <t>+32 4 369 9072</t>
  </si>
  <si>
    <t xml:space="preserve">EXELIOINFO@EXELIO.BE                    </t>
  </si>
  <si>
    <t xml:space="preserve">MASSON SPRL            </t>
  </si>
  <si>
    <t xml:space="preserve">BE0449618556        </t>
  </si>
  <si>
    <t xml:space="preserve">RUE DES AMERICAINS, 28             </t>
  </si>
  <si>
    <t>+32 4 263 8969</t>
  </si>
  <si>
    <t xml:space="preserve">JACQUES_MASSON@HOTMAIL.COM              </t>
  </si>
  <si>
    <t xml:space="preserve">ARCO VILLA             </t>
  </si>
  <si>
    <t xml:space="preserve">BE0823759335        </t>
  </si>
  <si>
    <t xml:space="preserve">ATTN. MONSIEUR MASSENET            </t>
  </si>
  <si>
    <t xml:space="preserve">RUE DES POSSOUX 23                 </t>
  </si>
  <si>
    <t>+32 4 372 1592</t>
  </si>
  <si>
    <t>+32 4 382 1438</t>
  </si>
  <si>
    <t xml:space="preserve">CEC MANAGEMENT         </t>
  </si>
  <si>
    <t xml:space="preserve">BE0635705336        </t>
  </si>
  <si>
    <t>HENKENS FRERES ADMINIST</t>
  </si>
  <si>
    <t xml:space="preserve">RATION     </t>
  </si>
  <si>
    <t xml:space="preserve">remi.kilesse@henkens-freres.be          </t>
  </si>
  <si>
    <t>HENKENS FRERES CHAUDRON</t>
  </si>
  <si>
    <t xml:space="preserve">ERIE       </t>
  </si>
  <si>
    <t xml:space="preserve">HENKENS FRERES THERMIC </t>
  </si>
  <si>
    <t xml:space="preserve">HENKENS FRERES MENOPRO </t>
  </si>
  <si>
    <t xml:space="preserve">SOLIMAN SPRL           </t>
  </si>
  <si>
    <t xml:space="preserve">BE0647952971        </t>
  </si>
  <si>
    <t xml:space="preserve">ATTN. MONSIER SAIVE                </t>
  </si>
  <si>
    <t xml:space="preserve">AVENUE DU CHATEAU, 7               </t>
  </si>
  <si>
    <t>+32 494 853869</t>
  </si>
  <si>
    <t xml:space="preserve">HB FIDUCIAIRE SPRL     </t>
  </si>
  <si>
    <t xml:space="preserve">BE0843832791        </t>
  </si>
  <si>
    <t xml:space="preserve">BETGNE, 47                         </t>
  </si>
  <si>
    <t xml:space="preserve">DOLEMBREUX                    </t>
  </si>
  <si>
    <t xml:space="preserve">+32 4 3804700 </t>
  </si>
  <si>
    <t xml:space="preserve">+32 4 3800715 </t>
  </si>
  <si>
    <t xml:space="preserve">0000,00  000,00  0066  </t>
  </si>
  <si>
    <t xml:space="preserve">invoice@hbfiduciaire.be                 </t>
  </si>
  <si>
    <t xml:space="preserve">DEGREMONT SA (SUEZ     </t>
  </si>
  <si>
    <t xml:space="preserve">BE0404407846        </t>
  </si>
  <si>
    <t xml:space="preserve">WATER)     </t>
  </si>
  <si>
    <t xml:space="preserve">RUE DE HERMEE, 225                 </t>
  </si>
  <si>
    <t>+32 4 240 5066</t>
  </si>
  <si>
    <t xml:space="preserve">ATTN: MADAME GISELE HOSSAY    </t>
  </si>
  <si>
    <t xml:space="preserve">180KM A/R           </t>
  </si>
  <si>
    <t xml:space="preserve">Gisele.hossay@degremont.com             </t>
  </si>
  <si>
    <t xml:space="preserve">FAB'HYDRO              </t>
  </si>
  <si>
    <t xml:space="preserve">BE0478250877        </t>
  </si>
  <si>
    <t xml:space="preserve">A l'att. de Mr Deleuze             </t>
  </si>
  <si>
    <t>Rue du Bon Espoir,18 Hauts Sarts Z2</t>
  </si>
  <si>
    <t xml:space="preserve">invoice@fabhydro.be                     </t>
  </si>
  <si>
    <t xml:space="preserve">LA MAISON DU FREIN     </t>
  </si>
  <si>
    <t xml:space="preserve">BE0828170855        </t>
  </si>
  <si>
    <t xml:space="preserve">BOULEVARD DE FROIDMONT, 32         </t>
  </si>
  <si>
    <t>+32 4 341 2729</t>
  </si>
  <si>
    <t>+32 4 341 0967</t>
  </si>
  <si>
    <t>WWW.MAISONDUFREIN.BE</t>
  </si>
  <si>
    <t xml:space="preserve">compta@maisondufrein.be                 </t>
  </si>
  <si>
    <t xml:space="preserve">A L'EST D'EDEN         </t>
  </si>
  <si>
    <t xml:space="preserve">BE0437384975        </t>
  </si>
  <si>
    <t xml:space="preserve">QUAI DES ARDENNES, 69              </t>
  </si>
  <si>
    <t>+32 4 344 1910</t>
  </si>
  <si>
    <t>+32 4 343 8052</t>
  </si>
  <si>
    <t xml:space="preserve">MEUBLES             </t>
  </si>
  <si>
    <t xml:space="preserve">WWW.ESTEDEN.BE      </t>
  </si>
  <si>
    <t xml:space="preserve">info@esteden.be                         </t>
  </si>
  <si>
    <t xml:space="preserve">DELTA DECO             </t>
  </si>
  <si>
    <t xml:space="preserve">BE0873307232        </t>
  </si>
  <si>
    <t xml:space="preserve">ATTN: MME RUCQUOY DOMINIQUE        </t>
  </si>
  <si>
    <t xml:space="preserve">SOCIETe EPOUX 266   </t>
  </si>
  <si>
    <t xml:space="preserve">TONNELERIE OMEGA    </t>
  </si>
  <si>
    <t>+32 474 447120</t>
  </si>
  <si>
    <t xml:space="preserve">d.rucquoy@skynet.be                     </t>
  </si>
  <si>
    <t xml:space="preserve">B GLOBAL MANAGEMENT    </t>
  </si>
  <si>
    <t xml:space="preserve">BE0552883667        </t>
  </si>
  <si>
    <t xml:space="preserve">ATTN: STEPHANE BURTON              </t>
  </si>
  <si>
    <t xml:space="preserve">AVENUE ORBAN, 138                  </t>
  </si>
  <si>
    <t xml:space="preserve">km A/R 198          </t>
  </si>
  <si>
    <t>+32 495 281284</t>
  </si>
  <si>
    <t xml:space="preserve">STEPHANE.BURTON@INSEAD.EDU              </t>
  </si>
  <si>
    <t xml:space="preserve">DANNEMARK SA           </t>
  </si>
  <si>
    <t xml:space="preserve">BE0415837614        </t>
  </si>
  <si>
    <t xml:space="preserve">ATTN: WALTER DANNEMARK             </t>
  </si>
  <si>
    <t xml:space="preserve">RUE DE HOTTLEUX, 27                </t>
  </si>
  <si>
    <t xml:space="preserve">+32 80 670400 </t>
  </si>
  <si>
    <t xml:space="preserve">+32 80 670409 </t>
  </si>
  <si>
    <t xml:space="preserve">km A/r 120          </t>
  </si>
  <si>
    <t xml:space="preserve">DANNEMARK LG SA        </t>
  </si>
  <si>
    <t xml:space="preserve">BE0445375401        </t>
  </si>
  <si>
    <t xml:space="preserve">ATTN: XAVIER DANNEMARK             </t>
  </si>
  <si>
    <t xml:space="preserve">Z.I. LES CAHOTTES                  </t>
  </si>
  <si>
    <t xml:space="preserve">+32 4 2509100 </t>
  </si>
  <si>
    <t xml:space="preserve">+32 4 2509109 </t>
  </si>
  <si>
    <t xml:space="preserve">SMI AG                 </t>
  </si>
  <si>
    <t xml:space="preserve">BE0432408182        </t>
  </si>
  <si>
    <t xml:space="preserve">STEINERBERG, 8                     </t>
  </si>
  <si>
    <t xml:space="preserve">SAINT-VITH                    </t>
  </si>
  <si>
    <t>+32 80 2272 92</t>
  </si>
  <si>
    <t>+32 477 567881</t>
  </si>
  <si>
    <t xml:space="preserve">150kM a/r           </t>
  </si>
  <si>
    <t xml:space="preserve">INFO@SUTURES.BE                         </t>
  </si>
  <si>
    <t xml:space="preserve">MAISON PRAILLET S.A.   </t>
  </si>
  <si>
    <t xml:space="preserve">BE0403913641        </t>
  </si>
  <si>
    <t xml:space="preserve">ALLEE VERTE, 2                     </t>
  </si>
  <si>
    <t xml:space="preserve">+32 4 3792073 </t>
  </si>
  <si>
    <t xml:space="preserve">+32 4 3748002 </t>
  </si>
  <si>
    <t xml:space="preserve">MAISONPRAILLET@SWING.BE                 </t>
  </si>
  <si>
    <t xml:space="preserve">PARTNERS PME           </t>
  </si>
  <si>
    <t xml:space="preserve">BE0470776632        </t>
  </si>
  <si>
    <t xml:space="preserve">ATTN: MONSIEUR JOOSTEN             </t>
  </si>
  <si>
    <t xml:space="preserve">ROUTE DE PHILIPPEVILLE, 89         </t>
  </si>
  <si>
    <t xml:space="preserve">NALINNES                      </t>
  </si>
  <si>
    <t xml:space="preserve">+32 71 221020 </t>
  </si>
  <si>
    <t>+32 71 22 9146</t>
  </si>
  <si>
    <t xml:space="preserve">220 KM a/r          </t>
  </si>
  <si>
    <t xml:space="preserve">INFO@PARTNERSPME.COM                    </t>
  </si>
  <si>
    <t xml:space="preserve">MENUISERIE SCHWANEN ET </t>
  </si>
  <si>
    <t xml:space="preserve">BE0421117481        </t>
  </si>
  <si>
    <t xml:space="preserve">FILS SA    </t>
  </si>
  <si>
    <t xml:space="preserve">LES PLENESSES, 44                  </t>
  </si>
  <si>
    <t xml:space="preserve">THMISTER-CLERMONT             </t>
  </si>
  <si>
    <t>+32 87 44 6088</t>
  </si>
  <si>
    <t>+32 87 44 6632</t>
  </si>
  <si>
    <t xml:space="preserve">INFO@SCHWANEN.BE                        </t>
  </si>
  <si>
    <t xml:space="preserve">COFISCOS SPRL          </t>
  </si>
  <si>
    <t xml:space="preserve">BE0886173786        </t>
  </si>
  <si>
    <t xml:space="preserve">A l'att. de Mr Come                </t>
  </si>
  <si>
    <t xml:space="preserve">Chemin du Chivrou, 8               </t>
  </si>
  <si>
    <t xml:space="preserve">COFISCOS               </t>
  </si>
  <si>
    <t xml:space="preserve">didier.come@acofiscos.com               </t>
  </si>
  <si>
    <t xml:space="preserve">MASSAUT SYLVIE         </t>
  </si>
  <si>
    <t xml:space="preserve">BE0690375031        </t>
  </si>
  <si>
    <t xml:space="preserve">Le Pays de Liege, 33               </t>
  </si>
  <si>
    <t xml:space="preserve">MALONNE                       </t>
  </si>
  <si>
    <t xml:space="preserve">0000,00  000,00  0154  </t>
  </si>
  <si>
    <t xml:space="preserve">sylvie.massaut@skynet.be                </t>
  </si>
  <si>
    <t xml:space="preserve">GLIK SNC               </t>
  </si>
  <si>
    <t xml:space="preserve">BE0846191574        </t>
  </si>
  <si>
    <t xml:space="preserve">ATTN: GLEB RYIJKO                  </t>
  </si>
  <si>
    <t xml:space="preserve">BOULEVARD FRERE-ORBAN 44 BOITE 31  </t>
  </si>
  <si>
    <t>+32 491 613969</t>
  </si>
  <si>
    <t xml:space="preserve">COGESSOC SPRL          </t>
  </si>
  <si>
    <t xml:space="preserve">BE0471419703        </t>
  </si>
  <si>
    <t xml:space="preserve">RUE DE L'YSER 3/1                  </t>
  </si>
  <si>
    <t xml:space="preserve">SENEFFE                       </t>
  </si>
  <si>
    <t xml:space="preserve">+32 64 555002 </t>
  </si>
  <si>
    <t xml:space="preserve">+32 64 284940 </t>
  </si>
  <si>
    <t xml:space="preserve">INFO@COGESSOC.BE                        </t>
  </si>
  <si>
    <t xml:space="preserve">BAONVILLE SPRL         </t>
  </si>
  <si>
    <t xml:space="preserve">BE0455625529        </t>
  </si>
  <si>
    <t xml:space="preserve">Rue Branche Planchard, 83          </t>
  </si>
  <si>
    <t xml:space="preserve">MONTEGNEE                     </t>
  </si>
  <si>
    <t xml:space="preserve">nathalie.baonville@hotmail.com          </t>
  </si>
  <si>
    <t xml:space="preserve">PHH M&amp;S Sprl           </t>
  </si>
  <si>
    <t xml:space="preserve">BE0656867469        </t>
  </si>
  <si>
    <t xml:space="preserve">ATTN: PHILIPPE HENKENS             </t>
  </si>
  <si>
    <t xml:space="preserve">RUE DE VERVIERS, 26                </t>
  </si>
  <si>
    <t xml:space="preserve">+32 87 880761 </t>
  </si>
  <si>
    <t xml:space="preserve">phh.mssprl@gmail.com                    </t>
  </si>
  <si>
    <t xml:space="preserve">COLORIS FLEURS         </t>
  </si>
  <si>
    <t xml:space="preserve">BE0753343471        </t>
  </si>
  <si>
    <t xml:space="preserve">ATTN: MONSIEUR MATHOT              </t>
  </si>
  <si>
    <t xml:space="preserve">AVENUE BATTA 8B                    </t>
  </si>
  <si>
    <t>+32 85 71 1331</t>
  </si>
  <si>
    <t xml:space="preserve">COLORIS.FLEURS@GMAIL.COM                </t>
  </si>
  <si>
    <t xml:space="preserve">BARBERI ELENA, MME     </t>
  </si>
  <si>
    <t xml:space="preserve">RUE H. SCHALTIN, 2/2               </t>
  </si>
  <si>
    <t>EMPLOYEE DE bUANDERI</t>
  </si>
  <si>
    <t>DU PAYS DE FRANCHIMO</t>
  </si>
  <si>
    <t xml:space="preserve">LENOIR LOIC, MR        </t>
  </si>
  <si>
    <t xml:space="preserve">RUE REYNIER, 42                    </t>
  </si>
  <si>
    <t>+32 473 886968</t>
  </si>
  <si>
    <t xml:space="preserve">BE0461478686        </t>
  </si>
  <si>
    <t xml:space="preserve">ATTN: MR DOMINICO SBRAZATO         </t>
  </si>
  <si>
    <t xml:space="preserve">RUE DU CLERC, 5                    </t>
  </si>
  <si>
    <t xml:space="preserve">+32 71 352434 </t>
  </si>
  <si>
    <t xml:space="preserve">l- 200KM            </t>
  </si>
  <si>
    <t>idem Legrand&amp;partner</t>
  </si>
  <si>
    <t xml:space="preserve">DOMINOCA.SBRAZATO@SKYNET.BE             </t>
  </si>
  <si>
    <t xml:space="preserve">MAGASIN BEL ISA        </t>
  </si>
  <si>
    <t xml:space="preserve">BE0474161536        </t>
  </si>
  <si>
    <t xml:space="preserve">SA DOURET                          </t>
  </si>
  <si>
    <t xml:space="preserve">Grand Place,26                     </t>
  </si>
  <si>
    <t xml:space="preserve">PALISEUL                      </t>
  </si>
  <si>
    <t xml:space="preserve">0000,00  000,00  0266  </t>
  </si>
  <si>
    <t xml:space="preserve">douret.ph@skynet.be                     </t>
  </si>
  <si>
    <t xml:space="preserve">SYNERSIS SPRL          </t>
  </si>
  <si>
    <t xml:space="preserve">BE0607889991        </t>
  </si>
  <si>
    <t xml:space="preserve">A l'att. de Mr Huppertz            </t>
  </si>
  <si>
    <t xml:space="preserve">Sur les Pres, 17                   </t>
  </si>
  <si>
    <t xml:space="preserve">ETIENNE BONNE FORTUNE  </t>
  </si>
  <si>
    <t xml:space="preserve">BE0412129838        </t>
  </si>
  <si>
    <t xml:space="preserve">ATTN: PASCAL PELZER                </t>
  </si>
  <si>
    <t xml:space="preserve">EN HAUTE MAREXHE, 176              </t>
  </si>
  <si>
    <t>+32 4 26 33428</t>
  </si>
  <si>
    <t>+32 4 26 35033</t>
  </si>
  <si>
    <t xml:space="preserve">invoice@ebf-meca.be                     </t>
  </si>
  <si>
    <t xml:space="preserve">LOGOTYPE SA            </t>
  </si>
  <si>
    <t xml:space="preserve">BE0454957912        </t>
  </si>
  <si>
    <t xml:space="preserve">A l'att. de Mr Beckers             </t>
  </si>
  <si>
    <t xml:space="preserve">Rue de la Legende, 16B             </t>
  </si>
  <si>
    <t xml:space="preserve">+32 43 600054 </t>
  </si>
  <si>
    <t xml:space="preserve">+32 43 600063 </t>
  </si>
  <si>
    <t xml:space="preserve">info@logotype.be                        </t>
  </si>
  <si>
    <t>DARIMONT PARC ET JARDIN</t>
  </si>
  <si>
    <t xml:space="preserve">BE0713383431        </t>
  </si>
  <si>
    <t xml:space="preserve">A l'att. de Mr Darimont            </t>
  </si>
  <si>
    <t xml:space="preserve">Fawetay, 50                        </t>
  </si>
  <si>
    <t xml:space="preserve">JALHAY                        </t>
  </si>
  <si>
    <t xml:space="preserve">contact@michaeldarimont.be              </t>
  </si>
  <si>
    <t xml:space="preserve">123 CREA SPRL          </t>
  </si>
  <si>
    <t xml:space="preserve">BE0655921918        </t>
  </si>
  <si>
    <t xml:space="preserve">A l'att. de Mr Demare              </t>
  </si>
  <si>
    <t xml:space="preserve">Rue de la Chapelle, 6              </t>
  </si>
  <si>
    <t>JOAILLERIE DETRO-MARLIE</t>
  </si>
  <si>
    <t xml:space="preserve">BE0403879591        </t>
  </si>
  <si>
    <t xml:space="preserve">R          </t>
  </si>
  <si>
    <t xml:space="preserve">ATTN: MONSIEUR LEVEUGLE            </t>
  </si>
  <si>
    <t xml:space="preserve">RUE VINÂVE D'ILE, 4                </t>
  </si>
  <si>
    <t>+32 4 223 0325</t>
  </si>
  <si>
    <t>+32 4 223 3434</t>
  </si>
  <si>
    <t xml:space="preserve">CDL SPRL               </t>
  </si>
  <si>
    <t xml:space="preserve">BE0864606233        </t>
  </si>
  <si>
    <t xml:space="preserve">ATTN MADAME DELPORTE               </t>
  </si>
  <si>
    <t xml:space="preserve">RUE DES BATISSEURS 2/003           </t>
  </si>
  <si>
    <t xml:space="preserve">LOUVAIN-LA-NEUVE              </t>
  </si>
  <si>
    <t>+3210 84 66 86</t>
  </si>
  <si>
    <t xml:space="preserve">NE PAS FACTURER INTER CLOUD   </t>
  </si>
  <si>
    <t xml:space="preserve">DE MAJ                        </t>
  </si>
  <si>
    <t xml:space="preserve">INTER CLOUD DE MAJ  </t>
  </si>
  <si>
    <t>+32 475 582359</t>
  </si>
  <si>
    <t xml:space="preserve">Compta@cdlsprl.be                       </t>
  </si>
  <si>
    <t xml:space="preserve">ECOPLASTER SPRL        </t>
  </si>
  <si>
    <t xml:space="preserve">BE0866253055        </t>
  </si>
  <si>
    <t xml:space="preserve">A l'att. de Mr Sallaoui            </t>
  </si>
  <si>
    <t xml:space="preserve">info@ecoplaster.be                      </t>
  </si>
  <si>
    <t xml:space="preserve">MINGUET &amp; LEJEUNE SA   </t>
  </si>
  <si>
    <t xml:space="preserve">BE0865493881        </t>
  </si>
  <si>
    <t xml:space="preserve">ATTN: MONSIEUR HOUGARDY            </t>
  </si>
  <si>
    <t xml:space="preserve">RUE NATALIS, 2                     </t>
  </si>
  <si>
    <t>+32 4 223 3735</t>
  </si>
  <si>
    <t xml:space="preserve">LUCIE@MINGUET.BE                        </t>
  </si>
  <si>
    <t xml:space="preserve">INITIO BELGIUM SA      </t>
  </si>
  <si>
    <t xml:space="preserve">BE0884621093        </t>
  </si>
  <si>
    <t xml:space="preserve">ATTN: MADAME ALINGABO TAKIZABA     </t>
  </si>
  <si>
    <t xml:space="preserve">Boulevard Brand Whitlock, 60       </t>
  </si>
  <si>
    <t xml:space="preserve">SINT-LAMBRECHTS-WOLUWE        </t>
  </si>
  <si>
    <t xml:space="preserve">+32 69 97744  </t>
  </si>
  <si>
    <t xml:space="preserve">HERSTAL 197 KM      </t>
  </si>
  <si>
    <t>+32 499 920149</t>
  </si>
  <si>
    <t xml:space="preserve">0000,00  000,00  0049  </t>
  </si>
  <si>
    <t xml:space="preserve">jao@initio.eu                           </t>
  </si>
  <si>
    <t xml:space="preserve">PIC.K-LAB              </t>
  </si>
  <si>
    <t xml:space="preserve">BE0443564865        </t>
  </si>
  <si>
    <t xml:space="preserve">ATTN: Mr. Pierre-Yves BECKERS      </t>
  </si>
  <si>
    <t xml:space="preserve">RUE SOUS LES VAUX, 54              </t>
  </si>
  <si>
    <t xml:space="preserve">NOVILLE-SUR-MEHAIGNE          </t>
  </si>
  <si>
    <t xml:space="preserve">N    </t>
  </si>
  <si>
    <t xml:space="preserve">tml.capstyle@gmail.com                  </t>
  </si>
  <si>
    <t xml:space="preserve">LANDENNE DELPHINE      </t>
  </si>
  <si>
    <t xml:space="preserve">BE0553545742        </t>
  </si>
  <si>
    <t xml:space="preserve">RUE DE CAMPINE, 4                  </t>
  </si>
  <si>
    <t xml:space="preserve">ATELIERS DE CONSTRUCT. </t>
  </si>
  <si>
    <t xml:space="preserve">BE0404419130        </t>
  </si>
  <si>
    <t xml:space="preserve">DE HERSTAL </t>
  </si>
  <si>
    <t xml:space="preserve">RUE HAYENEUX, 148                  </t>
  </si>
  <si>
    <t>+32 4 264 0840</t>
  </si>
  <si>
    <t>+32 4 264 0848</t>
  </si>
  <si>
    <t xml:space="preserve">info@ac-herstal.com                     </t>
  </si>
  <si>
    <t xml:space="preserve">HMC BELGIUM SPRL       </t>
  </si>
  <si>
    <t xml:space="preserve">BE0651873454        </t>
  </si>
  <si>
    <t xml:space="preserve">QUENTIN PEETERS                    </t>
  </si>
  <si>
    <t xml:space="preserve">RUE DE GAILLARMONT, 95             </t>
  </si>
  <si>
    <t>+32 4 84921185</t>
  </si>
  <si>
    <t xml:space="preserve">HOME MADE CROQUETTES          </t>
  </si>
  <si>
    <t>+32 499 489618</t>
  </si>
  <si>
    <t xml:space="preserve">direction@hmcbelgium.com                </t>
  </si>
  <si>
    <t xml:space="preserve">CENTRE CULT DE SERAING </t>
  </si>
  <si>
    <t xml:space="preserve">BE0413893654        </t>
  </si>
  <si>
    <t xml:space="preserve">ATTN: MARIE LIBON                  </t>
  </si>
  <si>
    <t xml:space="preserve">RUE RENAUD STRIVAY, 44             </t>
  </si>
  <si>
    <t xml:space="preserve">+32 4 3375454 </t>
  </si>
  <si>
    <t xml:space="preserve">+32 4 3371194 </t>
  </si>
  <si>
    <t xml:space="preserve">N </t>
  </si>
  <si>
    <t xml:space="preserve">marie.libon@centrecultureldeseraing.be  </t>
  </si>
  <si>
    <t xml:space="preserve">MAISON DE URBANISME    </t>
  </si>
  <si>
    <t xml:space="preserve">BE0860602806        </t>
  </si>
  <si>
    <t xml:space="preserve">FAMENNE-ARDENNE - MUFA             </t>
  </si>
  <si>
    <t xml:space="preserve">tante de JMO        </t>
  </si>
  <si>
    <t xml:space="preserve">info@mufa.be                            </t>
  </si>
  <si>
    <t xml:space="preserve">ALPI SPORT SA          </t>
  </si>
  <si>
    <t xml:space="preserve">BE0480089028        </t>
  </si>
  <si>
    <t xml:space="preserve">ATTN: M. JULIEN LOYEN              </t>
  </si>
  <si>
    <t xml:space="preserve">RUE DE FRAGNEE, 170                </t>
  </si>
  <si>
    <t>+32 4 252 0555</t>
  </si>
  <si>
    <t>+32 4 254 0533</t>
  </si>
  <si>
    <t xml:space="preserve">alpisport@skynet.be                     </t>
  </si>
  <si>
    <t xml:space="preserve">SCO CONSTRUCT          </t>
  </si>
  <si>
    <t xml:space="preserve">BE0665774742        </t>
  </si>
  <si>
    <t xml:space="preserve">RUE LAMBERT DEWONCK, 234           </t>
  </si>
  <si>
    <t xml:space="preserve">+32 4 3550015 </t>
  </si>
  <si>
    <t xml:space="preserve">JSM SPRL               </t>
  </si>
  <si>
    <t xml:space="preserve">BE0874307124        </t>
  </si>
  <si>
    <t xml:space="preserve">A L'ATTN DE M. JOEL SCHAIR         </t>
  </si>
  <si>
    <t xml:space="preserve">AVENUE DES ALLIES 98B              </t>
  </si>
  <si>
    <t xml:space="preserve">+32 80 448274 </t>
  </si>
  <si>
    <t xml:space="preserve">0000,00  000,00  0106  </t>
  </si>
  <si>
    <t xml:space="preserve">info@literieconfortmalmedy.be           </t>
  </si>
  <si>
    <t xml:space="preserve">ENTRE CHIENS ET CHATS  </t>
  </si>
  <si>
    <t xml:space="preserve">BE0668891610        </t>
  </si>
  <si>
    <t xml:space="preserve">A L'ATTENTION DE M. JENNEQUIN      </t>
  </si>
  <si>
    <t xml:space="preserve">AVENUE DES ALLIES, 28              </t>
  </si>
  <si>
    <t xml:space="preserve">entrechienschats@gmail.com              </t>
  </si>
  <si>
    <t xml:space="preserve">LVM MANAGEMENT         </t>
  </si>
  <si>
    <t xml:space="preserve">BE0728908478        </t>
  </si>
  <si>
    <t xml:space="preserve">A L'ATTENTION DE MME EMPRUNT       </t>
  </si>
  <si>
    <t xml:space="preserve">CHAUSSEE DE PHILIPPEVILLE 132      </t>
  </si>
  <si>
    <t xml:space="preserve">LOVERVAL                      </t>
  </si>
  <si>
    <t>ANCIEN BUREAU CO AND</t>
  </si>
  <si>
    <t xml:space="preserve">CO                  </t>
  </si>
  <si>
    <t xml:space="preserve">valerie.emprunt@bureaucoandco.be        </t>
  </si>
  <si>
    <t xml:space="preserve">INTERMARCHE JURBISE SA </t>
  </si>
  <si>
    <t xml:space="preserve">BE0663948073        </t>
  </si>
  <si>
    <t xml:space="preserve">A L'ATTN DE M. BENOIT ALLIAUME     </t>
  </si>
  <si>
    <t xml:space="preserve">ROUTE D'ATH, 177                   </t>
  </si>
  <si>
    <t xml:space="preserve">JURBISE                       </t>
  </si>
  <si>
    <t xml:space="preserve">0000,00  000,00  0276  </t>
  </si>
  <si>
    <t xml:space="preserve">benoit.alliaume@hotmail.com             </t>
  </si>
  <si>
    <t xml:space="preserve">MAT PARTNERS SPRL      </t>
  </si>
  <si>
    <t xml:space="preserve">BE0477841992        </t>
  </si>
  <si>
    <t xml:space="preserve">ATTN: SIMON CAUSSIN                </t>
  </si>
  <si>
    <t xml:space="preserve">PLACE VERTE, 22                    </t>
  </si>
  <si>
    <t xml:space="preserve">mis en Y pr eviter  </t>
  </si>
  <si>
    <t>ticket car Mat+ pre-</t>
  </si>
  <si>
    <t xml:space="preserve">vaut                </t>
  </si>
  <si>
    <t xml:space="preserve">KPMG FIDU SERVICE SA   </t>
  </si>
  <si>
    <t xml:space="preserve">BE0406993588        </t>
  </si>
  <si>
    <t xml:space="preserve">A L'ATTN DE M. HUSQUINET           </t>
  </si>
  <si>
    <t xml:space="preserve">CLOS CHANMURLY, 13                 </t>
  </si>
  <si>
    <t xml:space="preserve">+32 42255333  </t>
  </si>
  <si>
    <t xml:space="preserve">+32 478950326 </t>
  </si>
  <si>
    <t xml:space="preserve">dhusquinet@kpmg.com                     </t>
  </si>
  <si>
    <t xml:space="preserve">BUREAU HUBERT SPRL     </t>
  </si>
  <si>
    <t xml:space="preserve">BE0429065840        </t>
  </si>
  <si>
    <t xml:space="preserve">A L'ATTN DE M. GUY HUBERT          </t>
  </si>
  <si>
    <t xml:space="preserve">LARGE VOIE 111                     </t>
  </si>
  <si>
    <t xml:space="preserve">guy@bureauhubert@be                     </t>
  </si>
  <si>
    <t xml:space="preserve">OPTICIEN KRYS          </t>
  </si>
  <si>
    <t xml:space="preserve">BE0440908451        </t>
  </si>
  <si>
    <t xml:space="preserve">SPRL HOEDT-BOURGEOIS               </t>
  </si>
  <si>
    <t xml:space="preserve">RUE ZENOBE GRAMME, 14              </t>
  </si>
  <si>
    <t xml:space="preserve">geraldine.hoedt@krys-group.com          </t>
  </si>
  <si>
    <t xml:space="preserve">KOZIEL SPRL            </t>
  </si>
  <si>
    <t xml:space="preserve">BE0471674772        </t>
  </si>
  <si>
    <t xml:space="preserve">A L'ATTN DE M. STEVE CLOTUCHE      </t>
  </si>
  <si>
    <t xml:space="preserve">RUE DE JUPILLE, 47                 </t>
  </si>
  <si>
    <t xml:space="preserve">comptabilite@koziel.be                  </t>
  </si>
  <si>
    <t xml:space="preserve">AMCS SPRL              </t>
  </si>
  <si>
    <t xml:space="preserve">BE0477095488        </t>
  </si>
  <si>
    <t xml:space="preserve">RUE DE LA GLACERIE, 115            </t>
  </si>
  <si>
    <t xml:space="preserve">MOUSTIER-SUR-SAMBRE           </t>
  </si>
  <si>
    <t>+32 71 78 1051</t>
  </si>
  <si>
    <t xml:space="preserve">+32 71 781807 </t>
  </si>
  <si>
    <t xml:space="preserve">160KM a/r           </t>
  </si>
  <si>
    <t xml:space="preserve">COMMISSION CABLAGE  </t>
  </si>
  <si>
    <t xml:space="preserve">PN GROUP               </t>
  </si>
  <si>
    <t xml:space="preserve">BE0455345318        </t>
  </si>
  <si>
    <t xml:space="preserve">A L'ATTN DE M. PATRICK NEUVILLE    </t>
  </si>
  <si>
    <t xml:space="preserve">RUE DES IXELLOIS, 3                </t>
  </si>
  <si>
    <t xml:space="preserve">zineb@pno2.be                           </t>
  </si>
  <si>
    <t xml:space="preserve">WUIDAR SPRL            </t>
  </si>
  <si>
    <t xml:space="preserve">BE0417650821        </t>
  </si>
  <si>
    <t xml:space="preserve">ATTN: M. CEDRIC UDOWCZYK           </t>
  </si>
  <si>
    <t xml:space="preserve">RUE PRE WIGY 2                     </t>
  </si>
  <si>
    <t xml:space="preserve">+32 42223423  </t>
  </si>
  <si>
    <t>+32 496 709030</t>
  </si>
  <si>
    <t xml:space="preserve">compta@wuidar.com                       </t>
  </si>
  <si>
    <t xml:space="preserve">DOHOGNE SYSTEM SA      </t>
  </si>
  <si>
    <t xml:space="preserve">BE0457931654        </t>
  </si>
  <si>
    <t xml:space="preserve">ATTN : M. MICHOEL                  </t>
  </si>
  <si>
    <t xml:space="preserve">CHAUSSEE DE VERVIERS 13            </t>
  </si>
  <si>
    <t xml:space="preserve">+32 87 541700 </t>
  </si>
  <si>
    <t xml:space="preserve">+32 87 542894 </t>
  </si>
  <si>
    <t xml:space="preserve">info@dohogne.com                        </t>
  </si>
  <si>
    <t xml:space="preserve">GROUPE SI-HBEL SA      </t>
  </si>
  <si>
    <t xml:space="preserve">BE0817945075        </t>
  </si>
  <si>
    <t xml:space="preserve">ATTN: M. DAVID LOIX                </t>
  </si>
  <si>
    <t xml:space="preserve">AVENUE DU PARC INDUSTRIEL, 11      </t>
  </si>
  <si>
    <t xml:space="preserve">+32 4 2869190 </t>
  </si>
  <si>
    <t xml:space="preserve">+32 4 2869199 </t>
  </si>
  <si>
    <t>+32 495 880551</t>
  </si>
  <si>
    <t xml:space="preserve">0000,00  000,00  0004  </t>
  </si>
  <si>
    <t xml:space="preserve">david.loix@sace.be                      </t>
  </si>
  <si>
    <t xml:space="preserve">KAYAK LES REMOUS SPRL  </t>
  </si>
  <si>
    <t xml:space="preserve">BE0834112797        </t>
  </si>
  <si>
    <t xml:space="preserve">ATTN : M. JONATHAN FLASSCHOEN      </t>
  </si>
  <si>
    <t xml:space="preserve">ROUTE DE XHIGNESSE, 35             </t>
  </si>
  <si>
    <t xml:space="preserve">HAMOIR                        </t>
  </si>
  <si>
    <t>+32 8638 87 65</t>
  </si>
  <si>
    <t>+32 498 404168</t>
  </si>
  <si>
    <t xml:space="preserve">0000,00  000,00  0094  </t>
  </si>
  <si>
    <t xml:space="preserve">info@kayakremous.com                    </t>
  </si>
  <si>
    <t xml:space="preserve">ARICKX C. SPRL         </t>
  </si>
  <si>
    <t xml:space="preserve">BE0508868532        </t>
  </si>
  <si>
    <t xml:space="preserve">ATTN : CHRISTIAN ARICKX            </t>
  </si>
  <si>
    <t xml:space="preserve">RUE BERKENDAEL, 99-BTE 14          </t>
  </si>
  <si>
    <t>+32 2 34508 45</t>
  </si>
  <si>
    <t>+32 2345 18 56</t>
  </si>
  <si>
    <t>+32 475 671179</t>
  </si>
  <si>
    <t xml:space="preserve">0000,00  000,00  0212  </t>
  </si>
  <si>
    <t xml:space="preserve">Christian.Arickx@Arickx.be              </t>
  </si>
  <si>
    <t xml:space="preserve">81B BAT sprl           </t>
  </si>
  <si>
    <t xml:space="preserve">BE0667584583        </t>
  </si>
  <si>
    <t xml:space="preserve">facture@81bbat.com                      </t>
  </si>
  <si>
    <t xml:space="preserve">CABINET EXPERTISE CECC </t>
  </si>
  <si>
    <t xml:space="preserve">BE0810180424        </t>
  </si>
  <si>
    <t xml:space="preserve">ACOFI                              </t>
  </si>
  <si>
    <t xml:space="preserve">RUE DE HERVE, 54 BOITE 3           </t>
  </si>
  <si>
    <t>+32 87 6747 95</t>
  </si>
  <si>
    <t>+32 87 6600 46</t>
  </si>
  <si>
    <t xml:space="preserve">Mr. BERTRAND                  </t>
  </si>
  <si>
    <t xml:space="preserve">o.tournemenne@acofi.be                  </t>
  </si>
  <si>
    <t xml:space="preserve">VILLE DE WAVRE         </t>
  </si>
  <si>
    <t xml:space="preserve">BE0207316021        </t>
  </si>
  <si>
    <t xml:space="preserve">ATTN: M. STEPHANE HUGUIER          </t>
  </si>
  <si>
    <t xml:space="preserve">PLACE DE L'HOTEL DE VILLE 3        </t>
  </si>
  <si>
    <t>+32 1023 04 11</t>
  </si>
  <si>
    <t>+32 1023 04 21</t>
  </si>
  <si>
    <t>+32 476 347128</t>
  </si>
  <si>
    <t xml:space="preserve">0000,00  000,00  0184  </t>
  </si>
  <si>
    <t xml:space="preserve">stephane.huguier@wavre.be               </t>
  </si>
  <si>
    <t xml:space="preserve">SC QUALIAS OPTIQUE     </t>
  </si>
  <si>
    <t xml:space="preserve">BE0836378540        </t>
  </si>
  <si>
    <t xml:space="preserve">ATTN: Mme Mireille Remacle         </t>
  </si>
  <si>
    <t xml:space="preserve">Route du Condroz 475               </t>
  </si>
  <si>
    <t>+3285 84 29 16</t>
  </si>
  <si>
    <t>+3285 84 35 05</t>
  </si>
  <si>
    <t xml:space="preserve">CLAIRE CHEVALIER              </t>
  </si>
  <si>
    <t xml:space="preserve">CWA05/2017: forfait </t>
  </si>
  <si>
    <t>ident pr ts les site</t>
  </si>
  <si>
    <t>+32477 96 8064</t>
  </si>
  <si>
    <t xml:space="preserve">0070,00  000,00  0000  </t>
  </si>
  <si>
    <t xml:space="preserve">administration@qualias-lgve.be          </t>
  </si>
  <si>
    <t xml:space="preserve">JDM SERVICES           </t>
  </si>
  <si>
    <t xml:space="preserve">BE0468769821        </t>
  </si>
  <si>
    <t xml:space="preserve">RUE HAUTMONT 13                    </t>
  </si>
  <si>
    <t xml:space="preserve">ROCHEFORT                     </t>
  </si>
  <si>
    <t xml:space="preserve">210 km a/r          </t>
  </si>
  <si>
    <t>ReCUP Dechets electr</t>
  </si>
  <si>
    <t xml:space="preserve">jdm@jdm-services.be                     </t>
  </si>
  <si>
    <t xml:space="preserve">E-COFISC SPRL          </t>
  </si>
  <si>
    <t xml:space="preserve">BE0819197464        </t>
  </si>
  <si>
    <t xml:space="preserve">ATTN: MONSIEUR CHRISTOPHE SCHYNS   </t>
  </si>
  <si>
    <t xml:space="preserve">RUE DE STINVAL 53                  </t>
  </si>
  <si>
    <t xml:space="preserve">LOUVEIGNE-SPRIMONT            </t>
  </si>
  <si>
    <t xml:space="preserve">0000,00  000,00  0058  </t>
  </si>
  <si>
    <t xml:space="preserve">christophe.schyns@e-cofisc.be           </t>
  </si>
  <si>
    <t xml:space="preserve">SEVERINE SA            </t>
  </si>
  <si>
    <t xml:space="preserve">BE0419894291        </t>
  </si>
  <si>
    <t xml:space="preserve">ATTN: M. ROGER DAVISTER            </t>
  </si>
  <si>
    <t xml:space="preserve">2, RUE DE LA NATURE                </t>
  </si>
  <si>
    <t>rdavister@paris8.com</t>
  </si>
  <si>
    <t xml:space="preserve">fcarpiaux@gmail.com                     </t>
  </si>
  <si>
    <t xml:space="preserve">OPTIQUE PIRLET (KRYS)  </t>
  </si>
  <si>
    <t xml:space="preserve">BE0646753042        </t>
  </si>
  <si>
    <t xml:space="preserve">A L'ATTN DE MME ODETTE PIRLET      </t>
  </si>
  <si>
    <t xml:space="preserve">AVENUE DE LA RESISTANCE, 303       </t>
  </si>
  <si>
    <t xml:space="preserve">optique.pirlet.soumagne@hotmail.com     </t>
  </si>
  <si>
    <t xml:space="preserve">A.B. DIFFUSION SPRL    </t>
  </si>
  <si>
    <t xml:space="preserve">BE0432853392        </t>
  </si>
  <si>
    <t xml:space="preserve">RUE DE LA VESDRE, 47               </t>
  </si>
  <si>
    <t xml:space="preserve">+32 87662636  </t>
  </si>
  <si>
    <t xml:space="preserve">andrebinet@skynet.be                    </t>
  </si>
  <si>
    <t xml:space="preserve">BCHDM SPRL             </t>
  </si>
  <si>
    <t xml:space="preserve">BE0472384951        </t>
  </si>
  <si>
    <t xml:space="preserve">RUE DE LOMBARDIE, 21               </t>
  </si>
  <si>
    <t xml:space="preserve">SAINT-GILLES                  </t>
  </si>
  <si>
    <t xml:space="preserve">+322538 37 02 </t>
  </si>
  <si>
    <t xml:space="preserve">A/R 210 KM          </t>
  </si>
  <si>
    <t xml:space="preserve"> fa374557@skynet.be                     </t>
  </si>
  <si>
    <t xml:space="preserve">CENTRE BRUXELLOIS      </t>
  </si>
  <si>
    <t xml:space="preserve">BE0419301702        </t>
  </si>
  <si>
    <t xml:space="preserve">AUDIOVISUEL SPRL                   </t>
  </si>
  <si>
    <t xml:space="preserve">AVNUE DES ARTS 19F                 </t>
  </si>
  <si>
    <t>+32 2 227 2230</t>
  </si>
  <si>
    <t>forfait meme si 106k</t>
  </si>
  <si>
    <t xml:space="preserve">PRODUCTION PRINTING    </t>
  </si>
  <si>
    <t xml:space="preserve">BE0462298634        </t>
  </si>
  <si>
    <t xml:space="preserve">PARTNERS                           </t>
  </si>
  <si>
    <t xml:space="preserve">+32 4 3877757 </t>
  </si>
  <si>
    <t xml:space="preserve">sandro@ppp-sprl.com                     </t>
  </si>
  <si>
    <t xml:space="preserve">HD CONSULTING SPRL     </t>
  </si>
  <si>
    <t xml:space="preserve">BE0848891738        </t>
  </si>
  <si>
    <t xml:space="preserve">AVENUE DU LEVANT 36                </t>
  </si>
  <si>
    <t xml:space="preserve">denis.higny@hdconsulting.eu             </t>
  </si>
  <si>
    <t xml:space="preserve">ETCM SPRL              </t>
  </si>
  <si>
    <t xml:space="preserve">BE0461683574        </t>
  </si>
  <si>
    <t xml:space="preserve">RUE MACKAU 18                      </t>
  </si>
  <si>
    <t xml:space="preserve">CLERMONT-THIMISTER            </t>
  </si>
  <si>
    <t xml:space="preserve">+32 87 462788 </t>
  </si>
  <si>
    <t xml:space="preserve">+32 87 462977 </t>
  </si>
  <si>
    <t xml:space="preserve">info@etcm.be                            </t>
  </si>
  <si>
    <t xml:space="preserve">FIDUCIAIRE DU LAC      </t>
  </si>
  <si>
    <t xml:space="preserve">BE0714849913        </t>
  </si>
  <si>
    <t xml:space="preserve">RUE DU VIEUX MARCHE 6C             </t>
  </si>
  <si>
    <t xml:space="preserve">+32 80 215157 </t>
  </si>
  <si>
    <t xml:space="preserve">150km a/r           </t>
  </si>
  <si>
    <t>+32 478 726830</t>
  </si>
  <si>
    <t xml:space="preserve">lejoly.dorothee@fiduciairedulac.be      </t>
  </si>
  <si>
    <t xml:space="preserve">REMY INTERNATIONAL SA  </t>
  </si>
  <si>
    <t xml:space="preserve">BE0455355909        </t>
  </si>
  <si>
    <t xml:space="preserve">RUE DES MARLAIRES 40               </t>
  </si>
  <si>
    <t xml:space="preserve">GOSSELIES                     </t>
  </si>
  <si>
    <t xml:space="preserve">luc.matthews@remy-intl.com              </t>
  </si>
  <si>
    <t xml:space="preserve">CBC BANQUE SA          </t>
  </si>
  <si>
    <t xml:space="preserve">BE0403211380        </t>
  </si>
  <si>
    <t>LAV - SERVICE CENTER LEASE, PROF. R</t>
  </si>
  <si>
    <t xml:space="preserve">VAN OVERSTRAETENPLEIN, 2-5         </t>
  </si>
  <si>
    <t xml:space="preserve">LEUVEN                        </t>
  </si>
  <si>
    <t xml:space="preserve">+32 16 431408 </t>
  </si>
  <si>
    <t xml:space="preserve">BANQUE PR LEASING   </t>
  </si>
  <si>
    <t xml:space="preserve">ORDERLEASING@CBC.BE                     </t>
  </si>
  <si>
    <t xml:space="preserve">NELSON BISSOT          </t>
  </si>
  <si>
    <t xml:space="preserve">BE0819064931        </t>
  </si>
  <si>
    <t xml:space="preserve">IMMOBILIER                         </t>
  </si>
  <si>
    <t xml:space="preserve">RUE DES BOUVREUILS 39              </t>
  </si>
  <si>
    <t xml:space="preserve">+32 4 3434600 </t>
  </si>
  <si>
    <t>+32 476 284000</t>
  </si>
  <si>
    <t xml:space="preserve">lucie@nelsonbissot.be                   </t>
  </si>
  <si>
    <t xml:space="preserve">HAUREGARD SABINE       </t>
  </si>
  <si>
    <t xml:space="preserve">BE0518877843        </t>
  </si>
  <si>
    <t xml:space="preserve">ALLEE DES CERISIERS 3              </t>
  </si>
  <si>
    <t xml:space="preserve">ARGENTEAU                     </t>
  </si>
  <si>
    <t xml:space="preserve">+32 478752884 </t>
  </si>
  <si>
    <t xml:space="preserve">+32 478852884 </t>
  </si>
  <si>
    <t xml:space="preserve">s.hauregard@fiducir.be                  </t>
  </si>
  <si>
    <t xml:space="preserve">GESCKA SC SPRL         </t>
  </si>
  <si>
    <t xml:space="preserve">BE0839357430        </t>
  </si>
  <si>
    <t xml:space="preserve">ESPACE DU LAVOIR CARBONISAGE, 2    </t>
  </si>
  <si>
    <t>+32 474 664363</t>
  </si>
  <si>
    <t xml:space="preserve">cathy.klein@gescka.be                   </t>
  </si>
  <si>
    <t xml:space="preserve">ARTAU ARCHITECTURES    </t>
  </si>
  <si>
    <t xml:space="preserve">BE0435594633        </t>
  </si>
  <si>
    <t xml:space="preserve">A L'ATTENTION DE M. ROBINSON       </t>
  </si>
  <si>
    <t xml:space="preserve">RUE LA VAULX, 19                   </t>
  </si>
  <si>
    <t>+32 80 337 894</t>
  </si>
  <si>
    <t>+32 80 339 830</t>
  </si>
  <si>
    <t xml:space="preserve">106km a/r           </t>
  </si>
  <si>
    <t>+32 472 673316</t>
  </si>
  <si>
    <t xml:space="preserve">O-DONTO Sc Sprl        </t>
  </si>
  <si>
    <t xml:space="preserve">BE0887860992        </t>
  </si>
  <si>
    <t xml:space="preserve">ATTN: MME FRANCOISE GUILLICK       </t>
  </si>
  <si>
    <t xml:space="preserve">RUE DES ECOMINES, 43               </t>
  </si>
  <si>
    <t>+32 87 772 931</t>
  </si>
  <si>
    <t>secretariat@o-donto.</t>
  </si>
  <si>
    <t xml:space="preserve">0080,00  000,00  0080  </t>
  </si>
  <si>
    <t xml:space="preserve">roger.czerniak@o-donto.be               </t>
  </si>
  <si>
    <t xml:space="preserve">MARKSPORTS ARENA       </t>
  </si>
  <si>
    <t xml:space="preserve">BE0456605526        </t>
  </si>
  <si>
    <t xml:space="preserve">RUE CHAUSSEE 90                    </t>
  </si>
  <si>
    <t xml:space="preserve">+32 4 2634944 </t>
  </si>
  <si>
    <t xml:space="preserve">MARC LERUTH                   </t>
  </si>
  <si>
    <t xml:space="preserve">stephanie@mksweb.be </t>
  </si>
  <si>
    <t xml:space="preserve">stephanie@mksweb.be                     </t>
  </si>
  <si>
    <t xml:space="preserve">SOLUTIONS MOBILES SPRL </t>
  </si>
  <si>
    <t xml:space="preserve">BE0456400341        </t>
  </si>
  <si>
    <t xml:space="preserve">RUE RICHARD HEINTZ 1               </t>
  </si>
  <si>
    <t xml:space="preserve">+32 4 3441919 </t>
  </si>
  <si>
    <t xml:space="preserve">+32 4 3441516 </t>
  </si>
  <si>
    <t xml:space="preserve">julian lacroix                </t>
  </si>
  <si>
    <t>+32 495 102825</t>
  </si>
  <si>
    <t xml:space="preserve">j.lacroix@solutions-mobiles.be          </t>
  </si>
  <si>
    <t xml:space="preserve">AUBE CONSULTANCE SC    </t>
  </si>
  <si>
    <t xml:space="preserve">BE0561807073        </t>
  </si>
  <si>
    <t xml:space="preserve">RUE DE SAINT REMY, 31              </t>
  </si>
  <si>
    <t>+32 4 86360385</t>
  </si>
  <si>
    <t xml:space="preserve">MONSIEUR GOFFIN               </t>
  </si>
  <si>
    <t xml:space="preserve">bgoffin@fidu3000.be                     </t>
  </si>
  <si>
    <t xml:space="preserve">GRAWEZ EXPERTS         </t>
  </si>
  <si>
    <t xml:space="preserve">BE0472175808        </t>
  </si>
  <si>
    <t xml:space="preserve">COMPTABLES CERTIFIES SRL           </t>
  </si>
  <si>
    <t xml:space="preserve">RUE D'ENHAIVE 69 - BOITE 108       </t>
  </si>
  <si>
    <t xml:space="preserve">+32 81 322229 </t>
  </si>
  <si>
    <t xml:space="preserve">STEPHANIE PIERRE              </t>
  </si>
  <si>
    <t xml:space="preserve">NICOLAS CLERISSE              </t>
  </si>
  <si>
    <t xml:space="preserve">130KM A/R           </t>
  </si>
  <si>
    <t>ANC. EMMANUEL GRAWEZ</t>
  </si>
  <si>
    <t>REVISEUR D'ENTREPRIS</t>
  </si>
  <si>
    <t xml:space="preserve">stephanie@grawez.be                     </t>
  </si>
  <si>
    <t xml:space="preserve">BUREAU COMPTABLE &amp;     </t>
  </si>
  <si>
    <t xml:space="preserve">BE0477272464        </t>
  </si>
  <si>
    <t>FISCAL JONCKERS FIDUCIAIREGREZIENNE</t>
  </si>
  <si>
    <t xml:space="preserve">RUE DU STAMPIA 86                  </t>
  </si>
  <si>
    <t xml:space="preserve">GREZ-DOICEAU                  </t>
  </si>
  <si>
    <t xml:space="preserve">+32 10 840725 </t>
  </si>
  <si>
    <t xml:space="preserve">150KM A/R           </t>
  </si>
  <si>
    <t xml:space="preserve">olivier@bcjonckers.be                   </t>
  </si>
  <si>
    <t xml:space="preserve">CHOCOLATERIE           </t>
  </si>
  <si>
    <t xml:space="preserve">BE0897166064        </t>
  </si>
  <si>
    <t xml:space="preserve">SCHONMACKER                        </t>
  </si>
  <si>
    <t xml:space="preserve">RUE L JUNGLING 29                  </t>
  </si>
  <si>
    <t xml:space="preserve">+32 4 3877243 </t>
  </si>
  <si>
    <t xml:space="preserve">chocolaterie.schonmacker@hotmail.com    </t>
  </si>
  <si>
    <t xml:space="preserve">FIDUCIAIRE HUPPERETZ &amp; </t>
  </si>
  <si>
    <t xml:space="preserve">RUE DES ANCIENNES GRANGES 1        </t>
  </si>
  <si>
    <t xml:space="preserve">A/R:106KM           </t>
  </si>
  <si>
    <t xml:space="preserve">ann.mertens@fiduciairehupperetz.be      </t>
  </si>
  <si>
    <t xml:space="preserve">FGR COMPTABILITE       </t>
  </si>
  <si>
    <t xml:space="preserve">FISCALITE                          </t>
  </si>
  <si>
    <t xml:space="preserve">RUE ROBERT KRIEPS, 24              </t>
  </si>
  <si>
    <t xml:space="preserve">PETANGE                       </t>
  </si>
  <si>
    <t xml:space="preserve">12km A/R            </t>
  </si>
  <si>
    <t xml:space="preserve">+32 498822268 </t>
  </si>
  <si>
    <t xml:space="preserve">fabricegraillet@gmail.com               </t>
  </si>
  <si>
    <t xml:space="preserve">BE0881228370        </t>
  </si>
  <si>
    <t xml:space="preserve">8 RUE PETOUMONT                    </t>
  </si>
  <si>
    <t xml:space="preserve">CHERATTE                      </t>
  </si>
  <si>
    <t xml:space="preserve">+32 42 644563 </t>
  </si>
  <si>
    <t xml:space="preserve">+32 495200215 </t>
  </si>
  <si>
    <t xml:space="preserve">0000,00  000,00  0010  </t>
  </si>
  <si>
    <t xml:space="preserve">POLYMAR SPRL           </t>
  </si>
  <si>
    <t xml:space="preserve">BE0423276326        </t>
  </si>
  <si>
    <t xml:space="preserve">3 RUE DE L'INDUSTRIE               </t>
  </si>
  <si>
    <t xml:space="preserve">NIVELLES                      </t>
  </si>
  <si>
    <t xml:space="preserve">accounts@polymar.be                     </t>
  </si>
  <si>
    <t xml:space="preserve">BELETTE LIEGEOISE      </t>
  </si>
  <si>
    <t xml:space="preserve">BE0677566081        </t>
  </si>
  <si>
    <t xml:space="preserve">ATTN: MME MILA LANEAU              </t>
  </si>
  <si>
    <t xml:space="preserve">RUE DU SNAPEUX 177                 </t>
  </si>
  <si>
    <t xml:space="preserve">ALLER-RETOUR: 28KM  </t>
  </si>
  <si>
    <t xml:space="preserve">mila@beletteliegeoise.be                </t>
  </si>
  <si>
    <t xml:space="preserve">1 RUE DE L'ENVIRONNEMENT           </t>
  </si>
  <si>
    <t xml:space="preserve">30KM A/R            </t>
  </si>
  <si>
    <t xml:space="preserve">info@bernardcontainers.be               </t>
  </si>
  <si>
    <t xml:space="preserve">CORDERIE DOR BELGIQUE  </t>
  </si>
  <si>
    <t xml:space="preserve">BE0500504558        </t>
  </si>
  <si>
    <t xml:space="preserve">M. RAPHAEL HAINAUT                 </t>
  </si>
  <si>
    <t xml:space="preserve">RUE DE L'ABBAYE 4                  </t>
  </si>
  <si>
    <t xml:space="preserve">RH@corderiedor.be   </t>
  </si>
  <si>
    <t xml:space="preserve">CORDERIE DOR           </t>
  </si>
  <si>
    <t xml:space="preserve">info@corderiedor.be                     </t>
  </si>
  <si>
    <t xml:space="preserve">ECO PBC SPRL           </t>
  </si>
  <si>
    <t xml:space="preserve">BE0817311310        </t>
  </si>
  <si>
    <t xml:space="preserve">56 RUE DE LA LIBERATION            </t>
  </si>
  <si>
    <t xml:space="preserve">A/R :140KM          </t>
  </si>
  <si>
    <t xml:space="preserve">info@eco-pbc.be                         </t>
  </si>
  <si>
    <t xml:space="preserve">CFGG - COMPTABILITE    </t>
  </si>
  <si>
    <t xml:space="preserve">BE0555983016        </t>
  </si>
  <si>
    <t xml:space="preserve">FISCALITE GESTION GELIS SC SPRL    </t>
  </si>
  <si>
    <t xml:space="preserve">RUE DU BARON D'OBIN 59             </t>
  </si>
  <si>
    <t xml:space="preserve">WASSEIGES                     </t>
  </si>
  <si>
    <t xml:space="preserve">A/R : 105KM         </t>
  </si>
  <si>
    <t xml:space="preserve">gaelle.gelis@live.be                    </t>
  </si>
  <si>
    <t xml:space="preserve">EQUITY SRL C/O SHIFFT. </t>
  </si>
  <si>
    <t xml:space="preserve">BE0832453802        </t>
  </si>
  <si>
    <t xml:space="preserve">SPACE                              </t>
  </si>
  <si>
    <t xml:space="preserve">SQU. DES CONDUITES D'EAU, 1 BAT. K </t>
  </si>
  <si>
    <t xml:space="preserve">+32 4 2247868 </t>
  </si>
  <si>
    <t xml:space="preserve">+32 4 2247869 </t>
  </si>
  <si>
    <t xml:space="preserve">gbr@equity.be                           </t>
  </si>
  <si>
    <t xml:space="preserve">DOCTEUR COSTA          </t>
  </si>
  <si>
    <t xml:space="preserve">BE0505965064        </t>
  </si>
  <si>
    <t xml:space="preserve">86 RUE SOUS LES ROCHES             </t>
  </si>
  <si>
    <t xml:space="preserve">peu 3@hotmail.com                       </t>
  </si>
  <si>
    <t xml:space="preserve">EMBOURG SERVICES       </t>
  </si>
  <si>
    <t xml:space="preserve">BE0431165493        </t>
  </si>
  <si>
    <t xml:space="preserve">DIFFUSION SCRL                     </t>
  </si>
  <si>
    <t xml:space="preserve">101 VOIE DE L'ARDENNE              </t>
  </si>
  <si>
    <t xml:space="preserve">MARIANNE LEYON                </t>
  </si>
  <si>
    <t xml:space="preserve">NACEBEL 45901                 </t>
  </si>
  <si>
    <t xml:space="preserve">esdscrl@skynet.be                       </t>
  </si>
  <si>
    <t xml:space="preserve">LENNERTZ ACCOUNTING SC </t>
  </si>
  <si>
    <t xml:space="preserve">BE0459005582        </t>
  </si>
  <si>
    <t xml:space="preserve">ATTN: MONSIEUR LENNERTZ            </t>
  </si>
  <si>
    <t xml:space="preserve">RUE DE L'EGLISE, 12-14             </t>
  </si>
  <si>
    <t xml:space="preserve">info@lennertzaccounting.be              </t>
  </si>
  <si>
    <t xml:space="preserve">FIN2DRIVE FINANCE      </t>
  </si>
  <si>
    <t xml:space="preserve">SERVICES SPRL                      </t>
  </si>
  <si>
    <t xml:space="preserve">ALLE DE LA RECHERCHE 65            </t>
  </si>
  <si>
    <t xml:space="preserve">ANDERLECHT                    </t>
  </si>
  <si>
    <t xml:space="preserve">BUREAU FGE SNC         </t>
  </si>
  <si>
    <t xml:space="preserve">BE0821729362        </t>
  </si>
  <si>
    <t xml:space="preserve">SAUHEID BUSINESS CENTER            </t>
  </si>
  <si>
    <t xml:space="preserve">9 RUE JOBA                         </t>
  </si>
  <si>
    <t xml:space="preserve">info@bureaufge.eu                       </t>
  </si>
  <si>
    <t xml:space="preserve">WIAME NET SPRL         </t>
  </si>
  <si>
    <t xml:space="preserve">BE0479444175        </t>
  </si>
  <si>
    <t xml:space="preserve">32 RUE DU ZAEMONT                  </t>
  </si>
  <si>
    <t xml:space="preserve">info@wiamenet.be                        </t>
  </si>
  <si>
    <t xml:space="preserve">S'HEEREN FREDERIC SPRL </t>
  </si>
  <si>
    <t xml:space="preserve">BE0875914552        </t>
  </si>
  <si>
    <t xml:space="preserve">140 RUE DE NAMUR                   </t>
  </si>
  <si>
    <t xml:space="preserve">0000,00  000,00  0098  </t>
  </si>
  <si>
    <t xml:space="preserve">invoice@transports-sheeren.eu           </t>
  </si>
  <si>
    <t xml:space="preserve">FIMAT &amp; CI SPRL        </t>
  </si>
  <si>
    <t xml:space="preserve">BE0474361573        </t>
  </si>
  <si>
    <t xml:space="preserve">93/1 RUE BAUDOIN 1ER               </t>
  </si>
  <si>
    <t xml:space="preserve">fimat.infos@gmail.com                   </t>
  </si>
  <si>
    <t xml:space="preserve">WALWOOD SPRL           </t>
  </si>
  <si>
    <t xml:space="preserve">BE0670858928        </t>
  </si>
  <si>
    <t xml:space="preserve">72 RUE DE LA MOTTE                 </t>
  </si>
  <si>
    <t xml:space="preserve">info@walwood.be                         </t>
  </si>
  <si>
    <t xml:space="preserve">COMPTAPLAN SCRL        </t>
  </si>
  <si>
    <t xml:space="preserve">BE0460365463        </t>
  </si>
  <si>
    <t xml:space="preserve">4 AVENUE DE LA FONTAINE            </t>
  </si>
  <si>
    <t xml:space="preserve">b.degueldre@comptaplan.be               </t>
  </si>
  <si>
    <t xml:space="preserve">ACP RESIDENCE LE VERT  </t>
  </si>
  <si>
    <t xml:space="preserve">BE0850963281        </t>
  </si>
  <si>
    <t xml:space="preserve">GALANT OUTONSS                     </t>
  </si>
  <si>
    <t xml:space="preserve">24/40 CHAUSSEE DE CHARLEROI        </t>
  </si>
  <si>
    <t xml:space="preserve">rwpvgg@gmail.com                        </t>
  </si>
  <si>
    <t xml:space="preserve">BODARWE SA             </t>
  </si>
  <si>
    <t xml:space="preserve">BE0428086239        </t>
  </si>
  <si>
    <t xml:space="preserve">16 ROUTE DE LUXEMBOURG             </t>
  </si>
  <si>
    <t xml:space="preserve">MADAME NATHALIE PARMENTIER    </t>
  </si>
  <si>
    <t xml:space="preserve">Nathalie.Parmantier@bodarwe.com         </t>
  </si>
  <si>
    <t xml:space="preserve">FRANCAR SPRL           </t>
  </si>
  <si>
    <t xml:space="preserve">BE0446689651        </t>
  </si>
  <si>
    <t xml:space="preserve">RUE CAYAUDERIE 12                  </t>
  </si>
  <si>
    <t xml:space="preserve">Madame Carmen Nitelet         </t>
  </si>
  <si>
    <t xml:space="preserve">nitelet.carmen@gmail.com                </t>
  </si>
  <si>
    <t xml:space="preserve">RCARRE BELGIQUE STOCK  </t>
  </si>
  <si>
    <t xml:space="preserve">BE0563404209        </t>
  </si>
  <si>
    <t xml:space="preserve">27 RUE D'ABHOOZ                    </t>
  </si>
  <si>
    <t xml:space="preserve">FIDU3000 SPRL          </t>
  </si>
  <si>
    <t xml:space="preserve">BE0899712612        </t>
  </si>
  <si>
    <t xml:space="preserve">RUE HAUTE MAREXHE 114 R2           </t>
  </si>
  <si>
    <t xml:space="preserve">IRENO SPRL             </t>
  </si>
  <si>
    <t xml:space="preserve">BE0806190259        </t>
  </si>
  <si>
    <t xml:space="preserve">RUE SAINT-LAURENT 19               </t>
  </si>
  <si>
    <t xml:space="preserve">compta@ireno.be                         </t>
  </si>
  <si>
    <t xml:space="preserve">FIDUCIAIRE BEUKEN SPRL </t>
  </si>
  <si>
    <t xml:space="preserve">BE0433020074        </t>
  </si>
  <si>
    <t xml:space="preserve">ELSEROUX 35                        </t>
  </si>
  <si>
    <t xml:space="preserve">MONSIEUR VERSCHUREN           </t>
  </si>
  <si>
    <t xml:space="preserve">av@beuken.be                            </t>
  </si>
  <si>
    <t xml:space="preserve">IBHIVE SRL             </t>
  </si>
  <si>
    <t xml:space="preserve">BE0436115958        </t>
  </si>
  <si>
    <t xml:space="preserve">ZONING DES HAUTS-SARTS             </t>
  </si>
  <si>
    <t xml:space="preserve">RUE D'ABHOOZ, 27                   </t>
  </si>
  <si>
    <t xml:space="preserve">CD CONSULTING SRL      </t>
  </si>
  <si>
    <t xml:space="preserve">BE0879778122        </t>
  </si>
  <si>
    <t xml:space="preserve">M. CHRISTOPHE DUMONT               </t>
  </si>
  <si>
    <t xml:space="preserve">RUE HAUT VINAVE 18A                </t>
  </si>
  <si>
    <t xml:space="preserve">REMICOURT                     </t>
  </si>
  <si>
    <t xml:space="preserve">58KM A/R            </t>
  </si>
  <si>
    <t xml:space="preserve">CD CONSULTING SPRL     </t>
  </si>
  <si>
    <t xml:space="preserve">christophe.dumont@cdconsulting.be       </t>
  </si>
  <si>
    <t xml:space="preserve">JOSY NYSSEN ASSURANCES </t>
  </si>
  <si>
    <t xml:space="preserve">BE0433941376        </t>
  </si>
  <si>
    <t xml:space="preserve">SARL                               </t>
  </si>
  <si>
    <t xml:space="preserve">43 RUE DE VERVIERS                 </t>
  </si>
  <si>
    <t xml:space="preserve">MARIO ANTONACCHIO      </t>
  </si>
  <si>
    <t xml:space="preserve">BE0604957524        </t>
  </si>
  <si>
    <t xml:space="preserve">145 RUE MASUY                      </t>
  </si>
  <si>
    <t xml:space="preserve">antonacchiochauffage@gmail.com          </t>
  </si>
  <si>
    <t xml:space="preserve">DCODE CONSULT          </t>
  </si>
  <si>
    <t xml:space="preserve">BE0691684630        </t>
  </si>
  <si>
    <t xml:space="preserve">RUE THIER DU RY, 5                 </t>
  </si>
  <si>
    <t xml:space="preserve">info@dcode-consult.be                   </t>
  </si>
  <si>
    <t xml:space="preserve">JADIN CATHERINE ETUDE  </t>
  </si>
  <si>
    <t xml:space="preserve">BE0675899760        </t>
  </si>
  <si>
    <t xml:space="preserve">NOTAIRE                            </t>
  </si>
  <si>
    <t xml:space="preserve">RUE ERNEST SOLVAY, 29/A            </t>
  </si>
  <si>
    <t xml:space="preserve">+32 4 2232650 </t>
  </si>
  <si>
    <t xml:space="preserve">+32 4 2201779 </t>
  </si>
  <si>
    <t xml:space="preserve">lionel.dubuisson@belnot.be              </t>
  </si>
  <si>
    <t xml:space="preserve">ECOPLASTER GROUP SPRL  </t>
  </si>
  <si>
    <t xml:space="preserve">BE0687769491        </t>
  </si>
  <si>
    <t xml:space="preserve">ATTN: MR SALLAOUI                  </t>
  </si>
  <si>
    <t xml:space="preserve">RUE RAYMOND GEENEN, 84             </t>
  </si>
  <si>
    <t>+32 4 266 3615</t>
  </si>
  <si>
    <t>+32 4 266 3781</t>
  </si>
  <si>
    <t xml:space="preserve">compta@ecoplastergroup.be               </t>
  </si>
  <si>
    <t xml:space="preserve">B-FISC SPRL            </t>
  </si>
  <si>
    <t xml:space="preserve">BE0831217744        </t>
  </si>
  <si>
    <t xml:space="preserve">BOUTEILLE 63                       </t>
  </si>
  <si>
    <t xml:space="preserve">MONSIEUR BRICE RYCERSKI       </t>
  </si>
  <si>
    <t xml:space="preserve">brice@b-fisc.com                        </t>
  </si>
  <si>
    <t xml:space="preserve">BELSIM ENGINEERING SA  </t>
  </si>
  <si>
    <t xml:space="preserve">BE0675742481        </t>
  </si>
  <si>
    <t xml:space="preserve">12, AVENUE DU HAMOIR               </t>
  </si>
  <si>
    <t xml:space="preserve">UCCLE                         </t>
  </si>
  <si>
    <t xml:space="preserve">P.Leurquin@evadix.be                    </t>
  </si>
  <si>
    <t xml:space="preserve">PATHON SPRL            </t>
  </si>
  <si>
    <t xml:space="preserve">BE0686782665        </t>
  </si>
  <si>
    <t xml:space="preserve">5 ROUTE D'AYWAILLE                 </t>
  </si>
  <si>
    <t xml:space="preserve">WERBOMONT                     </t>
  </si>
  <si>
    <t xml:space="preserve">MONSIEUR PAUL THONON          </t>
  </si>
  <si>
    <t xml:space="preserve">anne@pathon.be                          </t>
  </si>
  <si>
    <t xml:space="preserve">THG BRUXELLES SA       </t>
  </si>
  <si>
    <t xml:space="preserve">BE0415371717        </t>
  </si>
  <si>
    <t xml:space="preserve">CHAUSSEE DE LOUVAIN 431G           </t>
  </si>
  <si>
    <t xml:space="preserve">ggondry@thg.be                          </t>
  </si>
  <si>
    <t xml:space="preserve">MAXIMUM SA             </t>
  </si>
  <si>
    <t xml:space="preserve">BE0450463347        </t>
  </si>
  <si>
    <t xml:space="preserve">28 RUE DE HUY                      </t>
  </si>
  <si>
    <t xml:space="preserve">KLAS SA                </t>
  </si>
  <si>
    <t xml:space="preserve">BE0442935652        </t>
  </si>
  <si>
    <t xml:space="preserve">A L'ATTENTION DE M. ROBERT ASSAF   </t>
  </si>
  <si>
    <t xml:space="preserve">AVENUE ALBERT 1ER 132              </t>
  </si>
  <si>
    <t>RCARRE BELGIQUE INTERNE</t>
  </si>
  <si>
    <t xml:space="preserve">RUE D'ABHOOZ                       </t>
  </si>
  <si>
    <t xml:space="preserve">C DU BELGE             </t>
  </si>
  <si>
    <t xml:space="preserve">BE0506912397        </t>
  </si>
  <si>
    <t xml:space="preserve">RUE DE LA REVISION, 105            </t>
  </si>
  <si>
    <t xml:space="preserve">CHENEE                        </t>
  </si>
  <si>
    <t xml:space="preserve">Phillippe Goffaert            </t>
  </si>
  <si>
    <t xml:space="preserve">+32 479615911 </t>
  </si>
  <si>
    <t xml:space="preserve">cdubelge@hotmail.com                    </t>
  </si>
  <si>
    <t xml:space="preserve">FINES HERBES SPRL      </t>
  </si>
  <si>
    <t xml:space="preserve">BE0675946676        </t>
  </si>
  <si>
    <t xml:space="preserve">PUITS RONVAL 3                     </t>
  </si>
  <si>
    <t xml:space="preserve">SOIRON                        </t>
  </si>
  <si>
    <t xml:space="preserve">FIDUCIAIRE AMELIE      </t>
  </si>
  <si>
    <t xml:space="preserve">BE0809997807        </t>
  </si>
  <si>
    <t xml:space="preserve">CORNIL SPRL                        </t>
  </si>
  <si>
    <t xml:space="preserve">RUE JEAN VOLDERS 218               </t>
  </si>
  <si>
    <t xml:space="preserve">FIDUCIAIRE LAGNEAUX    </t>
  </si>
  <si>
    <t xml:space="preserve">BE0441339013        </t>
  </si>
  <si>
    <t xml:space="preserve">SPRL                               </t>
  </si>
  <si>
    <t xml:space="preserve">RUE LEOPOLD II, 1                  </t>
  </si>
  <si>
    <t xml:space="preserve">FRASNES-LEZ-GOSSELIES         </t>
  </si>
  <si>
    <t xml:space="preserve">compta@fiduciaire-lagneaux.be           </t>
  </si>
  <si>
    <t xml:space="preserve">GARAGE PEUGEOT SCHYNS  </t>
  </si>
  <si>
    <t xml:space="preserve">BE0422526654        </t>
  </si>
  <si>
    <t xml:space="preserve">RUE DE LIMBOURG, 217               </t>
  </si>
  <si>
    <t xml:space="preserve">087 34 06 01  </t>
  </si>
  <si>
    <t xml:space="preserve">087 34 06 05  </t>
  </si>
  <si>
    <t xml:space="preserve">RENKIN CECILE          </t>
  </si>
  <si>
    <t xml:space="preserve">BE0440832732        </t>
  </si>
  <si>
    <t>209 AVENUE DE L'OBSERVATOIRE Bte 13</t>
  </si>
  <si>
    <t xml:space="preserve">crenkin@compaqnet.be                    </t>
  </si>
  <si>
    <t xml:space="preserve">ABC EUROPE SA          </t>
  </si>
  <si>
    <t xml:space="preserve">BE0436500592        </t>
  </si>
  <si>
    <t xml:space="preserve">RUE GUILLAUME STOCQ, 42            </t>
  </si>
  <si>
    <t xml:space="preserve">GENERAL CONSTRUCTION   </t>
  </si>
  <si>
    <t xml:space="preserve">BE0425548797        </t>
  </si>
  <si>
    <t xml:space="preserve">LIEGE SA   </t>
  </si>
  <si>
    <t xml:space="preserve">LIEGE SA                           </t>
  </si>
  <si>
    <t xml:space="preserve">RUE DE LA STATION, 44              </t>
  </si>
  <si>
    <t xml:space="preserve">ALPEM TS ASBL          </t>
  </si>
  <si>
    <t xml:space="preserve">M. PIERRE LELARGE                  </t>
  </si>
  <si>
    <t xml:space="preserve">QUAI DE LA BATTE, 25               </t>
  </si>
  <si>
    <t xml:space="preserve">471 400805    </t>
  </si>
  <si>
    <t xml:space="preserve">info@alpem-ts.be                        </t>
  </si>
  <si>
    <t xml:space="preserve">SIEGE EXPLOITATION                 </t>
  </si>
  <si>
    <t xml:space="preserve">RUE DE L'EXPANSION, 5              </t>
  </si>
  <si>
    <t xml:space="preserve">+32 42399710  </t>
  </si>
  <si>
    <t xml:space="preserve">frederic.lecoq@belsim.com               </t>
  </si>
  <si>
    <t xml:space="preserve">DIGITAL LIFE           </t>
  </si>
  <si>
    <t xml:space="preserve">BE0695859786        </t>
  </si>
  <si>
    <t xml:space="preserve">M. BRUNO ROLOUX                    </t>
  </si>
  <si>
    <t xml:space="preserve">AVENUE PASTEUR, 6 - BAT H          </t>
  </si>
  <si>
    <t xml:space="preserve">compta@digital-life.be                  </t>
  </si>
  <si>
    <t xml:space="preserve">BESTYLE SPRL           </t>
  </si>
  <si>
    <t xml:space="preserve">BE0660741927        </t>
  </si>
  <si>
    <t xml:space="preserve">CHAUSSEE DE BRUXELLES 165          </t>
  </si>
  <si>
    <t xml:space="preserve">emanuel.rodriguez@tacosystems.com       </t>
  </si>
  <si>
    <t xml:space="preserve">JARDINS D'ARTHEY       </t>
  </si>
  <si>
    <t xml:space="preserve">RUE D'ARTHEY 1                     </t>
  </si>
  <si>
    <t xml:space="preserve">RHISNES                       </t>
  </si>
  <si>
    <t xml:space="preserve">ARNOULD M.             </t>
  </si>
  <si>
    <t xml:space="preserve">RUE OP DE DRIES, 40                </t>
  </si>
  <si>
    <t xml:space="preserve">RIEMST                        </t>
  </si>
  <si>
    <t xml:space="preserve">frederic.arnould@   </t>
  </si>
  <si>
    <t xml:space="preserve">hotmail.fr          </t>
  </si>
  <si>
    <t xml:space="preserve">498 52 58 67  </t>
  </si>
  <si>
    <t xml:space="preserve">ESIA SA                </t>
  </si>
  <si>
    <t xml:space="preserve">BE0833865745        </t>
  </si>
  <si>
    <t xml:space="preserve">RUE DE BEAUFAYS 64B                </t>
  </si>
  <si>
    <t>+324 287 75 80</t>
  </si>
  <si>
    <t xml:space="preserve">n.wynants@esia-sa.com                   </t>
  </si>
  <si>
    <t xml:space="preserve">CUISINES CONSTANT S.A. </t>
  </si>
  <si>
    <t xml:space="preserve">BE0432380666        </t>
  </si>
  <si>
    <t xml:space="preserve">RUE DE LA CLEF 20-22               </t>
  </si>
  <si>
    <t xml:space="preserve">SOUMAGNES                     </t>
  </si>
  <si>
    <t xml:space="preserve">silva@cuisine-constant.be               </t>
  </si>
  <si>
    <t xml:space="preserve">GARAGE COUNOTTE SA     </t>
  </si>
  <si>
    <t xml:space="preserve">BE0437128718        </t>
  </si>
  <si>
    <t xml:space="preserve">PREVOCHAMPS 26B                    </t>
  </si>
  <si>
    <t xml:space="preserve">PEPINSTER                     </t>
  </si>
  <si>
    <t xml:space="preserve">087 46 04 28  </t>
  </si>
  <si>
    <t xml:space="preserve">0000,00  000,00  0057  </t>
  </si>
  <si>
    <t xml:space="preserve">GEOPLAN SPRL           </t>
  </si>
  <si>
    <t xml:space="preserve">BE0874880414        </t>
  </si>
  <si>
    <t xml:space="preserve">2 CHEMIN DU MASY                   </t>
  </si>
  <si>
    <t xml:space="preserve">CORROY-LE-GRAND               </t>
  </si>
  <si>
    <t xml:space="preserve">geoplan@voo.be                          </t>
  </si>
  <si>
    <t xml:space="preserve">MONTALBANO TIFFANY     </t>
  </si>
  <si>
    <t xml:space="preserve">BE0848115441        </t>
  </si>
  <si>
    <t xml:space="preserve">24 RUE DU VIEUX LOGIS 24           </t>
  </si>
  <si>
    <t xml:space="preserve">tmo@cdassocies.be                       </t>
  </si>
  <si>
    <t xml:space="preserve">SOLIGERE SCRL          </t>
  </si>
  <si>
    <t xml:space="preserve">BE0841606543        </t>
  </si>
  <si>
    <t xml:space="preserve">40 RUE NYSTEN                      </t>
  </si>
  <si>
    <t xml:space="preserve">M. BASTIN                     </t>
  </si>
  <si>
    <t xml:space="preserve">bastin.pierre-yves@soligere.be          </t>
  </si>
  <si>
    <t xml:space="preserve">EL KADI NISSRINE       </t>
  </si>
  <si>
    <t xml:space="preserve">Rue du Maize, 1                    </t>
  </si>
  <si>
    <t>FRA</t>
  </si>
  <si>
    <t xml:space="preserve">TRAVHYDRO BELGIQUE     </t>
  </si>
  <si>
    <t xml:space="preserve">BE0648876946        </t>
  </si>
  <si>
    <t xml:space="preserve">M. JOEFREY CARRIERE                </t>
  </si>
  <si>
    <t xml:space="preserve">RUE DE L'ABBAYE, 8                 </t>
  </si>
  <si>
    <t xml:space="preserve">+32 4 3434233 </t>
  </si>
  <si>
    <t xml:space="preserve">0000,00  000,00  0002  </t>
  </si>
  <si>
    <t xml:space="preserve">compta@travhydro.be                     </t>
  </si>
  <si>
    <t xml:space="preserve">JACQUEMART NADINE      </t>
  </si>
  <si>
    <t xml:space="preserve">BE0860542428        </t>
  </si>
  <si>
    <t xml:space="preserve">RUE DE LA BALSAMINE, 19            </t>
  </si>
  <si>
    <t xml:space="preserve">MD COMPTA SPRL         </t>
  </si>
  <si>
    <t xml:space="preserve">BE0846267194        </t>
  </si>
  <si>
    <t xml:space="preserve">M. MICHAEL DUWARD                  </t>
  </si>
  <si>
    <t xml:space="preserve">RUE LOUIS MICHOTTE 8               </t>
  </si>
  <si>
    <t xml:space="preserve">ORP-JAUCHE                    </t>
  </si>
  <si>
    <t xml:space="preserve">Michael@mdcompta.be                     </t>
  </si>
  <si>
    <t xml:space="preserve">GAMMA PLAN SA          </t>
  </si>
  <si>
    <t xml:space="preserve">BE0459892737        </t>
  </si>
  <si>
    <t xml:space="preserve">RUE SERVAIS-MALAISE 52             </t>
  </si>
  <si>
    <t xml:space="preserve">compta@gammaplan.be </t>
  </si>
  <si>
    <t xml:space="preserve">invoices@gammaplan.be                   </t>
  </si>
  <si>
    <t xml:space="preserve">TESSERACT COMPTABILITE </t>
  </si>
  <si>
    <t xml:space="preserve">BE0698801460        </t>
  </si>
  <si>
    <t xml:space="preserve">M. CHRISTOPHE RENERS               </t>
  </si>
  <si>
    <t xml:space="preserve">RUE BRIGADIER L MELARD 53B         </t>
  </si>
  <si>
    <t xml:space="preserve">tesseractcomptabilite@gmail.com         </t>
  </si>
  <si>
    <t xml:space="preserve">ADEPEC ASBL            </t>
  </si>
  <si>
    <t xml:space="preserve">BE0412702633        </t>
  </si>
  <si>
    <t xml:space="preserve">RUE DE LODELINSART 164             </t>
  </si>
  <si>
    <t xml:space="preserve">MONTIGNIES-SUR-SAMBRE         </t>
  </si>
  <si>
    <t xml:space="preserve">+32 71 419021 </t>
  </si>
  <si>
    <t xml:space="preserve">87202E                        </t>
  </si>
  <si>
    <t xml:space="preserve">compta@adepec.be                        </t>
  </si>
  <si>
    <t xml:space="preserve">TECHNICAL AIRBORNE     </t>
  </si>
  <si>
    <t xml:space="preserve">BE0475197357        </t>
  </si>
  <si>
    <t xml:space="preserve">COMPONENTS INDUSTRIES SPRL         </t>
  </si>
  <si>
    <t>Rue des Alouettes n°141 PARC H/SART</t>
  </si>
  <si>
    <t>00324289 96 20</t>
  </si>
  <si>
    <t xml:space="preserve">remy.closset@tecairco.be                </t>
  </si>
  <si>
    <t xml:space="preserve">INDUMET SA             </t>
  </si>
  <si>
    <t xml:space="preserve">BE0413539209        </t>
  </si>
  <si>
    <t xml:space="preserve">MME CAROLINE CRAHAY                </t>
  </si>
  <si>
    <t xml:space="preserve">RUE WINSTON CHURCHILL 139          </t>
  </si>
  <si>
    <t xml:space="preserve">+32 497506507 </t>
  </si>
  <si>
    <t xml:space="preserve">BO JARDIN D'O          </t>
  </si>
  <si>
    <t xml:space="preserve">BE0600702489        </t>
  </si>
  <si>
    <t xml:space="preserve">M. OLIVIER DOZIN                   </t>
  </si>
  <si>
    <t xml:space="preserve">CHAUSSEE ROMAINE 172B              </t>
  </si>
  <si>
    <t xml:space="preserve">ACTION &amp; PROMOTION     </t>
  </si>
  <si>
    <t xml:space="preserve">BE0893417609        </t>
  </si>
  <si>
    <t xml:space="preserve">22/6 RUE DES SEMAILLES             </t>
  </si>
  <si>
    <t xml:space="preserve">ZONING DES CAHOTTES                </t>
  </si>
  <si>
    <t xml:space="preserve">32 4 265 61   </t>
  </si>
  <si>
    <t xml:space="preserve">M. DAVID BOUSSA               </t>
  </si>
  <si>
    <t xml:space="preserve">d.boussa@actionpromotion.be             </t>
  </si>
  <si>
    <t xml:space="preserve">HOTEL DE LA COURONNE   </t>
  </si>
  <si>
    <t xml:space="preserve">BE0883713352        </t>
  </si>
  <si>
    <t xml:space="preserve">Place des Guillemins, 11           </t>
  </si>
  <si>
    <t xml:space="preserve">COUCLET THIERRY               </t>
  </si>
  <si>
    <t xml:space="preserve">HVAC MAINTENANCE SPRL  </t>
  </si>
  <si>
    <t xml:space="preserve">BE0808488862        </t>
  </si>
  <si>
    <t xml:space="preserve">RUE DU 11 NOVEMBRE, 21             </t>
  </si>
  <si>
    <t xml:space="preserve">HORION-HOZEMONT               </t>
  </si>
  <si>
    <t>+32 4289 00 87</t>
  </si>
  <si>
    <t>+32 4264 42 25</t>
  </si>
  <si>
    <t xml:space="preserve">ALLER-RETOUR: 44KM  </t>
  </si>
  <si>
    <t xml:space="preserve">0491/25 43 40 </t>
  </si>
  <si>
    <t xml:space="preserve">invoice@hvac-maintenance.be             </t>
  </si>
  <si>
    <t xml:space="preserve">AUDIKA SPRL            </t>
  </si>
  <si>
    <t xml:space="preserve">BE0882488182        </t>
  </si>
  <si>
    <t xml:space="preserve">RUE NEUVE 109                      </t>
  </si>
  <si>
    <t xml:space="preserve">GERPINNES                     </t>
  </si>
  <si>
    <t xml:space="preserve">D.R.B. SPRL            </t>
  </si>
  <si>
    <t xml:space="preserve">BE0446758145        </t>
  </si>
  <si>
    <t xml:space="preserve">Route Napoleon, 100                </t>
  </si>
  <si>
    <t>+324 336 90 92</t>
  </si>
  <si>
    <t>+324 336 50 54</t>
  </si>
  <si>
    <t xml:space="preserve">Cecile Dubois                 </t>
  </si>
  <si>
    <t>+32471 277 234</t>
  </si>
  <si>
    <t xml:space="preserve">ceciledubois0206@gmail.com              </t>
  </si>
  <si>
    <t xml:space="preserve">LA TURBINE EUROPE SPRL </t>
  </si>
  <si>
    <t xml:space="preserve">BE0836689435        </t>
  </si>
  <si>
    <t xml:space="preserve">AVENUE CONSTANTIN DE GERLACHE 74   </t>
  </si>
  <si>
    <t>+324 247 30 11</t>
  </si>
  <si>
    <t xml:space="preserve">Christian.Maskaluk@mp-howden.com        </t>
  </si>
  <si>
    <t xml:space="preserve">ED ADVISORY SRL        </t>
  </si>
  <si>
    <t xml:space="preserve">BE0821489436        </t>
  </si>
  <si>
    <t xml:space="preserve">CHEMIN DU BUC 18                   </t>
  </si>
  <si>
    <t xml:space="preserve">LISOGNE                       </t>
  </si>
  <si>
    <t xml:space="preserve">NACEBEL 70210                 </t>
  </si>
  <si>
    <t xml:space="preserve">ANC. EMMANUEL       </t>
  </si>
  <si>
    <t xml:space="preserve">DAGNEAUX SPRL       </t>
  </si>
  <si>
    <t xml:space="preserve">0000,00  000,00  0177  </t>
  </si>
  <si>
    <t>ARMAND MARCHANT ET FILS</t>
  </si>
  <si>
    <t xml:space="preserve">BE0423784387        </t>
  </si>
  <si>
    <t xml:space="preserve">STOCKIS 16                         </t>
  </si>
  <si>
    <t xml:space="preserve">armand.marchant@sprl-marchant.be        </t>
  </si>
  <si>
    <t xml:space="preserve">CAMEL SPRL             </t>
  </si>
  <si>
    <t xml:space="preserve">BE0561971973        </t>
  </si>
  <si>
    <t xml:space="preserve">PLACE DES VOLONTAIRES 1830, 32A    </t>
  </si>
  <si>
    <t>+32 422 796 98</t>
  </si>
  <si>
    <t xml:space="preserve">info@camelsprl.be                       </t>
  </si>
  <si>
    <t xml:space="preserve">BARRIQUAND HEAT        </t>
  </si>
  <si>
    <t xml:space="preserve">FR83479868853       </t>
  </si>
  <si>
    <t xml:space="preserve">EXCHANGERS                         </t>
  </si>
  <si>
    <t xml:space="preserve">RUE SAINT CLAUDE, 9-13             </t>
  </si>
  <si>
    <t xml:space="preserve">ROANNE                        </t>
  </si>
  <si>
    <t xml:space="preserve">ANC. BARRIQUAND     </t>
  </si>
  <si>
    <t>TECHNOLOGIES THERMIQ</t>
  </si>
  <si>
    <t xml:space="preserve">+32 497509406 </t>
  </si>
  <si>
    <t xml:space="preserve">celine.cornier@barriquand.com           </t>
  </si>
  <si>
    <t xml:space="preserve">THG SAINT-VITH         </t>
  </si>
  <si>
    <t xml:space="preserve">MICHAEL MALENGREAUX                </t>
  </si>
  <si>
    <t xml:space="preserve">MALMEDYER STRASSE 37/A             </t>
  </si>
  <si>
    <t xml:space="preserve">LE JARDIN D'YVAN       </t>
  </si>
  <si>
    <t xml:space="preserve">BE0864994233        </t>
  </si>
  <si>
    <t xml:space="preserve">Rue Joseph Netzer 11               </t>
  </si>
  <si>
    <t xml:space="preserve">ARLON                         </t>
  </si>
  <si>
    <t xml:space="preserve">+32 63600026  </t>
  </si>
  <si>
    <t>+32 498 572619</t>
  </si>
  <si>
    <t xml:space="preserve">LBL Management         </t>
  </si>
  <si>
    <t xml:space="preserve">BE0671917812        </t>
  </si>
  <si>
    <t xml:space="preserve">Rue des Douze Hommes 5             </t>
  </si>
  <si>
    <t xml:space="preserve">LOUVEGNE (SPRIMONT)           </t>
  </si>
  <si>
    <t>+32 436 09 778</t>
  </si>
  <si>
    <t xml:space="preserve">Laurence Beckers              </t>
  </si>
  <si>
    <t>TC SERVICES BELGIUM SPR</t>
  </si>
  <si>
    <t xml:space="preserve">BE0419809961        </t>
  </si>
  <si>
    <t xml:space="preserve">GABOR BODA                    </t>
  </si>
  <si>
    <t xml:space="preserve">aller-retour 206km  </t>
  </si>
  <si>
    <t xml:space="preserve">SPRL BIO-LIFE          </t>
  </si>
  <si>
    <t xml:space="preserve">BE0444733518        </t>
  </si>
  <si>
    <t xml:space="preserve">MARC CARDINAEL                     </t>
  </si>
  <si>
    <t xml:space="preserve">RUE CAMILLE HUBERT, 33             </t>
  </si>
  <si>
    <t xml:space="preserve">ISNES                         </t>
  </si>
  <si>
    <t>+352 661353316</t>
  </si>
  <si>
    <t xml:space="preserve">marc.cardinael1@gmail.com               </t>
  </si>
  <si>
    <t xml:space="preserve">AWOODPROJECT SARL      </t>
  </si>
  <si>
    <t xml:space="preserve">LU25162421          </t>
  </si>
  <si>
    <t xml:space="preserve">Rue Jean Baptiste, 25              </t>
  </si>
  <si>
    <t xml:space="preserve">LU </t>
  </si>
  <si>
    <t xml:space="preserve">SONLEZ                        </t>
  </si>
  <si>
    <t xml:space="preserve">+32 498974499 </t>
  </si>
  <si>
    <t xml:space="preserve">BE0452239635        </t>
  </si>
  <si>
    <t xml:space="preserve">SANDRINE QUETIN                    </t>
  </si>
  <si>
    <t xml:space="preserve">bouge                         </t>
  </si>
  <si>
    <t xml:space="preserve">081 65 98 39  </t>
  </si>
  <si>
    <t xml:space="preserve">s.quetin@etreac.be                      </t>
  </si>
  <si>
    <t xml:space="preserve">LOREFAC SPRL           </t>
  </si>
  <si>
    <t xml:space="preserve">BE0440293391        </t>
  </si>
  <si>
    <t xml:space="preserve">QUAI MARCELLIS, 2/091              </t>
  </si>
  <si>
    <t>+32 422 222 22</t>
  </si>
  <si>
    <t xml:space="preserve">lorefac@hotmail.be                      </t>
  </si>
  <si>
    <t xml:space="preserve">EDITIONS DU CENTRE SA  </t>
  </si>
  <si>
    <t xml:space="preserve">BE0473597451        </t>
  </si>
  <si>
    <t xml:space="preserve">M. VINCENT HECQUET                 </t>
  </si>
  <si>
    <t xml:space="preserve">RUE ERNEST MILCAMPS 26             </t>
  </si>
  <si>
    <t xml:space="preserve">LA LOUVIERE                   </t>
  </si>
  <si>
    <t xml:space="preserve">064 23 60 33  </t>
  </si>
  <si>
    <t xml:space="preserve">info@journalducentre.be                 </t>
  </si>
  <si>
    <t xml:space="preserve">TVO LOGISTICS          </t>
  </si>
  <si>
    <t xml:space="preserve">BE0663671426        </t>
  </si>
  <si>
    <t xml:space="preserve">JOEFREY CARRIERE                   </t>
  </si>
  <si>
    <t xml:space="preserve">ACOFI                  </t>
  </si>
  <si>
    <t xml:space="preserve">BE0631738729        </t>
  </si>
  <si>
    <t xml:space="preserve">M. OLIVIER TOURNEMENNE             </t>
  </si>
  <si>
    <t xml:space="preserve">PLACE DES CEDRES, 20               </t>
  </si>
  <si>
    <t xml:space="preserve">NEUPRE                        </t>
  </si>
  <si>
    <t xml:space="preserve">+32 42778950  </t>
  </si>
  <si>
    <t xml:space="preserve">+32 474759628 </t>
  </si>
  <si>
    <t xml:space="preserve">info@becfto.be                          </t>
  </si>
  <si>
    <t>PLATEFORME POUR LE SERV</t>
  </si>
  <si>
    <t xml:space="preserve">BE0894500643        </t>
  </si>
  <si>
    <t xml:space="preserve">CITOYEN    </t>
  </si>
  <si>
    <t xml:space="preserve">RUE DU MARTEAU, 21                 </t>
  </si>
  <si>
    <t xml:space="preserve">+32 2 2563244 </t>
  </si>
  <si>
    <t>+32 487 262620</t>
  </si>
  <si>
    <t>POLARD GERARD FIDUCIAIR</t>
  </si>
  <si>
    <t xml:space="preserve">BE0451307841        </t>
  </si>
  <si>
    <t xml:space="preserve">FIDUCIAIRE SPRL                    </t>
  </si>
  <si>
    <t xml:space="preserve">RUE DU HORLOZ 1                    </t>
  </si>
  <si>
    <t xml:space="preserve">SAINT-NICOLAS                 </t>
  </si>
  <si>
    <t>Ouverture de faillite 09/03/20</t>
  </si>
  <si>
    <t xml:space="preserve">Curateur            </t>
  </si>
  <si>
    <t xml:space="preserve">Maitre              </t>
  </si>
  <si>
    <t xml:space="preserve">Luc Minguet         </t>
  </si>
  <si>
    <t xml:space="preserve">POLARD GERARD          </t>
  </si>
  <si>
    <t xml:space="preserve">gerard.polard@skynet.be                 </t>
  </si>
  <si>
    <t xml:space="preserve">LIBREBOOK EUROPE SRL   </t>
  </si>
  <si>
    <t xml:space="preserve">BE0473802834        </t>
  </si>
  <si>
    <t xml:space="preserve">AVENUE DU MARECHAL, 14             </t>
  </si>
  <si>
    <t xml:space="preserve">ANC.PARODI&amp;PARTNERS </t>
  </si>
  <si>
    <t>+32 479 330984</t>
  </si>
  <si>
    <t xml:space="preserve">admin@librebook.eu                      </t>
  </si>
  <si>
    <t xml:space="preserve">ASSURANCES SOLBREUX    </t>
  </si>
  <si>
    <t xml:space="preserve">BE0885142420        </t>
  </si>
  <si>
    <t xml:space="preserve">LIONEL BOLAND                      </t>
  </si>
  <si>
    <t xml:space="preserve">RUE CAMILLE CHARLIER (FW) 49       </t>
  </si>
  <si>
    <t xml:space="preserve">lionel.boland@assurances-solbreux.be    </t>
  </si>
  <si>
    <t xml:space="preserve">TRAITEUR MOUTOY SPRL   </t>
  </si>
  <si>
    <t xml:space="preserve">BE0704728853        </t>
  </si>
  <si>
    <t xml:space="preserve">LAURENT MOUTOY                     </t>
  </si>
  <si>
    <t xml:space="preserve">RUE CHANTS D'OISEAUX 42            </t>
  </si>
  <si>
    <t xml:space="preserve">philippe@laurentmoutoy.com              </t>
  </si>
  <si>
    <t xml:space="preserve">CATINUS-BURLET S.A.    </t>
  </si>
  <si>
    <t xml:space="preserve">BE0817136809        </t>
  </si>
  <si>
    <t xml:space="preserve">AUGUSTIN FALER                     </t>
  </si>
  <si>
    <t xml:space="preserve">CHAUSSEE DE NAMUR, 124             </t>
  </si>
  <si>
    <t xml:space="preserve">EGHEZEE                       </t>
  </si>
  <si>
    <t xml:space="preserve">augustin.faler@immotheque.be            </t>
  </si>
  <si>
    <t xml:space="preserve">AB ELECTRONICS SPRL    </t>
  </si>
  <si>
    <t xml:space="preserve">BE0464369187        </t>
  </si>
  <si>
    <t xml:space="preserve">PASCAL BACCUS                      </t>
  </si>
  <si>
    <t xml:space="preserve">ROUTE DES SIX FRERES, 35 BTE 1     </t>
  </si>
  <si>
    <t xml:space="preserve">leuze                         </t>
  </si>
  <si>
    <t xml:space="preserve">+3281 655629  </t>
  </si>
  <si>
    <t xml:space="preserve">info@abelectronics.be                   </t>
  </si>
  <si>
    <t>BUREAU ASS. PIERRE HENS</t>
  </si>
  <si>
    <t xml:space="preserve">BE0882074844        </t>
  </si>
  <si>
    <t xml:space="preserve">RUE PEPIN 5/A                      </t>
  </si>
  <si>
    <t xml:space="preserve">LUSTIN                        </t>
  </si>
  <si>
    <t xml:space="preserve">compta@pierre-hens.be                   </t>
  </si>
  <si>
    <t xml:space="preserve">ACEL SPRL              </t>
  </si>
  <si>
    <t xml:space="preserve">BE0542864260        </t>
  </si>
  <si>
    <t xml:space="preserve">ZAE DE FERNELMONT                  </t>
  </si>
  <si>
    <t xml:space="preserve">RUE DES FAGOTIS, 9                 </t>
  </si>
  <si>
    <t xml:space="preserve">NOVILLE-LES-BOIS              </t>
  </si>
  <si>
    <t xml:space="preserve">fabrice.legrand@legrandgroup.net        </t>
  </si>
  <si>
    <t xml:space="preserve">RICHIR PHILIPPE        </t>
  </si>
  <si>
    <t xml:space="preserve">BE0850665056        </t>
  </si>
  <si>
    <t xml:space="preserve">RUE DES BRASSEURS 182              </t>
  </si>
  <si>
    <t xml:space="preserve">etude.richir@skynet.be                  </t>
  </si>
  <si>
    <t>JASPART-BAUFAYS ASSURA.</t>
  </si>
  <si>
    <t xml:space="preserve">BE0478996886        </t>
  </si>
  <si>
    <t xml:space="preserve">SANDRA JASPART                     </t>
  </si>
  <si>
    <t xml:space="preserve">CHAUSSEE DE MARCHE 588             </t>
  </si>
  <si>
    <t xml:space="preserve">sandra.jaspart@jbassurances.be          </t>
  </si>
  <si>
    <t xml:space="preserve">AXISIO                 </t>
  </si>
  <si>
    <t xml:space="preserve">BE0406837992        </t>
  </si>
  <si>
    <t xml:space="preserve">CHRISTINE ROLAIN                   </t>
  </si>
  <si>
    <t xml:space="preserve">RUE DE GEMBLOUX, 9                 </t>
  </si>
  <si>
    <t xml:space="preserve">compta@axisio.be                        </t>
  </si>
  <si>
    <t xml:space="preserve">MEDICALSOFT SPRL       </t>
  </si>
  <si>
    <t xml:space="preserve">BE0428555896        </t>
  </si>
  <si>
    <t xml:space="preserve">RUE CAMILLE HUBERT, 23             </t>
  </si>
  <si>
    <t xml:space="preserve">kristel.vandermoere@corilus.be          </t>
  </si>
  <si>
    <t xml:space="preserve">BUREAU VINCENT CARLISI </t>
  </si>
  <si>
    <t xml:space="preserve">BE0432366216        </t>
  </si>
  <si>
    <t xml:space="preserve">RUE DE LA BERGERIE, 52             </t>
  </si>
  <si>
    <t xml:space="preserve">+32 43369400  </t>
  </si>
  <si>
    <t xml:space="preserve">nicolas@carlisi.be                      </t>
  </si>
  <si>
    <t xml:space="preserve">BPR CAR SERVICES SPRL  </t>
  </si>
  <si>
    <t xml:space="preserve">BE0441008025        </t>
  </si>
  <si>
    <t xml:space="preserve">ERIC BAEYENS                       </t>
  </si>
  <si>
    <t xml:space="preserve">CHAUSSEE DE CHARLEROI, 65          </t>
  </si>
  <si>
    <t xml:space="preserve">THOREMBAIS-SAINT-TROND        </t>
  </si>
  <si>
    <t xml:space="preserve">facture@bpr.ovh                         </t>
  </si>
  <si>
    <t xml:space="preserve">CREADIDAC SPRL         </t>
  </si>
  <si>
    <t xml:space="preserve">BE0439742471        </t>
  </si>
  <si>
    <t xml:space="preserve">MARTINE VAN DE WINKEL              </t>
  </si>
  <si>
    <t xml:space="preserve">MONTAGNE DE SAINT-JOB, 8C          </t>
  </si>
  <si>
    <t xml:space="preserve">+32 2 3435792 </t>
  </si>
  <si>
    <t xml:space="preserve">info@creadidac.be                       </t>
  </si>
  <si>
    <t xml:space="preserve">COMPTA ORBAN SPRL      </t>
  </si>
  <si>
    <t xml:space="preserve">BE0459916194        </t>
  </si>
  <si>
    <t xml:space="preserve">RUE FERNAND HOUGET, 19/1           </t>
  </si>
  <si>
    <t xml:space="preserve">compta-orban@mydocs.be                  </t>
  </si>
  <si>
    <t xml:space="preserve">SOBELFISC SPRL         </t>
  </si>
  <si>
    <t xml:space="preserve">BE0862599818        </t>
  </si>
  <si>
    <t xml:space="preserve">MARC BRAFFORT                      </t>
  </si>
  <si>
    <t xml:space="preserve">CHAUSSEE DE WATERLOO 415 BOITE B   </t>
  </si>
  <si>
    <t xml:space="preserve">fiduciaire@sobelfisc.com                </t>
  </si>
  <si>
    <t xml:space="preserve">DASSY &amp; MASSAGE SPRL   </t>
  </si>
  <si>
    <t xml:space="preserve">BE0436303822        </t>
  </si>
  <si>
    <t xml:space="preserve">CHAUSSEE DE LOUVAIN, 605           </t>
  </si>
  <si>
    <t xml:space="preserve">NAMURION                      </t>
  </si>
  <si>
    <t xml:space="preserve">olivier.massage@dmas.be                 </t>
  </si>
  <si>
    <t>COMFORT HOME DUPONT &amp;CO</t>
  </si>
  <si>
    <t xml:space="preserve">BE0841216365        </t>
  </si>
  <si>
    <t xml:space="preserve">TERHULPENSESTEENWEG 382            </t>
  </si>
  <si>
    <t xml:space="preserve">OVERIJSE                      </t>
  </si>
  <si>
    <t xml:space="preserve">+32 2 6879156 </t>
  </si>
  <si>
    <t xml:space="preserve">office@chddupont.be                     </t>
  </si>
  <si>
    <t>FISCALIFWA BARVAUX SCRL</t>
  </si>
  <si>
    <t xml:space="preserve">BE0832993834        </t>
  </si>
  <si>
    <t xml:space="preserve">ROUTE DE DURBUY 13/1               </t>
  </si>
  <si>
    <t xml:space="preserve">BARVAUX-SUR-OURTHE            </t>
  </si>
  <si>
    <t xml:space="preserve">fiscalifwabarvaux@skynet.be             </t>
  </si>
  <si>
    <t xml:space="preserve">DANSCONSEILS           </t>
  </si>
  <si>
    <t xml:space="preserve">BE0439718024        </t>
  </si>
  <si>
    <t xml:space="preserve">EN CHAROTTE 15                     </t>
  </si>
  <si>
    <t xml:space="preserve">dansconseils@dansconseils.be            </t>
  </si>
  <si>
    <t xml:space="preserve">BV GROUP ASSURANCES    </t>
  </si>
  <si>
    <t xml:space="preserve">BE0666768496        </t>
  </si>
  <si>
    <t xml:space="preserve">PASCAL VEREECKE                    </t>
  </si>
  <si>
    <t xml:space="preserve">AVENUE TEDESCO 26                  </t>
  </si>
  <si>
    <t xml:space="preserve">AUDERGHEM                     </t>
  </si>
  <si>
    <t xml:space="preserve">PASCAL VEREECKE               </t>
  </si>
  <si>
    <t xml:space="preserve">contact@bvgroup.be                      </t>
  </si>
  <si>
    <t xml:space="preserve">GEDINAM SCRL           </t>
  </si>
  <si>
    <t xml:space="preserve">BE0865335713        </t>
  </si>
  <si>
    <t xml:space="preserve">M. MICHEL ORY                      </t>
  </si>
  <si>
    <t xml:space="preserve">RUE DES SALAMANDRES, 1             </t>
  </si>
  <si>
    <t xml:space="preserve">ory@gedimat.be                          </t>
  </si>
  <si>
    <t xml:space="preserve">CAB MARINE             </t>
  </si>
  <si>
    <t xml:space="preserve">BE0881020019        </t>
  </si>
  <si>
    <t xml:space="preserve">MADAME GILLIS                      </t>
  </si>
  <si>
    <t xml:space="preserve">WATERSPORTLAAN 15                  </t>
  </si>
  <si>
    <t xml:space="preserve">NIEUWPOORT                    </t>
  </si>
  <si>
    <t xml:space="preserve">cgillis@skynet.be                       </t>
  </si>
  <si>
    <t xml:space="preserve">FIMAVEST B.V.          </t>
  </si>
  <si>
    <t xml:space="preserve">NL59429852          </t>
  </si>
  <si>
    <t xml:space="preserve">DE COLONEL (BATIMENT)              </t>
  </si>
  <si>
    <t xml:space="preserve">STATIONSPLEIN 8 S                  </t>
  </si>
  <si>
    <t xml:space="preserve">NL </t>
  </si>
  <si>
    <t xml:space="preserve">6221 BT </t>
  </si>
  <si>
    <t xml:space="preserve">MAASTRICHT                    </t>
  </si>
  <si>
    <t xml:space="preserve">CH. COM. 59429569             </t>
  </si>
  <si>
    <t xml:space="preserve">secretariaat@fimavest.com               </t>
  </si>
  <si>
    <t xml:space="preserve">LA CHIQUE BOUTIQUE     </t>
  </si>
  <si>
    <t xml:space="preserve">BE0721753442        </t>
  </si>
  <si>
    <t xml:space="preserve">RUE ELISA DUMONCEAU 22             </t>
  </si>
  <si>
    <t xml:space="preserve">info@chiqueboutique.be                  </t>
  </si>
  <si>
    <t xml:space="preserve">PROCONSEILS ASSURANCES </t>
  </si>
  <si>
    <t xml:space="preserve">BE0667827479        </t>
  </si>
  <si>
    <t xml:space="preserve">S.P.R.L.   </t>
  </si>
  <si>
    <t xml:space="preserve">MONSIEUR FABRICE SEPULT            </t>
  </si>
  <si>
    <t xml:space="preserve">ROUTE DE DURBUY 11                 </t>
  </si>
  <si>
    <t xml:space="preserve">BARVAUX                       </t>
  </si>
  <si>
    <t xml:space="preserve">fabrice@proconseils.be                  </t>
  </si>
  <si>
    <t xml:space="preserve">ETS DENIS SA           </t>
  </si>
  <si>
    <t xml:space="preserve">BE0429356147        </t>
  </si>
  <si>
    <t xml:space="preserve">SAMUEL SERVOTTE                    </t>
  </si>
  <si>
    <t xml:space="preserve">RUE DE LA PIERRE BLEUE 1           </t>
  </si>
  <si>
    <t xml:space="preserve">ALLER-RETOUR 170KM  </t>
  </si>
  <si>
    <t xml:space="preserve">samuel.servotte@etsdenis.be             </t>
  </si>
  <si>
    <t xml:space="preserve">GS COMPTA SPRL         </t>
  </si>
  <si>
    <t xml:space="preserve">BE0863507361        </t>
  </si>
  <si>
    <t xml:space="preserve">CHAUSSEE DE BINCHE 50B BTE 4       </t>
  </si>
  <si>
    <t xml:space="preserve">MONS                          </t>
  </si>
  <si>
    <t xml:space="preserve">info@gscompta.be                        </t>
  </si>
  <si>
    <t xml:space="preserve">DIGNEFFE IT CONSULTING </t>
  </si>
  <si>
    <t xml:space="preserve">BE0845241766        </t>
  </si>
  <si>
    <t xml:space="preserve">CHAUSSEE DE HANNUT 412             </t>
  </si>
  <si>
    <t xml:space="preserve">jm@digneffe.be                          </t>
  </si>
  <si>
    <t xml:space="preserve">D'INVERNO JEAN-PASCAL  </t>
  </si>
  <si>
    <t xml:space="preserve">BE0816313101        </t>
  </si>
  <si>
    <t xml:space="preserve">EDIPRO                 </t>
  </si>
  <si>
    <t xml:space="preserve">BE0464083632        </t>
  </si>
  <si>
    <t xml:space="preserve">LUCA VENANZI &amp; AXEL NEEF           </t>
  </si>
  <si>
    <t xml:space="preserve">ESPLANADE DE L'EUROPE 2, BTE 5     </t>
  </si>
  <si>
    <t xml:space="preserve">04 344 50 88  </t>
  </si>
  <si>
    <t xml:space="preserve">04 343 05 53  </t>
  </si>
  <si>
    <t xml:space="preserve">lvenanzi@edipro.info                    </t>
  </si>
  <si>
    <t xml:space="preserve">LA PROTECTION          </t>
  </si>
  <si>
    <t xml:space="preserve">BE0473859252        </t>
  </si>
  <si>
    <t xml:space="preserve">PATRIMONIALE SRL                   </t>
  </si>
  <si>
    <t xml:space="preserve">RUE DE BOUILLON 30/C               </t>
  </si>
  <si>
    <t xml:space="preserve">BIEVRE                        </t>
  </si>
  <si>
    <t xml:space="preserve">PIERRE PLETTE                 </t>
  </si>
  <si>
    <t xml:space="preserve">ANC. BCPP SPRL      </t>
  </si>
  <si>
    <t xml:space="preserve">pierre@bcpp.be                          </t>
  </si>
  <si>
    <t xml:space="preserve">COBEVRI SA             </t>
  </si>
  <si>
    <t xml:space="preserve">BE0412129541        </t>
  </si>
  <si>
    <t xml:space="preserve">AMAL EL KASIMI                     </t>
  </si>
  <si>
    <t xml:space="preserve">LARGE VOIE 6                       </t>
  </si>
  <si>
    <t xml:space="preserve">info@cobevri.be                         </t>
  </si>
  <si>
    <t xml:space="preserve">YALYNAKA               </t>
  </si>
  <si>
    <t xml:space="preserve">MME NATHALIE DETHIER               </t>
  </si>
  <si>
    <t xml:space="preserve">RUE DE HOTTLEUX 112/1/1            </t>
  </si>
  <si>
    <t xml:space="preserve">WAIMESVILLE                   </t>
  </si>
  <si>
    <t xml:space="preserve">TVA : EN COURS DE CREATION    </t>
  </si>
  <si>
    <t xml:space="preserve">ALLER RETOUR 122.2  </t>
  </si>
  <si>
    <t xml:space="preserve">0000,00  100,00  0000  </t>
  </si>
  <si>
    <t xml:space="preserve">yalynaka@gmail.com                      </t>
  </si>
  <si>
    <t xml:space="preserve">J.K. GLASS BELGIUM     </t>
  </si>
  <si>
    <t xml:space="preserve">BE0686892137        </t>
  </si>
  <si>
    <t xml:space="preserve">AU LONG PRE 84                     </t>
  </si>
  <si>
    <t xml:space="preserve">info@jkglass.be                         </t>
  </si>
  <si>
    <t xml:space="preserve">BUREAU CO AND CO SRL   </t>
  </si>
  <si>
    <t xml:space="preserve">Compta.bcc@bureaucoandco.be             </t>
  </si>
  <si>
    <t xml:space="preserve">JAMAR CH. &amp; FILS SPRL  </t>
  </si>
  <si>
    <t xml:space="preserve">BE0401400945        </t>
  </si>
  <si>
    <t xml:space="preserve">NICOLAS GILSON                     </t>
  </si>
  <si>
    <t xml:space="preserve">RUE PHOCAS LEJEUNE 1               </t>
  </si>
  <si>
    <t>ALLER-RETOUR 74.4 X2</t>
  </si>
  <si>
    <t xml:space="preserve">ng.veryconstruct@outlook.com            </t>
  </si>
  <si>
    <t xml:space="preserve">CREA JOB               </t>
  </si>
  <si>
    <t xml:space="preserve">BE0478542570        </t>
  </si>
  <si>
    <t xml:space="preserve">M. PAUL WIDART                     </t>
  </si>
  <si>
    <t xml:space="preserve">RUE DE HUY 51                      </t>
  </si>
  <si>
    <t xml:space="preserve">paul.widart@creajob.be                  </t>
  </si>
  <si>
    <t>PAYLABS CONSULTING SPRL</t>
  </si>
  <si>
    <t xml:space="preserve">BE0833660263        </t>
  </si>
  <si>
    <t xml:space="preserve">CHAUSSEE DE RAMET 85               </t>
  </si>
  <si>
    <t xml:space="preserve">JM.GUSTIN@PAYLABS.BE                    </t>
  </si>
  <si>
    <t xml:space="preserve">CORILUS SA             </t>
  </si>
  <si>
    <t xml:space="preserve">RUE CAMILLE HUBERT 23              </t>
  </si>
  <si>
    <t xml:space="preserve">LES ISNES                     </t>
  </si>
  <si>
    <t xml:space="preserve">supplier@corilus.be                     </t>
  </si>
  <si>
    <t xml:space="preserve">LEGRAND SFI            </t>
  </si>
  <si>
    <t xml:space="preserve">BE0422326320        </t>
  </si>
  <si>
    <t xml:space="preserve">Residence Atlantide                </t>
  </si>
  <si>
    <t xml:space="preserve">BOULEVARD DE LA MEUSE,17 Boite 16  </t>
  </si>
  <si>
    <t>+3281 73 64 75</t>
  </si>
  <si>
    <t>+3281 30 80 55</t>
  </si>
  <si>
    <t>ALLER-RETOUR: 141.60</t>
  </si>
  <si>
    <t xml:space="preserve">ISSEP (INSTITUT        </t>
  </si>
  <si>
    <t xml:space="preserve">BE0241530493        </t>
  </si>
  <si>
    <t xml:space="preserve">SCIENTIFIQUE DE SERVICE PUBLIC)    </t>
  </si>
  <si>
    <t xml:space="preserve">200 RUE DU CHERA                   </t>
  </si>
  <si>
    <t xml:space="preserve">s.richer@issep.be                       </t>
  </si>
  <si>
    <t xml:space="preserve">LEURKY SPRL            </t>
  </si>
  <si>
    <t xml:space="preserve">BE0464456685        </t>
  </si>
  <si>
    <t xml:space="preserve">AVENUE DES SORBIERS                </t>
  </si>
  <si>
    <t xml:space="preserve">valerie@thesa.be                        </t>
  </si>
  <si>
    <t xml:space="preserve">HAGECO BV              </t>
  </si>
  <si>
    <t xml:space="preserve">NL853480059B01      </t>
  </si>
  <si>
    <t xml:space="preserve">YOUPLA S.P.R.L.        </t>
  </si>
  <si>
    <t xml:space="preserve">BE0540670476        </t>
  </si>
  <si>
    <t xml:space="preserve">RUE HENRI KOCH, 28                 </t>
  </si>
  <si>
    <t xml:space="preserve">Madame Evelyne Lechat         </t>
  </si>
  <si>
    <t xml:space="preserve">INFO@BIJOUXYOUPLA.COM                   </t>
  </si>
  <si>
    <t xml:space="preserve">LOMBART PHILIPPE       </t>
  </si>
  <si>
    <t xml:space="preserve">BE0553334124        </t>
  </si>
  <si>
    <t xml:space="preserve">RUE ENGLEBERT LESCRENIER, 17       </t>
  </si>
  <si>
    <t xml:space="preserve">lombart.philippe@skynet.be              </t>
  </si>
  <si>
    <t xml:space="preserve">FRUBEL SPRL            </t>
  </si>
  <si>
    <t xml:space="preserve">BE0875124595        </t>
  </si>
  <si>
    <t xml:space="preserve">MME NATHALIE FRAIKIN               </t>
  </si>
  <si>
    <t xml:space="preserve">RUE CAMUS 18                       </t>
  </si>
  <si>
    <t xml:space="preserve">administration@frubel.be                </t>
  </si>
  <si>
    <t xml:space="preserve">COPPEE ELODIE          </t>
  </si>
  <si>
    <t xml:space="preserve">BE0842143508        </t>
  </si>
  <si>
    <t xml:space="preserve">RUE DE LA STATION 5                </t>
  </si>
  <si>
    <t xml:space="preserve">STREE                         </t>
  </si>
  <si>
    <t xml:space="preserve">ALLER-RETOUR 216KM  </t>
  </si>
  <si>
    <t xml:space="preserve">info@copea.be                           </t>
  </si>
  <si>
    <t xml:space="preserve">GOFFARD CONSEIL SPRL   </t>
  </si>
  <si>
    <t xml:space="preserve">BE0696991322        </t>
  </si>
  <si>
    <t xml:space="preserve">M. ADRIEN GOFFARD                  </t>
  </si>
  <si>
    <t xml:space="preserve">RUE DE LA STATION 100              </t>
  </si>
  <si>
    <t xml:space="preserve">ag@goffard-conseil.be                   </t>
  </si>
  <si>
    <t xml:space="preserve">GL FIDUCIAIRE PARDOEN  </t>
  </si>
  <si>
    <t xml:space="preserve">BE0418605874        </t>
  </si>
  <si>
    <t xml:space="preserve">M. JEAN-CLAUDE DERIDIAUX           </t>
  </si>
  <si>
    <t xml:space="preserve">ALLEE CENTRALE Z.I., 33            </t>
  </si>
  <si>
    <t xml:space="preserve">JUMET                         </t>
  </si>
  <si>
    <t xml:space="preserve">ALLER-RETOUR 190KM  </t>
  </si>
  <si>
    <t xml:space="preserve">latrafgnaf@pardoen.be                   </t>
  </si>
  <si>
    <t xml:space="preserve">ASSOCIATION LAEDAM     </t>
  </si>
  <si>
    <t xml:space="preserve">MADAME SANDRINE DE BERNARDO        </t>
  </si>
  <si>
    <t xml:space="preserve">RUE PRE DE LA HAYE                 </t>
  </si>
  <si>
    <t xml:space="preserve">laedam2019@gmail.com                    </t>
  </si>
  <si>
    <t xml:space="preserve">LAERA BRENDA (MME)     </t>
  </si>
  <si>
    <t xml:space="preserve">RUE FUT VOIE 125                   </t>
  </si>
  <si>
    <t xml:space="preserve">0000,00  000,00  0009  </t>
  </si>
  <si>
    <t xml:space="preserve">BMBE SPRL              </t>
  </si>
  <si>
    <t xml:space="preserve">BE0535741193        </t>
  </si>
  <si>
    <t xml:space="preserve">AVENUE HAMOIR 12                   </t>
  </si>
  <si>
    <t xml:space="preserve">ALLER-RETOUR 206KM  </t>
  </si>
  <si>
    <t xml:space="preserve">valeriestival@b-management.ch           </t>
  </si>
  <si>
    <t xml:space="preserve">ALE DE SERAING ASBL    </t>
  </si>
  <si>
    <t xml:space="preserve">BE0454784302        </t>
  </si>
  <si>
    <t xml:space="preserve">RUE MORCHAMPS 50                   </t>
  </si>
  <si>
    <t xml:space="preserve">+324330 12 29 </t>
  </si>
  <si>
    <t xml:space="preserve">c.destree@apides-seraing.be             </t>
  </si>
  <si>
    <t xml:space="preserve">CHR FIDUCIAIRE SRL     </t>
  </si>
  <si>
    <t xml:space="preserve">BE0737504262        </t>
  </si>
  <si>
    <t xml:space="preserve">RUE BRIGADIER LAURENT MELARD 53B   </t>
  </si>
  <si>
    <t xml:space="preserve">ALLER-RETOUR: 104.2 </t>
  </si>
  <si>
    <t xml:space="preserve">christophe.reners@chrfiduciaire.be      </t>
  </si>
  <si>
    <t xml:space="preserve">TRAVHOLDING SRL        </t>
  </si>
  <si>
    <t xml:space="preserve">BE0846385772        </t>
  </si>
  <si>
    <t xml:space="preserve">RUE DU PRE AUX OIES 58             </t>
  </si>
  <si>
    <t xml:space="preserve">LA BUANDERIE SERVICES  </t>
  </si>
  <si>
    <t xml:space="preserve">BE0736570785        </t>
  </si>
  <si>
    <t xml:space="preserve">SC ES                              </t>
  </si>
  <si>
    <t xml:space="preserve">RUE DE LA CITE 18 BOITE 614        </t>
  </si>
  <si>
    <t xml:space="preserve">0497 521 581  </t>
  </si>
  <si>
    <t xml:space="preserve">buanderie.embourg@gmail.com             </t>
  </si>
  <si>
    <t xml:space="preserve">SOLIGES SPRL           </t>
  </si>
  <si>
    <t xml:space="preserve">BE0437550271        </t>
  </si>
  <si>
    <t xml:space="preserve">MONSIEUR DE BECO                   </t>
  </si>
  <si>
    <t xml:space="preserve">AVENUE DES FAISANDEAUX 29          </t>
  </si>
  <si>
    <t xml:space="preserve">GENAPPE                       </t>
  </si>
  <si>
    <t xml:space="preserve">ALLER-RETOUR: 194KM </t>
  </si>
  <si>
    <t xml:space="preserve">m.debeco@soliges.be                     </t>
  </si>
  <si>
    <t xml:space="preserve">PICTON &amp; CO SPRL       </t>
  </si>
  <si>
    <t xml:space="preserve">BE0477183877        </t>
  </si>
  <si>
    <t xml:space="preserve">RUE DE NOTRE DAME (SEF) 81         </t>
  </si>
  <si>
    <t xml:space="preserve">PHILIPPEVILLE                 </t>
  </si>
  <si>
    <t xml:space="preserve">pictonandco@skynet.be                   </t>
  </si>
  <si>
    <t xml:space="preserve">LA TABLE D'UPIGNAC     </t>
  </si>
  <si>
    <t xml:space="preserve">BE0472563907        </t>
  </si>
  <si>
    <t xml:space="preserve">100 ROUTE DE LA BRUYERE UPIGNY     </t>
  </si>
  <si>
    <t xml:space="preserve">EDITIONS JACQUES BREL  </t>
  </si>
  <si>
    <t xml:space="preserve">BE0403030347        </t>
  </si>
  <si>
    <t>PL. DE LA VIEILLE HALLE AUX BLES 11</t>
  </si>
  <si>
    <t xml:space="preserve">STAELENS VIRGINIE SPRL </t>
  </si>
  <si>
    <t xml:space="preserve">IBGRAF     </t>
  </si>
  <si>
    <t xml:space="preserve">AVENUE DE SPA 33                   </t>
  </si>
  <si>
    <t>+3287 35 52 35</t>
  </si>
  <si>
    <t xml:space="preserve">54km aller-retour   </t>
  </si>
  <si>
    <t>+32499 38 6610</t>
  </si>
  <si>
    <t xml:space="preserve">81B IMMO               </t>
  </si>
  <si>
    <t xml:space="preserve">BE0667582902        </t>
  </si>
  <si>
    <t xml:space="preserve">RUE DES CLARISSES, 28/11           </t>
  </si>
  <si>
    <t xml:space="preserve">compta@81bimmo.com                      </t>
  </si>
  <si>
    <t xml:space="preserve">81B INVEST SPRL        </t>
  </si>
  <si>
    <t xml:space="preserve">BE0541564559        </t>
  </si>
  <si>
    <t xml:space="preserve">BRUNO ROLOUX                       </t>
  </si>
  <si>
    <t xml:space="preserve">+32 46263600  </t>
  </si>
  <si>
    <t xml:space="preserve">bruno@81b.com                           </t>
  </si>
  <si>
    <t xml:space="preserve">MATEGRO SPRL           </t>
  </si>
  <si>
    <t xml:space="preserve">BE0422859127        </t>
  </si>
  <si>
    <t xml:space="preserve">MONSIEUR FABIAN LAVIGNE            </t>
  </si>
  <si>
    <t xml:space="preserve">RUE DU RIVAGE 35                   </t>
  </si>
  <si>
    <t>COMMERCIAL:mategro@mategro.com</t>
  </si>
  <si>
    <t xml:space="preserve">BUSINESS CONSULTING    </t>
  </si>
  <si>
    <t xml:space="preserve">LU30102426          </t>
  </si>
  <si>
    <t xml:space="preserve">PERFORMANCE SARL                   </t>
  </si>
  <si>
    <t xml:space="preserve">6 RUE D'ARLON                      </t>
  </si>
  <si>
    <t xml:space="preserve">WINDHOF                       </t>
  </si>
  <si>
    <t xml:space="preserve">info@bcp.expert                         </t>
  </si>
  <si>
    <t>HULLBRIDGE LOGISTICS SA</t>
  </si>
  <si>
    <t xml:space="preserve">BE0418159674        </t>
  </si>
  <si>
    <t xml:space="preserve">M. YANNICK MAILLEUX                </t>
  </si>
  <si>
    <t xml:space="preserve">RUE DANGONAU 84                    </t>
  </si>
  <si>
    <t>+32 486 506050</t>
  </si>
  <si>
    <t xml:space="preserve">ALLER-RETOUR 220KM  </t>
  </si>
  <si>
    <t xml:space="preserve">didier.dc@skynet.be                     </t>
  </si>
  <si>
    <t xml:space="preserve">GAUKEMA CHARLES        </t>
  </si>
  <si>
    <t xml:space="preserve">BE0840937936        </t>
  </si>
  <si>
    <t xml:space="preserve">Rue Saint-Lambert, Forville 9      </t>
  </si>
  <si>
    <t xml:space="preserve">charles@byscot.com                      </t>
  </si>
  <si>
    <t xml:space="preserve">HERVE VANDEN HAUTE     </t>
  </si>
  <si>
    <t xml:space="preserve">BE0874776880        </t>
  </si>
  <si>
    <t xml:space="preserve">ARCHITECTURE                       </t>
  </si>
  <si>
    <t xml:space="preserve">RUE EMMANUEL LUTTE 13              </t>
  </si>
  <si>
    <t xml:space="preserve">HERVE.VANDENHAUTE@HVH.ARCHI             </t>
  </si>
  <si>
    <t xml:space="preserve">JOANTI SA              </t>
  </si>
  <si>
    <t xml:space="preserve">BE0461867676        </t>
  </si>
  <si>
    <t xml:space="preserve">RUE DU BOIS ROSINE 9               </t>
  </si>
  <si>
    <t xml:space="preserve">MODAVE                        </t>
  </si>
  <si>
    <t xml:space="preserve">ALLER-RETOUR : 91km </t>
  </si>
  <si>
    <t xml:space="preserve">info@joanti.be                          </t>
  </si>
  <si>
    <t>SERAING ATHLETIQUE ASBL</t>
  </si>
  <si>
    <t xml:space="preserve">BE0421916346        </t>
  </si>
  <si>
    <t xml:space="preserve">RUE DE LA VERRERIE 110             </t>
  </si>
  <si>
    <t xml:space="preserve">+32 476962004 </t>
  </si>
  <si>
    <t xml:space="preserve">jeannoelkongolo@hotmail.com             </t>
  </si>
  <si>
    <t xml:space="preserve">CLINIQUE DENTAIRE DU   </t>
  </si>
  <si>
    <t xml:space="preserve">PORT DES YACHTS Sprl               </t>
  </si>
  <si>
    <t xml:space="preserve">BOULEVARD FRERE - ORBAN 12         </t>
  </si>
  <si>
    <t xml:space="preserve">+32 4 2214404 </t>
  </si>
  <si>
    <t xml:space="preserve">AURELIE VANDERLINDEN          </t>
  </si>
  <si>
    <t xml:space="preserve">info@cdpy.be                            </t>
  </si>
  <si>
    <t xml:space="preserve">PHASYA SA              </t>
  </si>
  <si>
    <t xml:space="preserve">BE0505986246        </t>
  </si>
  <si>
    <t xml:space="preserve">MONSIEUR JEROME WERTZ              </t>
  </si>
  <si>
    <t xml:space="preserve">RUE DU BOIS SAINT-JEAN 29          </t>
  </si>
  <si>
    <t>+32 4 246 3537</t>
  </si>
  <si>
    <t xml:space="preserve">invoice.belgium@tobii.com               </t>
  </si>
  <si>
    <t xml:space="preserve">MUSEE DE LA GRANDE     </t>
  </si>
  <si>
    <t xml:space="preserve">BE0429752362        </t>
  </si>
  <si>
    <t xml:space="preserve">ARDENNE                            </t>
  </si>
  <si>
    <t xml:space="preserve">PLACE EN PICONRUE 2                </t>
  </si>
  <si>
    <t xml:space="preserve">BASTOGNE                      </t>
  </si>
  <si>
    <t>+352 661666620</t>
  </si>
  <si>
    <t xml:space="preserve">m.dodion@piconrue.be                    </t>
  </si>
  <si>
    <t xml:space="preserve">PARTNERS IMMO SRL      </t>
  </si>
  <si>
    <t xml:space="preserve">BE0733876462        </t>
  </si>
  <si>
    <t xml:space="preserve">RUE FERNAND HOUGET 19              </t>
  </si>
  <si>
    <t xml:space="preserve">0498 617 559  </t>
  </si>
  <si>
    <t xml:space="preserve">info@partner-immo.be                    </t>
  </si>
  <si>
    <t xml:space="preserve">EUDEV CAPITAL PARTNER  </t>
  </si>
  <si>
    <t xml:space="preserve">BE0719253515        </t>
  </si>
  <si>
    <t xml:space="preserve">BVBA       </t>
  </si>
  <si>
    <t xml:space="preserve">MONSIEUR DAVID REYNDERS            </t>
  </si>
  <si>
    <t xml:space="preserve">HENGSTENBERG 157                   </t>
  </si>
  <si>
    <t>ALLER-RETOUR : 190km</t>
  </si>
  <si>
    <t xml:space="preserve">david.reynders@eurefi.eu                </t>
  </si>
  <si>
    <t xml:space="preserve">DOCTEUR PIERRE DEHON   </t>
  </si>
  <si>
    <t xml:space="preserve">43 RUE DES VERGIERS                </t>
  </si>
  <si>
    <t>+3285 23 14 96</t>
  </si>
  <si>
    <t xml:space="preserve">0000,00  000,00  0081  </t>
  </si>
  <si>
    <t xml:space="preserve">pierre.dehon@skynet.be                  </t>
  </si>
  <si>
    <t xml:space="preserve">BE FOR YOU SRL         </t>
  </si>
  <si>
    <t xml:space="preserve">BE0743794911        </t>
  </si>
  <si>
    <t xml:space="preserve">MME JESSICA BERBEN                 </t>
  </si>
  <si>
    <t xml:space="preserve">RUE LOUIS BLERIOT 1                </t>
  </si>
  <si>
    <t xml:space="preserve">+32 4 2405810 </t>
  </si>
  <si>
    <t xml:space="preserve">jessica.berben@coutrez.be               </t>
  </si>
  <si>
    <t xml:space="preserve">TRAVHYMAT SRL          </t>
  </si>
  <si>
    <t xml:space="preserve">BE0736983333        </t>
  </si>
  <si>
    <t xml:space="preserve">PREMIERE AVENUE 26                 </t>
  </si>
  <si>
    <t>+32 434 342 33</t>
  </si>
  <si>
    <t xml:space="preserve">PROTOITURES SA         </t>
  </si>
  <si>
    <t xml:space="preserve">BE0897662051        </t>
  </si>
  <si>
    <t xml:space="preserve">M. RUDY LECLERQ                    </t>
  </si>
  <si>
    <t xml:space="preserve">RUE D'ALLEUR 63                    </t>
  </si>
  <si>
    <t xml:space="preserve">04 382 30 68  </t>
  </si>
  <si>
    <t xml:space="preserve">THG VERVIERS SA        </t>
  </si>
  <si>
    <t xml:space="preserve">BE0893862423        </t>
  </si>
  <si>
    <t xml:space="preserve">AVENUE DE SPA 1                    </t>
  </si>
  <si>
    <t xml:space="preserve">Jean.Davister@thg.be                    </t>
  </si>
  <si>
    <t xml:space="preserve">PLUG AND GO INFO       </t>
  </si>
  <si>
    <t xml:space="preserve">BE0461161853        </t>
  </si>
  <si>
    <t xml:space="preserve">info@plugandgo.be                       </t>
  </si>
  <si>
    <t xml:space="preserve">PLUG AND GO SPRL       </t>
  </si>
  <si>
    <t xml:space="preserve">BE0843690657        </t>
  </si>
  <si>
    <t xml:space="preserve">RUE D'ABHOOZ 27                    </t>
  </si>
  <si>
    <t xml:space="preserve">04 239 19 38  </t>
  </si>
  <si>
    <t xml:space="preserve">compta@plugandgo.be                     </t>
  </si>
  <si>
    <t xml:space="preserve">LA MAIN VERTE SA       </t>
  </si>
  <si>
    <t xml:space="preserve">BE0475411747        </t>
  </si>
  <si>
    <t xml:space="preserve">MONSIEUR GUY OEYEN                 </t>
  </si>
  <si>
    <t xml:space="preserve">RUE DU CENTRE 25                   </t>
  </si>
  <si>
    <t xml:space="preserve">BAILLONVILLE                  </t>
  </si>
  <si>
    <t xml:space="preserve">ALLER RETOUR 130.60 </t>
  </si>
  <si>
    <t xml:space="preserve">661 819 440   </t>
  </si>
  <si>
    <t xml:space="preserve">guyoeyen@skynet.be                      </t>
  </si>
  <si>
    <t xml:space="preserve">ZS5 W.A.L. ASBL        </t>
  </si>
  <si>
    <t xml:space="preserve">BE0500918787        </t>
  </si>
  <si>
    <t xml:space="preserve">MADAME MICHELE SCHOUMANS           </t>
  </si>
  <si>
    <t xml:space="preserve">SUR LE MEEZ 1                      </t>
  </si>
  <si>
    <t xml:space="preserve">TROIS-PONTS                   </t>
  </si>
  <si>
    <t xml:space="preserve">ALLER-RETOUR 124KM  </t>
  </si>
  <si>
    <t xml:space="preserve">0498 70 89 25 </t>
  </si>
  <si>
    <t xml:space="preserve">michele.schoumans@zs5wal.be             </t>
  </si>
  <si>
    <t xml:space="preserve">THG NAMUR SA           </t>
  </si>
  <si>
    <t xml:space="preserve">BE0417762766        </t>
  </si>
  <si>
    <t xml:space="preserve">M. STEPHANE DE BENEDICTIS          </t>
  </si>
  <si>
    <t xml:space="preserve">CHAUSSEE DE MARCHE 501             </t>
  </si>
  <si>
    <t xml:space="preserve">081 24 0216   </t>
  </si>
  <si>
    <t xml:space="preserve">NE PAS FACTURER LES MAJ       </t>
  </si>
  <si>
    <t xml:space="preserve">A-R : 135km         </t>
  </si>
  <si>
    <t xml:space="preserve">0496 26 49 42 </t>
  </si>
  <si>
    <t xml:space="preserve">namur@thg.be                            </t>
  </si>
  <si>
    <t xml:space="preserve">ROJUMA SCS             </t>
  </si>
  <si>
    <t xml:space="preserve">BE0841898434        </t>
  </si>
  <si>
    <t xml:space="preserve">M. PHILIPPE PIRSON                 </t>
  </si>
  <si>
    <t xml:space="preserve">RUE LOUIS ARNOLIS 5                </t>
  </si>
  <si>
    <t xml:space="preserve">SAIVE                         </t>
  </si>
  <si>
    <t xml:space="preserve">0497 166 954  </t>
  </si>
  <si>
    <t xml:space="preserve">info@rojuma.be                          </t>
  </si>
  <si>
    <t xml:space="preserve">BE0757066093        </t>
  </si>
  <si>
    <t xml:space="preserve">RUE DU HORLOZ, 1                   </t>
  </si>
  <si>
    <t xml:space="preserve">MORELLI ET FILS SPRL   </t>
  </si>
  <si>
    <t xml:space="preserve">RUE DU TIR 15                      </t>
  </si>
  <si>
    <t xml:space="preserve">04 27 25 75   </t>
  </si>
  <si>
    <t xml:space="preserve">0495 32 74 63 </t>
  </si>
  <si>
    <t xml:space="preserve">FISCAMAX SPRL          </t>
  </si>
  <si>
    <t xml:space="preserve">BE0844532775        </t>
  </si>
  <si>
    <t xml:space="preserve">M. MARC HOLLANDERS                 </t>
  </si>
  <si>
    <t xml:space="preserve">SUR LES FONTAINES 50B              </t>
  </si>
  <si>
    <t xml:space="preserve">LIERNEUX                      </t>
  </si>
  <si>
    <t xml:space="preserve">ALLER-RETOUR 140KM  </t>
  </si>
  <si>
    <t xml:space="preserve">0495 281 001  </t>
  </si>
  <si>
    <t xml:space="preserve">marchollanders@fiscamax.be              </t>
  </si>
  <si>
    <t xml:space="preserve">BURNAY CONSULTING SPRL </t>
  </si>
  <si>
    <t xml:space="preserve">BE0474544586        </t>
  </si>
  <si>
    <t xml:space="preserve">ROUTE DE HUY 47/E                  </t>
  </si>
  <si>
    <t xml:space="preserve">OHEY                          </t>
  </si>
  <si>
    <t xml:space="preserve">+32 85613511  </t>
  </si>
  <si>
    <t xml:space="preserve">ALLER-RETOUR: 113KM </t>
  </si>
  <si>
    <t xml:space="preserve">jburnay@jburnay-consulting.com          </t>
  </si>
  <si>
    <t xml:space="preserve">WELING CONSULTING SRL  </t>
  </si>
  <si>
    <t xml:space="preserve">BE0727388251        </t>
  </si>
  <si>
    <t xml:space="preserve">MME WELING                         </t>
  </si>
  <si>
    <t xml:space="preserve">KETTENISER STRASSE 25              </t>
  </si>
  <si>
    <t xml:space="preserve">LONTZEN                       </t>
  </si>
  <si>
    <t xml:space="preserve">andrea@weling.be                        </t>
  </si>
  <si>
    <t xml:space="preserve">A.I.V. SECURITEC SA    </t>
  </si>
  <si>
    <t xml:space="preserve">BE0455878917        </t>
  </si>
  <si>
    <t xml:space="preserve">RUE DE L'AVENIR 5                  </t>
  </si>
  <si>
    <t xml:space="preserve">info@aivsecuritec.be                    </t>
  </si>
  <si>
    <t xml:space="preserve">GRAMITHERM EUROPE SA   </t>
  </si>
  <si>
    <t xml:space="preserve">BE0728618270        </t>
  </si>
  <si>
    <t xml:space="preserve">M. CHRISTIAN ROGGEMAN              </t>
  </si>
  <si>
    <t xml:space="preserve">RUE DES GLACES NATIONALES 87       </t>
  </si>
  <si>
    <t xml:space="preserve">SAMBREVILLE                   </t>
  </si>
  <si>
    <t xml:space="preserve">ALLER-RETOUR 176KM  </t>
  </si>
  <si>
    <t xml:space="preserve">s.louis@gramitherm.eu                   </t>
  </si>
  <si>
    <t xml:space="preserve">LBBH HR INTERNATIONAL  </t>
  </si>
  <si>
    <t xml:space="preserve">BE0741959829        </t>
  </si>
  <si>
    <t xml:space="preserve">CHAUSSEE DE LA HULPE 187           </t>
  </si>
  <si>
    <t xml:space="preserve">WATERMAEL-BOITSFORT           </t>
  </si>
  <si>
    <t>+32 2 735 4630</t>
  </si>
  <si>
    <t>ALLER-RETOUR : 212km</t>
  </si>
  <si>
    <t>+32 2 486 9648</t>
  </si>
  <si>
    <t xml:space="preserve">ldepryck@lbbh.eu                        </t>
  </si>
  <si>
    <t>TROXQUET VINCENT AVOCAT</t>
  </si>
  <si>
    <t xml:space="preserve">BE0826667157        </t>
  </si>
  <si>
    <t xml:space="preserve">RUE AUX LAINES 35                  </t>
  </si>
  <si>
    <t xml:space="preserve">+32 87293939  </t>
  </si>
  <si>
    <t xml:space="preserve">SARAH CECCATO                 </t>
  </si>
  <si>
    <t xml:space="preserve">info@troxquet-avocats.com               </t>
  </si>
  <si>
    <t>AB FINANCE &amp; MANAGEMENT</t>
  </si>
  <si>
    <t xml:space="preserve">BE0724578122        </t>
  </si>
  <si>
    <t xml:space="preserve">SRL                                </t>
  </si>
  <si>
    <t xml:space="preserve">12 PETITE CORNICHE                 </t>
  </si>
  <si>
    <t xml:space="preserve">HAM-SUR-HEURE                 </t>
  </si>
  <si>
    <t xml:space="preserve">benedicte.anciaux@matpartners.be        </t>
  </si>
  <si>
    <t xml:space="preserve">JOBARDENT SP           </t>
  </si>
  <si>
    <t xml:space="preserve">BE0897823090        </t>
  </si>
  <si>
    <t xml:space="preserve">RUE DE LA CENTRALE 2               </t>
  </si>
  <si>
    <t xml:space="preserve">Hortense Chapelle             </t>
  </si>
  <si>
    <t xml:space="preserve">hc@ccilvn.be                            </t>
  </si>
  <si>
    <t xml:space="preserve">BUREAU COMPTABLE ET    </t>
  </si>
  <si>
    <t xml:space="preserve">BE0840283779        </t>
  </si>
  <si>
    <t xml:space="preserve">FISCAL ROLAND HOUBART SPRL         </t>
  </si>
  <si>
    <t xml:space="preserve">+32 4 362 31  </t>
  </si>
  <si>
    <t xml:space="preserve">+32 475719611 </t>
  </si>
  <si>
    <t xml:space="preserve">roland.houbart@skynet.be                </t>
  </si>
  <si>
    <t xml:space="preserve">CROSSET ALEXANDRE      </t>
  </si>
  <si>
    <t xml:space="preserve">BE0669558732        </t>
  </si>
  <si>
    <t xml:space="preserve">ARCHITECTE INDEPENDANT             </t>
  </si>
  <si>
    <t xml:space="preserve">RUE MANDEVILLE 64/2                </t>
  </si>
  <si>
    <t xml:space="preserve">alexandre.crosset@gmail.com             </t>
  </si>
  <si>
    <t xml:space="preserve">SOMERS SOPHIE          </t>
  </si>
  <si>
    <t xml:space="preserve">RUE DE BOMEL 69                    </t>
  </si>
  <si>
    <t xml:space="preserve">ALLER-RETOUR 137KM  </t>
  </si>
  <si>
    <t xml:space="preserve">so.somers@skynet.be                     </t>
  </si>
  <si>
    <t xml:space="preserve">CHAUDFONTAINE DEVELOP. </t>
  </si>
  <si>
    <t xml:space="preserve">BE0698582518        </t>
  </si>
  <si>
    <t xml:space="preserve">DEVELOPPEMENT CSL                  </t>
  </si>
  <si>
    <t xml:space="preserve">AVENUE DU CENTENAIRE 14            </t>
  </si>
  <si>
    <t xml:space="preserve">+32 43615543  </t>
  </si>
  <si>
    <t xml:space="preserve">CHRISTELLE BLAFFART           </t>
  </si>
  <si>
    <t xml:space="preserve">CHAUDFONTAINE          </t>
  </si>
  <si>
    <t xml:space="preserve">christine.blaffart@chaudfontaine.be     </t>
  </si>
  <si>
    <t xml:space="preserve">REUCHAMPS JACQUES      </t>
  </si>
  <si>
    <t xml:space="preserve">AVENUE ROGIER 16                   </t>
  </si>
  <si>
    <t xml:space="preserve">Prive                         </t>
  </si>
  <si>
    <t xml:space="preserve">jr.am@skynet.be                         </t>
  </si>
  <si>
    <t xml:space="preserve">TROXQUET-LAMBERT SPRL  </t>
  </si>
  <si>
    <t xml:space="preserve">BE0442794508        </t>
  </si>
  <si>
    <t xml:space="preserve">NLMK CLABECQ SA        </t>
  </si>
  <si>
    <t xml:space="preserve">BE0461296861        </t>
  </si>
  <si>
    <t xml:space="preserve">RUE DE CLABECQ 101                 </t>
  </si>
  <si>
    <t xml:space="preserve">ITTRE                         </t>
  </si>
  <si>
    <t xml:space="preserve">r.maes@eu.nlmk.com                      </t>
  </si>
  <si>
    <t xml:space="preserve">DSC ACCOUNTING SRL     </t>
  </si>
  <si>
    <t xml:space="preserve">BE0758911964        </t>
  </si>
  <si>
    <t xml:space="preserve">RUE DES COMBATANTS 33              </t>
  </si>
  <si>
    <t xml:space="preserve">Kevin.dsc@dscaccounting.be              </t>
  </si>
  <si>
    <t xml:space="preserve">CHRISTIAN FONTAINE     </t>
  </si>
  <si>
    <t xml:space="preserve">BE0652345784        </t>
  </si>
  <si>
    <t xml:space="preserve">ARCHITECTE                         </t>
  </si>
  <si>
    <t xml:space="preserve">CHAUSSEE DE HEUSY 152              </t>
  </si>
  <si>
    <t xml:space="preserve">architecte.fontaine@gmail.com           </t>
  </si>
  <si>
    <t xml:space="preserve">MATHYSEN CHRISTOPHE    </t>
  </si>
  <si>
    <t xml:space="preserve">BE0863843594        </t>
  </si>
  <si>
    <t xml:space="preserve">DREVE RICHELLE 161                 </t>
  </si>
  <si>
    <t xml:space="preserve">A/R 220KM           </t>
  </si>
  <si>
    <t xml:space="preserve">christophe@easypartners.be              </t>
  </si>
  <si>
    <t xml:space="preserve">GREEN SQUARE SPRL      </t>
  </si>
  <si>
    <t xml:space="preserve">BE0640990450        </t>
  </si>
  <si>
    <t xml:space="preserve">NICOLAS DEHAYE                     </t>
  </si>
  <si>
    <t xml:space="preserve">AVENUE BOURGYS HENRI 57            </t>
  </si>
  <si>
    <t xml:space="preserve">+32 2 5214749 </t>
  </si>
  <si>
    <t xml:space="preserve">ALLER-RETOUR 222 KM </t>
  </si>
  <si>
    <t xml:space="preserve">nicolas@dehaye.com                      </t>
  </si>
  <si>
    <t xml:space="preserve">LES CHIROUX CENTRE     </t>
  </si>
  <si>
    <t xml:space="preserve">BE0412484679        </t>
  </si>
  <si>
    <t xml:space="preserve">CULTUREL DE LIEGE ASBL             </t>
  </si>
  <si>
    <t xml:space="preserve">PLACE DES CARMES 8                 </t>
  </si>
  <si>
    <t xml:space="preserve">+32 4 2208884 </t>
  </si>
  <si>
    <t xml:space="preserve">JONATHAN VIDOUSE              </t>
  </si>
  <si>
    <t xml:space="preserve">vidouse@chiroux.be                      </t>
  </si>
  <si>
    <t xml:space="preserve">VDB SPRL               </t>
  </si>
  <si>
    <t xml:space="preserve">BE0464080761        </t>
  </si>
  <si>
    <t xml:space="preserve">M. FRANCOIS VANDERBECQ             </t>
  </si>
  <si>
    <t xml:space="preserve">RUE DU CHATEAU SAINT-PIERRE 8      </t>
  </si>
  <si>
    <t xml:space="preserve">LE ROEULX                     </t>
  </si>
  <si>
    <t xml:space="preserve">ALLRE-RETOUR 238KM  </t>
  </si>
  <si>
    <t xml:space="preserve">francois@vdbsrl.be                      </t>
  </si>
  <si>
    <t xml:space="preserve">SERVI-HOME SPRL        </t>
  </si>
  <si>
    <t xml:space="preserve">BE0425529003        </t>
  </si>
  <si>
    <t xml:space="preserve">M. MICHAEL NOEL                    </t>
  </si>
  <si>
    <t xml:space="preserve">RUE BELVAUX 220                    </t>
  </si>
  <si>
    <t xml:space="preserve">04 342 77 94  </t>
  </si>
  <si>
    <t xml:space="preserve">servi-home@live.be                      </t>
  </si>
  <si>
    <t xml:space="preserve">BUREAU ASS. MONIOTTE   </t>
  </si>
  <si>
    <t xml:space="preserve">BE0426100115        </t>
  </si>
  <si>
    <t xml:space="preserve">LEOPOLD ET CIE SPRL                </t>
  </si>
  <si>
    <t xml:space="preserve">VOIE-DE-ROSSART OCHAMPS 36         </t>
  </si>
  <si>
    <t xml:space="preserve">LIBIN                         </t>
  </si>
  <si>
    <t>+3261 22 20 40</t>
  </si>
  <si>
    <t xml:space="preserve">ALLER-RETOUR 252KM  </t>
  </si>
  <si>
    <t xml:space="preserve">0000,00  000,00  0252  </t>
  </si>
  <si>
    <t xml:space="preserve">bureaumoniotte@skynet.be                </t>
  </si>
  <si>
    <t>AGENCE DE DEVELOPPEMENT</t>
  </si>
  <si>
    <t xml:space="preserve">BE0631995283        </t>
  </si>
  <si>
    <t xml:space="preserve">LOCAL DE NEUFCHATEAU               </t>
  </si>
  <si>
    <t xml:space="preserve">GRAND PLACE 1                      </t>
  </si>
  <si>
    <t xml:space="preserve">InfoADL@neufchateau.be                  </t>
  </si>
  <si>
    <t xml:space="preserve">METAUX EMBOUTIS SA     </t>
  </si>
  <si>
    <t xml:space="preserve">BE0404429919        </t>
  </si>
  <si>
    <t xml:space="preserve">176 EN HAUTE MAREXHE               </t>
  </si>
  <si>
    <t xml:space="preserve">invoice@mebf.be                         </t>
  </si>
  <si>
    <t xml:space="preserve">THONON PAUL            </t>
  </si>
  <si>
    <t xml:space="preserve">VOIE DE L'AIR PUR 45A              </t>
  </si>
  <si>
    <t xml:space="preserve">thonon@maisondufrein.be                 </t>
  </si>
  <si>
    <t xml:space="preserve">MEBF MECA SA           </t>
  </si>
  <si>
    <t xml:space="preserve">RUE HAUTE MAREXHE, 176             </t>
  </si>
  <si>
    <t xml:space="preserve">+32 042480828 </t>
  </si>
  <si>
    <t xml:space="preserve">MONSIEUR PELTZER              </t>
  </si>
  <si>
    <t xml:space="preserve">PAUL THONON            </t>
  </si>
  <si>
    <t xml:space="preserve">VOIE DE L'AUR PUR, 45A             </t>
  </si>
  <si>
    <t xml:space="preserve">0475/54.14.10 </t>
  </si>
  <si>
    <t xml:space="preserve">INVENTIVE TELECOM      </t>
  </si>
  <si>
    <t xml:space="preserve">BE0873561709        </t>
  </si>
  <si>
    <t xml:space="preserve">PARTNERS SA                        </t>
  </si>
  <si>
    <t xml:space="preserve">AVENUE DE FLEMING 12               </t>
  </si>
  <si>
    <t xml:space="preserve">p.monet@inventivetelecom.com            </t>
  </si>
  <si>
    <t xml:space="preserve">TRIGONE CONSEIL SA     </t>
  </si>
  <si>
    <t xml:space="preserve">BE0429016053        </t>
  </si>
  <si>
    <t xml:space="preserve">VOIE DE L'AIR PUR 17-19            </t>
  </si>
  <si>
    <t xml:space="preserve">AZARATIN@trigone-conseil.be             </t>
  </si>
  <si>
    <t xml:space="preserve">DR MANAGEMENT SCS      </t>
  </si>
  <si>
    <t xml:space="preserve">BE0715476948        </t>
  </si>
  <si>
    <t xml:space="preserve">AFFNAY 4B                          </t>
  </si>
  <si>
    <t xml:space="preserve">dany.renoy@dr-management.be             </t>
  </si>
  <si>
    <t xml:space="preserve">TERRACOTTA D'ARTE SPRL </t>
  </si>
  <si>
    <t xml:space="preserve">BE0462885087        </t>
  </si>
  <si>
    <t xml:space="preserve">RUE DE VIEMME (SLC) 15             </t>
  </si>
  <si>
    <t xml:space="preserve">info@terracottadarte.be                 </t>
  </si>
  <si>
    <t xml:space="preserve">TSBV SA                </t>
  </si>
  <si>
    <t xml:space="preserve">BE0452937243        </t>
  </si>
  <si>
    <t xml:space="preserve">RUE OSTER 6                        </t>
  </si>
  <si>
    <t xml:space="preserve">EREZEEE                       </t>
  </si>
  <si>
    <t xml:space="preserve">tsbv@tsbv.be                            </t>
  </si>
  <si>
    <t xml:space="preserve">ISIRO                  </t>
  </si>
  <si>
    <t xml:space="preserve">BE0503977158        </t>
  </si>
  <si>
    <t xml:space="preserve">FIDUCIAIRE - CONSEIL               </t>
  </si>
  <si>
    <t xml:space="preserve">RUE DU PONT D'AVROY, 19            </t>
  </si>
  <si>
    <t xml:space="preserve">laurent@isiro.be                        </t>
  </si>
  <si>
    <t>BUREAU COMPTABLE TRINON</t>
  </si>
  <si>
    <t xml:space="preserve">BE0476244561        </t>
  </si>
  <si>
    <t xml:space="preserve">RUE DE CAMPINE 302                 </t>
  </si>
  <si>
    <t xml:space="preserve">bctrinon@gmail.com                      </t>
  </si>
  <si>
    <t xml:space="preserve">SO IN EXPERTISE SPRL   </t>
  </si>
  <si>
    <t xml:space="preserve">BE0541925538        </t>
  </si>
  <si>
    <t xml:space="preserve">RUE DE MONS (BOM) 46               </t>
  </si>
  <si>
    <t xml:space="preserve">so-in-comptabilite@outlook.com          </t>
  </si>
  <si>
    <t xml:space="preserve">CHRISTALE SPRL         </t>
  </si>
  <si>
    <t xml:space="preserve">BE0878039347        </t>
  </si>
  <si>
    <t xml:space="preserve">PLACE GEORGES-ISTA 26              </t>
  </si>
  <si>
    <t xml:space="preserve">compta.poivreetselista@gmail.com        </t>
  </si>
  <si>
    <t xml:space="preserve">NEW LOOK COMMUNICATION </t>
  </si>
  <si>
    <t xml:space="preserve">BE0422456279        </t>
  </si>
  <si>
    <t xml:space="preserve">RUE DU THIER 6/A                   </t>
  </si>
  <si>
    <t xml:space="preserve">ANTHISNES                     </t>
  </si>
  <si>
    <t xml:space="preserve">ppruvost@me.com                         </t>
  </si>
  <si>
    <t xml:space="preserve">MT CONSULT SPRL        </t>
  </si>
  <si>
    <t xml:space="preserve">BE0479688160        </t>
  </si>
  <si>
    <t xml:space="preserve">RUE VERT BUISSON 318               </t>
  </si>
  <si>
    <t xml:space="preserve">michel@mtconsult.eu                     </t>
  </si>
  <si>
    <t xml:space="preserve">LE MARCHE MATINAL DE   </t>
  </si>
  <si>
    <t xml:space="preserve">BE0402343231        </t>
  </si>
  <si>
    <t xml:space="preserve">LIEGE SCRL                         </t>
  </si>
  <si>
    <t xml:space="preserve">AVENUE JOSEPH-PREVERS 29           </t>
  </si>
  <si>
    <t xml:space="preserve">info@mmdl.be                            </t>
  </si>
  <si>
    <t xml:space="preserve">ETS. JARDIRAMA SCRL    </t>
  </si>
  <si>
    <t xml:space="preserve">BE0423152206        </t>
  </si>
  <si>
    <t xml:space="preserve">RUE DE LA GARE 12                  </t>
  </si>
  <si>
    <t xml:space="preserve">info@jardirama.be                       </t>
  </si>
  <si>
    <t xml:space="preserve">HEFAH SPRL             </t>
  </si>
  <si>
    <t xml:space="preserve">BE0478452203        </t>
  </si>
  <si>
    <t xml:space="preserve">GRAND ROUTE 63/6                   </t>
  </si>
  <si>
    <t xml:space="preserve">CRISNEE                       </t>
  </si>
  <si>
    <t xml:space="preserve">f.hennemann68@gmail.com                 </t>
  </si>
  <si>
    <t xml:space="preserve">H DE ST-ONGE IV        </t>
  </si>
  <si>
    <t xml:space="preserve">BE0548888653        </t>
  </si>
  <si>
    <t xml:space="preserve">RUE LEON THEODOR 58                </t>
  </si>
  <si>
    <t xml:space="preserve">JETTE                         </t>
  </si>
  <si>
    <t xml:space="preserve">f.delepine@outlook.com                  </t>
  </si>
  <si>
    <t xml:space="preserve">TRANSPORTS GERMAY SA   </t>
  </si>
  <si>
    <t xml:space="preserve">BE0432286438        </t>
  </si>
  <si>
    <t xml:space="preserve">RUE DES TECHNOLOGIES 22            </t>
  </si>
  <si>
    <t xml:space="preserve">info@germay-manutentions.be             </t>
  </si>
  <si>
    <t xml:space="preserve">FIDUDEP SPRL           </t>
  </si>
  <si>
    <t xml:space="preserve">BE0463654357        </t>
  </si>
  <si>
    <t xml:space="preserve">RUE LAIXHEAU 101                   </t>
  </si>
  <si>
    <t xml:space="preserve">angelo@bureauianieri.be                 </t>
  </si>
  <si>
    <t xml:space="preserve">DOMAINE DE LA          </t>
  </si>
  <si>
    <t xml:space="preserve">BE0525685758        </t>
  </si>
  <si>
    <t xml:space="preserve">PASSERELLE SPRL                    </t>
  </si>
  <si>
    <t xml:space="preserve">CHAUSSEE CHURCHILL 54              </t>
  </si>
  <si>
    <t xml:space="preserve">raphael.dacas@hotmail.com               </t>
  </si>
  <si>
    <t xml:space="preserve">COMPTAFISCA PME SPRL   </t>
  </si>
  <si>
    <t xml:space="preserve">BE0476497553        </t>
  </si>
  <si>
    <t xml:space="preserve">PLACE D'ITALIE 1/061               </t>
  </si>
  <si>
    <t xml:space="preserve">jf.corvilain@delosconseil.be            </t>
  </si>
  <si>
    <t xml:space="preserve">CK TECHNOLOGY SPRL     </t>
  </si>
  <si>
    <t xml:space="preserve">BE0458532658        </t>
  </si>
  <si>
    <t xml:space="preserve">RUE DE MAESTRICHT 69/A             </t>
  </si>
  <si>
    <t xml:space="preserve">marie-alix.sauvage@ck-techno.com        </t>
  </si>
  <si>
    <t xml:space="preserve">CEDIP SA               </t>
  </si>
  <si>
    <t xml:space="preserve">BE0454992653        </t>
  </si>
  <si>
    <t xml:space="preserve">RUE DU POIRIER 3                   </t>
  </si>
  <si>
    <t xml:space="preserve">MARCHIN                       </t>
  </si>
  <si>
    <t xml:space="preserve">tania.duchesne@en-tandem.be             </t>
  </si>
  <si>
    <t xml:space="preserve">BLEGNY MINE ASBL       </t>
  </si>
  <si>
    <t xml:space="preserve">BE0425039152        </t>
  </si>
  <si>
    <t xml:space="preserve">RUE LAMBERT MARLET 23              </t>
  </si>
  <si>
    <t xml:space="preserve">pierre.servais@blegnymine.be            </t>
  </si>
  <si>
    <t xml:space="preserve">BIO FAGNES SPRL        </t>
  </si>
  <si>
    <t xml:space="preserve">BE0845247805        </t>
  </si>
  <si>
    <t xml:space="preserve">LES DIGUES 6                       </t>
  </si>
  <si>
    <t xml:space="preserve">.             </t>
  </si>
  <si>
    <t xml:space="preserve">dbernardplanet@yahoo.fr                 </t>
  </si>
  <si>
    <t xml:space="preserve">B&amp;C ASSOCIATES SPRL    </t>
  </si>
  <si>
    <t xml:space="preserve">BE0542595333        </t>
  </si>
  <si>
    <t>AV. BOURGMESTRE ETIENNE DEMUNTER 23</t>
  </si>
  <si>
    <t xml:space="preserve">laura@bcassociates.be                   </t>
  </si>
  <si>
    <t xml:space="preserve">AD REALISATIONS SA     </t>
  </si>
  <si>
    <t xml:space="preserve">BE0458781393        </t>
  </si>
  <si>
    <t xml:space="preserve">RUE DE LOUVEIGNE 188               </t>
  </si>
  <si>
    <t xml:space="preserve">info@adrealisations.com                 </t>
  </si>
  <si>
    <t xml:space="preserve">ALL CLEANING           </t>
  </si>
  <si>
    <t xml:space="preserve">BE0458818017        </t>
  </si>
  <si>
    <t xml:space="preserve">DEVELOPMENT SPRL                   </t>
  </si>
  <si>
    <t xml:space="preserve">BOULEVARD DE L'OURTHE 20           </t>
  </si>
  <si>
    <t xml:space="preserve">facturation@acd-nettoyage.com           </t>
  </si>
  <si>
    <t xml:space="preserve">JARDITECH SA           </t>
  </si>
  <si>
    <t xml:space="preserve">BE0862477082        </t>
  </si>
  <si>
    <t xml:space="preserve">RUE DE VERVIERS 114                </t>
  </si>
  <si>
    <t xml:space="preserve">info@jarditech.be                       </t>
  </si>
  <si>
    <t xml:space="preserve">EKILIBRE SPRL          </t>
  </si>
  <si>
    <t xml:space="preserve">BE0879766937        </t>
  </si>
  <si>
    <t xml:space="preserve">GRAND PLACE 8                      </t>
  </si>
  <si>
    <t xml:space="preserve">info@ekilibre.be                        </t>
  </si>
  <si>
    <t xml:space="preserve">SHILO ANNA SNC         </t>
  </si>
  <si>
    <t xml:space="preserve">BE0533799710        </t>
  </si>
  <si>
    <t xml:space="preserve">M.  RODERBOURG                     </t>
  </si>
  <si>
    <t xml:space="preserve">RUE DE FRANCE 74                   </t>
  </si>
  <si>
    <t xml:space="preserve">087 22 15 73  </t>
  </si>
  <si>
    <t xml:space="preserve">info@roderbourg.be                      </t>
  </si>
  <si>
    <t>LIBRA-TAX &amp; ACCOUNTANCY</t>
  </si>
  <si>
    <t xml:space="preserve">RUE DES ANGLAIS, 6A                </t>
  </si>
  <si>
    <t xml:space="preserve">SEBASTIEN DEHARD              </t>
  </si>
  <si>
    <t xml:space="preserve">compta@libra.be                         </t>
  </si>
  <si>
    <t xml:space="preserve">THE CITY RENT SA       </t>
  </si>
  <si>
    <t xml:space="preserve">BE0872106511        </t>
  </si>
  <si>
    <t xml:space="preserve">MME CHRISTEL GEHLEN                </t>
  </si>
  <si>
    <t xml:space="preserve">AVENUE DU PONT DE WARCHE 17        </t>
  </si>
  <si>
    <t xml:space="preserve">ALLER-RETOUR 108KM  </t>
  </si>
  <si>
    <t>+32498 867 665</t>
  </si>
  <si>
    <t xml:space="preserve">christel@workpoint.be                   </t>
  </si>
  <si>
    <t xml:space="preserve">SB MANAGEMENT SRL      </t>
  </si>
  <si>
    <t xml:space="preserve">BE0541912868        </t>
  </si>
  <si>
    <t xml:space="preserve">M. STEPHAN BUFFEL                  </t>
  </si>
  <si>
    <t xml:space="preserve">DREVE RICHELLE, 161 - BOITE 25     </t>
  </si>
  <si>
    <t xml:space="preserve">ALLER-RETOUR 212KM  </t>
  </si>
  <si>
    <t>+32471 522 853</t>
  </si>
  <si>
    <t xml:space="preserve">stephan@easypartners.be                 </t>
  </si>
  <si>
    <t xml:space="preserve">CL. DENT. CDPY         </t>
  </si>
  <si>
    <t xml:space="preserve">BE0683576717        </t>
  </si>
  <si>
    <t xml:space="preserve">PORT DES YACHTS NEW SPRL           </t>
  </si>
  <si>
    <t xml:space="preserve">BOULEVARD FRERE-ORBAN 12/11        </t>
  </si>
  <si>
    <t xml:space="preserve">VVTW SRL               </t>
  </si>
  <si>
    <t xml:space="preserve">BE0553476060        </t>
  </si>
  <si>
    <t xml:space="preserve">M. JOSE TEIXEIRA                   </t>
  </si>
  <si>
    <t xml:space="preserve">AVENUE HENRI WARNANT 22            </t>
  </si>
  <si>
    <t xml:space="preserve">0487 419120   </t>
  </si>
  <si>
    <t xml:space="preserve">j.teixeira@vvtw.be                      </t>
  </si>
  <si>
    <t xml:space="preserve">MAISON DES VINS FINS   </t>
  </si>
  <si>
    <t xml:space="preserve">BE0401129147        </t>
  </si>
  <si>
    <t xml:space="preserve">RUE DES ARBALESTRIERS 26           </t>
  </si>
  <si>
    <t xml:space="preserve">065 35 16 66  </t>
  </si>
  <si>
    <t xml:space="preserve">ALLER-RETOUR: 262KM </t>
  </si>
  <si>
    <t xml:space="preserve">info@maisondesvinsfins.be               </t>
  </si>
  <si>
    <t xml:space="preserve">DENTASOFT SPRL         </t>
  </si>
  <si>
    <t xml:space="preserve">BE0895096895        </t>
  </si>
  <si>
    <t xml:space="preserve">M. JACOB AMZEL                     </t>
  </si>
  <si>
    <t xml:space="preserve">RUE PIERRE FLAMAND 39              </t>
  </si>
  <si>
    <t xml:space="preserve">ALLER-RETOUR 224KM  </t>
  </si>
  <si>
    <t xml:space="preserve">jacob@dentasoft.be                      </t>
  </si>
  <si>
    <t xml:space="preserve">SCHMETZ MIREILLE       </t>
  </si>
  <si>
    <t xml:space="preserve">BE0849096824        </t>
  </si>
  <si>
    <t xml:space="preserve">VOSHEYDT 11                        </t>
  </si>
  <si>
    <t xml:space="preserve">PLOMBIERE                     </t>
  </si>
  <si>
    <t xml:space="preserve">Mireille.schmetz13@gmail.com            </t>
  </si>
  <si>
    <t xml:space="preserve">ALLEUR EMBALL SPRL     </t>
  </si>
  <si>
    <t xml:space="preserve">BE0884029195        </t>
  </si>
  <si>
    <t xml:space="preserve">M. SALVATORE TURCO                 </t>
  </si>
  <si>
    <t xml:space="preserve">RUE LAGUESSE 23                    </t>
  </si>
  <si>
    <t xml:space="preserve">info@alleuremball.be                    </t>
  </si>
  <si>
    <t xml:space="preserve">TRANS. VGH             </t>
  </si>
  <si>
    <t xml:space="preserve">BE0414719639        </t>
  </si>
  <si>
    <t xml:space="preserve">RUE DE COQUIAMONT 19               </t>
  </si>
  <si>
    <t xml:space="preserve">THOREMBAIS-LES-BEGUINES       </t>
  </si>
  <si>
    <t xml:space="preserve">ALLER-RETOUR 134KM  </t>
  </si>
  <si>
    <t xml:space="preserve">christelle@transports-vgh.be            </t>
  </si>
  <si>
    <t xml:space="preserve">GRANA SOAD PP          </t>
  </si>
  <si>
    <t xml:space="preserve">BE0779150817        </t>
  </si>
  <si>
    <t xml:space="preserve">MME S. GRANA                       </t>
  </si>
  <si>
    <t xml:space="preserve">RUE SYLVAIN BAWIN 51               </t>
  </si>
  <si>
    <t xml:space="preserve">ORP-LE-GRAND                  </t>
  </si>
  <si>
    <t xml:space="preserve">ALLER-RETOUR 100KM  </t>
  </si>
  <si>
    <t xml:space="preserve">info@bgrana.be                          </t>
  </si>
  <si>
    <t xml:space="preserve">DISTRIVINS SPRL        </t>
  </si>
  <si>
    <t xml:space="preserve">BE0883668812        </t>
  </si>
  <si>
    <t xml:space="preserve">ALBERT JACQUES                     </t>
  </si>
  <si>
    <t xml:space="preserve">RUE TOUSSAINT GERKENS 72/B         </t>
  </si>
  <si>
    <t xml:space="preserve">DELTA CLEAN SPRL       </t>
  </si>
  <si>
    <t xml:space="preserve">BE0436032519        </t>
  </si>
  <si>
    <t xml:space="preserve">CHAUSSEE DE HAECHT 1174            </t>
  </si>
  <si>
    <t xml:space="preserve">EVERE                         </t>
  </si>
  <si>
    <t xml:space="preserve">sales@deltaclean.be                     </t>
  </si>
  <si>
    <t xml:space="preserve">TRAVHYSTOR SRL         </t>
  </si>
  <si>
    <t xml:space="preserve">BE0760339745        </t>
  </si>
  <si>
    <t xml:space="preserve">M. JULIEN BRUYERE                  </t>
  </si>
  <si>
    <t xml:space="preserve">8 RUE DE L'ABBAYE                  </t>
  </si>
  <si>
    <t xml:space="preserve">LEGRAND QCM SA         </t>
  </si>
  <si>
    <t xml:space="preserve">BE0449619744        </t>
  </si>
  <si>
    <t xml:space="preserve">M. FABRICE LEGRAND                 </t>
  </si>
  <si>
    <t xml:space="preserve">RUE DU TROU PERDU, 8               </t>
  </si>
  <si>
    <t xml:space="preserve">THON                          </t>
  </si>
  <si>
    <t xml:space="preserve">ALLER-RETOUR: 126km </t>
  </si>
  <si>
    <t xml:space="preserve">Fabrice.legrand@acel-led.com            </t>
  </si>
  <si>
    <t xml:space="preserve">FIDUCIAIRE COMPTAFISCA </t>
  </si>
  <si>
    <t xml:space="preserve">BE0402385494        </t>
  </si>
  <si>
    <t xml:space="preserve">SRL        </t>
  </si>
  <si>
    <t xml:space="preserve">PLACE D'ITALIE, 1/061              </t>
  </si>
  <si>
    <t xml:space="preserve">christophe.rinne@skynet.be              </t>
  </si>
  <si>
    <t xml:space="preserve">PRINCE CARAVANING      </t>
  </si>
  <si>
    <t xml:space="preserve">BE0465071844        </t>
  </si>
  <si>
    <t xml:space="preserve">ROUTE DE COUVIN, 9                 </t>
  </si>
  <si>
    <t xml:space="preserve">WALCOURT                      </t>
  </si>
  <si>
    <t xml:space="preserve">ALLER-RETOUR: 228KM </t>
  </si>
  <si>
    <t xml:space="preserve">compta@princecaravaning.be              </t>
  </si>
  <si>
    <t xml:space="preserve">HEYLOC S.R.L.          </t>
  </si>
  <si>
    <t xml:space="preserve">BE0758469427        </t>
  </si>
  <si>
    <t xml:space="preserve">ZONING INDUSTRIEL 1ERE RUE, 5      </t>
  </si>
  <si>
    <t xml:space="preserve">info@heyloc.be                          </t>
  </si>
  <si>
    <t xml:space="preserve">GELATERIA JOHN JOHN    </t>
  </si>
  <si>
    <t xml:space="preserve">BE0707642021        </t>
  </si>
  <si>
    <t xml:space="preserve">CHEMIN DE L'YERNE 2                </t>
  </si>
  <si>
    <t xml:space="preserve">admin@johnjohn.eu                       </t>
  </si>
  <si>
    <t xml:space="preserve">ACA SERVICES SPRL      </t>
  </si>
  <si>
    <t xml:space="preserve">BE0841816676        </t>
  </si>
  <si>
    <t xml:space="preserve">RUE GEORGES TRUFFAUT 47            </t>
  </si>
  <si>
    <t xml:space="preserve">angelo@acas-services.be                 </t>
  </si>
  <si>
    <t xml:space="preserve">IZIFIN                 </t>
  </si>
  <si>
    <t xml:space="preserve">BE0432413429        </t>
  </si>
  <si>
    <t xml:space="preserve">RUE DE BRUXELLES 71 BTE 7          </t>
  </si>
  <si>
    <t xml:space="preserve">+32 4 2335149 </t>
  </si>
  <si>
    <t xml:space="preserve">Invoices+X2M-67-EQ9@winauditor.net      </t>
  </si>
  <si>
    <t xml:space="preserve">GESTALIA CONSULT SRL   </t>
  </si>
  <si>
    <t xml:space="preserve">BE0667848364        </t>
  </si>
  <si>
    <t xml:space="preserve">AVENUE PAUL PASTUR 305             </t>
  </si>
  <si>
    <t xml:space="preserve">206km ALLER-RETOUR  </t>
  </si>
  <si>
    <t xml:space="preserve">sd@dynamicaccount.be                    </t>
  </si>
  <si>
    <t xml:space="preserve">PREUDHOMME SRL         </t>
  </si>
  <si>
    <t xml:space="preserve">BE0477197537        </t>
  </si>
  <si>
    <t xml:space="preserve">M. GIANNI ARLIA                    </t>
  </si>
  <si>
    <t xml:space="preserve">RUE DES MOULINS 191                </t>
  </si>
  <si>
    <t xml:space="preserve">administration@preudhomme.eu            </t>
  </si>
  <si>
    <t xml:space="preserve">AEM ASCENSEURS SRL     </t>
  </si>
  <si>
    <t xml:space="preserve">BE0546967162        </t>
  </si>
  <si>
    <t xml:space="preserve">COUR LEMAIRE 7                     </t>
  </si>
  <si>
    <t xml:space="preserve">c.doome@geslift.be                      </t>
  </si>
  <si>
    <t xml:space="preserve">MANAGING TAX CONSULT   </t>
  </si>
  <si>
    <t xml:space="preserve">BE0652971633        </t>
  </si>
  <si>
    <t xml:space="preserve">GRAND VINAVE 67A - RDC             </t>
  </si>
  <si>
    <t xml:space="preserve">LA REID                       </t>
  </si>
  <si>
    <t xml:space="preserve">Fabienne DECRUCQ              </t>
  </si>
  <si>
    <t xml:space="preserve">fabienne@mtconsult.eu                   </t>
  </si>
  <si>
    <t xml:space="preserve">SEPTEO BELGIQUE        </t>
  </si>
  <si>
    <t xml:space="preserve">BE0724881097        </t>
  </si>
  <si>
    <t xml:space="preserve">CHAUSSEE DE TONGRES, 382           </t>
  </si>
  <si>
    <t xml:space="preserve">be@septeo.be                            </t>
  </si>
  <si>
    <t xml:space="preserve">PHALSU SPRL            </t>
  </si>
  <si>
    <t xml:space="preserve">BE0667859846        </t>
  </si>
  <si>
    <t xml:space="preserve">M. MAXIMILIEN PETIT                </t>
  </si>
  <si>
    <t xml:space="preserve">RUE DES BOLETTES 13                </t>
  </si>
  <si>
    <t xml:space="preserve">LEUZE-EGHEZEE                 </t>
  </si>
  <si>
    <t xml:space="preserve">0000,00  000,00  0122  </t>
  </si>
  <si>
    <t xml:space="preserve">maximilien.petit@dupigny.be             </t>
  </si>
  <si>
    <t xml:space="preserve">DURLANG SA             </t>
  </si>
  <si>
    <t xml:space="preserve">BE0635597745        </t>
  </si>
  <si>
    <t xml:space="preserve">MME MANON GILSON                   </t>
  </si>
  <si>
    <t xml:space="preserve">RUE DE L'INVASION 49/47            </t>
  </si>
  <si>
    <t xml:space="preserve">info@durlang.com                        </t>
  </si>
  <si>
    <t xml:space="preserve">EG CONSULTING SRL      </t>
  </si>
  <si>
    <t xml:space="preserve">BE0872407904        </t>
  </si>
  <si>
    <t xml:space="preserve">Rue D'Enhaive 69/107               </t>
  </si>
  <si>
    <t xml:space="preserve">demoulin.grawez@skynet.be               </t>
  </si>
  <si>
    <t xml:space="preserve">LABORATOIRES REUNIS    </t>
  </si>
  <si>
    <t xml:space="preserve">BE0427701407        </t>
  </si>
  <si>
    <t xml:space="preserve">RUE BUREAU 37                      </t>
  </si>
  <si>
    <t xml:space="preserve">jlhouet@laboreunis.be                   </t>
  </si>
  <si>
    <t xml:space="preserve">HALO STEELRINGS SA     </t>
  </si>
  <si>
    <t xml:space="preserve">BE0425222462        </t>
  </si>
  <si>
    <t xml:space="preserve">RUE DE MARNIX 3                    </t>
  </si>
  <si>
    <t xml:space="preserve">Jean-Marc.Geebelen@halo-steelrings.com  </t>
  </si>
  <si>
    <t xml:space="preserve">TRANSPORTS RAYMACKERS  </t>
  </si>
  <si>
    <t xml:space="preserve">BE0406710310        </t>
  </si>
  <si>
    <t xml:space="preserve">GRAND ROUTE 17                     </t>
  </si>
  <si>
    <t xml:space="preserve">marie@transport-raymackers.be           </t>
  </si>
  <si>
    <t xml:space="preserve">PROVINCE DE LIEGE      </t>
  </si>
  <si>
    <t xml:space="preserve">BE0207725104        </t>
  </si>
  <si>
    <t xml:space="preserve">ADMIN. PUBLIQUE PROVINCIALE        </t>
  </si>
  <si>
    <t xml:space="preserve">RUE ERNEST SOLVAY 11               </t>
  </si>
  <si>
    <t xml:space="preserve">JONATHAN REGINSTER            </t>
  </si>
  <si>
    <t>secretariat.informatique@provincedeliege</t>
  </si>
  <si>
    <t xml:space="preserve">TELECLEAN SA           </t>
  </si>
  <si>
    <t xml:space="preserve">BE0420161438        </t>
  </si>
  <si>
    <t xml:space="preserve">ANTOINE FONTAINE                   </t>
  </si>
  <si>
    <t xml:space="preserve">CHAUSSEE DE BOONDAEL 6/3           </t>
  </si>
  <si>
    <t>+322 647 76 75</t>
  </si>
  <si>
    <t xml:space="preserve">ALLER-RETOUR 200KM  </t>
  </si>
  <si>
    <t xml:space="preserve">af@teleclean.be                         </t>
  </si>
  <si>
    <t xml:space="preserve">BOULANGER PRISCILLA    </t>
  </si>
  <si>
    <t xml:space="preserve">BE0599956381        </t>
  </si>
  <si>
    <t xml:space="preserve">RUE L'APLEIT 9                     </t>
  </si>
  <si>
    <t xml:space="preserve">priboupri@gmail.com                     </t>
  </si>
  <si>
    <t xml:space="preserve">TOMBEUR MARIANNE       </t>
  </si>
  <si>
    <t xml:space="preserve">RUE DES SCYOUX 12                  </t>
  </si>
  <si>
    <t xml:space="preserve">ALLER-RETOUR: 140KM </t>
  </si>
  <si>
    <t xml:space="preserve">marianne.tombeur@skynet.be              </t>
  </si>
  <si>
    <t xml:space="preserve">AGRI-ACTIV SA          </t>
  </si>
  <si>
    <t xml:space="preserve">M. LOUIS BEAUVOIS                  </t>
  </si>
  <si>
    <t xml:space="preserve">RUE DE WEILLEN 4                   </t>
  </si>
  <si>
    <t xml:space="preserve">ONHAYE                        </t>
  </si>
  <si>
    <t>+32 82 64 6264</t>
  </si>
  <si>
    <t xml:space="preserve">ALLER-RETOUR: 206km </t>
  </si>
  <si>
    <t xml:space="preserve">AA-be-invoice@agri-activ.be             </t>
  </si>
  <si>
    <t xml:space="preserve">ETUDE HUISSIER DE      </t>
  </si>
  <si>
    <t xml:space="preserve">BE0771885517        </t>
  </si>
  <si>
    <t xml:space="preserve">JUSTICE    </t>
  </si>
  <si>
    <t xml:space="preserve">RICHIR PHILIPPE SRL (EHJRP)        </t>
  </si>
  <si>
    <t xml:space="preserve">RUE DES BRASSEURS, 182             </t>
  </si>
  <si>
    <t>+3281 25 92 90</t>
  </si>
  <si>
    <t xml:space="preserve">RICHIR PHILIPPE SRL    </t>
  </si>
  <si>
    <t xml:space="preserve">BUZON GROUP SCA        </t>
  </si>
  <si>
    <t xml:space="preserve">BE0430058210        </t>
  </si>
  <si>
    <t xml:space="preserve">PARC IND. DES HAUTS SARTS 4e av 25 </t>
  </si>
  <si>
    <t xml:space="preserve">julie.bourchis@buzon-world.com          </t>
  </si>
  <si>
    <t xml:space="preserve">AIR B N C              </t>
  </si>
  <si>
    <t xml:space="preserve">BE0667753839        </t>
  </si>
  <si>
    <t xml:space="preserve">ROUTE DE LIERS 116                 </t>
  </si>
  <si>
    <t xml:space="preserve">info@manavahotel.be                     </t>
  </si>
  <si>
    <t xml:space="preserve">NVFP SRL               </t>
  </si>
  <si>
    <t xml:space="preserve">BE0671663137        </t>
  </si>
  <si>
    <t xml:space="preserve">VALERY FANIELLE                    </t>
  </si>
  <si>
    <t xml:space="preserve">PLACE ALBERT 1ER, 36               </t>
  </si>
  <si>
    <t xml:space="preserve">ALLER-RETOUR: 108KM </t>
  </si>
  <si>
    <t xml:space="preserve">valery@cafelecentre.be                  </t>
  </si>
  <si>
    <t xml:space="preserve">WINE NEW SARL          </t>
  </si>
  <si>
    <t xml:space="preserve">BE0829741067        </t>
  </si>
  <si>
    <t xml:space="preserve">10 RUE DE LA JUSTICE DE PAIX       </t>
  </si>
  <si>
    <t xml:space="preserve">BRAIVES                       </t>
  </si>
  <si>
    <t xml:space="preserve">DMS SRL                </t>
  </si>
  <si>
    <t xml:space="preserve">BE0431480744        </t>
  </si>
  <si>
    <t xml:space="preserve">RUE EDGARD SOHIESTRAAT 79          </t>
  </si>
  <si>
    <t xml:space="preserve">HOEILAART                     </t>
  </si>
  <si>
    <t xml:space="preserve">admin@dm-s.be                           </t>
  </si>
  <si>
    <t xml:space="preserve">AAIKO CONSULT SRL      </t>
  </si>
  <si>
    <t xml:space="preserve">BE0473011293        </t>
  </si>
  <si>
    <t xml:space="preserve">M. LUC POELMANS                    </t>
  </si>
  <si>
    <t xml:space="preserve">OUDE RONDELAAN 76                  </t>
  </si>
  <si>
    <t xml:space="preserve">ALLER RETOUR 166KM  </t>
  </si>
  <si>
    <t xml:space="preserve">johan.poelmans@aaiko.be                 </t>
  </si>
  <si>
    <t xml:space="preserve">LEMAIRE ARCHITECTURE   </t>
  </si>
  <si>
    <t xml:space="preserve">BE0846597390        </t>
  </si>
  <si>
    <t xml:space="preserve">186 BOULEVARD D'AVROY              </t>
  </si>
  <si>
    <t xml:space="preserve">t.gouders@lemaire-architecture.be       </t>
  </si>
  <si>
    <t xml:space="preserve">ARNAULD DOMBRET        </t>
  </si>
  <si>
    <t xml:space="preserve">BE0681912671        </t>
  </si>
  <si>
    <t xml:space="preserve">80 AVENUE DES SANSONNETS           </t>
  </si>
  <si>
    <t xml:space="preserve">ado@auxo.be                             </t>
  </si>
  <si>
    <t xml:space="preserve">VISE DIESEL SRL        </t>
  </si>
  <si>
    <t xml:space="preserve">BE0462762254        </t>
  </si>
  <si>
    <t xml:space="preserve">MME RAFFAY                         </t>
  </si>
  <si>
    <t xml:space="preserve">RUE DE MAASTRICHT (VIS) 89         </t>
  </si>
  <si>
    <t xml:space="preserve">+324 379 2799 </t>
  </si>
  <si>
    <t xml:space="preserve">info@vise-diesel.be                     </t>
  </si>
  <si>
    <t xml:space="preserve">AGNELLO BUREAU         </t>
  </si>
  <si>
    <t xml:space="preserve">BE0435228706        </t>
  </si>
  <si>
    <t xml:space="preserve">D'ARCHITECTURE SRL                 </t>
  </si>
  <si>
    <t xml:space="preserve">RUE DE L'HOTEL COMMUNAL 71         </t>
  </si>
  <si>
    <t xml:space="preserve">info@architectureagnello.be             </t>
  </si>
  <si>
    <t xml:space="preserve">SYNERGIS RCA ASBL      </t>
  </si>
  <si>
    <t xml:space="preserve">BE0872531331        </t>
  </si>
  <si>
    <t xml:space="preserve">MME NATHALIE BAILLY                </t>
  </si>
  <si>
    <t xml:space="preserve">AVENUE ELISABETH 92                </t>
  </si>
  <si>
    <t xml:space="preserve">NATHALIE BAILLY               </t>
  </si>
  <si>
    <t xml:space="preserve">info@synergis.be                        </t>
  </si>
  <si>
    <t xml:space="preserve">CHAUDFONTAINE SERVICES </t>
  </si>
  <si>
    <t xml:space="preserve">BE0425616994        </t>
  </si>
  <si>
    <t xml:space="preserve">ASBL                               </t>
  </si>
  <si>
    <t xml:space="preserve">VOIE DE L'AIR PUR 102              </t>
  </si>
  <si>
    <t xml:space="preserve">mme anne legros               </t>
  </si>
  <si>
    <t xml:space="preserve">a.legros@chaudfontaineservices.be       </t>
  </si>
  <si>
    <t xml:space="preserve">CORE TONIC SPRL        </t>
  </si>
  <si>
    <t xml:space="preserve">BE0568972504        </t>
  </si>
  <si>
    <t xml:space="preserve">MME DANIELLE SOUGNE                </t>
  </si>
  <si>
    <t xml:space="preserve">RUE MARCEL DE BROGNIEZ 13A         </t>
  </si>
  <si>
    <t xml:space="preserve">contact@coretonic.be                    </t>
  </si>
  <si>
    <t xml:space="preserve">CCR LIEGE ASBL         </t>
  </si>
  <si>
    <t xml:space="preserve">BE0865155668        </t>
  </si>
  <si>
    <t xml:space="preserve">MME JUSTINE CONSTANT               </t>
  </si>
  <si>
    <t xml:space="preserve">RUE DU VERTBOIS 13A                </t>
  </si>
  <si>
    <t xml:space="preserve">coordination@ccrliege.be                </t>
  </si>
  <si>
    <t xml:space="preserve">OZ GROUP SA            </t>
  </si>
  <si>
    <t xml:space="preserve">BE0465281284        </t>
  </si>
  <si>
    <t xml:space="preserve">19 RUE HESTROUMONT                 </t>
  </si>
  <si>
    <t>Situation juridiqueSursis (réo</t>
  </si>
  <si>
    <t xml:space="preserve">Depuis 10/11/2020   </t>
  </si>
  <si>
    <t xml:space="preserve">pierre.legras@troxquet-avocats.com      </t>
  </si>
  <si>
    <t xml:space="preserve">L'ANTRE (BY VAUDREE)   </t>
  </si>
  <si>
    <t xml:space="preserve">BE0824353411        </t>
  </si>
  <si>
    <t xml:space="preserve">BOULEVARD DE L'OURTHE 10           </t>
  </si>
  <si>
    <t xml:space="preserve">NOE LEBOUTTE                  </t>
  </si>
  <si>
    <t xml:space="preserve">noe@biere-speciale.be                   </t>
  </si>
  <si>
    <t xml:space="preserve">HARMONY SPRL           </t>
  </si>
  <si>
    <t xml:space="preserve">BE0475735906        </t>
  </si>
  <si>
    <t xml:space="preserve">MME SANDRINE MULLER                </t>
  </si>
  <si>
    <t xml:space="preserve">CHEMIN DU VOUE 26                  </t>
  </si>
  <si>
    <t xml:space="preserve">Sandrine.muller@belgacom.net            </t>
  </si>
  <si>
    <t xml:space="preserve">BQC SRL                </t>
  </si>
  <si>
    <t xml:space="preserve">BE0771541364        </t>
  </si>
  <si>
    <t xml:space="preserve">M. PHILIPPE BAELUS                 </t>
  </si>
  <si>
    <t xml:space="preserve">BOULEVARD DE LA SAUVENIERE 142     </t>
  </si>
  <si>
    <t xml:space="preserve">info@bruitquicourt.be                   </t>
  </si>
  <si>
    <t xml:space="preserve">CLARA FASHION HAIRS    </t>
  </si>
  <si>
    <t xml:space="preserve">BE0674844737        </t>
  </si>
  <si>
    <t xml:space="preserve">RUE DES GUILLEMINS 33/1            </t>
  </si>
  <si>
    <t xml:space="preserve">MME SABINE BIDIAS             </t>
  </si>
  <si>
    <t xml:space="preserve">sabine.bidias@gmail.com                 </t>
  </si>
  <si>
    <t xml:space="preserve">URLICH &amp; VALENTIN ETS  </t>
  </si>
  <si>
    <t xml:space="preserve">BE0402307597        </t>
  </si>
  <si>
    <t xml:space="preserve">AVENUE DU TENNIS 4                 </t>
  </si>
  <si>
    <t xml:space="preserve">andre.valentin@skynet.be                </t>
  </si>
  <si>
    <t xml:space="preserve">MAISON DU MOTEUR SRL   </t>
  </si>
  <si>
    <t xml:space="preserve">BE0434561780        </t>
  </si>
  <si>
    <t xml:space="preserve">QUAI DE CORONMEUSE 63              </t>
  </si>
  <si>
    <t xml:space="preserve">info@lamaisondumoteur.be                </t>
  </si>
  <si>
    <t xml:space="preserve">VININVEST SA           </t>
  </si>
  <si>
    <t xml:space="preserve">BE0454530914        </t>
  </si>
  <si>
    <t xml:space="preserve">CHAUSSEE DE TIRLEMONT 227          </t>
  </si>
  <si>
    <t xml:space="preserve">BUZON PEDESTAL INTERN. </t>
  </si>
  <si>
    <t xml:space="preserve">4EME AVENUE 25                     </t>
  </si>
  <si>
    <t xml:space="preserve">CLARENNE EXPERT COMPTA </t>
  </si>
  <si>
    <t xml:space="preserve">RUE VAUDAIGLE 7B                   </t>
  </si>
  <si>
    <t xml:space="preserve">ANDENNE                       </t>
  </si>
  <si>
    <t xml:space="preserve">alain.clarenne@clarenne.be              </t>
  </si>
  <si>
    <t xml:space="preserve">CDC INFORMATIQUE       </t>
  </si>
  <si>
    <t xml:space="preserve">BE0817097316        </t>
  </si>
  <si>
    <t xml:space="preserve">RUE DE DINANT 131                  </t>
  </si>
  <si>
    <t xml:space="preserve">BEAURAING                     </t>
  </si>
  <si>
    <t xml:space="preserve">0000,00  000,00  0200  </t>
  </si>
  <si>
    <t xml:space="preserve">info@cdcinformatique.be                 </t>
  </si>
  <si>
    <t xml:space="preserve">ETS LEROY              </t>
  </si>
  <si>
    <t xml:space="preserve">BE0422824780        </t>
  </si>
  <si>
    <t xml:space="preserve">RUE VOIE MELARD 46                 </t>
  </si>
  <si>
    <t xml:space="preserve">LEROY.TOITURES@SKYNET.BE                </t>
  </si>
  <si>
    <t xml:space="preserve">ARCADES RED            </t>
  </si>
  <si>
    <t xml:space="preserve">BE0702988890        </t>
  </si>
  <si>
    <t xml:space="preserve">M. GREGORY GILTAY                  </t>
  </si>
  <si>
    <t xml:space="preserve">RUE AUGUSTE NEVES 25               </t>
  </si>
  <si>
    <t>+32470 977 513</t>
  </si>
  <si>
    <t xml:space="preserve">gregory.giltay@arcades.immo             </t>
  </si>
  <si>
    <t xml:space="preserve">PACOFI SCPRL           </t>
  </si>
  <si>
    <t xml:space="preserve">BE0878253440        </t>
  </si>
  <si>
    <t xml:space="preserve">MONSIEUR PAULUS                    </t>
  </si>
  <si>
    <t xml:space="preserve">RUE DE L'ANCIENNE GARE, 2A         </t>
  </si>
  <si>
    <t xml:space="preserve">info@pacofi.be                          </t>
  </si>
  <si>
    <t xml:space="preserve">THOMAS PATRICK SRL     </t>
  </si>
  <si>
    <t xml:space="preserve">BE0472799576        </t>
  </si>
  <si>
    <t xml:space="preserve">ROUTE DU CONDROZ 95                </t>
  </si>
  <si>
    <t xml:space="preserve">patrickthomas@patrickthomasavocats.be   </t>
  </si>
  <si>
    <t xml:space="preserve">BOIS PRIN SRL          </t>
  </si>
  <si>
    <t xml:space="preserve">BE0821716890        </t>
  </si>
  <si>
    <t xml:space="preserve">RUE HENRI PIRENNE 23               </t>
  </si>
  <si>
    <t xml:space="preserve">Marc.Magis@outlook.com                  </t>
  </si>
  <si>
    <t xml:space="preserve">CK TECHNOLOGY SRL      </t>
  </si>
  <si>
    <t xml:space="preserve">RUE DE MAESTRICHT 69A              </t>
  </si>
  <si>
    <t xml:space="preserve">LEJEUNE DR             </t>
  </si>
  <si>
    <t xml:space="preserve">BE0637725015        </t>
  </si>
  <si>
    <t xml:space="preserve">MME LAETITIA LEJEUNE               </t>
  </si>
  <si>
    <t xml:space="preserve">RUE DE RIVAGE 11                   </t>
  </si>
  <si>
    <t xml:space="preserve">0000,00  000,00  0084  </t>
  </si>
  <si>
    <t xml:space="preserve">Laetitia.lejeune@yahoo.fr               </t>
  </si>
  <si>
    <t xml:space="preserve">OLINN BELGIUM SPRL     </t>
  </si>
  <si>
    <t xml:space="preserve">BE0832533677        </t>
  </si>
  <si>
    <t xml:space="preserve">M. ARMANDO CIMINO                  </t>
  </si>
  <si>
    <t xml:space="preserve">RUE EMILE FRANCQUI 4               </t>
  </si>
  <si>
    <t>ALLER-RETOUR : 174km</t>
  </si>
  <si>
    <t xml:space="preserve">Armando.CIMINO@rentys.com               </t>
  </si>
  <si>
    <t xml:space="preserve">MARICHAL KETIN ET CIE  </t>
  </si>
  <si>
    <t xml:space="preserve">BE0403965705        </t>
  </si>
  <si>
    <t xml:space="preserve">SA                                 </t>
  </si>
  <si>
    <t xml:space="preserve">RUE ERNEST SOLVAY 372              </t>
  </si>
  <si>
    <t xml:space="preserve">michael.fux@mkb.be                      </t>
  </si>
  <si>
    <t xml:space="preserve">LONHIENNE REVISEUR SRL </t>
  </si>
  <si>
    <t xml:space="preserve">BE0884477573        </t>
  </si>
  <si>
    <t xml:space="preserve">M. BENOIT SALMON                   </t>
  </si>
  <si>
    <t xml:space="preserve">RUE DES ANGLAIS 6a                 </t>
  </si>
  <si>
    <t xml:space="preserve">secretariat@reviseurs-lonhienne.be      </t>
  </si>
  <si>
    <t xml:space="preserve">MENEZIG SPRL           </t>
  </si>
  <si>
    <t xml:space="preserve">BE0630857415        </t>
  </si>
  <si>
    <t xml:space="preserve">M. JULIEN COUNET                   </t>
  </si>
  <si>
    <t xml:space="preserve">HANZEZ 108                         </t>
  </si>
  <si>
    <t xml:space="preserve">0495 847521   </t>
  </si>
  <si>
    <t xml:space="preserve">Julien@menezig.com                      </t>
  </si>
  <si>
    <t xml:space="preserve">FIDUCIAIRE BEGEBEL     </t>
  </si>
  <si>
    <t xml:space="preserve">BE0461595185        </t>
  </si>
  <si>
    <t xml:space="preserve">RUE DE LA DIGUE, 25                </t>
  </si>
  <si>
    <t xml:space="preserve">LUC BERRYER                   </t>
  </si>
  <si>
    <t xml:space="preserve">berryer@begebel.be                      </t>
  </si>
  <si>
    <t xml:space="preserve">FISCAL SRL             </t>
  </si>
  <si>
    <t xml:space="preserve">BE0464823010        </t>
  </si>
  <si>
    <t xml:space="preserve">MME ANGELIQUE LERAT                </t>
  </si>
  <si>
    <t xml:space="preserve">RUELLE DE FIERNET 3                </t>
  </si>
  <si>
    <t xml:space="preserve">ALLER-RETOUR 240KM  </t>
  </si>
  <si>
    <t xml:space="preserve">angelique.lerat@matpartners.be          </t>
  </si>
  <si>
    <t xml:space="preserve">QUALIAS SCRL           </t>
  </si>
  <si>
    <t xml:space="preserve">M. PHILIPPE CLAUDE                 </t>
  </si>
  <si>
    <t xml:space="preserve">RUE DE FERNELMONT 42               </t>
  </si>
  <si>
    <t xml:space="preserve">CHAMPION                      </t>
  </si>
  <si>
    <t xml:space="preserve">124 km ALLER-RETOUR </t>
  </si>
  <si>
    <t xml:space="preserve">RUBELS                 </t>
  </si>
  <si>
    <t xml:space="preserve">BE0761558678        </t>
  </si>
  <si>
    <t xml:space="preserve">HOMBROEKSTRAAT 19                  </t>
  </si>
  <si>
    <t xml:space="preserve">HOESELT                       </t>
  </si>
  <si>
    <t xml:space="preserve">Evi@rubels.be                           </t>
  </si>
  <si>
    <t xml:space="preserve">FABRIQUE D'IMAGES S.A. </t>
  </si>
  <si>
    <t xml:space="preserve">LU19374177          </t>
  </si>
  <si>
    <t xml:space="preserve">1535 CREATIVE HUB BATIMENT C       </t>
  </si>
  <si>
    <t xml:space="preserve">115 RUE EMILE MARK                 </t>
  </si>
  <si>
    <t xml:space="preserve">DIFFERDANGE                   </t>
  </si>
  <si>
    <t xml:space="preserve">compta@fabrique-d-images.com            </t>
  </si>
  <si>
    <t xml:space="preserve">DMS-SECURITY SPRL      </t>
  </si>
  <si>
    <t xml:space="preserve">BE0807117895        </t>
  </si>
  <si>
    <t xml:space="preserve">Rue de Fleurus 211                 </t>
  </si>
  <si>
    <t xml:space="preserve">CHATELET                      </t>
  </si>
  <si>
    <t xml:space="preserve">Salim Duran                   </t>
  </si>
  <si>
    <t xml:space="preserve">info@dms-security.be                    </t>
  </si>
  <si>
    <t xml:space="preserve">YOUR EDGE CONSULTING   </t>
  </si>
  <si>
    <t xml:space="preserve">BE0774797990        </t>
  </si>
  <si>
    <t xml:space="preserve">RUE DES HOUGNES 91                 </t>
  </si>
  <si>
    <t xml:space="preserve">THOMAS JANSSEN                </t>
  </si>
  <si>
    <t xml:space="preserve">+32 494117660 </t>
  </si>
  <si>
    <t xml:space="preserve">tj@youredgeconsulting.be                </t>
  </si>
  <si>
    <t xml:space="preserve">ROOBROUCK &amp; CIE SA     </t>
  </si>
  <si>
    <t xml:space="preserve">BE0401498539        </t>
  </si>
  <si>
    <t xml:space="preserve">GRAND ROUTE 10                     </t>
  </si>
  <si>
    <t xml:space="preserve">ALLER-RETOUR: 174KM </t>
  </si>
  <si>
    <t xml:space="preserve">info@roobrouck-item.be                  </t>
  </si>
  <si>
    <t xml:space="preserve">CONSOMME CONSULTE SNC  </t>
  </si>
  <si>
    <t xml:space="preserve">BE0773440683        </t>
  </si>
  <si>
    <t xml:space="preserve">M. PATRICK MEIJLAERS               </t>
  </si>
  <si>
    <t xml:space="preserve">RUE DU CHEVALIER 18                </t>
  </si>
  <si>
    <t xml:space="preserve">FEXHE                         </t>
  </si>
  <si>
    <t xml:space="preserve">patrick@consommeconsulte.com            </t>
  </si>
  <si>
    <t xml:space="preserve">SOMEXCO SRL            </t>
  </si>
  <si>
    <t xml:space="preserve">BE0871053466        </t>
  </si>
  <si>
    <t xml:space="preserve">AVENUE DE LA SARRIETTE 20          </t>
  </si>
  <si>
    <t xml:space="preserve">NACEBEL 69202                 </t>
  </si>
  <si>
    <t xml:space="preserve">ALLER-RETOUR: 202KM </t>
  </si>
  <si>
    <t>BELSIM INTERNATIONAL AG</t>
  </si>
  <si>
    <t xml:space="preserve">CH200969445         </t>
  </si>
  <si>
    <t xml:space="preserve">FLORENCE JULVA                     </t>
  </si>
  <si>
    <t xml:space="preserve">BAHNHOFSTRASSE 28                  </t>
  </si>
  <si>
    <t xml:space="preserve">CH </t>
  </si>
  <si>
    <t xml:space="preserve">ZUG                           </t>
  </si>
  <si>
    <t xml:space="preserve">RC CH 1703041788-5            </t>
  </si>
  <si>
    <t xml:space="preserve">SUISSE              </t>
  </si>
  <si>
    <t xml:space="preserve">valerie.stival@belsim.com               </t>
  </si>
  <si>
    <t xml:space="preserve">HOWDEN MAINTENANCE     </t>
  </si>
  <si>
    <t xml:space="preserve">PARTNERS BELGIUM SA                </t>
  </si>
  <si>
    <t xml:space="preserve">VITSHOEKSTRAAT 6                   </t>
  </si>
  <si>
    <t xml:space="preserve">ZWIJNDRECHT                   </t>
  </si>
  <si>
    <t xml:space="preserve">NACEBEL 33120                 </t>
  </si>
  <si>
    <t xml:space="preserve">ALLER-RETOUR: 260KM </t>
  </si>
  <si>
    <t xml:space="preserve">a racheté le client </t>
  </si>
  <si>
    <t xml:space="preserve">La turbine Europe </t>
  </si>
  <si>
    <t xml:space="preserve">KADRESS BVBA SRL       </t>
  </si>
  <si>
    <t xml:space="preserve">BE0475286043        </t>
  </si>
  <si>
    <t xml:space="preserve">KAPELSTRAAT 37                     </t>
  </si>
  <si>
    <t xml:space="preserve">BOUTERSEM                     </t>
  </si>
  <si>
    <t>ALLER-RETOUR : 134KM</t>
  </si>
  <si>
    <t xml:space="preserve">info@kadress.be                         </t>
  </si>
  <si>
    <t xml:space="preserve">DEMOLIN NOTAIRE SRL    </t>
  </si>
  <si>
    <t xml:space="preserve">BE0819250320        </t>
  </si>
  <si>
    <t xml:space="preserve">M. NICOLAS DEMOLIN                 </t>
  </si>
  <si>
    <t xml:space="preserve">PLACE ALBERT Ier, 10               </t>
  </si>
  <si>
    <t xml:space="preserve">FAYT-LEZ-MANAGE               </t>
  </si>
  <si>
    <t xml:space="preserve">NACEBEL69102                  </t>
  </si>
  <si>
    <t xml:space="preserve">ALLER-RETOUR: 220KM </t>
  </si>
  <si>
    <t xml:space="preserve">fp@notaire-demolin.be                   </t>
  </si>
  <si>
    <t xml:space="preserve">FUTUR H ASBL           </t>
  </si>
  <si>
    <t xml:space="preserve">BE0469536220        </t>
  </si>
  <si>
    <t xml:space="preserve">MME BERENGERE BALBOURG             </t>
  </si>
  <si>
    <t xml:space="preserve">RUE FOSSE-AUX-RAINES, 38           </t>
  </si>
  <si>
    <t xml:space="preserve">NACEBEL 85592                 </t>
  </si>
  <si>
    <t xml:space="preserve">berangere.balbourg@futurh.be            </t>
  </si>
  <si>
    <t xml:space="preserve">ALTRA SA               </t>
  </si>
  <si>
    <t xml:space="preserve">BE0432648110        </t>
  </si>
  <si>
    <t xml:space="preserve">NACEBEL 25610                 </t>
  </si>
  <si>
    <t xml:space="preserve">compta@altra-sa.com                     </t>
  </si>
  <si>
    <t xml:space="preserve">CHAIDRON PETIT ET      </t>
  </si>
  <si>
    <t xml:space="preserve">BE0454716105        </t>
  </si>
  <si>
    <t xml:space="preserve">PIETTE SA                          </t>
  </si>
  <si>
    <t xml:space="preserve">RUE DU MOULIN 6                    </t>
  </si>
  <si>
    <t xml:space="preserve">BOUILLON                      </t>
  </si>
  <si>
    <t xml:space="preserve">NACEBEL 66220                 </t>
  </si>
  <si>
    <t xml:space="preserve">ALLER-RETOUR: 290KM </t>
  </si>
  <si>
    <t xml:space="preserve">infobca@bcpp.be                         </t>
  </si>
  <si>
    <t xml:space="preserve">TAX &amp; LEGAL SOLUTIONS  </t>
  </si>
  <si>
    <t xml:space="preserve">BE0786438584        </t>
  </si>
  <si>
    <t xml:space="preserve">13, SQUARE CHARLES MAURICE WISER   </t>
  </si>
  <si>
    <t xml:space="preserve">ETTERBEEK                     </t>
  </si>
  <si>
    <t xml:space="preserve">+32 2 3554357 </t>
  </si>
  <si>
    <t xml:space="preserve">MELVIN VANWASSENHOVEN         </t>
  </si>
  <si>
    <t xml:space="preserve">NACEBEL N/A                   </t>
  </si>
  <si>
    <t>ALLER-RETOUR : 194KM</t>
  </si>
  <si>
    <t xml:space="preserve">mv@taxfinconsulting.be                  </t>
  </si>
  <si>
    <t xml:space="preserve">MANAGEMENT CONSULTANCE </t>
  </si>
  <si>
    <t xml:space="preserve">PARTENAIRE SRL                     </t>
  </si>
  <si>
    <t xml:space="preserve">CHAUSSEE DE NIVELLES 133           </t>
  </si>
  <si>
    <t xml:space="preserve">ALLER-RETOUR: 226KM </t>
  </si>
  <si>
    <t xml:space="preserve">M.S.A. SRL             </t>
  </si>
  <si>
    <t xml:space="preserve">BE0898673029        </t>
  </si>
  <si>
    <t xml:space="preserve">MADAME MARTHE DENOEL               </t>
  </si>
  <si>
    <t xml:space="preserve">CHEMIN DE SURISSE, 15              </t>
  </si>
  <si>
    <t xml:space="preserve">DAHLEM                        </t>
  </si>
  <si>
    <t>+32473 97 61 8</t>
  </si>
  <si>
    <t xml:space="preserve">marthe.denoel@vosse.org                 </t>
  </si>
  <si>
    <t xml:space="preserve">PHARMACIE PASTEUR SA   </t>
  </si>
  <si>
    <t xml:space="preserve">BE0421805290        </t>
  </si>
  <si>
    <t xml:space="preserve">RUE SAINT-LEONARD 3                </t>
  </si>
  <si>
    <t xml:space="preserve">NACEBEL 47730                 </t>
  </si>
  <si>
    <t xml:space="preserve">admin@pharmaciepasteur.be               </t>
  </si>
  <si>
    <t xml:space="preserve">TRANSPORT LEONET SRL   </t>
  </si>
  <si>
    <t xml:space="preserve">BE0474325446        </t>
  </si>
  <si>
    <t xml:space="preserve">RUE DU 8 MAI 59                    </t>
  </si>
  <si>
    <t xml:space="preserve">NACEBEL 49410                 </t>
  </si>
  <si>
    <t xml:space="preserve">compta.leonet@hotmail.com               </t>
  </si>
  <si>
    <t xml:space="preserve">109 CABINET D'AVOCAT   </t>
  </si>
  <si>
    <t xml:space="preserve">BE0808784020        </t>
  </si>
  <si>
    <t xml:space="preserve">RUE LARGE VOIE 226                 </t>
  </si>
  <si>
    <t xml:space="preserve">+32 4 2642988 </t>
  </si>
  <si>
    <t xml:space="preserve">NACEBEL 69101                 </t>
  </si>
  <si>
    <t xml:space="preserve">l.belleflamme@avocats109.be             </t>
  </si>
  <si>
    <t xml:space="preserve">LEODIUM AVOCATS SASPJ  </t>
  </si>
  <si>
    <t xml:space="preserve">BE0542990855        </t>
  </si>
  <si>
    <t xml:space="preserve">PLACE DE BRONCKART 1               </t>
  </si>
  <si>
    <t xml:space="preserve">NACEBEL 82100                 </t>
  </si>
  <si>
    <t xml:space="preserve">l.leduc@cabinetleodium.be               </t>
  </si>
  <si>
    <t xml:space="preserve">MDB SA                 </t>
  </si>
  <si>
    <t xml:space="preserve">BE0403967089        </t>
  </si>
  <si>
    <t xml:space="preserve">METAL DEPLOYE BELGE                </t>
  </si>
  <si>
    <t xml:space="preserve">QUAI VERCOUR 98                    </t>
  </si>
  <si>
    <t xml:space="preserve">RCS 0898282554                </t>
  </si>
  <si>
    <t xml:space="preserve">NACEBEL 70220                 </t>
  </si>
  <si>
    <t xml:space="preserve">FACTURER LES PRESTA </t>
  </si>
  <si>
    <t xml:space="preserve">1 X PAR MOIS        </t>
  </si>
  <si>
    <t xml:space="preserve">j.nollet@mdb.eu                         </t>
  </si>
  <si>
    <t>ACCUEIL DES TOUT-PETITS</t>
  </si>
  <si>
    <t xml:space="preserve">BE0416540170        </t>
  </si>
  <si>
    <t xml:space="preserve">ADTP ASBL                          </t>
  </si>
  <si>
    <t xml:space="preserve">QUAI DES VENNES 10-12              </t>
  </si>
  <si>
    <t xml:space="preserve">+324 3498483  </t>
  </si>
  <si>
    <t xml:space="preserve">NACEBAL 88999                 </t>
  </si>
  <si>
    <t xml:space="preserve">sflamaxhe@adtp.be                       </t>
  </si>
  <si>
    <t xml:space="preserve">COMPTABILITE FISCALITE </t>
  </si>
  <si>
    <t xml:space="preserve">PATRIMOINE SRL                     </t>
  </si>
  <si>
    <t xml:space="preserve">KEPERENBERGSTRAAT 61               </t>
  </si>
  <si>
    <t xml:space="preserve">DILBEEK                       </t>
  </si>
  <si>
    <t xml:space="preserve">BRUNO ZIMBILI                 </t>
  </si>
  <si>
    <t xml:space="preserve">ALLER-RETOUR: 230KM </t>
  </si>
  <si>
    <t xml:space="preserve">bruno@c-fp.be                           </t>
  </si>
  <si>
    <t xml:space="preserve">VIDANGE CHATEL SRL     </t>
  </si>
  <si>
    <t xml:space="preserve">BE0761407834        </t>
  </si>
  <si>
    <t xml:space="preserve">AFFNAY, 3                          </t>
  </si>
  <si>
    <t xml:space="preserve">+32 4 3800227 </t>
  </si>
  <si>
    <t xml:space="preserve">NACEBEL 42911                 </t>
  </si>
  <si>
    <t xml:space="preserve">info@vidangechatel.be                   </t>
  </si>
  <si>
    <t xml:space="preserve">BOUBASUD SRL           </t>
  </si>
  <si>
    <t xml:space="preserve">BE0883601605        </t>
  </si>
  <si>
    <t xml:space="preserve">22 RUE DES ALOUETTES               </t>
  </si>
  <si>
    <t xml:space="preserve">RCS 0883601605                </t>
  </si>
  <si>
    <t xml:space="preserve">NACEBEL 10391                 </t>
  </si>
  <si>
    <t xml:space="preserve">info@boubasud.be                        </t>
  </si>
  <si>
    <t xml:space="preserve">DEV4LOG SRL            </t>
  </si>
  <si>
    <t xml:space="preserve">BE0782986176        </t>
  </si>
  <si>
    <t xml:space="preserve">AVENUE PASTEUR 6/BAT. H            </t>
  </si>
  <si>
    <t xml:space="preserve">RCS 0782986176                </t>
  </si>
  <si>
    <t xml:space="preserve">NACEBEL 62010                 </t>
  </si>
  <si>
    <t xml:space="preserve">compta@dev4log.com                      </t>
  </si>
  <si>
    <t>GARAGE BOUTANTIN &amp; FILS</t>
  </si>
  <si>
    <t xml:space="preserve">BE0419006247        </t>
  </si>
  <si>
    <t xml:space="preserve">37 RUE LAMBERT MACOURS             </t>
  </si>
  <si>
    <t xml:space="preserve">NACEBEL 45113                 </t>
  </si>
  <si>
    <t xml:space="preserve">didierboutantin@hotmail.com             </t>
  </si>
  <si>
    <t>VINCENT DE PAUL BELGIUM</t>
  </si>
  <si>
    <t xml:space="preserve">RUE DE LA VIGNETTE, 179            </t>
  </si>
  <si>
    <t xml:space="preserve">ALLER-RETOUR: 196km </t>
  </si>
  <si>
    <t xml:space="preserve">fdegryse@vincentdepaul.be               </t>
  </si>
  <si>
    <t xml:space="preserve">DEPYPERE ANNE-MARIE    </t>
  </si>
  <si>
    <t xml:space="preserve">WAVERSESTEENWEG 1945               </t>
  </si>
  <si>
    <t xml:space="preserve">ALLER-RETOUR: 188km </t>
  </si>
  <si>
    <t xml:space="preserve">anne-marie.depypere@ert.com             </t>
  </si>
  <si>
    <t xml:space="preserve">SIMAX COMPTA SPRL      </t>
  </si>
  <si>
    <t xml:space="preserve">BE0863495879        </t>
  </si>
  <si>
    <t xml:space="preserve">AVENUE DE LA PAIX 42               </t>
  </si>
  <si>
    <t xml:space="preserve">0028,00  000,00  0000  </t>
  </si>
  <si>
    <t xml:space="preserve">info@simaxcompta.be                     </t>
  </si>
  <si>
    <t xml:space="preserve">WATERTECH S.A.         </t>
  </si>
  <si>
    <t xml:space="preserve">BE0806996844        </t>
  </si>
  <si>
    <t xml:space="preserve">ROUTE DE TILICE 3                  </t>
  </si>
  <si>
    <t xml:space="preserve">NACEBEL 28295                 </t>
  </si>
  <si>
    <t xml:space="preserve">varsak@water-tech.be                    </t>
  </si>
  <si>
    <t xml:space="preserve">TERVAL SA              </t>
  </si>
  <si>
    <t xml:space="preserve">BE0422252876        </t>
  </si>
  <si>
    <t xml:space="preserve">RUE DE L'ILE-MONSIN 129            </t>
  </si>
  <si>
    <t xml:space="preserve">NACEBEL 46710                 </t>
  </si>
  <si>
    <t xml:space="preserve">invoice@terval.com                      </t>
  </si>
  <si>
    <t xml:space="preserve">ATELIERS POL SAUVAGE   </t>
  </si>
  <si>
    <t xml:space="preserve">BE0427524926        </t>
  </si>
  <si>
    <t xml:space="preserve">MME ANNE SAUVAGE                   </t>
  </si>
  <si>
    <t xml:space="preserve">RUE HAUT DE TREME, 6               </t>
  </si>
  <si>
    <t xml:space="preserve">INVOICES@ATELIERSAUVAGE.BE              </t>
  </si>
  <si>
    <t xml:space="preserve">M INVEST SRL           </t>
  </si>
  <si>
    <t xml:space="preserve">BE0536313790        </t>
  </si>
  <si>
    <t xml:space="preserve">MATTHIEU MOOR                      </t>
  </si>
  <si>
    <t xml:space="preserve">AVENUE JOSEPH LEMAIRE 114          </t>
  </si>
  <si>
    <t xml:space="preserve">NACEBEL                       </t>
  </si>
  <si>
    <t xml:space="preserve">matthieumoor@gmail.com                  </t>
  </si>
  <si>
    <t xml:space="preserve">BELGEONNE DESIGN SRL   </t>
  </si>
  <si>
    <t xml:space="preserve">BE0822106375        </t>
  </si>
  <si>
    <t xml:space="preserve">ALLEE DES MEULES 3                 </t>
  </si>
  <si>
    <t xml:space="preserve">CHASTRES                      </t>
  </si>
  <si>
    <t xml:space="preserve">ALLER-RETOUR 222KM  </t>
  </si>
  <si>
    <t xml:space="preserve">FINANCE &amp; TAX SRL      </t>
  </si>
  <si>
    <t xml:space="preserve">BE0870950231        </t>
  </si>
  <si>
    <t xml:space="preserve">M. ANTOINE SOHET                   </t>
  </si>
  <si>
    <t xml:space="preserve">CHAUSSEE DE MARCHE 727/B           </t>
  </si>
  <si>
    <t xml:space="preserve">ALLER-RETOUR: 142km </t>
  </si>
  <si>
    <t xml:space="preserve">antoine.sohet@financetax.be             </t>
  </si>
  <si>
    <t xml:space="preserve">COMPOSIA SRL           </t>
  </si>
  <si>
    <t xml:space="preserve">BE0547810072        </t>
  </si>
  <si>
    <t xml:space="preserve">AVENUE ZENOBE GRAMME 31            </t>
  </si>
  <si>
    <t xml:space="preserve">ALLER RETOUR 190KM  </t>
  </si>
  <si>
    <t xml:space="preserve">invoices@composia.be                    </t>
  </si>
  <si>
    <t>MENUISERIE MEERTENS SRL</t>
  </si>
  <si>
    <t xml:space="preserve">BE0679439567        </t>
  </si>
  <si>
    <t xml:space="preserve">M. PASCAL MEERTENS                 </t>
  </si>
  <si>
    <t xml:space="preserve">RUE ZENOBE GRAMME 27               </t>
  </si>
  <si>
    <t xml:space="preserve">PME@menuiserie-meertens.be              </t>
  </si>
  <si>
    <t xml:space="preserve">THE PICTURE FACTORY    </t>
  </si>
  <si>
    <t xml:space="preserve">BE0829994950        </t>
  </si>
  <si>
    <t xml:space="preserve">87 BOULEVARD D'AVROY               </t>
  </si>
  <si>
    <t xml:space="preserve">compta@picture-factory.be               </t>
  </si>
  <si>
    <t xml:space="preserve">DECKERS VIRGINIE       </t>
  </si>
  <si>
    <t xml:space="preserve">BE0666797497        </t>
  </si>
  <si>
    <t xml:space="preserve">EXPERTS-COMPTABLES                 </t>
  </si>
  <si>
    <t xml:space="preserve">RUE DE MAESTRICHT 42               </t>
  </si>
  <si>
    <t xml:space="preserve">NACEBEL 69201                 </t>
  </si>
  <si>
    <t xml:space="preserve">virginie.deckers@skynet.be              </t>
  </si>
  <si>
    <t xml:space="preserve">STRUVAY SRL            </t>
  </si>
  <si>
    <t xml:space="preserve">BE0411937620        </t>
  </si>
  <si>
    <t xml:space="preserve">RUE E. LEROUSSEAU 32/34            </t>
  </si>
  <si>
    <t xml:space="preserve">NACEBEL 47540                 </t>
  </si>
  <si>
    <t xml:space="preserve">thierry@struvay.be                      </t>
  </si>
  <si>
    <t xml:space="preserve">LA BOITE A PINARDS SRL </t>
  </si>
  <si>
    <t xml:space="preserve">BE0745508148        </t>
  </si>
  <si>
    <t xml:space="preserve">ROUTE DU CONDOZ 313                </t>
  </si>
  <si>
    <t xml:space="preserve">NANDRIN                       </t>
  </si>
  <si>
    <t xml:space="preserve">OLIVIER GOFFIN                </t>
  </si>
  <si>
    <t xml:space="preserve">admin@laboiteapinards.be                </t>
  </si>
  <si>
    <t xml:space="preserve">CORTOFISC SRL          </t>
  </si>
  <si>
    <t xml:space="preserve">BE0808126893        </t>
  </si>
  <si>
    <t xml:space="preserve">LINDESTRAAT 37i                    </t>
  </si>
  <si>
    <t xml:space="preserve">LUBBEEK                       </t>
  </si>
  <si>
    <t xml:space="preserve">chantal@cortofisc.be                    </t>
  </si>
  <si>
    <t xml:space="preserve">RMB SA                 </t>
  </si>
  <si>
    <t xml:space="preserve">BE0427916686        </t>
  </si>
  <si>
    <t xml:space="preserve">BOULEVARD LOUIS SCHMIDT 2          </t>
  </si>
  <si>
    <t xml:space="preserve">ALAIN LEROY                   </t>
  </si>
  <si>
    <t xml:space="preserve">NACEBEL 73110                 </t>
  </si>
  <si>
    <t xml:space="preserve">ALLER-RETOUR: 196KM </t>
  </si>
  <si>
    <t xml:space="preserve">al.leroy@rmb.be                         </t>
  </si>
  <si>
    <t>DE BO VAN HISSENHOVEN &amp;</t>
  </si>
  <si>
    <t xml:space="preserve">BE0843284544        </t>
  </si>
  <si>
    <t xml:space="preserve">PARTNERS SRL                       </t>
  </si>
  <si>
    <t xml:space="preserve">COGELS-OSYLEI 1                    </t>
  </si>
  <si>
    <t xml:space="preserve">BERCHEM                       </t>
  </si>
  <si>
    <t xml:space="preserve">nils.vanhissenhoven@dbvh.be             </t>
  </si>
  <si>
    <t xml:space="preserve">GASI SNC               </t>
  </si>
  <si>
    <t xml:space="preserve">BE0894076615        </t>
  </si>
  <si>
    <t xml:space="preserve">RUE GASTON BARLA 25                </t>
  </si>
  <si>
    <t xml:space="preserve">POLLEUR                       </t>
  </si>
  <si>
    <t xml:space="preserve">Colette Sohngen               </t>
  </si>
  <si>
    <t xml:space="preserve">ALLER-RETOUR : 62km </t>
  </si>
  <si>
    <t xml:space="preserve">colette.sohngen@onyxe.be                </t>
  </si>
  <si>
    <t xml:space="preserve">PETERS MARIE-PIERRE    </t>
  </si>
  <si>
    <t xml:space="preserve">BE0652290950        </t>
  </si>
  <si>
    <t xml:space="preserve">27 PLACE SAINT-REMACLE             </t>
  </si>
  <si>
    <t xml:space="preserve">mariepierre_peters@yahoo.fr             </t>
  </si>
  <si>
    <t xml:space="preserve">WISTA SRL              </t>
  </si>
  <si>
    <t xml:space="preserve">BE0817232126        </t>
  </si>
  <si>
    <t xml:space="preserve">PLACE GEORGES-ISTA 18              </t>
  </si>
  <si>
    <t xml:space="preserve">BLISTIN SRL            </t>
  </si>
  <si>
    <t xml:space="preserve">BE0479276307        </t>
  </si>
  <si>
    <t xml:space="preserve">1E AVENUE 105                      </t>
  </si>
  <si>
    <t xml:space="preserve">at.blistin@skynet.be                    </t>
  </si>
  <si>
    <t xml:space="preserve">JPS FINANCIAL SRL      </t>
  </si>
  <si>
    <t xml:space="preserve">BE0832222782        </t>
  </si>
  <si>
    <t xml:space="preserve">RUE DE MONT 213                    </t>
  </si>
  <si>
    <t xml:space="preserve">jpierresch@voo.be                       </t>
  </si>
  <si>
    <t xml:space="preserve">LA BROUCK SRL          </t>
  </si>
  <si>
    <t xml:space="preserve">BE0811474878        </t>
  </si>
  <si>
    <t xml:space="preserve">RUE DE LA BROUCK CAMPAGNE 39       </t>
  </si>
  <si>
    <t xml:space="preserve">TROOZ                         </t>
  </si>
  <si>
    <t xml:space="preserve">MARILYN LO BUE                </t>
  </si>
  <si>
    <t xml:space="preserve">info@labrouck.be                        </t>
  </si>
  <si>
    <t xml:space="preserve">PHARMACIE COUMONT SRL  </t>
  </si>
  <si>
    <t xml:space="preserve">BE0841199341        </t>
  </si>
  <si>
    <t xml:space="preserve">RUE DES ECOLES 20                  </t>
  </si>
  <si>
    <t xml:space="preserve">pharmacie.coumont@gmail.com             </t>
  </si>
  <si>
    <t xml:space="preserve">USABEL SPRL            </t>
  </si>
  <si>
    <t xml:space="preserve">BE0874901693        </t>
  </si>
  <si>
    <t xml:space="preserve">CHAUSSEE DE HANNUT 74              </t>
  </si>
  <si>
    <t xml:space="preserve">HELECINE                      </t>
  </si>
  <si>
    <t xml:space="preserve">joanna.okelly@usabel.be                 </t>
  </si>
  <si>
    <t xml:space="preserve">LIONEL DUBUISSON       </t>
  </si>
  <si>
    <t xml:space="preserve">BE0695981631        </t>
  </si>
  <si>
    <t xml:space="preserve">NOTAIRE ASSOCIE SRL                </t>
  </si>
  <si>
    <t xml:space="preserve">RUE MICHEL MASSONET, 14            </t>
  </si>
  <si>
    <t xml:space="preserve">OPTIQUE STEPHANIE      </t>
  </si>
  <si>
    <t xml:space="preserve">BE0751847889        </t>
  </si>
  <si>
    <t xml:space="preserve">RUE DE LA POSTE 9                  </t>
  </si>
  <si>
    <t xml:space="preserve">STEPHANIE WOLFERTZ            </t>
  </si>
  <si>
    <t xml:space="preserve">NACEBEL 33130                 </t>
  </si>
  <si>
    <t xml:space="preserve">info@optique-stephanie.com              </t>
  </si>
  <si>
    <t xml:space="preserve">GRANDRATH AURELIE      </t>
  </si>
  <si>
    <t xml:space="preserve">CHAUSSEE DE HEUSY, 210/2B          </t>
  </si>
  <si>
    <t xml:space="preserve">IMMO 2000              </t>
  </si>
  <si>
    <t xml:space="preserve">BE0415238984        </t>
  </si>
  <si>
    <t xml:space="preserve">AVENUE BEL AIR 62/6                </t>
  </si>
  <si>
    <t xml:space="preserve">sach.hasson@gmail.com                   </t>
  </si>
  <si>
    <t xml:space="preserve">COGEPRO SRL            </t>
  </si>
  <si>
    <t xml:space="preserve">BE0444960774        </t>
  </si>
  <si>
    <t xml:space="preserve">RUE DE LA CITE 89                  </t>
  </si>
  <si>
    <t xml:space="preserve">NACEBEL 41201                 </t>
  </si>
  <si>
    <t xml:space="preserve">gregoire.leclerq@cogepro.be             </t>
  </si>
  <si>
    <t xml:space="preserve">PARIDAENS AF SRL       </t>
  </si>
  <si>
    <t xml:space="preserve">BE0773551145        </t>
  </si>
  <si>
    <t xml:space="preserve">RUE FRANKLIN 40                    </t>
  </si>
  <si>
    <t xml:space="preserve">NACEBEL 47112                 </t>
  </si>
  <si>
    <t xml:space="preserve">anne.paridaens@faitmaison.be            </t>
  </si>
  <si>
    <t xml:space="preserve">BE0799993840        </t>
  </si>
  <si>
    <t xml:space="preserve">LINDEN                        </t>
  </si>
  <si>
    <t xml:space="preserve">ALLER-RETOUR: 152KM </t>
  </si>
  <si>
    <t xml:space="preserve">RESIDENCE DES LILAS SA </t>
  </si>
  <si>
    <t xml:space="preserve">BE0431860529        </t>
  </si>
  <si>
    <t xml:space="preserve">RUE DE LA BOVERIE 484              </t>
  </si>
  <si>
    <t xml:space="preserve">NACEBEL 87301                 </t>
  </si>
  <si>
    <t xml:space="preserve">ALLER-RETOUR: 48KM  </t>
  </si>
  <si>
    <t xml:space="preserve">jordy.vecqueray@leslilas.be             </t>
  </si>
  <si>
    <t xml:space="preserve">SYNACO SA              </t>
  </si>
  <si>
    <t xml:space="preserve">BE0451363269        </t>
  </si>
  <si>
    <t xml:space="preserve">RUE DES TECHNOLOGIES 2B            </t>
  </si>
  <si>
    <t xml:space="preserve">NACEBEL 46460                 </t>
  </si>
  <si>
    <t xml:space="preserve">ALLER-RETOUR: 18km  </t>
  </si>
  <si>
    <t xml:space="preserve">admin@synaco.com                        </t>
  </si>
  <si>
    <t xml:space="preserve">NEWPHARMA GROUP SA     </t>
  </si>
  <si>
    <t xml:space="preserve">BE0684465652        </t>
  </si>
  <si>
    <t xml:space="preserve">RUE DU CHARBONNAGE 10/2            </t>
  </si>
  <si>
    <t xml:space="preserve">NACEBEL 47910                 </t>
  </si>
  <si>
    <t xml:space="preserve">ALLER-RETOUR: 12KM  </t>
  </si>
  <si>
    <t xml:space="preserve">cga@newpharma.be                        </t>
  </si>
  <si>
    <t xml:space="preserve">ANNE TRUYERS ATELIER   </t>
  </si>
  <si>
    <t xml:space="preserve">BE0477298101        </t>
  </si>
  <si>
    <t xml:space="preserve">GRAPHIQUE                          </t>
  </si>
  <si>
    <t xml:space="preserve">RUE SIMONON 2                      </t>
  </si>
  <si>
    <t xml:space="preserve">NACEBEL 74103                 </t>
  </si>
  <si>
    <t xml:space="preserve">anne.truyers@skynet.be                  </t>
  </si>
  <si>
    <t xml:space="preserve">BUREAU SPRINGUEL       </t>
  </si>
  <si>
    <t xml:space="preserve">BE0436101112        </t>
  </si>
  <si>
    <t xml:space="preserve">RUE DE LA MOTTE 14                 </t>
  </si>
  <si>
    <t xml:space="preserve">NACEBEL 66210                 </t>
  </si>
  <si>
    <t xml:space="preserve">ALLER-RETOUR: 86KM  </t>
  </si>
  <si>
    <t xml:space="preserve">BUREAU SPRINGUEL SRL   </t>
  </si>
  <si>
    <t xml:space="preserve">info@springuel.eu                       </t>
  </si>
  <si>
    <t xml:space="preserve">BUSINESS MANAGEMENT    </t>
  </si>
  <si>
    <t xml:space="preserve">BE0728875123        </t>
  </si>
  <si>
    <t xml:space="preserve">DUMOULIN SRL                       </t>
  </si>
  <si>
    <t xml:space="preserve">VOIE DU TIEGE  7                   </t>
  </si>
  <si>
    <t xml:space="preserve">WAISMES                       </t>
  </si>
  <si>
    <t xml:space="preserve">NACEBEL 64200                 </t>
  </si>
  <si>
    <t xml:space="preserve">sebastien@papeteriehumblet.be           </t>
  </si>
  <si>
    <t xml:space="preserve">WEBCOM2YOU SARL        </t>
  </si>
  <si>
    <t xml:space="preserve">LU30100507          </t>
  </si>
  <si>
    <t xml:space="preserve">BATIMENT ECO2 2EME ETAGE           </t>
  </si>
  <si>
    <t xml:space="preserve">B221004                       </t>
  </si>
  <si>
    <t xml:space="preserve">NACE 62010                    </t>
  </si>
  <si>
    <t xml:space="preserve">compta@webcom2you.com                   </t>
  </si>
  <si>
    <t>VRANKEN POMMERY BENELUX</t>
  </si>
  <si>
    <t xml:space="preserve">BE0436762789        </t>
  </si>
  <si>
    <t xml:space="preserve">SQUARE SAINCTELETTE 11             </t>
  </si>
  <si>
    <t xml:space="preserve">NACEBEL 47521                 </t>
  </si>
  <si>
    <t xml:space="preserve">ALLER-RETOUR: 200KM </t>
  </si>
  <si>
    <t xml:space="preserve">afrans@vpb.be                           </t>
  </si>
  <si>
    <t xml:space="preserve">RMDA SPRL              </t>
  </si>
  <si>
    <t xml:space="preserve">BE0885823004        </t>
  </si>
  <si>
    <t xml:space="preserve">RUE BORCHAMPS 10                   </t>
  </si>
  <si>
    <t xml:space="preserve">MARCHE-EN-FAMENNE             </t>
  </si>
  <si>
    <t xml:space="preserve">William.feltz@feltz.be                  </t>
  </si>
  <si>
    <t xml:space="preserve">SECURITIES DE MUNTER   </t>
  </si>
  <si>
    <t xml:space="preserve">BE0861975652        </t>
  </si>
  <si>
    <t xml:space="preserve">AVEUE FRANKLIN ROOSEVELT, 142      </t>
  </si>
  <si>
    <t xml:space="preserve">NICOLAS DE MUNTER             </t>
  </si>
  <si>
    <t xml:space="preserve">OUVERTURE D'UN      </t>
  </si>
  <si>
    <t xml:space="preserve">BUREAU SUR ANVERS   </t>
  </si>
  <si>
    <t xml:space="preserve">ALLER-RETOUR/ 204KM </t>
  </si>
  <si>
    <t xml:space="preserve">Ndm@sdm.lu                              </t>
  </si>
  <si>
    <t xml:space="preserve">FIDUCIAIRE MONTGOMERY  </t>
  </si>
  <si>
    <t xml:space="preserve">BE0464532406        </t>
  </si>
  <si>
    <t xml:space="preserve">CHAUSSEE DE LA HULPE 177/20        </t>
  </si>
  <si>
    <t xml:space="preserve">ALLER-RETOUR: 212KM </t>
  </si>
  <si>
    <t xml:space="preserve">n.semmeling@fmg.be                      </t>
  </si>
  <si>
    <t xml:space="preserve">ALVEO SPRL             </t>
  </si>
  <si>
    <t xml:space="preserve">BE0544937882        </t>
  </si>
  <si>
    <t xml:space="preserve">THIER DES FORGES 80A               </t>
  </si>
  <si>
    <t xml:space="preserve">NACEBEL 86230                 </t>
  </si>
  <si>
    <t xml:space="preserve">info@centrealveo.be                     </t>
  </si>
  <si>
    <t xml:space="preserve">BOVY-LONNOY NOTAIRES   </t>
  </si>
  <si>
    <t xml:space="preserve">BE0672987483        </t>
  </si>
  <si>
    <t xml:space="preserve">QUAI DE L'OURTHE 30                </t>
  </si>
  <si>
    <t xml:space="preserve">COMBLAIN-AU-PONT              </t>
  </si>
  <si>
    <t xml:space="preserve">NACEBEL 69102                 </t>
  </si>
  <si>
    <t xml:space="preserve">sabrina.lonnoy@belnot.be                </t>
  </si>
  <si>
    <t xml:space="preserve">PRODUPRESS ADVERTISING </t>
  </si>
  <si>
    <t xml:space="preserve">BE0650876928        </t>
  </si>
  <si>
    <t xml:space="preserve">BOULEVARD DE L'HUMANITE,292        </t>
  </si>
  <si>
    <t xml:space="preserve">FOREST                        </t>
  </si>
  <si>
    <t xml:space="preserve">SAMIR AL-HASSAN               </t>
  </si>
  <si>
    <t xml:space="preserve">NACEBEL 59111                 </t>
  </si>
  <si>
    <t xml:space="preserve">ALLER-RETOUR: 210km </t>
  </si>
  <si>
    <t xml:space="preserve">compta@produpress.be                    </t>
  </si>
  <si>
    <t xml:space="preserve">GELBOPHARMA SRL        </t>
  </si>
  <si>
    <t xml:space="preserve">BE0870583413        </t>
  </si>
  <si>
    <t xml:space="preserve">AVENUE EDISON 19/D                 </t>
  </si>
  <si>
    <t xml:space="preserve">MADAME GELOEN                 </t>
  </si>
  <si>
    <t xml:space="preserve">NACEBEL 46319                 </t>
  </si>
  <si>
    <t xml:space="preserve">ALLER-RETOUR: 162KM </t>
  </si>
  <si>
    <t xml:space="preserve">gelbopharma@gelbopharma.com             </t>
  </si>
  <si>
    <t xml:space="preserve">STOFEUR'S MANAGEMENT   </t>
  </si>
  <si>
    <t xml:space="preserve">BE0788372448        </t>
  </si>
  <si>
    <t xml:space="preserve">CHEMIN DU ROSSIGNOL 84             </t>
  </si>
  <si>
    <t xml:space="preserve">BRAINE L'ALLEUD               </t>
  </si>
  <si>
    <t xml:space="preserve">NACEBEL 82990                 </t>
  </si>
  <si>
    <t xml:space="preserve">cb@cjbg.be                              </t>
  </si>
  <si>
    <t xml:space="preserve">ACCURIS SPRL           </t>
  </si>
  <si>
    <t xml:space="preserve">BE0505815408        </t>
  </si>
  <si>
    <t xml:space="preserve">AVENUE LOUISE 143/4                </t>
  </si>
  <si>
    <t xml:space="preserve">nathalie.charpentier@accuris.eu         </t>
  </si>
  <si>
    <t xml:space="preserve">BE0449075752        </t>
  </si>
  <si>
    <t xml:space="preserve">MARLOIE AUX MINIERES 4             </t>
  </si>
  <si>
    <t xml:space="preserve">AYE                           </t>
  </si>
  <si>
    <t xml:space="preserve">NACEBEL 43222                 </t>
  </si>
  <si>
    <t xml:space="preserve">ALLER-RETOUR: 156KM </t>
  </si>
  <si>
    <t xml:space="preserve">info@chauffagefrederick.be              </t>
  </si>
  <si>
    <t xml:space="preserve">FIDU FS SRL            </t>
  </si>
  <si>
    <t xml:space="preserve">BE0551892584        </t>
  </si>
  <si>
    <t xml:space="preserve">RUE DE LOUVEGNIE 22/1              </t>
  </si>
  <si>
    <t xml:space="preserve">PHILIPPE HEBRANS              </t>
  </si>
  <si>
    <t xml:space="preserve">ALLER-RETOUR: 70KM  </t>
  </si>
  <si>
    <t xml:space="preserve">philippe@fidu-fs.be                     </t>
  </si>
  <si>
    <t xml:space="preserve">THOMASSEN ET FILS SPRL </t>
  </si>
  <si>
    <t xml:space="preserve">BE0417268066        </t>
  </si>
  <si>
    <t xml:space="preserve">RUE DE MAASTRICHT 96               </t>
  </si>
  <si>
    <t xml:space="preserve">M. LEGEARD                    </t>
  </si>
  <si>
    <t xml:space="preserve">NACEBEL 41101                 </t>
  </si>
  <si>
    <t xml:space="preserve">ALLER-RETOUR: 26KM  </t>
  </si>
  <si>
    <t>jean-francois.legeard@thomassen-et-fils.</t>
  </si>
  <si>
    <t xml:space="preserve">DECUBE SA              </t>
  </si>
  <si>
    <t xml:space="preserve">BE0863670776        </t>
  </si>
  <si>
    <t xml:space="preserve">QUAI DU PONT CANAL 3               </t>
  </si>
  <si>
    <t xml:space="preserve">XAVIER LECLERQ                </t>
  </si>
  <si>
    <t xml:space="preserve">ALLER-RETOUR: 238KM </t>
  </si>
  <si>
    <t xml:space="preserve">x.leclercq@decube.be                    </t>
  </si>
  <si>
    <t xml:space="preserve">INFILIEGE SRL          </t>
  </si>
  <si>
    <t xml:space="preserve">BE0461933695        </t>
  </si>
  <si>
    <t xml:space="preserve">RUE DES TRIXHES 58                 </t>
  </si>
  <si>
    <t xml:space="preserve">BRESSOUX                      </t>
  </si>
  <si>
    <t xml:space="preserve">NACEBEL 86906                 </t>
  </si>
  <si>
    <t xml:space="preserve">sophie.cahay@infiliege.be               </t>
  </si>
  <si>
    <t xml:space="preserve">TEGEC SRL              </t>
  </si>
  <si>
    <t xml:space="preserve">BE0464301485        </t>
  </si>
  <si>
    <t xml:space="preserve">AVENUE DE L'EXPANSION 11           </t>
  </si>
  <si>
    <t xml:space="preserve">VINCENT HENSENNE              </t>
  </si>
  <si>
    <t xml:space="preserve">NACEBEL 42211                 </t>
  </si>
  <si>
    <t xml:space="preserve">ALLER-RETOUR: 20KM  </t>
  </si>
  <si>
    <t xml:space="preserve">hensenne@tegec.be                       </t>
  </si>
  <si>
    <t xml:space="preserve">BECOVFIDUS SRL         </t>
  </si>
  <si>
    <t xml:space="preserve">BE0425375385        </t>
  </si>
  <si>
    <t xml:space="preserve">AVENUE DU COR DE CHASSE 21         </t>
  </si>
  <si>
    <t xml:space="preserve">BRUXELLES-BOITSF.             </t>
  </si>
  <si>
    <t xml:space="preserve">ALLER-RETOUR: 208km </t>
  </si>
  <si>
    <t xml:space="preserve">info@becovfidus.be                      </t>
  </si>
  <si>
    <t xml:space="preserve">LAGROU SA              </t>
  </si>
  <si>
    <t xml:space="preserve">BE0424882269        </t>
  </si>
  <si>
    <t xml:space="preserve">RUE DELVAUX 21                     </t>
  </si>
  <si>
    <t xml:space="preserve">NACEBEL 43991                 </t>
  </si>
  <si>
    <t xml:space="preserve">ALLER-RETOUR: 32KM  </t>
  </si>
  <si>
    <t xml:space="preserve">compta@lagrou.eu                        </t>
  </si>
  <si>
    <t xml:space="preserve">BENTAYEB KHOLOUD       </t>
  </si>
  <si>
    <t xml:space="preserve">BE0662713007        </t>
  </si>
  <si>
    <t xml:space="preserve">ESPLANADE SIMONE VEIL 1            </t>
  </si>
  <si>
    <t xml:space="preserve">k.bentayeb@kblex.be                     </t>
  </si>
  <si>
    <t xml:space="preserve">CHENE DU LOUP SA       </t>
  </si>
  <si>
    <t xml:space="preserve">BE0450542432        </t>
  </si>
  <si>
    <t xml:space="preserve">RUE DE HERVE 125                   </t>
  </si>
  <si>
    <t xml:space="preserve">ALLER-RETOUR: 30KM  </t>
  </si>
  <si>
    <t xml:space="preserve">mlennerts@outlook.com                   </t>
  </si>
  <si>
    <t xml:space="preserve">DETRAMO SA             </t>
  </si>
  <si>
    <t xml:space="preserve">BE0431063941        </t>
  </si>
  <si>
    <t xml:space="preserve">46 RUE DE LA HORRE                 </t>
  </si>
  <si>
    <t xml:space="preserve">info@detramo.be                         </t>
  </si>
  <si>
    <t xml:space="preserve">A.S.T.S.C. SRL         </t>
  </si>
  <si>
    <t xml:space="preserve">BE0426472277        </t>
  </si>
  <si>
    <t xml:space="preserve">RUE DU VIEUX BOIS 22               </t>
  </si>
  <si>
    <t xml:space="preserve">NACEBEL 71111                 </t>
  </si>
  <si>
    <t xml:space="preserve">info@atelier-st.be                      </t>
  </si>
  <si>
    <t xml:space="preserve">BVOLET SRL             </t>
  </si>
  <si>
    <t xml:space="preserve">BE1000331801        </t>
  </si>
  <si>
    <t xml:space="preserve">RUE LARGE VOIE 186                 </t>
  </si>
  <si>
    <t xml:space="preserve">NACEBEL 47522                 </t>
  </si>
  <si>
    <t xml:space="preserve">info@bvolet.be                          </t>
  </si>
  <si>
    <t xml:space="preserve">PLASTIDOR SRL          </t>
  </si>
  <si>
    <t xml:space="preserve">BE0645684062        </t>
  </si>
  <si>
    <t xml:space="preserve">LARGE VOIE 186                     </t>
  </si>
  <si>
    <t xml:space="preserve">NACEBEL 43320                 </t>
  </si>
  <si>
    <t xml:space="preserve">info@plastidor.be                       </t>
  </si>
  <si>
    <t xml:space="preserve">HOME CONSULT SERVICES  </t>
  </si>
  <si>
    <t xml:space="preserve">BE0440536881        </t>
  </si>
  <si>
    <t xml:space="preserve">RUE DU MOLINAY 67                  </t>
  </si>
  <si>
    <t xml:space="preserve">angie@hcs.immo                          </t>
  </si>
  <si>
    <t xml:space="preserve">CIMEX SRL              </t>
  </si>
  <si>
    <t xml:space="preserve">BE0449967558        </t>
  </si>
  <si>
    <t xml:space="preserve">VOIE DE L'AIR PUR 257              </t>
  </si>
  <si>
    <t xml:space="preserve">cedric.de.cecco@cimex.be                </t>
  </si>
  <si>
    <t xml:space="preserve">DECUBEL SA             </t>
  </si>
  <si>
    <t xml:space="preserve">BE0413070441        </t>
  </si>
  <si>
    <t xml:space="preserve">RUE DE L'ADOPTION MAR. 61          </t>
  </si>
  <si>
    <t xml:space="preserve">COUVIN                        </t>
  </si>
  <si>
    <t xml:space="preserve">canivet@decubel.be                      </t>
  </si>
  <si>
    <t xml:space="preserve">M&amp;R CONSULT SRL        </t>
  </si>
  <si>
    <t xml:space="preserve">BE0458467629        </t>
  </si>
  <si>
    <t xml:space="preserve">RUE DERRIERE LES ILES 7A           </t>
  </si>
  <si>
    <t xml:space="preserve">ALLER-RETOUR: 106KM </t>
  </si>
  <si>
    <t xml:space="preserve">patrick.mignon@impactmedias.be          </t>
  </si>
  <si>
    <t xml:space="preserve">NUTRI-ETHIC SA         </t>
  </si>
  <si>
    <t xml:space="preserve">BE0880655179        </t>
  </si>
  <si>
    <t xml:space="preserve">NACEBEL 47299                 </t>
  </si>
  <si>
    <t xml:space="preserve">BERREWAERTS            </t>
  </si>
  <si>
    <t xml:space="preserve">MARIE-ASTRID                       </t>
  </si>
  <si>
    <t xml:space="preserve">BOULEVARD D'AVROY, 288/11          </t>
  </si>
  <si>
    <t xml:space="preserve">ma.berrewaerts@mgr-ougree.be            </t>
  </si>
  <si>
    <t xml:space="preserve">ARCATECH SA            </t>
  </si>
  <si>
    <t xml:space="preserve">BE0453437386        </t>
  </si>
  <si>
    <t xml:space="preserve">QUAI SAINT-LEONARD 61              </t>
  </si>
  <si>
    <t xml:space="preserve">NACEBEL 62020                 </t>
  </si>
  <si>
    <t xml:space="preserve">manu@arcatech.be                        </t>
  </si>
  <si>
    <t xml:space="preserve">MAKA CHRISTIAN         </t>
  </si>
  <si>
    <t xml:space="preserve">RUE DU JARDIN BOTANIQUE, 36        </t>
  </si>
  <si>
    <t xml:space="preserve">cmkconsult@skynet.be                    </t>
  </si>
  <si>
    <t xml:space="preserve">ALEA SPRL              </t>
  </si>
  <si>
    <t xml:space="preserve">BE0471781868        </t>
  </si>
  <si>
    <t xml:space="preserve">RUE DU PARC 16                     </t>
  </si>
  <si>
    <t xml:space="preserve">A LA FORGE             </t>
  </si>
  <si>
    <t xml:space="preserve">BE0434520804        </t>
  </si>
  <si>
    <t xml:space="preserve">RUE BASSE-SAUVENIERE 4/6           </t>
  </si>
  <si>
    <t xml:space="preserve">ARCHIPLAN 9 SRL        </t>
  </si>
  <si>
    <t xml:space="preserve">BE0774476209        </t>
  </si>
  <si>
    <t xml:space="preserve">RUE DUCHENE 2/D                    </t>
  </si>
  <si>
    <t xml:space="preserve">SERVICE EXPERTISE AUTO </t>
  </si>
  <si>
    <t xml:space="preserve">BE0648660972        </t>
  </si>
  <si>
    <t xml:space="preserve">RUE DE MONS 25/26                  </t>
  </si>
  <si>
    <t xml:space="preserve">ALLER-RETOUR: 204km </t>
  </si>
  <si>
    <t xml:space="preserve">JACQUINET BARBARA      </t>
  </si>
  <si>
    <t xml:space="preserve">BE0734602675        </t>
  </si>
  <si>
    <t xml:space="preserve">ORDRE DES AVOCATS DU   </t>
  </si>
  <si>
    <t xml:space="preserve">BARREAU DE HUY                     </t>
  </si>
  <si>
    <t xml:space="preserve">PALAIS DE JUSTICE QUAI D'ARONA 4   </t>
  </si>
  <si>
    <t xml:space="preserve">BEAUMECKER JEROME      </t>
  </si>
  <si>
    <t xml:space="preserve">BE0534968658        </t>
  </si>
  <si>
    <t xml:space="preserve">SOGEOF SPRL            </t>
  </si>
  <si>
    <t xml:space="preserve">BE0402258604        </t>
  </si>
  <si>
    <t xml:space="preserve">RUE DE MULHOUSE 37                 </t>
  </si>
  <si>
    <t xml:space="preserve">JM BERGMANS SPRL       </t>
  </si>
  <si>
    <t xml:space="preserve">BE0426978063        </t>
  </si>
  <si>
    <t xml:space="preserve">BRICTEUX               </t>
  </si>
  <si>
    <t xml:space="preserve">BE0803128821        </t>
  </si>
  <si>
    <t xml:space="preserve">RUE FRESART 16                     </t>
  </si>
  <si>
    <t xml:space="preserve">BSB MANAGEMENT         </t>
  </si>
  <si>
    <t xml:space="preserve">BE0449067735        </t>
  </si>
  <si>
    <t xml:space="preserve">CONSULTING SA                      </t>
  </si>
  <si>
    <t xml:space="preserve">RUE DU BOIS ST-JEAN 29             </t>
  </si>
  <si>
    <t xml:space="preserve">BURTIN OLIVIER         </t>
  </si>
  <si>
    <t xml:space="preserve">BE0873422642        </t>
  </si>
  <si>
    <t xml:space="preserve">BOULEVARD PIERCOT 52/102           </t>
  </si>
  <si>
    <t xml:space="preserve">CABINET MAITRE LEDUC   </t>
  </si>
  <si>
    <t xml:space="preserve">PLACE BRONCKART 1                  </t>
  </si>
  <si>
    <t xml:space="preserve">LE CADRAN              </t>
  </si>
  <si>
    <t xml:space="preserve">MAISON MEDICALE                    </t>
  </si>
  <si>
    <t xml:space="preserve">RUE SAINTE MARGUERITE 124          </t>
  </si>
  <si>
    <t xml:space="preserve">CAR CONSULT SERVICE    </t>
  </si>
  <si>
    <t xml:space="preserve">BE0473985946        </t>
  </si>
  <si>
    <t xml:space="preserve">SPRLU                              </t>
  </si>
  <si>
    <t xml:space="preserve">COLLIGNON DIDIER       </t>
  </si>
  <si>
    <t xml:space="preserve">BE0691379079        </t>
  </si>
  <si>
    <t xml:space="preserve">RUE ROME (PETITHAN) 12             </t>
  </si>
  <si>
    <t xml:space="preserve">ALLER-RETOUR: 132KM </t>
  </si>
  <si>
    <t xml:space="preserve">CMK CONSULT            </t>
  </si>
  <si>
    <t xml:space="preserve">BE0476918415        </t>
  </si>
  <si>
    <t xml:space="preserve">RUE DU JARDIN BOTANIQUE 36         </t>
  </si>
  <si>
    <t xml:space="preserve">CREASOL ASBL           </t>
  </si>
  <si>
    <t xml:space="preserve">BE0439365161        </t>
  </si>
  <si>
    <t xml:space="preserve">RUE DE STEPPES 20                  </t>
  </si>
  <si>
    <t xml:space="preserve">DANIEL RENARD FINANCE  </t>
  </si>
  <si>
    <t xml:space="preserve">BE0863694037        </t>
  </si>
  <si>
    <t xml:space="preserve">&amp; CIE                              </t>
  </si>
  <si>
    <t xml:space="preserve">DEIGNE 114                         </t>
  </si>
  <si>
    <t xml:space="preserve">AYWAILLE                      </t>
  </si>
  <si>
    <t xml:space="preserve">daniel.renard@drfinance.be              </t>
  </si>
  <si>
    <t xml:space="preserve">DAVO TONGEREN BVBA     </t>
  </si>
  <si>
    <t xml:space="preserve">BE0438056750        </t>
  </si>
  <si>
    <t xml:space="preserve">MAASTRICHTERSTEENWEG 529           </t>
  </si>
  <si>
    <t xml:space="preserve">TONGEREN                      </t>
  </si>
  <si>
    <t xml:space="preserve">ETUDE NOTAIRE DECLERCK </t>
  </si>
  <si>
    <t xml:space="preserve">BE0568597370        </t>
  </si>
  <si>
    <t xml:space="preserve">RUE LARGE VOIE 228                 </t>
  </si>
  <si>
    <t xml:space="preserve">etude@notairedeclerck.be                </t>
  </si>
  <si>
    <t xml:space="preserve">DESTINY NV             </t>
  </si>
  <si>
    <t xml:space="preserve">BE0442894476        </t>
  </si>
  <si>
    <t xml:space="preserve">EXCELSIORLAAN 89                   </t>
  </si>
  <si>
    <t xml:space="preserve">ZAVENTEM                      </t>
  </si>
  <si>
    <t xml:space="preserve">ALLER-RETOUR: 184km </t>
  </si>
  <si>
    <t xml:space="preserve">DHAMAN NV              </t>
  </si>
  <si>
    <t xml:space="preserve">BE0457995990        </t>
  </si>
  <si>
    <t xml:space="preserve">DOBBELSTATIESTRAAT 7               </t>
  </si>
  <si>
    <t xml:space="preserve">DEINZE                        </t>
  </si>
  <si>
    <t xml:space="preserve">ALLER-RETOUR: 332km </t>
  </si>
  <si>
    <t xml:space="preserve">DRYTEC SA              </t>
  </si>
  <si>
    <t xml:space="preserve">BE0424938687        </t>
  </si>
  <si>
    <t xml:space="preserve">RUE DE la legende, 36              </t>
  </si>
  <si>
    <t xml:space="preserve">accounting.drytec@mikropor.com          </t>
  </si>
  <si>
    <t xml:space="preserve">FABBRICOTTI MARINA     </t>
  </si>
  <si>
    <t xml:space="preserve">BE0850810556        </t>
  </si>
  <si>
    <t xml:space="preserve">RUE DES SOEURS GRISES 13           </t>
  </si>
  <si>
    <t xml:space="preserve">fabbricotti.avocat@skynet.be            </t>
  </si>
  <si>
    <t>CABINET P-F FERON SCPRL</t>
  </si>
  <si>
    <t xml:space="preserve">RUE CHEVRE VOIE 22                 </t>
  </si>
  <si>
    <t xml:space="preserve">FIDUCIAIRE LEONARD ET  </t>
  </si>
  <si>
    <t xml:space="preserve">BE0674430805        </t>
  </si>
  <si>
    <t xml:space="preserve">BALTHASAR                          </t>
  </si>
  <si>
    <t xml:space="preserve">BOULEVARD D'AVROY 142              </t>
  </si>
  <si>
    <t xml:space="preserve">p.leonard@fiduciairelb.be               </t>
  </si>
  <si>
    <t xml:space="preserve">FONDATION JEANNE ET    </t>
  </si>
  <si>
    <t xml:space="preserve">CHARLES VANDENHOVE                 </t>
  </si>
  <si>
    <t xml:space="preserve">RUE SAINT-PIERRE 15                </t>
  </si>
  <si>
    <t xml:space="preserve">MARIO GENTILE          </t>
  </si>
  <si>
    <t xml:space="preserve">BE0459233731        </t>
  </si>
  <si>
    <t xml:space="preserve">BUREAU D'EXPERTISE AUTOMOBILE      </t>
  </si>
  <si>
    <t xml:space="preserve">RUE NYSTEN 42                      </t>
  </si>
  <si>
    <t xml:space="preserve">GESTANET SA            </t>
  </si>
  <si>
    <t xml:space="preserve">BE0448894818        </t>
  </si>
  <si>
    <t xml:space="preserve">PREMIERE AVENUE,115-117            </t>
  </si>
  <si>
    <t xml:space="preserve">LA GRANDE PHARMACIE    </t>
  </si>
  <si>
    <t xml:space="preserve">BE0402353129        </t>
  </si>
  <si>
    <t xml:space="preserve">PHARMACIE F. GRISARD   </t>
  </si>
  <si>
    <t xml:space="preserve">BE0420651584        </t>
  </si>
  <si>
    <t xml:space="preserve">MARZANO SCRL                       </t>
  </si>
  <si>
    <t xml:space="preserve">RUE DE L'YSER                      </t>
  </si>
  <si>
    <t xml:space="preserve">g.marzano@skynet.be                     </t>
  </si>
  <si>
    <t xml:space="preserve">HAENEN ANNE            </t>
  </si>
  <si>
    <t xml:space="preserve">RUE HENRI-PIRENNE 42               </t>
  </si>
  <si>
    <t xml:space="preserve">CABINET M HAMAL        </t>
  </si>
  <si>
    <t xml:space="preserve">BE0844697873        </t>
  </si>
  <si>
    <t xml:space="preserve">o.hamal@cabinetleodium.be               </t>
  </si>
  <si>
    <t>CABINET ORL HANSEZ SPRL</t>
  </si>
  <si>
    <t xml:space="preserve">VOIE DE L'ARDENNE 129              </t>
  </si>
  <si>
    <t xml:space="preserve">+32 475 32 99 </t>
  </si>
  <si>
    <t xml:space="preserve">ph.hansez@skynet.be                     </t>
  </si>
  <si>
    <t xml:space="preserve">BE0414138035        </t>
  </si>
  <si>
    <t xml:space="preserve">RUE DES WAIDES 17                  </t>
  </si>
  <si>
    <t xml:space="preserve">info@hofman-signalisation.be            </t>
  </si>
  <si>
    <t xml:space="preserve">HOUBEN                 </t>
  </si>
  <si>
    <t xml:space="preserve">BE0850588248        </t>
  </si>
  <si>
    <t xml:space="preserve">RUE VINAVE 32                      </t>
  </si>
  <si>
    <t xml:space="preserve">marcel.houben@skynet.be                 </t>
  </si>
  <si>
    <t xml:space="preserve">ILO INVEST             </t>
  </si>
  <si>
    <t xml:space="preserve">BE0754681279        </t>
  </si>
  <si>
    <t xml:space="preserve">RUE GRIHANSTER 1/A                 </t>
  </si>
  <si>
    <t xml:space="preserve">INTERFONE BELGIUM      </t>
  </si>
  <si>
    <t xml:space="preserve">BE0848093665        </t>
  </si>
  <si>
    <t xml:space="preserve">RUE DE COQUELET 134                </t>
  </si>
  <si>
    <t xml:space="preserve">ALLER-RETOUR: 136km </t>
  </si>
  <si>
    <t xml:space="preserve">JOBSES JACQUES         </t>
  </si>
  <si>
    <t xml:space="preserve">BE0893918148        </t>
  </si>
  <si>
    <t xml:space="preserve">ROUTE DE BACOMBOU OSTER 1/2        </t>
  </si>
  <si>
    <t xml:space="preserve">ALLER-RETOUR: 128KM </t>
  </si>
  <si>
    <t xml:space="preserve">JOIRIS CHRISTIAN SPRL  </t>
  </si>
  <si>
    <t xml:space="preserve">BE0424463387        </t>
  </si>
  <si>
    <t xml:space="preserve">RUE DE LA CEINTURE 2               </t>
  </si>
  <si>
    <t xml:space="preserve">KARA NAHIT             </t>
  </si>
  <si>
    <t xml:space="preserve">BE0756407879        </t>
  </si>
  <si>
    <t xml:space="preserve">RUE DU TIEGE 40                    </t>
  </si>
  <si>
    <t xml:space="preserve">SPRL MARC KASCHTEN     </t>
  </si>
  <si>
    <t xml:space="preserve">BE0464629901        </t>
  </si>
  <si>
    <t xml:space="preserve">NOTAIRE SC                         </t>
  </si>
  <si>
    <t xml:space="preserve">RUE DE CAMPINNE 42                 </t>
  </si>
  <si>
    <t xml:space="preserve">DEMOL CAVENAILE        </t>
  </si>
  <si>
    <t xml:space="preserve">CHEMIN DU SARTE 36                 </t>
  </si>
  <si>
    <t xml:space="preserve">LIMONT                        </t>
  </si>
  <si>
    <t xml:space="preserve">LAHAYE JEAN            </t>
  </si>
  <si>
    <t xml:space="preserve">BE0850765422        </t>
  </si>
  <si>
    <t xml:space="preserve">QUAI DE ROME 86                    </t>
  </si>
  <si>
    <t xml:space="preserve">LEDUC CABINET          </t>
  </si>
  <si>
    <t xml:space="preserve">LEONARD PATRICIA       </t>
  </si>
  <si>
    <t xml:space="preserve">BE0753243996        </t>
  </si>
  <si>
    <t xml:space="preserve">RUE FREDERIC BRACONIER 221/32      </t>
  </si>
  <si>
    <t>LEVAGE ET EQUIPEMENT SA</t>
  </si>
  <si>
    <t xml:space="preserve">BE0429142747        </t>
  </si>
  <si>
    <t xml:space="preserve">RUE RAYMOND GEENEN 82              </t>
  </si>
  <si>
    <t xml:space="preserve">ATELIER D'ARCHITECTE   </t>
  </si>
  <si>
    <t xml:space="preserve">BE0456839712        </t>
  </si>
  <si>
    <t xml:space="preserve">J. LOUIS SPRL                      </t>
  </si>
  <si>
    <t xml:space="preserve">QUAI DU ROI ALBERT 86              </t>
  </si>
  <si>
    <t xml:space="preserve">joel.louis@modul-art.eu                 </t>
  </si>
  <si>
    <t xml:space="preserve">SCS M&amp;M GESTION SC     </t>
  </si>
  <si>
    <t xml:space="preserve">BE0562855267        </t>
  </si>
  <si>
    <t xml:space="preserve">ALLEE SUR SAINVAL 21               </t>
  </si>
  <si>
    <t xml:space="preserve">MACA-VERSTAPPEN        </t>
  </si>
  <si>
    <t xml:space="preserve">BE0543365789        </t>
  </si>
  <si>
    <t xml:space="preserve">RUE DES COMBATTANTS 62             </t>
  </si>
  <si>
    <t xml:space="preserve">wileczekp@maca-verstappen.be            </t>
  </si>
  <si>
    <t xml:space="preserve">MAGER ANNE             </t>
  </si>
  <si>
    <t xml:space="preserve">BE0650405586        </t>
  </si>
  <si>
    <t xml:space="preserve">BUREAU D'ARCHITECTURE  </t>
  </si>
  <si>
    <t xml:space="preserve">BE0819382754        </t>
  </si>
  <si>
    <t xml:space="preserve">POINT B-AR                         </t>
  </si>
  <si>
    <t xml:space="preserve">RUE DE LA FORET 59                 </t>
  </si>
  <si>
    <t xml:space="preserve">BLEGNYN                       </t>
  </si>
  <si>
    <t>MARECHAL ET MERCKX SPRL</t>
  </si>
  <si>
    <t xml:space="preserve">BE0442920014        </t>
  </si>
  <si>
    <t xml:space="preserve">RUE JULES DE LAMINNE 1             </t>
  </si>
  <si>
    <t xml:space="preserve">marechal@marechal-wenric-vito.be        </t>
  </si>
  <si>
    <t xml:space="preserve">COUNSON MATHILDE       </t>
  </si>
  <si>
    <t xml:space="preserve">BOULEVARD PIERCOT 44/21            </t>
  </si>
  <si>
    <t xml:space="preserve">m.counson@avocat.be                     </t>
  </si>
  <si>
    <t xml:space="preserve">LE MATIGNON SA         </t>
  </si>
  <si>
    <t xml:space="preserve">BE0428787312        </t>
  </si>
  <si>
    <t xml:space="preserve">RUE DE L'ILE MONSIN 129            </t>
  </si>
  <si>
    <t xml:space="preserve">MEDECINS GENERALISTES  </t>
  </si>
  <si>
    <t xml:space="preserve">BE0434266525        </t>
  </si>
  <si>
    <t xml:space="preserve">REUNIS                             </t>
  </si>
  <si>
    <t xml:space="preserve">RUE DES CAPUCINES 3                </t>
  </si>
  <si>
    <t xml:space="preserve">OUGREE                        </t>
  </si>
  <si>
    <t xml:space="preserve">DOCTEUR BERREWAERTS           </t>
  </si>
  <si>
    <t xml:space="preserve">BOUHY MICHEL           </t>
  </si>
  <si>
    <t xml:space="preserve">QUAI CHURCHILL 12                  </t>
  </si>
  <si>
    <t xml:space="preserve">mb@bouhymi.be                           </t>
  </si>
  <si>
    <t xml:space="preserve">CHAUFFAGE MIESSEN SPRL </t>
  </si>
  <si>
    <t xml:space="preserve">BE0458934714        </t>
  </si>
  <si>
    <t xml:space="preserve">RUE DES MUGUETS 63                 </t>
  </si>
  <si>
    <t xml:space="preserve">LAHAYE JEAN-FRANCOIS   </t>
  </si>
  <si>
    <t xml:space="preserve">RUE CHARLES MAGNETTE, 2C           </t>
  </si>
  <si>
    <t xml:space="preserve">jf.lahaye@mpadf.org                     </t>
  </si>
  <si>
    <t xml:space="preserve">MOTTARD FREDERIQUE     </t>
  </si>
  <si>
    <t xml:space="preserve">BE0816399609        </t>
  </si>
  <si>
    <t xml:space="preserve">ROUTE DE L'ABBAYE 108              </t>
  </si>
  <si>
    <t xml:space="preserve">ABACA DECO SPRL        </t>
  </si>
  <si>
    <t xml:space="preserve">BE0861350694        </t>
  </si>
  <si>
    <t>BOULEVARD EMILE DE LAVELEYE 187A/21</t>
  </si>
  <si>
    <t xml:space="preserve">NACEBEL 43341                 </t>
  </si>
  <si>
    <t xml:space="preserve">Abaca.deco@skynet.be                    </t>
  </si>
  <si>
    <t xml:space="preserve">DOG CHEF SRL           </t>
  </si>
  <si>
    <t xml:space="preserve">BE0650765476        </t>
  </si>
  <si>
    <t xml:space="preserve">AVENUE EUGENE GODAUX 26            </t>
  </si>
  <si>
    <t xml:space="preserve">CEDRIC VERWILGHEN             </t>
  </si>
  <si>
    <t xml:space="preserve">0650765476  FRESCH CHEF       </t>
  </si>
  <si>
    <t xml:space="preserve">cedric@dogchef.be                       </t>
  </si>
  <si>
    <t xml:space="preserve">PHILIPPE MOTTARD SPRL  </t>
  </si>
  <si>
    <t xml:space="preserve">BE0466029075        </t>
  </si>
  <si>
    <t xml:space="preserve">AVENUE EMILE DIGNEFFE, 42          </t>
  </si>
  <si>
    <t xml:space="preserve">p.mottard@avocat.be                     </t>
  </si>
  <si>
    <t xml:space="preserve">HERVE MUSCH SPRL       </t>
  </si>
  <si>
    <t xml:space="preserve">BE0462522625        </t>
  </si>
  <si>
    <t xml:space="preserve">RUE RAIKEM 12                      </t>
  </si>
  <si>
    <t xml:space="preserve">NET SERVICES           </t>
  </si>
  <si>
    <t xml:space="preserve">BE0894527664        </t>
  </si>
  <si>
    <t xml:space="preserve">RUE DE POULSEUR 17                 </t>
  </si>
  <si>
    <t xml:space="preserve">info@net-services.be                    </t>
  </si>
  <si>
    <t xml:space="preserve">NOVALIS                </t>
  </si>
  <si>
    <t xml:space="preserve">BE0472993081        </t>
  </si>
  <si>
    <t xml:space="preserve">BOULEVARD GENERAL JACQUES 231      </t>
  </si>
  <si>
    <t xml:space="preserve">OFFINVEST              </t>
  </si>
  <si>
    <t xml:space="preserve">BE0874822412        </t>
  </si>
  <si>
    <t xml:space="preserve">OPTIPROLEX SPRL        </t>
  </si>
  <si>
    <t xml:space="preserve">BE0644644578        </t>
  </si>
  <si>
    <t xml:space="preserve">RUE JULES LAMINNE, 1               </t>
  </si>
  <si>
    <t xml:space="preserve">jlwenric@optiprolex.be                  </t>
  </si>
  <si>
    <t xml:space="preserve">PIN SPRL               </t>
  </si>
  <si>
    <t xml:space="preserve">BE0897656707        </t>
  </si>
  <si>
    <t xml:space="preserve">ALLEE DES FOUGERES 9               </t>
  </si>
  <si>
    <t xml:space="preserve">PIREAS                 </t>
  </si>
  <si>
    <t xml:space="preserve">BE0786872611        </t>
  </si>
  <si>
    <t xml:space="preserve">AVENUE DE SPA 49                   </t>
  </si>
  <si>
    <t xml:space="preserve">G. PIRON SPRL          </t>
  </si>
  <si>
    <t xml:space="preserve">BE0419392663        </t>
  </si>
  <si>
    <t xml:space="preserve">RUE DES DOMINICAINS 3              </t>
  </si>
  <si>
    <t xml:space="preserve">piron@joailleries-piron.be              </t>
  </si>
  <si>
    <t xml:space="preserve">PLAN9                  </t>
  </si>
  <si>
    <t xml:space="preserve">RUE DUCHENE 2D                     </t>
  </si>
  <si>
    <t xml:space="preserve">admin@plan9.be                          </t>
  </si>
  <si>
    <t xml:space="preserve">PMSWEET                </t>
  </si>
  <si>
    <t xml:space="preserve">BE0556753373        </t>
  </si>
  <si>
    <t xml:space="preserve">RUE DE LIMOGES 70                  </t>
  </si>
  <si>
    <t>+32 4 388 1013</t>
  </si>
  <si>
    <t xml:space="preserve">RECYCLAGE MOSAN        </t>
  </si>
  <si>
    <t xml:space="preserve">BE0449431187        </t>
  </si>
  <si>
    <t xml:space="preserve">RUE DU ROUA 6                      </t>
  </si>
  <si>
    <t xml:space="preserve">RECYROM SA             </t>
  </si>
  <si>
    <t xml:space="preserve">BE0541758955        </t>
  </si>
  <si>
    <t xml:space="preserve">RUE FAYS 84                        </t>
  </si>
  <si>
    <t xml:space="preserve">RENARD&amp;VERPOORTEN SPRL </t>
  </si>
  <si>
    <t xml:space="preserve">BE0848855512        </t>
  </si>
  <si>
    <t xml:space="preserve">AVENUE PAQUAY 24                   </t>
  </si>
  <si>
    <t xml:space="preserve">REVICA SPRL            </t>
  </si>
  <si>
    <t xml:space="preserve">BE0455609394        </t>
  </si>
  <si>
    <t xml:space="preserve">facturation@revica-nettoyage.be         </t>
  </si>
  <si>
    <t xml:space="preserve">ROMILLY ALAIN          </t>
  </si>
  <si>
    <t xml:space="preserve">BE0692174776        </t>
  </si>
  <si>
    <t xml:space="preserve">RUE DE GERONSART 271               </t>
  </si>
  <si>
    <t xml:space="preserve">ALLER-RETOUR: 136KM </t>
  </si>
  <si>
    <t xml:space="preserve">alain.romilly@skynet.be                 </t>
  </si>
  <si>
    <t xml:space="preserve">SANZO LUCIANO          </t>
  </si>
  <si>
    <t xml:space="preserve">BE0808924570        </t>
  </si>
  <si>
    <t xml:space="preserve">RUE PROVINCIALE 329                </t>
  </si>
  <si>
    <t xml:space="preserve">JUPRELLE                      </t>
  </si>
  <si>
    <t xml:space="preserve">BE0472760776        </t>
  </si>
  <si>
    <t xml:space="preserve">RUE WERIHET 31                     </t>
  </si>
  <si>
    <t xml:space="preserve">SYNAPHARM INDUSTRIAL   </t>
  </si>
  <si>
    <t xml:space="preserve">BE0465726791        </t>
  </si>
  <si>
    <t xml:space="preserve">SYNTHESIS SA                       </t>
  </si>
  <si>
    <t xml:space="preserve">admin@synapharm.com                     </t>
  </si>
  <si>
    <t xml:space="preserve">JMAG INVEST SA         </t>
  </si>
  <si>
    <t xml:space="preserve">BE0871718313        </t>
  </si>
  <si>
    <t xml:space="preserve">RUE DU THIER 11                    </t>
  </si>
  <si>
    <t xml:space="preserve">TRIDENT FINANCES       </t>
  </si>
  <si>
    <t xml:space="preserve">BE0741389212        </t>
  </si>
  <si>
    <t xml:space="preserve">RUE DE MESSITERT 236               </t>
  </si>
  <si>
    <t xml:space="preserve">CARROSSERIE VERHELLE-  </t>
  </si>
  <si>
    <t xml:space="preserve">BE0422587725        </t>
  </si>
  <si>
    <t xml:space="preserve">RUBIAS SPRL                        </t>
  </si>
  <si>
    <t xml:space="preserve">CHAUSSEE NOEL LEDOUBLE 80          </t>
  </si>
  <si>
    <t xml:space="preserve">VITO MICHEL            </t>
  </si>
  <si>
    <t xml:space="preserve">BE0850690295        </t>
  </si>
  <si>
    <t xml:space="preserve">ALLEE DE LA PICHEROTTE 19          </t>
  </si>
  <si>
    <t xml:space="preserve">ZEVENNE PHILIPPE       </t>
  </si>
  <si>
    <t xml:space="preserve">BE0899209695        </t>
  </si>
  <si>
    <t xml:space="preserve">RUE DU BOIS DE BEYNE 111           </t>
  </si>
  <si>
    <t xml:space="preserve">BELFISCO SRL           </t>
  </si>
  <si>
    <t xml:space="preserve">BE0448415459        </t>
  </si>
  <si>
    <t xml:space="preserve">RUE DU PARC 37                     </t>
  </si>
  <si>
    <t xml:space="preserve">m.cambron@belfisco.be                   </t>
  </si>
  <si>
    <t xml:space="preserve">EQUANS SA              </t>
  </si>
  <si>
    <t xml:space="preserve">BE0425702910        </t>
  </si>
  <si>
    <t xml:space="preserve">CHAUSSEE DE TUBIZE 489             </t>
  </si>
  <si>
    <t xml:space="preserve">NACEBEL 25110                 </t>
  </si>
  <si>
    <t xml:space="preserve">olivier.dotremont@equans.com            </t>
  </si>
  <si>
    <t xml:space="preserve">AURAL SRL              </t>
  </si>
  <si>
    <t xml:space="preserve">BE0456726973        </t>
  </si>
  <si>
    <t xml:space="preserve">RUE DE PARIS 15                    </t>
  </si>
  <si>
    <t xml:space="preserve">info@aural.be                           </t>
  </si>
  <si>
    <t xml:space="preserve">DEMBOUR ET DECONINCK   </t>
  </si>
  <si>
    <t xml:space="preserve">BE0862829252        </t>
  </si>
  <si>
    <t xml:space="preserve">f.dembour@cabinetleodium.be             </t>
  </si>
  <si>
    <t xml:space="preserve">EG MANAGEMENT SNC      </t>
  </si>
  <si>
    <t xml:space="preserve">BE0801957990        </t>
  </si>
  <si>
    <t xml:space="preserve">RUE DU BOULY 2B                    </t>
  </si>
  <si>
    <t xml:space="preserve">SORINNE-LA-LONGUE             </t>
  </si>
  <si>
    <t xml:space="preserve">ALLER-RETOUR: 144KM </t>
  </si>
  <si>
    <t xml:space="preserve">BAROMEDIC SRL          </t>
  </si>
  <si>
    <t xml:space="preserve">BE0637992457        </t>
  </si>
  <si>
    <t xml:space="preserve">RUE CHARLES LEJEUNE 11             </t>
  </si>
  <si>
    <t xml:space="preserve">STEPHANIE BARBE               </t>
  </si>
  <si>
    <t xml:space="preserve">info@baromedic.be                       </t>
  </si>
  <si>
    <t xml:space="preserve">AT COMPTA SARL         </t>
  </si>
  <si>
    <t xml:space="preserve">LU29661769          </t>
  </si>
  <si>
    <t xml:space="preserve">2,RUE DE L'INDUSTRIE               </t>
  </si>
  <si>
    <t xml:space="preserve">RODANGE                       </t>
  </si>
  <si>
    <t xml:space="preserve">B218061                       </t>
  </si>
  <si>
    <t xml:space="preserve">atcomptalux@gmail.com                   </t>
  </si>
  <si>
    <t xml:space="preserve">DL PARTS SPRL          </t>
  </si>
  <si>
    <t xml:space="preserve">BE0550858644        </t>
  </si>
  <si>
    <t xml:space="preserve">ZONE D'ACTIVITES NORD, 27          </t>
  </si>
  <si>
    <t xml:space="preserve">ARNAUD NAVEZ                  </t>
  </si>
  <si>
    <t xml:space="preserve">ALLER-RETOUR: 142KM </t>
  </si>
  <si>
    <t xml:space="preserve">info@dlparts.be                         </t>
  </si>
  <si>
    <t xml:space="preserve">CORNET BERNARD         </t>
  </si>
  <si>
    <t xml:space="preserve">BE0751332108        </t>
  </si>
  <si>
    <t xml:space="preserve">DEIGNE 110                         </t>
  </si>
  <si>
    <t xml:space="preserve">bernard.cornet@aeasprl.be               </t>
  </si>
  <si>
    <t xml:space="preserve">KLEVER SRL             </t>
  </si>
  <si>
    <t xml:space="preserve">BE0665804337        </t>
  </si>
  <si>
    <t xml:space="preserve">AVENUE DU PARC 40                  </t>
  </si>
  <si>
    <t>+3287 70 98 00</t>
  </si>
  <si>
    <t xml:space="preserve">ALLER-RETOUR: 42KM  </t>
  </si>
  <si>
    <t xml:space="preserve">ANC. AXIOME SA      </t>
  </si>
  <si>
    <t xml:space="preserve">brice.reul@klever.be                    </t>
  </si>
  <si>
    <t xml:space="preserve">BE0803470992        </t>
  </si>
  <si>
    <t xml:space="preserve">hs@springuel.eu                         </t>
  </si>
  <si>
    <t xml:space="preserve">AGILIS SC              </t>
  </si>
  <si>
    <t xml:space="preserve">RUE DES RHIEUX 1                   </t>
  </si>
  <si>
    <t xml:space="preserve">denis.sibille@aiss-iip.be               </t>
  </si>
  <si>
    <t xml:space="preserve">MONNAIE SA             </t>
  </si>
  <si>
    <t xml:space="preserve">BE0437908181        </t>
  </si>
  <si>
    <t xml:space="preserve">QUAI DU PONT CANAL (S-B) 3         </t>
  </si>
  <si>
    <t xml:space="preserve">MACLOT GC SRL          </t>
  </si>
  <si>
    <t xml:space="preserve">BE0864706302        </t>
  </si>
  <si>
    <t xml:space="preserve">x.leclercq@decube.be          </t>
  </si>
  <si>
    <t xml:space="preserve">ALLER-RETOUR: 238km </t>
  </si>
  <si>
    <t xml:space="preserve">compta@decube.be                        </t>
  </si>
  <si>
    <t xml:space="preserve">ENES CONSTRUCT SRL     </t>
  </si>
  <si>
    <t xml:space="preserve">BE0841139755        </t>
  </si>
  <si>
    <t xml:space="preserve">DECUBE CONSULT SRL     </t>
  </si>
  <si>
    <t xml:space="preserve">BE0876615130        </t>
  </si>
  <si>
    <t xml:space="preserve">BELGIUM COATINGS SA    </t>
  </si>
  <si>
    <t xml:space="preserve">BE0415250268        </t>
  </si>
  <si>
    <t xml:space="preserve">RUE DES NOUVELLES TECHNOLOGIES 4   </t>
  </si>
  <si>
    <t xml:space="preserve">BE0419662679        </t>
  </si>
  <si>
    <t xml:space="preserve">QUAI DU PONT CANAL (S-B) 1         </t>
  </si>
  <si>
    <t xml:space="preserve">PIERRE LEGRAS AVOCAT   </t>
  </si>
  <si>
    <t xml:space="preserve">BE0763356643        </t>
  </si>
  <si>
    <t xml:space="preserve">AVENUE PRINCE BAUDOUIN 44          </t>
  </si>
  <si>
    <t xml:space="preserve">PIERRE LEGRAS                 </t>
  </si>
  <si>
    <t xml:space="preserve">p.legras@cavenaile.be                   </t>
  </si>
  <si>
    <t xml:space="preserve">GENERAL ORIENTAL       </t>
  </si>
  <si>
    <t xml:space="preserve">LU24399748          </t>
  </si>
  <si>
    <t xml:space="preserve">SERVICES SA                        </t>
  </si>
  <si>
    <t>77 BOULEVARD GDE DUCHESSE CHARLOTTE</t>
  </si>
  <si>
    <t xml:space="preserve">LUXEMBOURG                    </t>
  </si>
  <si>
    <t xml:space="preserve">B151366                       </t>
  </si>
  <si>
    <t xml:space="preserve">julien.brenier@generaloriental.com      </t>
  </si>
  <si>
    <t xml:space="preserve">BPO TAX &amp; ACCOUNTANCY  </t>
  </si>
  <si>
    <t xml:space="preserve">BE0885117476        </t>
  </si>
  <si>
    <t xml:space="preserve">RUE DE LIVOURNE, 7 BOX 4           </t>
  </si>
  <si>
    <t xml:space="preserve">NACEBEL 69203                 </t>
  </si>
  <si>
    <t xml:space="preserve">E.Haulot@bpo-tax.be                     </t>
  </si>
  <si>
    <t xml:space="preserve">ADAM AMELIE - AVOCATE  </t>
  </si>
  <si>
    <t xml:space="preserve">BE0846080322        </t>
  </si>
  <si>
    <t xml:space="preserve">BOULEVARD PIERCOT, 44              </t>
  </si>
  <si>
    <t xml:space="preserve">a.adam@avocat.be                        </t>
  </si>
  <si>
    <t xml:space="preserve">IV ZINC SRL            </t>
  </si>
  <si>
    <t xml:space="preserve">BE0793977959        </t>
  </si>
  <si>
    <t xml:space="preserve">RUE DE L'EPERONNERIE 21            </t>
  </si>
  <si>
    <t xml:space="preserve">BE0804524928        </t>
  </si>
  <si>
    <t xml:space="preserve">ARCLA MANAGEMENT SRL   </t>
  </si>
  <si>
    <t xml:space="preserve">BE1005050553        </t>
  </si>
  <si>
    <t xml:space="preserve">9 ALSEMBLOEMLAAN                   </t>
  </si>
  <si>
    <t xml:space="preserve">ALSEMBERG                     </t>
  </si>
  <si>
    <t xml:space="preserve">AURELIE BECQUER               </t>
  </si>
  <si>
    <t xml:space="preserve">aurelie.becquer@arcla.be                </t>
  </si>
  <si>
    <t xml:space="preserve">CENTRE SCOLAIRE SAINT  </t>
  </si>
  <si>
    <t xml:space="preserve">BE0421242195        </t>
  </si>
  <si>
    <t xml:space="preserve">EXUPERY ASBL                       </t>
  </si>
  <si>
    <t xml:space="preserve">GRAND'RUE 79                       </t>
  </si>
  <si>
    <t xml:space="preserve">MANAGE                        </t>
  </si>
  <si>
    <t xml:space="preserve">economat.bongiorno@gmail.com            </t>
  </si>
  <si>
    <t xml:space="preserve">AIDE ET SOINS A        </t>
  </si>
  <si>
    <t xml:space="preserve">BE0465077485        </t>
  </si>
  <si>
    <t xml:space="preserve">DOMICILE HAINAUT ORIENTAL ASBL     </t>
  </si>
  <si>
    <t xml:space="preserve">RUE DU DOUAIRE 40                  </t>
  </si>
  <si>
    <t xml:space="preserve">ANDERLUES                     </t>
  </si>
  <si>
    <t xml:space="preserve">michael.decock@fasd.be                  </t>
  </si>
  <si>
    <t xml:space="preserve">BE0786762248        </t>
  </si>
  <si>
    <t xml:space="preserve">RUE DES COMBATTANTS (WAR) 11       </t>
  </si>
  <si>
    <t xml:space="preserve">PATRICK FOUARGE               </t>
  </si>
  <si>
    <t xml:space="preserve">ALLER-RETOUR: 240KM </t>
  </si>
  <si>
    <t xml:space="preserve">developpeur@archibaldanalytics.be       </t>
  </si>
  <si>
    <t xml:space="preserve">FLECO SRL              </t>
  </si>
  <si>
    <t xml:space="preserve">BE0760652323        </t>
  </si>
  <si>
    <t xml:space="preserve">CLOS MARQUET 25                    </t>
  </si>
  <si>
    <t xml:space="preserve">frederic.lecoq@fleco.be                 </t>
  </si>
  <si>
    <t xml:space="preserve">COEVOLUTION SARL       </t>
  </si>
  <si>
    <t xml:space="preserve">LU28513467          </t>
  </si>
  <si>
    <t xml:space="preserve">6, JOS SEYLERSTROOSS               </t>
  </si>
  <si>
    <t xml:space="preserve">BECKERICH                     </t>
  </si>
  <si>
    <t xml:space="preserve">ALLER-RETOUR: 286KM </t>
  </si>
  <si>
    <t xml:space="preserve">xdelposen@act2t.com                     </t>
  </si>
  <si>
    <t xml:space="preserve">LEDUC &amp; JACQUINET SRL  </t>
  </si>
  <si>
    <t xml:space="preserve">BE1004124796        </t>
  </si>
  <si>
    <t xml:space="preserve">ALGI SA                </t>
  </si>
  <si>
    <t xml:space="preserve">BE0432003950        </t>
  </si>
  <si>
    <t xml:space="preserve">AVENUE LAVOISIER 4                 </t>
  </si>
  <si>
    <t xml:space="preserve">ALLER-RETOUR: 192KM </t>
  </si>
  <si>
    <t xml:space="preserve">comptabilite@algi.be                    </t>
  </si>
  <si>
    <t xml:space="preserve">VELEZ POMBO RAPHAEL DR </t>
  </si>
  <si>
    <t xml:space="preserve">ASSESTEENWEG 158                   </t>
  </si>
  <si>
    <t xml:space="preserve">LENNIK                        </t>
  </si>
  <si>
    <t xml:space="preserve">ALLER-RETOUR: 246km </t>
  </si>
  <si>
    <t xml:space="preserve">rafaelvelez33@hotmail.com               </t>
  </si>
  <si>
    <t xml:space="preserve">HORECA FORMA WALLONIE  </t>
  </si>
  <si>
    <t xml:space="preserve">BE0861434135        </t>
  </si>
  <si>
    <t xml:space="preserve">SQUARE JEAN MOSSERAY (JB) 4        </t>
  </si>
  <si>
    <t xml:space="preserve">f.TRAPLETTI@horecaformawallonie.be      </t>
  </si>
  <si>
    <t xml:space="preserve">MERCURIS SA            </t>
  </si>
  <si>
    <t xml:space="preserve">BE0555721017        </t>
  </si>
  <si>
    <t xml:space="preserve">PREMIERE AVENUE 22/40              </t>
  </si>
  <si>
    <t xml:space="preserve">info@mercuris.be                        </t>
  </si>
  <si>
    <t xml:space="preserve">BUTTERFL'EYES SRL      </t>
  </si>
  <si>
    <t xml:space="preserve">BE0785784033        </t>
  </si>
  <si>
    <t xml:space="preserve">38 RUE DES AUGUSTINS               </t>
  </si>
  <si>
    <t xml:space="preserve">info@butterfleyes.be                    </t>
  </si>
  <si>
    <t xml:space="preserve">MAGMA COLLECTIVE ASBL  </t>
  </si>
  <si>
    <t xml:space="preserve">BE0768740341        </t>
  </si>
  <si>
    <t xml:space="preserve">RUE RASSON 79                      </t>
  </si>
  <si>
    <t xml:space="preserve">SEBASTIEN DESPREZ             </t>
  </si>
  <si>
    <t xml:space="preserve">seb@magma-collective.be                 </t>
  </si>
  <si>
    <t xml:space="preserve">SA2M SARL              </t>
  </si>
  <si>
    <t xml:space="preserve">LU24635806          </t>
  </si>
  <si>
    <t xml:space="preserve">38 BOULEVARD NAPOLEON 1ER          </t>
  </si>
  <si>
    <t xml:space="preserve">B159423                       </t>
  </si>
  <si>
    <t xml:space="preserve">ALLER-RETOUR: 338KM </t>
  </si>
  <si>
    <t xml:space="preserve">s.vachon@sa2m.lu                        </t>
  </si>
  <si>
    <t xml:space="preserve">TECNICUBE SRL          </t>
  </si>
  <si>
    <t xml:space="preserve">BE0536238764        </t>
  </si>
  <si>
    <t xml:space="preserve">RUE D'ARTAGNAN 12                  </t>
  </si>
  <si>
    <t xml:space="preserve">AVOCAT POUR LE      </t>
  </si>
  <si>
    <t xml:space="preserve">BUREAU CAVENAILE    </t>
  </si>
  <si>
    <t xml:space="preserve">BUREAU HASHEMI         </t>
  </si>
  <si>
    <t xml:space="preserve">LU34184080          </t>
  </si>
  <si>
    <t xml:space="preserve">113 ROUTE D'ARLON                  </t>
  </si>
  <si>
    <t xml:space="preserve">MAMER                         </t>
  </si>
  <si>
    <t xml:space="preserve">ALLER-RETOUR: 320KM </t>
  </si>
  <si>
    <t xml:space="preserve">hashemi_ad2002@yahoo.com                </t>
  </si>
  <si>
    <t xml:space="preserve">GROTTES DE REMOUCHAMPS </t>
  </si>
  <si>
    <t xml:space="preserve">BE0637771931        </t>
  </si>
  <si>
    <t xml:space="preserve">RUE DE LOUVEIGNE 3                 </t>
  </si>
  <si>
    <t xml:space="preserve">MME ZOE RENSON                </t>
  </si>
  <si>
    <t xml:space="preserve">NOM OFFICIEL:       </t>
  </si>
  <si>
    <t xml:space="preserve">SODEXAT             </t>
  </si>
  <si>
    <t xml:space="preserve">Compta.au1912@gmail.com                 </t>
  </si>
  <si>
    <t xml:space="preserve">NICOLORS SRL           </t>
  </si>
  <si>
    <t xml:space="preserve">BE0677435429        </t>
  </si>
  <si>
    <t xml:space="preserve">RUE JUSLENVILLE-PETITE 56          </t>
  </si>
  <si>
    <t xml:space="preserve">nicolas.ernotte@gmail.com               </t>
  </si>
  <si>
    <t xml:space="preserve">VELAYA CLINIQUE SRL    </t>
  </si>
  <si>
    <t xml:space="preserve">BE0804498303        </t>
  </si>
  <si>
    <t xml:space="preserve">CHAUSSEE DE BOISFORT 40            </t>
  </si>
  <si>
    <t xml:space="preserve">DUCHENE-COLINET SRL    </t>
  </si>
  <si>
    <t xml:space="preserve">BE0431115906        </t>
  </si>
  <si>
    <t xml:space="preserve">RUE DU COLONEL D'ARDENNE  7        </t>
  </si>
  <si>
    <t xml:space="preserve">info@pharmacieduchenecolinet.be         </t>
  </si>
  <si>
    <t xml:space="preserve">RIXHON SRL             </t>
  </si>
  <si>
    <t xml:space="preserve">BE0477693821        </t>
  </si>
  <si>
    <t xml:space="preserve">AVENUE DE LA GARE 1A               </t>
  </si>
  <si>
    <t xml:space="preserve">BIERSET                       </t>
  </si>
  <si>
    <t xml:space="preserve">a.martin@rixhon.tech                    </t>
  </si>
  <si>
    <t xml:space="preserve">MEDIKEMOS SRL          </t>
  </si>
  <si>
    <t xml:space="preserve">BE0476914059        </t>
  </si>
  <si>
    <t xml:space="preserve">AVENUE BRUGMANN 263/1A             </t>
  </si>
  <si>
    <t xml:space="preserve">ALLER-RETOUR: 208KM </t>
  </si>
  <si>
    <t xml:space="preserve">sandra@medikemos.com                    </t>
  </si>
  <si>
    <t xml:space="preserve">FIDUCIAIRE RENSON ET   </t>
  </si>
  <si>
    <t xml:space="preserve">BE0446471402        </t>
  </si>
  <si>
    <t xml:space="preserve">ASSO SA                            </t>
  </si>
  <si>
    <t xml:space="preserve">RUE HAMENTE 14                     </t>
  </si>
  <si>
    <t xml:space="preserve">claire.picha@renson-fiduciaire.be       </t>
  </si>
  <si>
    <t xml:space="preserve">PROFINCO SA            </t>
  </si>
  <si>
    <t xml:space="preserve">BE0439360807        </t>
  </si>
  <si>
    <t xml:space="preserve">RUE VAN EYCK 44/7                  </t>
  </si>
  <si>
    <t xml:space="preserve">sacha@profinco.be                       </t>
  </si>
  <si>
    <t xml:space="preserve">FIDUCIAIRE COLLEYE-    </t>
  </si>
  <si>
    <t xml:space="preserve">BE0684837123        </t>
  </si>
  <si>
    <t xml:space="preserve">LAMBERMONT &amp; CO SRL                </t>
  </si>
  <si>
    <t xml:space="preserve">RUE DES PAMPRES 95                 </t>
  </si>
  <si>
    <t xml:space="preserve">t.gishti@fidcl.be                       </t>
  </si>
  <si>
    <t xml:space="preserve">BALBEC EUROPE GP SARL  </t>
  </si>
  <si>
    <t xml:space="preserve">LU32192512          </t>
  </si>
  <si>
    <t xml:space="preserve">5 PLACE DE LA GARE                 </t>
  </si>
  <si>
    <t xml:space="preserve">B233959                       </t>
  </si>
  <si>
    <t xml:space="preserve">ALLER-RETOUR: 346KM </t>
  </si>
  <si>
    <t xml:space="preserve">jpierre@balbec.com                      </t>
  </si>
  <si>
    <t xml:space="preserve">ALL IN MP SRL          </t>
  </si>
  <si>
    <t xml:space="preserve">BE0543950561        </t>
  </si>
  <si>
    <t xml:space="preserve">QUAI MATIVA 57/52                  </t>
  </si>
  <si>
    <t xml:space="preserve">myriam.poilvache@gmail.com              </t>
  </si>
  <si>
    <t>JEAN-LUC HALCONRUY &amp; CO</t>
  </si>
  <si>
    <t xml:space="preserve">BE0473469965        </t>
  </si>
  <si>
    <t xml:space="preserve">RUE DU GRAND PERIL 192             </t>
  </si>
  <si>
    <t xml:space="preserve">ALLER-RETOUR: 256KM </t>
  </si>
  <si>
    <t xml:space="preserve">Jean-luc@jlha.be                        </t>
  </si>
  <si>
    <t xml:space="preserve">BFS SA                 </t>
  </si>
  <si>
    <t xml:space="preserve">BE0553557521        </t>
  </si>
  <si>
    <t xml:space="preserve">AVENUE DE TERVUEREN 402            </t>
  </si>
  <si>
    <t xml:space="preserve">EL@bfs.be                               </t>
  </si>
  <si>
    <t xml:space="preserve">TRICOT MICHAEL         </t>
  </si>
  <si>
    <t xml:space="preserve">BE0728530871        </t>
  </si>
  <si>
    <t xml:space="preserve">RUE DES CRETES 10                  </t>
  </si>
  <si>
    <t xml:space="preserve">FRAHAN SUR SEMOIS             </t>
  </si>
  <si>
    <t xml:space="preserve">ALLER-RETOUR: 264KM </t>
  </si>
  <si>
    <t xml:space="preserve">tricotmichael@hotmail.com               </t>
  </si>
  <si>
    <t xml:space="preserve">MOTION PICTURE         </t>
  </si>
  <si>
    <t xml:space="preserve">BE0451659417        </t>
  </si>
  <si>
    <t xml:space="preserve">ASSOCIATION EMEA SA                </t>
  </si>
  <si>
    <t xml:space="preserve">AVENUE DES ARTS 46                 </t>
  </si>
  <si>
    <t xml:space="preserve">+32 2 7782711 </t>
  </si>
  <si>
    <t xml:space="preserve">ALLER-RETOUR: 198KM </t>
  </si>
  <si>
    <t xml:space="preserve">MPAEMEAInvoices@motionpictures.org      </t>
  </si>
  <si>
    <t xml:space="preserve">BILLA GAZ SRL          </t>
  </si>
  <si>
    <t xml:space="preserve">BE0716889584        </t>
  </si>
  <si>
    <t xml:space="preserve">RONCHAMPS 74                       </t>
  </si>
  <si>
    <t xml:space="preserve">LA ROCHE-EN-ARDENNE           </t>
  </si>
  <si>
    <t xml:space="preserve">M. BILLA                      </t>
  </si>
  <si>
    <t xml:space="preserve">ALLER-RETOUR: 180KM </t>
  </si>
  <si>
    <t xml:space="preserve">billagaz@hotmail.com                    </t>
  </si>
  <si>
    <t xml:space="preserve">LU35622143          </t>
  </si>
  <si>
    <t xml:space="preserve">18, RUE CHARLES DARWIN             </t>
  </si>
  <si>
    <t xml:space="preserve">B269128                       </t>
  </si>
  <si>
    <t xml:space="preserve">Olivier.Godin@saavienergia.com          </t>
  </si>
  <si>
    <t xml:space="preserve">ARTESYN SRL            </t>
  </si>
  <si>
    <t xml:space="preserve">BE0897455777        </t>
  </si>
  <si>
    <t xml:space="preserve">RUE DE XHYGNEZ, 18C                </t>
  </si>
  <si>
    <t xml:space="preserve">pascale.azzam@synaco.com                </t>
  </si>
  <si>
    <t xml:space="preserve">LES 4 MAISONS SRL      </t>
  </si>
  <si>
    <t xml:space="preserve">BE0726663325        </t>
  </si>
  <si>
    <t xml:space="preserve">RUE DU MERY 10                     </t>
  </si>
  <si>
    <t xml:space="preserve">sb@les4maisons.com                      </t>
  </si>
  <si>
    <t xml:space="preserve">MTP CONSULT SARL       </t>
  </si>
  <si>
    <t xml:space="preserve">BE0803418534        </t>
  </si>
  <si>
    <t xml:space="preserve">AVENUE DES LONGICORNES 1           </t>
  </si>
  <si>
    <t xml:space="preserve">c.gerard@mtpconsult.be                  </t>
  </si>
  <si>
    <t xml:space="preserve">ALL IN MP MANAGEMENT   </t>
  </si>
  <si>
    <t xml:space="preserve">BE1009616382        </t>
  </si>
  <si>
    <t xml:space="preserve">ETS JEAN BAILLE SRL    </t>
  </si>
  <si>
    <t xml:space="preserve">BE0422120145        </t>
  </si>
  <si>
    <t xml:space="preserve">RUE DE PHILIPPEVILE (NAL)87        </t>
  </si>
  <si>
    <t xml:space="preserve">HAM-SUR-HEURE-NALINNES        </t>
  </si>
  <si>
    <t>ALLER-RETOUR: 214 KM</t>
  </si>
  <si>
    <t xml:space="preserve">xavier@baille.be                        </t>
  </si>
  <si>
    <t xml:space="preserve">ZEVENNE AVOCATS SRL    </t>
  </si>
  <si>
    <t xml:space="preserve">BE1010927763        </t>
  </si>
  <si>
    <t xml:space="preserve">Secretariat@avocatsassocies.be          </t>
  </si>
  <si>
    <t xml:space="preserve">PARADA ALBERTO SPRL    </t>
  </si>
  <si>
    <t xml:space="preserve">BE0890199781        </t>
  </si>
  <si>
    <t xml:space="preserve">RUE DE HUY 6                       </t>
  </si>
  <si>
    <t xml:space="preserve">alpadoc@gmail.com                       </t>
  </si>
  <si>
    <t xml:space="preserve">FICALEX SRL            </t>
  </si>
  <si>
    <t xml:space="preserve">BE0641823165        </t>
  </si>
  <si>
    <t xml:space="preserve">RUE EMILE VANDERVELDE (GOZ)55      </t>
  </si>
  <si>
    <t xml:space="preserve">THUIN                         </t>
  </si>
  <si>
    <t xml:space="preserve">ALLER-RETOUR: 222KM </t>
  </si>
  <si>
    <t xml:space="preserve">info@ficalex.be                         </t>
  </si>
  <si>
    <t xml:space="preserve">CENTRALIS GROUP        </t>
  </si>
  <si>
    <t xml:space="preserve">LU32090257          </t>
  </si>
  <si>
    <t xml:space="preserve">SERVICES SARL                      </t>
  </si>
  <si>
    <t xml:space="preserve">8-10 AVENUE DE LA GARE             </t>
  </si>
  <si>
    <t xml:space="preserve">B238616                       </t>
  </si>
  <si>
    <t xml:space="preserve">ALLER-RETOUR: 326KM </t>
  </si>
  <si>
    <t xml:space="preserve">info@centralis.lu                       </t>
  </si>
  <si>
    <t xml:space="preserve">A TAX SOLUTION SPRL    </t>
  </si>
  <si>
    <t xml:space="preserve">BE0836316776        </t>
  </si>
  <si>
    <t xml:space="preserve">AVENUE DE TERVUEREN 168/18         </t>
  </si>
  <si>
    <t xml:space="preserve">fox@abatis.eu                           </t>
  </si>
  <si>
    <t xml:space="preserve">DOCTEUR DEVOS ANOUCHKA </t>
  </si>
  <si>
    <t xml:space="preserve">BE1004488448        </t>
  </si>
  <si>
    <t xml:space="preserve">RUE DES BOIS GOESNES 33            </t>
  </si>
  <si>
    <t xml:space="preserve">0000,00  000,00  0102  </t>
  </si>
  <si>
    <t xml:space="preserve">anouchkadevos@gmail.com                 </t>
  </si>
  <si>
    <t>LES HEURES CLAIRES SPRL</t>
  </si>
  <si>
    <t xml:space="preserve">BE0457803376        </t>
  </si>
  <si>
    <t xml:space="preserve">CHAUSSEE DE BRUXELLES 70           </t>
  </si>
  <si>
    <t xml:space="preserve">esso.heures.claires@skynet.be           </t>
  </si>
  <si>
    <t xml:space="preserve">PNC SERVICES SARL-s    </t>
  </si>
  <si>
    <t xml:space="preserve">LU35771221          </t>
  </si>
  <si>
    <t xml:space="preserve">8 RUE DES MEROVINGIENS             </t>
  </si>
  <si>
    <t xml:space="preserve">BERTRANGE                     </t>
  </si>
  <si>
    <t xml:space="preserve">B286893                       </t>
  </si>
  <si>
    <t xml:space="preserve">PNC SERVICES SARL      </t>
  </si>
  <si>
    <t xml:space="preserve">pnc-services@outlook.com                </t>
  </si>
  <si>
    <t xml:space="preserve">JEAN DEL'COUR ASBL     </t>
  </si>
  <si>
    <t xml:space="preserve">BE0407410490        </t>
  </si>
  <si>
    <t xml:space="preserve">RUE DE L'EXPANSION 29              </t>
  </si>
  <si>
    <t xml:space="preserve">tanyauzunova@jean-delcour.be            </t>
  </si>
  <si>
    <t xml:space="preserve">BOSTANI CHOCOLATE      </t>
  </si>
  <si>
    <t xml:space="preserve">BE0550651974        </t>
  </si>
  <si>
    <t xml:space="preserve">BELGIUM                            </t>
  </si>
  <si>
    <t xml:space="preserve">RUE CESAR DE PAEPE 51              </t>
  </si>
  <si>
    <t xml:space="preserve">info@bostani.be                         </t>
  </si>
  <si>
    <t xml:space="preserve">CINEY CONSULT SRL      </t>
  </si>
  <si>
    <t xml:space="preserve">BE0502533838        </t>
  </si>
  <si>
    <t xml:space="preserve">RUE DU CENTRE 46                   </t>
  </si>
  <si>
    <t xml:space="preserve">CINEY                         </t>
  </si>
  <si>
    <t xml:space="preserve">CARINE CHARLES                </t>
  </si>
  <si>
    <t xml:space="preserve">c.charles@cineyconsult.be               </t>
  </si>
  <si>
    <t xml:space="preserve">MATHYWEL SARL          </t>
  </si>
  <si>
    <t xml:space="preserve">LU24087238          </t>
  </si>
  <si>
    <t xml:space="preserve">RUE DES ARTISANS 27                </t>
  </si>
  <si>
    <t xml:space="preserve">RAMBOUCH                      </t>
  </si>
  <si>
    <t xml:space="preserve">o.machiels@mathywel.com       </t>
  </si>
  <si>
    <t xml:space="preserve">k.dubrovina@mathywel.com                </t>
  </si>
  <si>
    <t xml:space="preserve">CABINET FROGNET        </t>
  </si>
  <si>
    <t xml:space="preserve">BE0461047433        </t>
  </si>
  <si>
    <t xml:space="preserve">EXERTISEC COMPTABLE SPRL           </t>
  </si>
  <si>
    <t xml:space="preserve">AVENUE DE BOUILLON 103             </t>
  </si>
  <si>
    <t>+3261 23 03 90</t>
  </si>
  <si>
    <t xml:space="preserve">ALLER-RETOUR: 224KM </t>
  </si>
  <si>
    <t xml:space="preserve">matthieu@frognet.be                     </t>
  </si>
  <si>
    <t xml:space="preserve">Mangiavillano          </t>
  </si>
  <si>
    <t xml:space="preserve">Crocifissa </t>
  </si>
  <si>
    <t xml:space="preserve">Avenue Victor David                </t>
  </si>
  <si>
    <t xml:space="preserve">Limbourg                      </t>
  </si>
  <si>
    <t xml:space="preserve">BERBEN JESSICA         </t>
  </si>
  <si>
    <t xml:space="preserve">RUE VOLTAIRE, 1                    </t>
  </si>
  <si>
    <t xml:space="preserve">IVOZ-RAMET                    </t>
  </si>
  <si>
    <t xml:space="preserve">JOAHW MANAGEMENT       </t>
  </si>
  <si>
    <t xml:space="preserve">BE0711880030        </t>
  </si>
  <si>
    <t xml:space="preserve">RUE DU FOND DE NISMES (LU),3       </t>
  </si>
  <si>
    <t xml:space="preserve">PROFONDEVILLE                 </t>
  </si>
  <si>
    <t xml:space="preserve">olivier.wauthelet@edadvisory.be         </t>
  </si>
  <si>
    <t xml:space="preserve">LEON JOS SRL           </t>
  </si>
  <si>
    <t xml:space="preserve">BE0720164226        </t>
  </si>
  <si>
    <t xml:space="preserve">BREESTRAETEN 114                   </t>
  </si>
  <si>
    <t xml:space="preserve">MERCHTEM                      </t>
  </si>
  <si>
    <t xml:space="preserve">martine.vu@skynet.be                    </t>
  </si>
  <si>
    <t xml:space="preserve">LIGHT-ELECT HOLDING SA </t>
  </si>
  <si>
    <t xml:space="preserve">BE0789588512        </t>
  </si>
  <si>
    <t xml:space="preserve">RUE DE SAUHEID, 8                  </t>
  </si>
  <si>
    <t xml:space="preserve">gbeaujean@lightelec.eu                  </t>
  </si>
  <si>
    <t xml:space="preserve">KILESSE ACCOUNTANCY    </t>
  </si>
  <si>
    <t xml:space="preserve">BE0544787731        </t>
  </si>
  <si>
    <t xml:space="preserve">TAX SRL                            </t>
  </si>
  <si>
    <t xml:space="preserve">RUE DE VERVIERS, 66                </t>
  </si>
  <si>
    <t xml:space="preserve">KILESSE ACCOUNTANCY &amp;  </t>
  </si>
  <si>
    <t xml:space="preserve">p.richier@kilesse.be                    </t>
  </si>
  <si>
    <t xml:space="preserve">ACCOUNT-IT             </t>
  </si>
  <si>
    <t xml:space="preserve">LU19433750          </t>
  </si>
  <si>
    <t xml:space="preserve">Route d'Arlon, 196                 </t>
  </si>
  <si>
    <t xml:space="preserve">STRASSEN                      </t>
  </si>
  <si>
    <t xml:space="preserve">M02   </t>
  </si>
  <si>
    <t xml:space="preserve">compta@account-it.lu                    </t>
  </si>
  <si>
    <t>CENTRE DE TRI DE TINLOT</t>
  </si>
  <si>
    <t xml:space="preserve">BE0682938693        </t>
  </si>
  <si>
    <t xml:space="preserve">9, RUE MARTINPA                    </t>
  </si>
  <si>
    <t xml:space="preserve">info@cttinlot.be                        </t>
  </si>
  <si>
    <t xml:space="preserve">LIGHTELEC SRL          </t>
  </si>
  <si>
    <t xml:space="preserve">BE0899438141        </t>
  </si>
  <si>
    <t xml:space="preserve">RUE DE SAUHEID 8                   </t>
  </si>
  <si>
    <t xml:space="preserve">FISCALIFT SPRL         </t>
  </si>
  <si>
    <t xml:space="preserve">BE0502859579        </t>
  </si>
  <si>
    <t xml:space="preserve">RUE D'ARENBERG 1                   </t>
  </si>
  <si>
    <t xml:space="preserve">laurent@fiscalift.be                    </t>
  </si>
  <si>
    <t xml:space="preserve">IREMIS SARL            </t>
  </si>
  <si>
    <t xml:space="preserve">LU35298309          </t>
  </si>
  <si>
    <t xml:space="preserve">6B RUE DU FORT NIEDERGRUNEWALD     </t>
  </si>
  <si>
    <t xml:space="preserve">MACBETH CONSULTING SRL </t>
  </si>
  <si>
    <t xml:space="preserve">BE0800949586        </t>
  </si>
  <si>
    <t xml:space="preserve">AVENUE DES PINS 20                 </t>
  </si>
  <si>
    <t xml:space="preserve">isabelle.mannard@renson-fiduciaire.be   </t>
  </si>
  <si>
    <t xml:space="preserve">DYNAMIC ACCOUNT        </t>
  </si>
  <si>
    <t xml:space="preserve">BE1013531620        </t>
  </si>
  <si>
    <t xml:space="preserve">AVENUE PAUL PASTUR,305             </t>
  </si>
  <si>
    <t xml:space="preserve">secretariat.dugardin@gmail.com          </t>
  </si>
  <si>
    <t xml:space="preserve">SIMON CLEMENT          </t>
  </si>
  <si>
    <t xml:space="preserve">BE0776430362        </t>
  </si>
  <si>
    <t xml:space="preserve">RUE DE SOMTET 7                    </t>
  </si>
  <si>
    <t xml:space="preserve">METTET                        </t>
  </si>
  <si>
    <t xml:space="preserve">menuiserie@atelieracte.be               </t>
  </si>
  <si>
    <t xml:space="preserve">BUREAU D'ASSURANCES    </t>
  </si>
  <si>
    <t xml:space="preserve">BE0833173877        </t>
  </si>
  <si>
    <t xml:space="preserve">CHERATTOIS                         </t>
  </si>
  <si>
    <t xml:space="preserve">RUE AUX COMMUNES, 30               </t>
  </si>
  <si>
    <t xml:space="preserve">LECLERC DIDIER                </t>
  </si>
  <si>
    <t xml:space="preserve">info@cherattois.be                      </t>
  </si>
  <si>
    <t xml:space="preserve">WHITEWOOD PROPERTY     </t>
  </si>
  <si>
    <t xml:space="preserve">BE0545936784        </t>
  </si>
  <si>
    <t xml:space="preserve">MANAGEMENT                         </t>
  </si>
  <si>
    <t xml:space="preserve">AVENUE DU BOULEVARD 21             </t>
  </si>
  <si>
    <t xml:space="preserve">SAINT-JOSSE-TEN-NOODE         </t>
  </si>
  <si>
    <t xml:space="preserve">finance@whitewood.eu                    </t>
  </si>
  <si>
    <t xml:space="preserve">MONIQUE GOFFARD        </t>
  </si>
  <si>
    <t xml:space="preserve">BE0454353047        </t>
  </si>
  <si>
    <t xml:space="preserve">CHARLIER SRL                       </t>
  </si>
  <si>
    <t xml:space="preserve">SUR LE TOMBEUX 31                  </t>
  </si>
  <si>
    <t xml:space="preserve">ALLER-RETOUR: 274KM </t>
  </si>
  <si>
    <t xml:space="preserve">mc@goffard-conseil.be                   </t>
  </si>
  <si>
    <t xml:space="preserve">CHAMBON CELIA          </t>
  </si>
  <si>
    <t xml:space="preserve">CHEMIN DES PINS, 180               </t>
  </si>
  <si>
    <t xml:space="preserve">FR </t>
  </si>
  <si>
    <t xml:space="preserve">AUBAIS                        </t>
  </si>
  <si>
    <t xml:space="preserve">VICT COMPTA SARL       </t>
  </si>
  <si>
    <t xml:space="preserve">BE0800952160        </t>
  </si>
  <si>
    <t xml:space="preserve">RUE DES MOISSONS 23A               </t>
  </si>
  <si>
    <t xml:space="preserve">ASSOCIE RENSON FID. </t>
  </si>
  <si>
    <t xml:space="preserve">vincent.hautecler@renson-fiduciaire.be  </t>
  </si>
  <si>
    <t xml:space="preserve">WARS CONSULTING SNC    </t>
  </si>
  <si>
    <t xml:space="preserve">BE1010246090        </t>
  </si>
  <si>
    <t xml:space="preserve">CLOS DE LA CENSE (EP) 1B           </t>
  </si>
  <si>
    <t xml:space="preserve">fxr@roquetboucher.be                    </t>
  </si>
  <si>
    <t xml:space="preserve">HD SYSTEMS SRL         </t>
  </si>
  <si>
    <t xml:space="preserve">BE0895144902        </t>
  </si>
  <si>
    <t xml:space="preserve">AVENUE DES BIOLLEUX 21             </t>
  </si>
  <si>
    <t xml:space="preserve">bp@hd-group.be                          </t>
  </si>
  <si>
    <t xml:space="preserve">CAFES JEAN LUC MOSSIAT </t>
  </si>
  <si>
    <t xml:space="preserve">BE0778483594        </t>
  </si>
  <si>
    <t xml:space="preserve">RUE DU CENTRE 22                   </t>
  </si>
  <si>
    <t xml:space="preserve">ASSESSE                       </t>
  </si>
  <si>
    <t xml:space="preserve">vanderborghtphilippe@hotmail.com        </t>
  </si>
  <si>
    <t xml:space="preserve">GILSON &amp; ASSOCIES SRL  </t>
  </si>
  <si>
    <t xml:space="preserve">BE0459411992        </t>
  </si>
  <si>
    <t xml:space="preserve">AVENUE JEAN 1ER 1/B                </t>
  </si>
  <si>
    <t xml:space="preserve">jlg@gilson-associes.be                  </t>
  </si>
  <si>
    <t xml:space="preserve">VEPS SRL               </t>
  </si>
  <si>
    <t xml:space="preserve">BE0726820010        </t>
  </si>
  <si>
    <t xml:space="preserve">RUE DU POURRAIN, 75                </t>
  </si>
  <si>
    <t xml:space="preserve">ALLER-RETOUR: 130KM </t>
  </si>
  <si>
    <t xml:space="preserve">GOESSENS THERMIQUE SRL </t>
  </si>
  <si>
    <t xml:space="preserve">BE0778622265        </t>
  </si>
  <si>
    <t xml:space="preserve">RUE DU PROGRES 18                  </t>
  </si>
  <si>
    <t xml:space="preserve">OLNIX SA               </t>
  </si>
  <si>
    <t xml:space="preserve">BE0423986505        </t>
  </si>
  <si>
    <t xml:space="preserve">AVENUE DE LA CLOSERAIE 7           </t>
  </si>
  <si>
    <t xml:space="preserve">renaud.bourdoux@olnix.be                </t>
  </si>
  <si>
    <t xml:space="preserve">RCARRE STOCK           </t>
  </si>
  <si>
    <t xml:space="preserve">   </t>
  </si>
  <si>
    <t xml:space="preserve">        </t>
  </si>
  <si>
    <t>Voir si possible de le générer en même temps que les fact</t>
  </si>
  <si>
    <t>ou si une modif</t>
  </si>
  <si>
    <t>Code R2</t>
  </si>
  <si>
    <t>Code interne</t>
  </si>
  <si>
    <t>CH</t>
  </si>
  <si>
    <t>Client BOB maitre</t>
  </si>
  <si>
    <t>SERVICE - Installation cost - Rcarré</t>
  </si>
  <si>
    <t>PRESTATIONS TECHNIQUES BENJAMIN DRICOT</t>
  </si>
  <si>
    <t>PRESTATIONS TECHNIQUES KEVIN CARLENS</t>
  </si>
  <si>
    <t>PRESTATIONS TECHNIQUES EMILE NTOLO</t>
  </si>
  <si>
    <t>PRESTATIONS TECHNIQUES ALEXANDRE SILVA</t>
  </si>
  <si>
    <t>PRESTATIONS TECHNIQUES ARNAUD LOUPPE</t>
  </si>
  <si>
    <t>PRESTATIONS TECHNIQUES JORDANN LEGARF</t>
  </si>
  <si>
    <t>PRESTATIONS TECHNIQUES JOY MUSTAFAJ</t>
  </si>
  <si>
    <t>LIBRAMANAG</t>
  </si>
  <si>
    <t>CORTOFISCE</t>
  </si>
  <si>
    <t>ACTIONWEAR</t>
  </si>
  <si>
    <t>OLNIX</t>
  </si>
  <si>
    <t>AVFINANCES</t>
  </si>
  <si>
    <t>LIBRA MANAGEMENT</t>
  </si>
  <si>
    <t>CORTOFISC &amp; ELCOVA BV</t>
  </si>
  <si>
    <t>VEPS SRL</t>
  </si>
  <si>
    <t>ACTION WEAR SARL</t>
  </si>
  <si>
    <t>ACD NETTOYAGE SRL</t>
  </si>
  <si>
    <t>IREMIS SARL</t>
  </si>
  <si>
    <t>OLNIX SA</t>
  </si>
  <si>
    <t>AV FINANCES SRL</t>
  </si>
  <si>
    <t>ZEVENNEAVO</t>
  </si>
  <si>
    <t>THESA</t>
  </si>
  <si>
    <t>CHERATTEAS</t>
  </si>
  <si>
    <t>LBX</t>
  </si>
  <si>
    <t>ISSUAL</t>
  </si>
  <si>
    <t>ZEVENNE AVOCATS SRL</t>
  </si>
  <si>
    <t>BUREAU D'ASSURANCES</t>
  </si>
  <si>
    <t>LBX SA</t>
  </si>
  <si>
    <t>ISSUAL SRL</t>
  </si>
  <si>
    <t xml:space="preserve">FIDUCIAIRE HUPPERETZ   </t>
  </si>
  <si>
    <t xml:space="preserve">gestion@fiduciairehupperetz.be          </t>
  </si>
  <si>
    <t xml:space="preserve">26 RUE DES CARMES                  </t>
  </si>
  <si>
    <t xml:space="preserve">CORTOFISC &amp; ELCOVA BV  </t>
  </si>
  <si>
    <t xml:space="preserve">LINDESTRAAT 37I                    </t>
  </si>
  <si>
    <t>1 SEULE FACTURE/MOIS</t>
  </si>
  <si>
    <t>POUR LES PRESTATIONS</t>
  </si>
  <si>
    <t xml:space="preserve">HABEO FIDUCIAIRE SRL   </t>
  </si>
  <si>
    <t xml:space="preserve">BE0462952393        </t>
  </si>
  <si>
    <t xml:space="preserve">CHAUSSEE DE WAVRE 179/1            </t>
  </si>
  <si>
    <t xml:space="preserve">ALLER-RETOUR: 150KM </t>
  </si>
  <si>
    <t xml:space="preserve">jm.pirsoul@comptabilite.be              </t>
  </si>
  <si>
    <t xml:space="preserve">B.T.V.A. SA            </t>
  </si>
  <si>
    <t xml:space="preserve">BE0445715295        </t>
  </si>
  <si>
    <t xml:space="preserve">ALLEE VERTE 7                      </t>
  </si>
  <si>
    <t xml:space="preserve">benjamin@btva-lete.be                   </t>
  </si>
  <si>
    <t xml:space="preserve">ERTECO SRL             </t>
  </si>
  <si>
    <t xml:space="preserve">BE0430507378        </t>
  </si>
  <si>
    <t xml:space="preserve">AVENUE REINE ASTRID 169            </t>
  </si>
  <si>
    <t xml:space="preserve">info@affaires-et-vous.be                </t>
  </si>
  <si>
    <t xml:space="preserve">DIRIGEANCE SRL         </t>
  </si>
  <si>
    <t xml:space="preserve">BE0886938405        </t>
  </si>
  <si>
    <t xml:space="preserve">AVENUE PAUL PASTUR 68A             </t>
  </si>
  <si>
    <t xml:space="preserve">SINDY MAENHOUT                </t>
  </si>
  <si>
    <t xml:space="preserve">sindy@dirigeance.be                     </t>
  </si>
  <si>
    <t xml:space="preserve">ACTION WEAR SARL       </t>
  </si>
  <si>
    <t xml:space="preserve">LU22186476          </t>
  </si>
  <si>
    <t xml:space="preserve">10-12, Z.A.C. HANNEBOESCH II       </t>
  </si>
  <si>
    <t xml:space="preserve">NIEDERKORN                    </t>
  </si>
  <si>
    <t xml:space="preserve">B134009                       </t>
  </si>
  <si>
    <t xml:space="preserve">compta@actionwear.lu                    </t>
  </si>
  <si>
    <t xml:space="preserve">AV FINANCES SRL        </t>
  </si>
  <si>
    <t xml:space="preserve">BE1016794679        </t>
  </si>
  <si>
    <t xml:space="preserve">BOULEVARD PIERCOT 9/62             </t>
  </si>
  <si>
    <t xml:space="preserve">ADRIEN VANDENBEYVANGHE        </t>
  </si>
  <si>
    <t xml:space="preserve">0000,00  000,00  0023  </t>
  </si>
  <si>
    <t xml:space="preserve">adrien@avfinances.be                    </t>
  </si>
  <si>
    <t xml:space="preserve">LIBRA MANAGEMENT       </t>
  </si>
  <si>
    <t xml:space="preserve">BE1017704895        </t>
  </si>
  <si>
    <t xml:space="preserve">RUE DES ANGLAIS 6A                 </t>
  </si>
  <si>
    <t xml:space="preserve">N/A                           </t>
  </si>
  <si>
    <t xml:space="preserve">GEOLYS SRL             </t>
  </si>
  <si>
    <t xml:space="preserve">BE0864034131        </t>
  </si>
  <si>
    <t xml:space="preserve">QUAI SADOINE 9                     </t>
  </si>
  <si>
    <t xml:space="preserve">vincentlejeune@geolys.be                </t>
  </si>
  <si>
    <t xml:space="preserve">BE0794498789        </t>
  </si>
  <si>
    <t xml:space="preserve">RUE HOYOUX 87                      </t>
  </si>
  <si>
    <t xml:space="preserve">sabine.servaty.124768@belnot.be         </t>
  </si>
  <si>
    <t xml:space="preserve">LBX SA                 </t>
  </si>
  <si>
    <t xml:space="preserve">BE0554892953        </t>
  </si>
  <si>
    <t xml:space="preserve">AVENUE GREINER 1                   </t>
  </si>
  <si>
    <t xml:space="preserve">VINCENT GAETANI               </t>
  </si>
  <si>
    <t xml:space="preserve">v.gaetani@lbx.be                        </t>
  </si>
  <si>
    <t xml:space="preserve">VILLE DE NAMUR         </t>
  </si>
  <si>
    <t xml:space="preserve">BE0207362739        </t>
  </si>
  <si>
    <t xml:space="preserve">ESPLANADE DE L'HOTEL DE VILLE 1    </t>
  </si>
  <si>
    <t xml:space="preserve">AGNES LECOUTRE                </t>
  </si>
  <si>
    <t xml:space="preserve">cellule.appui.it@ville.namur.be         </t>
  </si>
  <si>
    <t xml:space="preserve">HAMAL OLIVIER          </t>
  </si>
  <si>
    <t xml:space="preserve">AVENUE DE GERLACHE 68              </t>
  </si>
  <si>
    <t xml:space="preserve">LANSON LIONEL          </t>
  </si>
  <si>
    <t xml:space="preserve">BE1011058417        </t>
  </si>
  <si>
    <t xml:space="preserve">RUE DES CHAMPS 1                   </t>
  </si>
  <si>
    <t xml:space="preserve">HUPPAYE                       </t>
  </si>
  <si>
    <t xml:space="preserve">ALLER-RETOUR: 118KM </t>
  </si>
  <si>
    <t xml:space="preserve">lionel.lanson@skynet.be                 </t>
  </si>
  <si>
    <t>BRANKAER PH. &amp; PARTNERS</t>
  </si>
  <si>
    <t xml:space="preserve">BE0462238058        </t>
  </si>
  <si>
    <t xml:space="preserve">AVENUE DE LORRAINE, SAINT-MARD 8   </t>
  </si>
  <si>
    <t xml:space="preserve">VIRTON                        </t>
  </si>
  <si>
    <t xml:space="preserve">philippe.brankaer@skynet.be             </t>
  </si>
  <si>
    <t xml:space="preserve">ACD NETTOYAGE SRL      </t>
  </si>
  <si>
    <t xml:space="preserve">BE0704608988        </t>
  </si>
  <si>
    <t xml:space="preserve">ISSUAL SRL             </t>
  </si>
  <si>
    <t xml:space="preserve">BE1019368842        </t>
  </si>
  <si>
    <t xml:space="preserve">RUE DU CHENE A L'IMAGE 18          </t>
  </si>
  <si>
    <t xml:space="preserve">quentinpetit33@gmail.com                </t>
  </si>
  <si>
    <t xml:space="preserve">N-ZONE SRL             </t>
  </si>
  <si>
    <t xml:space="preserve">BE0547921920        </t>
  </si>
  <si>
    <t xml:space="preserve">SQUARE DE LA PAIX D'ANGLEUR 28     </t>
  </si>
  <si>
    <t xml:space="preserve">compta@n-zone.be                        </t>
  </si>
  <si>
    <t xml:space="preserve">CENTRE MEDICAL         </t>
  </si>
  <si>
    <t xml:space="preserve">BE0792320051        </t>
  </si>
  <si>
    <t xml:space="preserve">MULTITUDE SRL                      </t>
  </si>
  <si>
    <t xml:space="preserve">RUE CHARLES BORMANS 14             </t>
  </si>
  <si>
    <t xml:space="preserve">centremedicalmultitude@gmail.com        </t>
  </si>
  <si>
    <t xml:space="preserve">DECRAENE KRIS          </t>
  </si>
  <si>
    <t xml:space="preserve">BE0471569854        </t>
  </si>
  <si>
    <t xml:space="preserve">ROYENNESSTRAAT, 45                 </t>
  </si>
  <si>
    <t xml:space="preserve">MOESKROEN                     </t>
  </si>
  <si>
    <t xml:space="preserve">thea@vensol.eu                          </t>
  </si>
  <si>
    <t xml:space="preserve">MARBAIS OLIVIER        </t>
  </si>
  <si>
    <t xml:space="preserve">BE0477160222        </t>
  </si>
  <si>
    <t xml:space="preserve">RUE DE BEAUMONT, 20                </t>
  </si>
  <si>
    <t xml:space="preserve">oma@omarbais.be                         </t>
  </si>
  <si>
    <t xml:space="preserve">THESA                  </t>
  </si>
  <si>
    <t xml:space="preserve">BE0479073991        </t>
  </si>
  <si>
    <t xml:space="preserve">RUE DE SOTRIAMONT,2                </t>
  </si>
  <si>
    <t xml:space="preserve">c.ifitimia@thesa.be                     </t>
  </si>
  <si>
    <t xml:space="preserve">POWERDEAL              </t>
  </si>
  <si>
    <t xml:space="preserve">BE0830787083        </t>
  </si>
  <si>
    <t xml:space="preserve">RUE DU FOND DES FOURCHES 41        </t>
  </si>
  <si>
    <t xml:space="preserve">k.can@powerdeal.be                      </t>
  </si>
  <si>
    <t>IBHIVE SRL</t>
  </si>
  <si>
    <t>Renvoyer à Remi</t>
  </si>
  <si>
    <t>ROOBROUCK &amp; CIE SA</t>
  </si>
  <si>
    <t>DEV4LOG SRL</t>
  </si>
  <si>
    <t>BERGHMANS JEAN-PIERRE</t>
  </si>
  <si>
    <t>CRAM SPRL</t>
  </si>
  <si>
    <t>MAT PARTNERS SPRL</t>
  </si>
  <si>
    <t>ARTAU ARCHITECTURES</t>
  </si>
  <si>
    <t>RENKIN CECILE</t>
  </si>
  <si>
    <t>LEDUC &amp; JACQUINET SRL</t>
  </si>
  <si>
    <t>ACCOUNT-IT</t>
  </si>
  <si>
    <t>On facture a un client mais qui concerne un secod client, c'est le second client qui est repris dans le fichier de remi</t>
  </si>
  <si>
    <t>ACDNETTOY</t>
  </si>
  <si>
    <t>PRESTATIONS TECHNIQUES QUENTIN GEURTS</t>
  </si>
  <si>
    <t>SOLIGERESC</t>
  </si>
  <si>
    <t>PRESTATIONS TECHNIQUES THIBAULT SECA</t>
  </si>
  <si>
    <t>REVICA</t>
  </si>
  <si>
    <t>ATASPRL</t>
  </si>
  <si>
    <t>SERVICE - Internet - Rcarré / Rcube -</t>
  </si>
  <si>
    <t>SERVICE-Cloud Public-RCarré/RCube-Service</t>
  </si>
  <si>
    <t>HUPFID</t>
  </si>
  <si>
    <t>HEN00425</t>
  </si>
  <si>
    <t>ADEPEC</t>
  </si>
  <si>
    <t>TRAVHOLDIN</t>
  </si>
  <si>
    <t>MUSEEGRAN</t>
  </si>
  <si>
    <t>MORELLI</t>
  </si>
  <si>
    <t>DURLANG</t>
  </si>
  <si>
    <t>PROVINCE</t>
  </si>
  <si>
    <t>THEPICTURE</t>
  </si>
  <si>
    <t>GIPEMBRONC</t>
  </si>
  <si>
    <t xml:space="preserve">RUE DE LEGIPONT 15/13              </t>
  </si>
  <si>
    <t xml:space="preserve">FAMECK                        </t>
  </si>
  <si>
    <t xml:space="preserve">RUE DE LA CHAUDRONNERIE 7          </t>
  </si>
  <si>
    <t xml:space="preserve">info@tvo-logistics.be                   </t>
  </si>
  <si>
    <t xml:space="preserve">gi@travholding.be                       </t>
  </si>
  <si>
    <t xml:space="preserve">compta@travhymat.be                     </t>
  </si>
  <si>
    <t xml:space="preserve">AVENUE EUGENE YASAY, 40            </t>
  </si>
  <si>
    <t xml:space="preserve">JEAN-MARIE BERGMANS           </t>
  </si>
  <si>
    <t xml:space="preserve">SAAVI ENERGIA S.A.R.L. </t>
  </si>
  <si>
    <t xml:space="preserve">NEONOTAIRES SRL        </t>
  </si>
  <si>
    <t xml:space="preserve">BUREAU ANCION SRL      </t>
  </si>
  <si>
    <t xml:space="preserve">BE0875727579        </t>
  </si>
  <si>
    <t xml:space="preserve">RUE DE LA GUERITE, 5               </t>
  </si>
  <si>
    <t xml:space="preserve">alain.ancion@bureauancion.be            </t>
  </si>
  <si>
    <t xml:space="preserve">JEAN MARET SA          </t>
  </si>
  <si>
    <t xml:space="preserve">LU14745167          </t>
  </si>
  <si>
    <t xml:space="preserve">RUE DES ARTISANS, 27               </t>
  </si>
  <si>
    <t xml:space="preserve">RAMBROUCH                     </t>
  </si>
  <si>
    <t xml:space="preserve">B35624                        </t>
  </si>
  <si>
    <t xml:space="preserve">ACA TECHNICS SRL       </t>
  </si>
  <si>
    <t xml:space="preserve">BE1008063194        </t>
  </si>
  <si>
    <t xml:space="preserve">RENVAL SRL             </t>
  </si>
  <si>
    <t xml:space="preserve">BE0456197631        </t>
  </si>
  <si>
    <t xml:space="preserve">CHAUSSEE DE WATERLOO 860           </t>
  </si>
  <si>
    <t xml:space="preserve">alexandra.lemlyn@renval.be              </t>
  </si>
  <si>
    <t xml:space="preserve">CODEF ASBL             </t>
  </si>
  <si>
    <t xml:space="preserve">BE0478328675        </t>
  </si>
  <si>
    <t xml:space="preserve">RUE DU TRIXHAY, 15                 </t>
  </si>
  <si>
    <t xml:space="preserve">DARDINNE BAUDOIN              </t>
  </si>
  <si>
    <t xml:space="preserve">MP.support@codef.be                     </t>
  </si>
  <si>
    <t xml:space="preserve">ACF FIDUCIAIRE MARCHE  </t>
  </si>
  <si>
    <t xml:space="preserve">BE0433087380        </t>
  </si>
  <si>
    <t xml:space="preserve">CHAUSSEE DE L'OURTHE, 18           </t>
  </si>
  <si>
    <t xml:space="preserve">michael.conrotte@inextenso-belux.com    </t>
  </si>
  <si>
    <t xml:space="preserve">FISCONTACT SRL         </t>
  </si>
  <si>
    <t xml:space="preserve">BE0461225201        </t>
  </si>
  <si>
    <t xml:space="preserve">RUE AMAND HISTACE,5                </t>
  </si>
  <si>
    <t xml:space="preserve">xlombart@fiscontact.be                  </t>
  </si>
  <si>
    <t xml:space="preserve">LOUIS DELHAIZE SA      </t>
  </si>
  <si>
    <t xml:space="preserve">BE0401641663        </t>
  </si>
  <si>
    <t xml:space="preserve">RUE DE LIGNE, 13                   </t>
  </si>
  <si>
    <t xml:space="preserve">rminon@ldz.eu                           </t>
  </si>
  <si>
    <t xml:space="preserve">QUALITE-VILLAGE        </t>
  </si>
  <si>
    <t xml:space="preserve">BE0416062197        </t>
  </si>
  <si>
    <t xml:space="preserve">WALLONIE                           </t>
  </si>
  <si>
    <t xml:space="preserve">CHAUSSEE D'ARGENTEAU, 21           </t>
  </si>
  <si>
    <t xml:space="preserve">contact@qvw.be                          </t>
  </si>
  <si>
    <t xml:space="preserve">PIETTE ET ASSOCIES SRL </t>
  </si>
  <si>
    <t xml:space="preserve">BE0745998096        </t>
  </si>
  <si>
    <t xml:space="preserve">RUE DE LA CHAPELLE, 31             </t>
  </si>
  <si>
    <t xml:space="preserve">BOUSSU                        </t>
  </si>
  <si>
    <t xml:space="preserve">info@stephanepiette.be                  </t>
  </si>
  <si>
    <t xml:space="preserve">D. KESTERMANS SRL      </t>
  </si>
  <si>
    <t xml:space="preserve">BE0457554047        </t>
  </si>
  <si>
    <t xml:space="preserve">RUE DE CHATELET, 160 BOITE 10      </t>
  </si>
  <si>
    <t xml:space="preserve">dk@sprldkestermans.be                   </t>
  </si>
  <si>
    <t xml:space="preserve">COPPEE E&amp;A SRL         </t>
  </si>
  <si>
    <t xml:space="preserve">BE0767701451        </t>
  </si>
  <si>
    <t xml:space="preserve">ATELIERS SOMVILLE SA   </t>
  </si>
  <si>
    <t xml:space="preserve">BE0407937557        </t>
  </si>
  <si>
    <t xml:space="preserve">190 RUE DU CENTRE                  </t>
  </si>
  <si>
    <t xml:space="preserve">AISEAU-PRESLES                </t>
  </si>
  <si>
    <t xml:space="preserve">g.lebrun@ateliers-somville.be           </t>
  </si>
  <si>
    <t>FIDUCIAIRE HUPPERETZ</t>
  </si>
  <si>
    <t>HENKENS FRERES SA</t>
  </si>
  <si>
    <t>ADEPEC ASBL</t>
  </si>
  <si>
    <t>TRAVHOLDING SRL</t>
  </si>
  <si>
    <t>MUSEE DE LA GRANDE</t>
  </si>
  <si>
    <t>DURLANG SA</t>
  </si>
  <si>
    <t>PROVINCE DE LIEGE</t>
  </si>
  <si>
    <t>THE PICTURE FACTORY</t>
  </si>
  <si>
    <t>REVICA SPRL</t>
  </si>
  <si>
    <t>A TAX SOLUTION SPRL</t>
  </si>
  <si>
    <t>RCARRE LUXEMBOURG</t>
  </si>
  <si>
    <t>Catégorie</t>
  </si>
  <si>
    <t>Sous-Catégorie</t>
  </si>
  <si>
    <t>ID</t>
  </si>
  <si>
    <t>JOURNAUX</t>
  </si>
  <si>
    <t>VE11-NCV15 &amp; VE13-NCV12</t>
  </si>
  <si>
    <t>PRESTATIONS TECHNIQUES MAXIME SIMON</t>
  </si>
  <si>
    <t>PRESTATIONS TECHNIQUES DE ROBIN LETERME</t>
  </si>
  <si>
    <t>BARRIQUAND</t>
  </si>
  <si>
    <t xml:space="preserve">8-10 RUE JULES COCKX               </t>
  </si>
  <si>
    <t xml:space="preserve">+32 476404194 </t>
  </si>
  <si>
    <t xml:space="preserve">Madame RENARD                 </t>
  </si>
  <si>
    <t xml:space="preserve">comptarenard16@gmail.com                </t>
  </si>
  <si>
    <t xml:space="preserve">finance@iqeros.be                       </t>
  </si>
  <si>
    <t xml:space="preserve">PPP HOLDING            </t>
  </si>
  <si>
    <t xml:space="preserve">BE0667586959        </t>
  </si>
  <si>
    <t xml:space="preserve">ROUTE DE HOUSSE, 61                </t>
  </si>
  <si>
    <t xml:space="preserve">HOUSSE                        </t>
  </si>
  <si>
    <t xml:space="preserve">FYTOFEND SA            </t>
  </si>
  <si>
    <t xml:space="preserve">BE0817407023        </t>
  </si>
  <si>
    <t xml:space="preserve">RUE GEORGES LEGRAND ISNES,6        </t>
  </si>
  <si>
    <t xml:space="preserve">info@fytofend.com                       </t>
  </si>
  <si>
    <t>ATELIERS CHARLES WEBBER</t>
  </si>
  <si>
    <t xml:space="preserve">BE0401623154        </t>
  </si>
  <si>
    <t xml:space="preserve">RUE DU BOSQUET, 50                 </t>
  </si>
  <si>
    <t xml:space="preserve">secretariat@chaudronnerie-webber.be     </t>
  </si>
  <si>
    <t xml:space="preserve">BATI-RENOVE SRL        </t>
  </si>
  <si>
    <t xml:space="preserve">BE0871877768        </t>
  </si>
  <si>
    <t xml:space="preserve">RUE DES POIRIERS SAUV. 12          </t>
  </si>
  <si>
    <t xml:space="preserve">m.kinnar@bati-renove.be                 </t>
  </si>
  <si>
    <t xml:space="preserve">SNEL GRAFICS           </t>
  </si>
  <si>
    <t xml:space="preserve">BE0440957842        </t>
  </si>
  <si>
    <t xml:space="preserve">RUE FOND DES FOURCHES, 21          </t>
  </si>
  <si>
    <t xml:space="preserve">VOTTEM                        </t>
  </si>
  <si>
    <t xml:space="preserve">matthieu.fierens@snel.be                </t>
  </si>
  <si>
    <t xml:space="preserve">FOOD IMPACT SA         </t>
  </si>
  <si>
    <t xml:space="preserve">BE0451284877        </t>
  </si>
  <si>
    <t xml:space="preserve">BOULEVARD DU SOUVERAIN 24          </t>
  </si>
  <si>
    <t xml:space="preserve">christophe.mathysen@delasia.com         </t>
  </si>
  <si>
    <t xml:space="preserve">MARIE-JOSE DOOME       </t>
  </si>
  <si>
    <t xml:space="preserve">RUE HAUZEUR 10                     </t>
  </si>
  <si>
    <t xml:space="preserve">A.S.D.T                </t>
  </si>
  <si>
    <t xml:space="preserve">BE0467287996        </t>
  </si>
  <si>
    <t xml:space="preserve">RUE DE LA SAMBRE, 4                </t>
  </si>
  <si>
    <t xml:space="preserve">dmc.asdt@outlook.be                     </t>
  </si>
  <si>
    <t>DECRAENE</t>
  </si>
  <si>
    <t>MAENH</t>
  </si>
  <si>
    <t>SOMVILLEAT</t>
  </si>
  <si>
    <t>DIRIGEANCE SRL</t>
  </si>
  <si>
    <t>DECRAENE KRIS </t>
  </si>
  <si>
    <t>ATELIERS SOMVILLE SA </t>
  </si>
  <si>
    <t>BARRIQUAND HEAT</t>
  </si>
  <si>
    <t xml:space="preserve">ANCIONBUR </t>
  </si>
  <si>
    <t xml:space="preserve">PPPHOLDING </t>
  </si>
  <si>
    <t>MAGER ANNE</t>
  </si>
  <si>
    <t>MAGERANNE</t>
  </si>
  <si>
    <t>BUREAU ANCION SRL</t>
  </si>
  <si>
    <t>PPP HOLDING</t>
  </si>
  <si>
    <t xml:space="preserve">HOTEL GRAND CHAMP      </t>
  </si>
  <si>
    <t xml:space="preserve">BE0544682417        </t>
  </si>
  <si>
    <t xml:space="preserve">ROUTE DE LA FERME LIBERT, 31       </t>
  </si>
  <si>
    <t xml:space="preserve">fermelibert@skynet.be                   </t>
  </si>
  <si>
    <t xml:space="preserve">JACOB JEAN             </t>
  </si>
  <si>
    <t xml:space="preserve">RUE MARCEL BRISCOT                 </t>
  </si>
  <si>
    <t xml:space="preserve">jean.7.jacob@gmail.com                  </t>
  </si>
  <si>
    <t xml:space="preserve">JH COMPTA              </t>
  </si>
  <si>
    <t xml:space="preserve">BE0807373065        </t>
  </si>
  <si>
    <t xml:space="preserve">RUE DE L'EGALITE 41                </t>
  </si>
  <si>
    <t>ALLER-RETOUR: 222 KM</t>
  </si>
  <si>
    <t xml:space="preserve">info@jhcompta.be                        </t>
  </si>
  <si>
    <t xml:space="preserve">E-IMPULSION SRL        </t>
  </si>
  <si>
    <t xml:space="preserve">BE1022033273        </t>
  </si>
  <si>
    <t xml:space="preserve">RUE PIERRE MICHAUX 31              </t>
  </si>
  <si>
    <t xml:space="preserve">compta@e-impulsion.com                  </t>
  </si>
  <si>
    <t xml:space="preserve">IMMO LICORNE SRL       </t>
  </si>
  <si>
    <t xml:space="preserve">BE1022033471        </t>
  </si>
  <si>
    <t xml:space="preserve">RUE DES CLARISSES 28/11            </t>
  </si>
  <si>
    <t xml:space="preserve">BDI SOLUTIONS SRL      </t>
  </si>
  <si>
    <t xml:space="preserve">BE1022584490        </t>
  </si>
  <si>
    <t xml:space="preserve">CLOS  MARQUET 25                   </t>
  </si>
  <si>
    <t xml:space="preserve">0000,00  000,00  0085  </t>
  </si>
  <si>
    <t xml:space="preserve">info.bdi.solutions@gmail.com            </t>
  </si>
  <si>
    <t xml:space="preserve">C.R.N.A. SA            </t>
  </si>
  <si>
    <t xml:space="preserve">BE0459332018        </t>
  </si>
  <si>
    <t xml:space="preserve">AVENUE DE HEPPIGNIES 43            </t>
  </si>
  <si>
    <t xml:space="preserve">FLEURUS                       </t>
  </si>
  <si>
    <t xml:space="preserve">ALLER-RETOUR: 184KM </t>
  </si>
  <si>
    <t xml:space="preserve">b.leonard@crna.be                       </t>
  </si>
  <si>
    <t>NCV</t>
  </si>
  <si>
    <t>KOZIEL</t>
  </si>
  <si>
    <t>VE11</t>
  </si>
  <si>
    <t>PRESTATIONS TECHNIQUES EL MAHDI MOUSSALEK</t>
  </si>
  <si>
    <t>KOZIEL SPRL</t>
  </si>
  <si>
    <t>CF</t>
  </si>
  <si>
    <t>CC</t>
  </si>
  <si>
    <t>NC15</t>
  </si>
  <si>
    <t>PRESTATIONS TECHNIQUES AMANDINE JACOB</t>
  </si>
  <si>
    <t>DUBUISSONL</t>
  </si>
  <si>
    <t>PRESTATIONS TECHNIQUES WILLIAM BAENS</t>
  </si>
  <si>
    <t>Prestations Techniques Walid Mokhtari</t>
  </si>
  <si>
    <t>PRESTATIONS TECHNIQUES DE YOHAN BOULANGER</t>
  </si>
  <si>
    <t xml:space="preserve">HOFMAN SA              </t>
  </si>
  <si>
    <t xml:space="preserve">ANTOINE GAUTHY                </t>
  </si>
  <si>
    <t xml:space="preserve">FREDERIC LECOQ                </t>
  </si>
  <si>
    <t xml:space="preserve">INFORIM SRL            </t>
  </si>
  <si>
    <t xml:space="preserve">BE0449950138        </t>
  </si>
  <si>
    <t xml:space="preserve">RUE GRETRY 97 BOITE 002            </t>
  </si>
  <si>
    <t xml:space="preserve">info@inforim.be                         </t>
  </si>
  <si>
    <t xml:space="preserve">MOONLITE GROUP SRL     </t>
  </si>
  <si>
    <t xml:space="preserve">BE0501920065        </t>
  </si>
  <si>
    <t xml:space="preserve">TUITENBERGSTRAAT 145               </t>
  </si>
  <si>
    <t>ALLER-RETOUR: 234 KM</t>
  </si>
  <si>
    <t xml:space="preserve">mamirkhizy@gmail.com                    </t>
  </si>
  <si>
    <t xml:space="preserve">FISCO.PRO SRL          </t>
  </si>
  <si>
    <t xml:space="preserve">BE0807261615        </t>
  </si>
  <si>
    <t xml:space="preserve">RUE LEOPOLD I 132                  </t>
  </si>
  <si>
    <t>ALLER-RETOUR: 202 KM</t>
  </si>
  <si>
    <t xml:space="preserve">sadem.caliskan@fiscopro.com             </t>
  </si>
  <si>
    <t>LIONEL DUBUISSON</t>
  </si>
  <si>
    <t>JEANJACOB</t>
  </si>
  <si>
    <t>JACOB JEAN</t>
  </si>
  <si>
    <t>IRENO</t>
  </si>
  <si>
    <t xml:space="preserve">CABINET RENARD &amp; CIE   </t>
  </si>
  <si>
    <t xml:space="preserve">BE0479657971        </t>
  </si>
  <si>
    <t xml:space="preserve">BOIS DE HERVE 15B                  </t>
  </si>
  <si>
    <t xml:space="preserve">FB LOGISTICS SRL       </t>
  </si>
  <si>
    <t xml:space="preserve">BE0874344637        </t>
  </si>
  <si>
    <t xml:space="preserve">BEDRIJVENZONE MACHELEN-CARGO 720/1 </t>
  </si>
  <si>
    <t xml:space="preserve">MACHELEN                      </t>
  </si>
  <si>
    <t xml:space="preserve">Billal.Sadek@fblogistics.be             </t>
  </si>
  <si>
    <t xml:space="preserve">STUV                   </t>
  </si>
  <si>
    <t xml:space="preserve">BE0423958294        </t>
  </si>
  <si>
    <t xml:space="preserve">4 RUE JULES BORBOUSE               </t>
  </si>
  <si>
    <t xml:space="preserve">BOPARTNER@STUV.BE                       </t>
  </si>
  <si>
    <t>BERGMANSJM</t>
  </si>
  <si>
    <t>JM BERGMANS SPRL</t>
  </si>
  <si>
    <t>EIMPULSION</t>
  </si>
  <si>
    <t>E-IMPULSION SRL</t>
  </si>
  <si>
    <t>IRENO SPRL</t>
  </si>
  <si>
    <t>MARIE-JOSE DOOME</t>
  </si>
  <si>
    <t>NEONOTAIRE</t>
  </si>
  <si>
    <t>NEONOTAIRES SRL</t>
  </si>
  <si>
    <t>JEANMARET</t>
  </si>
  <si>
    <t>JEAN MARET SA</t>
  </si>
  <si>
    <t>PRESTATION TECHNIQUE GUILLAUME DOMITILE</t>
  </si>
  <si>
    <t>PRESTATIONS TECHNIQUES YOUSSEF EL QAFIA</t>
  </si>
  <si>
    <t>BDI SOLUTIONS SRL</t>
  </si>
  <si>
    <t>BDISOLU</t>
  </si>
  <si>
    <t>PRESTATIONS TECHNIQUES PIERRE VERMEERSCH</t>
  </si>
  <si>
    <t xml:space="preserve">398 BOULEVARD DU SOUVERAIN BTE 15  </t>
  </si>
  <si>
    <t xml:space="preserve">Tatiana.Mirica@trustconsultgroup.com    </t>
  </si>
  <si>
    <t xml:space="preserve">MAITRE                             </t>
  </si>
  <si>
    <t xml:space="preserve">ENVOI PAR LA POSTE  </t>
  </si>
  <si>
    <t xml:space="preserve">MEDI-COMPTA SRL        </t>
  </si>
  <si>
    <t xml:space="preserve">BE0740870459        </t>
  </si>
  <si>
    <t xml:space="preserve">jordan@monexpertfiscal.be               </t>
  </si>
  <si>
    <t xml:space="preserve">KERNEO SRL             </t>
  </si>
  <si>
    <t xml:space="preserve">BE1017544450        </t>
  </si>
  <si>
    <t xml:space="preserve">AVENUE PAUL HYMANS 83/A01          </t>
  </si>
  <si>
    <t xml:space="preserve">WOLUWE-ST-LAMBERT             </t>
  </si>
  <si>
    <t xml:space="preserve">ALLER-RETOUR: 190KM </t>
  </si>
  <si>
    <t xml:space="preserve">GESTION CONCEPT SRL    </t>
  </si>
  <si>
    <t xml:space="preserve">BE0478722813        </t>
  </si>
  <si>
    <t xml:space="preserve">RUE ALFRED DEFUISSEAUX 78          </t>
  </si>
  <si>
    <t xml:space="preserve">gestion.concept@skynet.be               </t>
  </si>
  <si>
    <t>CODEF</t>
  </si>
  <si>
    <t>MEDICOMPTA</t>
  </si>
  <si>
    <t>CODEF ASBL</t>
  </si>
  <si>
    <t>MEDI-COMPTA SRL</t>
  </si>
  <si>
    <t>BMBE</t>
  </si>
  <si>
    <t>SERVICE - Labor - hourly rate - Rgroupe</t>
  </si>
  <si>
    <t>BMBE SPRL</t>
  </si>
  <si>
    <t>SERVICE-Partner-ESIA-Journée de</t>
  </si>
  <si>
    <t>HBFID</t>
  </si>
  <si>
    <t>IMMO LICORNE SRL</t>
  </si>
  <si>
    <t>IMMOLICORN</t>
  </si>
  <si>
    <t xml:space="preserve"> HB FIDUCIAIRE SPRL</t>
  </si>
  <si>
    <t>ESIA</t>
  </si>
  <si>
    <t xml:space="preserve">AVENUE DU CHENE,221                </t>
  </si>
  <si>
    <t xml:space="preserve">AACHENERSTRASSE 63,                </t>
  </si>
  <si>
    <t xml:space="preserve">anne.mager@skynet.be                    </t>
  </si>
  <si>
    <t xml:space="preserve">DPV FINTAX             </t>
  </si>
  <si>
    <t xml:space="preserve">BETGNE, 45                         </t>
  </si>
  <si>
    <t xml:space="preserve">NCBHAM                 </t>
  </si>
  <si>
    <t xml:space="preserve">BE0503770983        </t>
  </si>
  <si>
    <t xml:space="preserve">RUE VAN MALDER, 24                 </t>
  </si>
  <si>
    <t xml:space="preserve">MOLENBEEK-ST-JEAN             </t>
  </si>
  <si>
    <t xml:space="preserve">wil@ncbham.be                           </t>
  </si>
  <si>
    <t xml:space="preserve">VM STEEL SA            </t>
  </si>
  <si>
    <t xml:space="preserve">BE0477749942        </t>
  </si>
  <si>
    <t xml:space="preserve">AVENUE PASTEUR, 6                  </t>
  </si>
  <si>
    <t xml:space="preserve">l.louvigny@vmsteel.com                  </t>
  </si>
  <si>
    <t xml:space="preserve">DUMONT ISABELLE        </t>
  </si>
  <si>
    <t xml:space="preserve">BE0688470366        </t>
  </si>
  <si>
    <t xml:space="preserve">RUE DE BLANMONT, 26                </t>
  </si>
  <si>
    <t xml:space="preserve">isabelle@idcompta.be                    </t>
  </si>
  <si>
    <t xml:space="preserve">PROFISCO SRL           </t>
  </si>
  <si>
    <t xml:space="preserve">BE0634942402        </t>
  </si>
  <si>
    <t xml:space="preserve">ROUTE DE LENNIK 451/33             </t>
  </si>
  <si>
    <t xml:space="preserve">julie@profisco.be                       </t>
  </si>
  <si>
    <t>PRESTATIONS TECHNIQUES ENZO DE CIANCIO</t>
  </si>
  <si>
    <t>CABIRENARD</t>
  </si>
  <si>
    <t xml:space="preserve">MEDI-COMPTA SRL </t>
  </si>
  <si>
    <t>KERNQUVRWA</t>
  </si>
  <si>
    <t>PRESTATIONS TECHNIQUES FABIAN LAMURY</t>
  </si>
  <si>
    <t xml:space="preserve">LARGE VOIE 226                     </t>
  </si>
  <si>
    <t xml:space="preserve">beaumeckerjerome@gmail.com              </t>
  </si>
  <si>
    <t xml:space="preserve">invoices@dpvfintax.be                   </t>
  </si>
  <si>
    <t>KM POUR INTER OUPEYE</t>
  </si>
  <si>
    <t xml:space="preserve">DELVAUX J.-J.          </t>
  </si>
  <si>
    <t xml:space="preserve">BE0431441647        </t>
  </si>
  <si>
    <t xml:space="preserve">RUE DE LA GRANDE SAMBRESSE 10      </t>
  </si>
  <si>
    <t>ALLER-RETOUR: 144 KM</t>
  </si>
  <si>
    <t xml:space="preserve">Servicequalite@jjdelvaux.be             </t>
  </si>
  <si>
    <t>ENTREPRISE TONG ET FILS</t>
  </si>
  <si>
    <t xml:space="preserve">BE0890409916        </t>
  </si>
  <si>
    <t xml:space="preserve">RUE NESTOR ROYER 55                </t>
  </si>
  <si>
    <t xml:space="preserve">secretariat@tong-fils.be                </t>
  </si>
  <si>
    <t xml:space="preserve">GRIMONPRES MANAGEMENT  </t>
  </si>
  <si>
    <t xml:space="preserve">BE0800956615        </t>
  </si>
  <si>
    <t xml:space="preserve">PARC DE LA HAYOULLE, 2             </t>
  </si>
  <si>
    <t>pierre.vanderheijden@renson-fiduciaire.b</t>
  </si>
  <si>
    <t xml:space="preserve">BODYMAT SA             </t>
  </si>
  <si>
    <t xml:space="preserve">BE0745785488        </t>
  </si>
  <si>
    <t xml:space="preserve">RUE DE LA CROIX LIMONT 11          </t>
  </si>
  <si>
    <t xml:space="preserve">252 KMS AR          </t>
  </si>
  <si>
    <t xml:space="preserve">ameliebody@bodymat.be                   </t>
  </si>
  <si>
    <t xml:space="preserve">LES ANEMONES ASBL      </t>
  </si>
  <si>
    <t xml:space="preserve">BE0408923195        </t>
  </si>
  <si>
    <t xml:space="preserve">AVENUE FELIX LACOURT 70            </t>
  </si>
  <si>
    <t xml:space="preserve">ALLER-RETOUR: 146KM </t>
  </si>
  <si>
    <t xml:space="preserve">daf@lesanemones.be                      </t>
  </si>
  <si>
    <t>PRESTATIONS TECHNIQUES TOM VIGNEULLE</t>
  </si>
  <si>
    <t>SERVICE-Partner-DELL-Prolongation garantie</t>
  </si>
  <si>
    <t>31 TELEPHONY</t>
  </si>
  <si>
    <t>000001 PBX &amp; Licences</t>
  </si>
  <si>
    <t>GRIMONPRES</t>
  </si>
  <si>
    <t>GRIMONPRES MANAGEMENT</t>
  </si>
  <si>
    <t>GLOBAL</t>
  </si>
  <si>
    <t>TELEPHONY - Installation - Rcarré -</t>
  </si>
  <si>
    <t xml:space="preserve">IBD SOLUTIONS SRL      </t>
  </si>
  <si>
    <t xml:space="preserve">BE0557999032        </t>
  </si>
  <si>
    <t xml:space="preserve">RUE HORS-CHATEAU 33/A              </t>
  </si>
  <si>
    <t xml:space="preserve">finance@ibdsolutions.eu                 </t>
  </si>
  <si>
    <t>GILLES RIGOTTI - AVOCAT</t>
  </si>
  <si>
    <t xml:space="preserve">BE0749851075        </t>
  </si>
  <si>
    <t xml:space="preserve">PLACE DE BRONCKART, 1              </t>
  </si>
  <si>
    <t xml:space="preserve">g.rigotti@cabinetleodium.be             </t>
  </si>
  <si>
    <t>MULDERB</t>
  </si>
  <si>
    <t>HUAWEITECH</t>
  </si>
  <si>
    <t>HUAWEI TECHNOLOGIES</t>
  </si>
  <si>
    <t>SOMEXCO SRL</t>
  </si>
  <si>
    <t>SOMEXCO</t>
  </si>
  <si>
    <t xml:space="preserve">HUAWEI TECHNOLOGIES    </t>
  </si>
  <si>
    <t xml:space="preserve">BE0550614956        </t>
  </si>
  <si>
    <t xml:space="preserve">(BELGIUM) NV                       </t>
  </si>
  <si>
    <t xml:space="preserve">BOULEVARD DE LA WOLUWE 2           </t>
  </si>
  <si>
    <t xml:space="preserve">finance@huawei.com                      </t>
  </si>
  <si>
    <t xml:space="preserve">FOYER DE L'AMITIE      </t>
  </si>
  <si>
    <t xml:space="preserve">BE0409622288        </t>
  </si>
  <si>
    <t xml:space="preserve">AVENUE FRANCOISE, 9                </t>
  </si>
  <si>
    <t xml:space="preserve">RIXENSART                     </t>
  </si>
  <si>
    <t xml:space="preserve">foyerdelamitie@gmail.com                </t>
  </si>
  <si>
    <t xml:space="preserve">ISOPROJECT             </t>
  </si>
  <si>
    <t xml:space="preserve">BE0819632974        </t>
  </si>
  <si>
    <t xml:space="preserve">RUE HAUTE, 97                      </t>
  </si>
  <si>
    <t xml:space="preserve">serviceadministratif@isoproject.be      </t>
  </si>
  <si>
    <t xml:space="preserve">C2D SRL                </t>
  </si>
  <si>
    <t xml:space="preserve">BE0547904993        </t>
  </si>
  <si>
    <t xml:space="preserve">RUE DE L'ILE, 3                    </t>
  </si>
  <si>
    <t xml:space="preserve">cd@c2dsprl.be                           </t>
  </si>
  <si>
    <t>PRESTATIONS TECHNIQUES NOA SCIARRATO</t>
  </si>
  <si>
    <t>CLARENNE</t>
  </si>
  <si>
    <t>LEJEUNE</t>
  </si>
  <si>
    <t>PRESTATIONS TECHNIQUES RYAN MATHIAS</t>
  </si>
  <si>
    <t>PRESTATIONS TECHNIQUES DAMIEN DUMALIN</t>
  </si>
  <si>
    <t>COPPEE E&amp;A SRL</t>
  </si>
  <si>
    <t>COPPEEEA</t>
  </si>
  <si>
    <t>CLARENNE EXPERT COMPTA</t>
  </si>
  <si>
    <t>LEJEUNE DR</t>
  </si>
  <si>
    <t>a renvoyer</t>
  </si>
  <si>
    <t xml:space="preserve">fabienne@delighting.be                  </t>
  </si>
  <si>
    <t xml:space="preserve">RUE DE L'AEROPORT, 52              </t>
  </si>
  <si>
    <t xml:space="preserve">facturation@kerneo.be                   </t>
  </si>
  <si>
    <t xml:space="preserve">LVA SOCIETE D'AVOCATS  </t>
  </si>
  <si>
    <t xml:space="preserve">BE0713915446        </t>
  </si>
  <si>
    <t xml:space="preserve">s.lozinski@cabinetleodium.be            </t>
  </si>
  <si>
    <t xml:space="preserve">EDGS                   </t>
  </si>
  <si>
    <t xml:space="preserve">BE0794262625        </t>
  </si>
  <si>
    <t xml:space="preserve">RUE DE FLERON, 58                  </t>
  </si>
  <si>
    <t xml:space="preserve">eliane.jagielo@hotmail.be               </t>
  </si>
  <si>
    <t>IBDSOLUTI</t>
  </si>
  <si>
    <t>IBD SOLUTIONS SRL</t>
  </si>
  <si>
    <t>GOFFARDMO</t>
  </si>
  <si>
    <t>SERVICE - Labor - hourly rate - Rcarré</t>
  </si>
  <si>
    <t>CMKCONSULT</t>
  </si>
  <si>
    <t>CMK CONSULT</t>
  </si>
  <si>
    <t>RIGOTTIGIL</t>
  </si>
  <si>
    <t>LOUISDELHA</t>
  </si>
  <si>
    <t>LOUIS DELHAIZE SA</t>
  </si>
  <si>
    <t>MONIQUE GOFFARD</t>
  </si>
  <si>
    <t xml:space="preserve">lucie.bousard@roquet.be                 </t>
  </si>
  <si>
    <t xml:space="preserve">contact@etsgodfriaux.be                 </t>
  </si>
  <si>
    <t xml:space="preserve">ks@somexco.be                           </t>
  </si>
  <si>
    <t xml:space="preserve">A/R 104KM           </t>
  </si>
  <si>
    <t xml:space="preserve">A/R 132KM           </t>
  </si>
  <si>
    <t xml:space="preserve">A/R 158KM           </t>
  </si>
  <si>
    <t xml:space="preserve">A/R 204KM           </t>
  </si>
  <si>
    <t xml:space="preserve">A/R 126KM           </t>
  </si>
  <si>
    <t xml:space="preserve">A/R 400KM           </t>
  </si>
  <si>
    <t xml:space="preserve">A/R 110KM           </t>
  </si>
  <si>
    <t xml:space="preserve">A/R 240KM           </t>
  </si>
  <si>
    <t xml:space="preserve">A/R 215KM           </t>
  </si>
  <si>
    <t xml:space="preserve">A/R 120KM           </t>
  </si>
  <si>
    <t xml:space="preserve">A/R 200KM           </t>
  </si>
  <si>
    <t xml:space="preserve">A/R 280KM           </t>
  </si>
  <si>
    <t xml:space="preserve">A/R 210KM           </t>
  </si>
  <si>
    <t xml:space="preserve">A/R 150KM           </t>
  </si>
  <si>
    <t xml:space="preserve">A/R 180KM           </t>
  </si>
  <si>
    <t xml:space="preserve">A/R 170KM           </t>
  </si>
  <si>
    <t xml:space="preserve">CIGR MELLERDALL ASBL   </t>
  </si>
  <si>
    <t xml:space="preserve">LU25296224          </t>
  </si>
  <si>
    <t xml:space="preserve">8 AN DER LAACH                     </t>
  </si>
  <si>
    <t xml:space="preserve">BERDORF                       </t>
  </si>
  <si>
    <t xml:space="preserve">+352 26745284 </t>
  </si>
  <si>
    <t xml:space="preserve">F8901                         </t>
  </si>
  <si>
    <t xml:space="preserve">NACE94990                     </t>
  </si>
  <si>
    <t xml:space="preserve">A/R 285 KM          </t>
  </si>
  <si>
    <t xml:space="preserve">FISCOM AUDIT           </t>
  </si>
  <si>
    <t xml:space="preserve">BE0442021575        </t>
  </si>
  <si>
    <t xml:space="preserve">RU DU SACRE COEUR 16               </t>
  </si>
  <si>
    <t xml:space="preserve">haryfranssen@yahoo.fr                   </t>
  </si>
  <si>
    <t xml:space="preserve">ELECTROFLAM SRL        </t>
  </si>
  <si>
    <t xml:space="preserve">BE0412722033        </t>
  </si>
  <si>
    <t xml:space="preserve">AVENUE CAPOUILLET 20               </t>
  </si>
  <si>
    <t xml:space="preserve">electroflam@manfroy.be                  </t>
  </si>
  <si>
    <t xml:space="preserve">BERTHOLET ANNE         </t>
  </si>
  <si>
    <t xml:space="preserve">AVENUE DE LA BOVIERE, 12           </t>
  </si>
  <si>
    <t xml:space="preserve">BOULANGERIE CANONE C.  </t>
  </si>
  <si>
    <t xml:space="preserve">BE0563773007        </t>
  </si>
  <si>
    <t xml:space="preserve">CHAUSSEE DE ROEULX, 118            </t>
  </si>
  <si>
    <t xml:space="preserve">A/R 260KM           </t>
  </si>
  <si>
    <t xml:space="preserve">boulangerie.canone@gmail.com            </t>
  </si>
  <si>
    <t xml:space="preserve">DBKMG                  </t>
  </si>
  <si>
    <t xml:space="preserve">BE1007728347        </t>
  </si>
  <si>
    <t xml:space="preserve">RUE FRANCOIS HANON 67/4            </t>
  </si>
  <si>
    <t xml:space="preserve">FOOZ(AWANS)                   </t>
  </si>
  <si>
    <t xml:space="preserve">docteurkristinabrajkovic@gmail.com      </t>
  </si>
  <si>
    <t>POWERDEAL</t>
  </si>
  <si>
    <t>LVASOCAVO</t>
  </si>
  <si>
    <t>LVA SOCIETE D'AVOCATS</t>
  </si>
  <si>
    <t>CIGRMELLE</t>
  </si>
  <si>
    <t>CIGR MELLERDALL ASBL</t>
  </si>
  <si>
    <t>FISCOMAUDI</t>
  </si>
  <si>
    <t>FISCOM AUDIT</t>
  </si>
  <si>
    <t>Total HTVA</t>
  </si>
  <si>
    <t>Total TVA</t>
  </si>
  <si>
    <t>Vérif HTVA</t>
  </si>
  <si>
    <t>Vérif TVA</t>
  </si>
  <si>
    <t>Ecarts HTVA</t>
  </si>
  <si>
    <t>Ecarts TVA</t>
  </si>
  <si>
    <t>GODFRIAUX</t>
  </si>
  <si>
    <t>Prestations techniques J-F MONTUIR</t>
  </si>
  <si>
    <t>PRESTATIONS TECHNIQUES ALEXIS VANDENBERGHE</t>
  </si>
  <si>
    <t>PRESTATIONS TECHNIQUES CHRISTOPHE RUARO</t>
  </si>
  <si>
    <t>SERVICE-Installation cost-Rcarré / Rcube</t>
  </si>
  <si>
    <t xml:space="preserve">LE RENIVAUX            </t>
  </si>
  <si>
    <t xml:space="preserve">BE0415010837        </t>
  </si>
  <si>
    <t xml:space="preserve">RUE DE RENIVAUX 25A                </t>
  </si>
  <si>
    <t xml:space="preserve">A/R : 182km         </t>
  </si>
  <si>
    <t xml:space="preserve">emilie.payon@renivauxasbl.be            </t>
  </si>
  <si>
    <t xml:space="preserve">COALI                  </t>
  </si>
  <si>
    <t xml:space="preserve">BE0825675678        </t>
  </si>
  <si>
    <t xml:space="preserve">CORONMEUSE, 40                     </t>
  </si>
  <si>
    <t xml:space="preserve">laetitiavanvyve@coali.be                </t>
  </si>
  <si>
    <t xml:space="preserve">NEW TRAVHYMAT          </t>
  </si>
  <si>
    <t xml:space="preserve">BE1014552395        </t>
  </si>
  <si>
    <t xml:space="preserve">1ere AVENUE 26                     </t>
  </si>
  <si>
    <t xml:space="preserve">kdm@travhymat.be                        </t>
  </si>
  <si>
    <t>GODFRIAUX ET FILS</t>
  </si>
  <si>
    <t>Prestations techniques Mateo CASTREUIL</t>
  </si>
  <si>
    <t>PRESTATIONS TECHNIQUES GABRIEL DUPUIS</t>
  </si>
  <si>
    <t xml:space="preserve">METAL PROTECTION       </t>
  </si>
  <si>
    <t xml:space="preserve">BE0458261058        </t>
  </si>
  <si>
    <t xml:space="preserve">RUE GERON, 17                      </t>
  </si>
  <si>
    <t xml:space="preserve">04 3675202    </t>
  </si>
  <si>
    <t xml:space="preserve">0000,00  000,00  0099  </t>
  </si>
  <si>
    <t xml:space="preserve">pino@altra-sa.com                       </t>
  </si>
  <si>
    <t xml:space="preserve">VAP 2 OHHH SRL         </t>
  </si>
  <si>
    <t xml:space="preserve">BE0683633333        </t>
  </si>
  <si>
    <t xml:space="preserve">RUE DE PLAINEVAUX 112              </t>
  </si>
  <si>
    <t xml:space="preserve">0000,00  000,00  0047  </t>
  </si>
  <si>
    <t xml:space="preserve">ancionjeanpaul@outlook.be               </t>
  </si>
  <si>
    <t>EDGS</t>
  </si>
  <si>
    <t>METAL PROTECTION</t>
  </si>
  <si>
    <t>METALPROTE</t>
  </si>
  <si>
    <t xml:space="preserve">RUE DES QUATRES ARBRES, 2          </t>
  </si>
  <si>
    <t>+32 2 732 3309</t>
  </si>
  <si>
    <t xml:space="preserve">marie.denis@beautylux.be                </t>
  </si>
  <si>
    <t xml:space="preserve">NMY                    </t>
  </si>
  <si>
    <t xml:space="preserve">BE1024216565        </t>
  </si>
  <si>
    <t xml:space="preserve">RUE HORS-CHATEAU, 33A              </t>
  </si>
  <si>
    <t xml:space="preserve">finance@nemayechi.com                   </t>
  </si>
  <si>
    <t xml:space="preserve">HORIZONS NEUFS         </t>
  </si>
  <si>
    <t xml:space="preserve">BE0421385816        </t>
  </si>
  <si>
    <t xml:space="preserve">RUE DE LA BARAQUE 129B             </t>
  </si>
  <si>
    <t xml:space="preserve">info@horizonsneufs.be                   </t>
  </si>
  <si>
    <t xml:space="preserve">ESCALPADE              </t>
  </si>
  <si>
    <t xml:space="preserve">BE0467129135        </t>
  </si>
  <si>
    <t xml:space="preserve">RUE DE LA FERME DES BRUYERES 2     </t>
  </si>
  <si>
    <t xml:space="preserve">centredejour@escalpade.be               </t>
  </si>
  <si>
    <t xml:space="preserve">FARRA-CLERLANDE        </t>
  </si>
  <si>
    <t xml:space="preserve">BE0411670473        </t>
  </si>
  <si>
    <t xml:space="preserve">ALLEE DE CLERLANDE 8               </t>
  </si>
  <si>
    <t xml:space="preserve">OTTIGNIES                     </t>
  </si>
  <si>
    <t xml:space="preserve">administration@farra-clerlande.be       </t>
  </si>
  <si>
    <t xml:space="preserve">GVS CONSULTING         </t>
  </si>
  <si>
    <t xml:space="preserve">BE0795687832        </t>
  </si>
  <si>
    <t xml:space="preserve">(RENEW IT SOLUTIONS)               </t>
  </si>
  <si>
    <t xml:space="preserve">ZIJPSTRAAT 111                     </t>
  </si>
  <si>
    <t xml:space="preserve">HUMBEEK                       </t>
  </si>
  <si>
    <t xml:space="preserve">Giovanni.vancheri@renew-itsolutions.com </t>
  </si>
  <si>
    <t xml:space="preserve">IPWT SRL               </t>
  </si>
  <si>
    <t xml:space="preserve">BE0715946904        </t>
  </si>
  <si>
    <t xml:space="preserve">RUE LOSSIGNOL, 21                  </t>
  </si>
  <si>
    <t>GVSCONSULT</t>
  </si>
  <si>
    <t>GVS CONSULTING</t>
  </si>
  <si>
    <t>DEMBOUR ET DECONINCK</t>
  </si>
  <si>
    <t>DEMBOURDEC</t>
  </si>
  <si>
    <t>ANCIONBUR</t>
  </si>
  <si>
    <t xml:space="preserve">RUE BELLAIRE 19                    </t>
  </si>
  <si>
    <t xml:space="preserve">jp.dinverno@avocat.be                   </t>
  </si>
  <si>
    <t xml:space="preserve">PNVH ASBL              </t>
  </si>
  <si>
    <t xml:space="preserve">BE0817216882        </t>
  </si>
  <si>
    <t xml:space="preserve">RUE D'AVIGNON NISMES 1             </t>
  </si>
  <si>
    <t xml:space="preserve">VIROINVAL                     </t>
  </si>
  <si>
    <t xml:space="preserve">A/R : 260km         </t>
  </si>
  <si>
    <t xml:space="preserve">secretariat@pnvh.be                     </t>
  </si>
  <si>
    <t xml:space="preserve">TOCATRA SA             </t>
  </si>
  <si>
    <t xml:space="preserve">BE0421465196        </t>
  </si>
  <si>
    <t xml:space="preserve">RUE DU VENT VAL 94                 </t>
  </si>
  <si>
    <t xml:space="preserve">A/R : 254km         </t>
  </si>
  <si>
    <t xml:space="preserve">thomas@tocatra.be                       </t>
  </si>
  <si>
    <t xml:space="preserve">FOOD PARTNERS SA       </t>
  </si>
  <si>
    <t xml:space="preserve">BE0474278728        </t>
  </si>
  <si>
    <t xml:space="preserve">RUE DU MUTURNIA, 299               </t>
  </si>
  <si>
    <t xml:space="preserve">a/r 196KM           </t>
  </si>
  <si>
    <t xml:space="preserve">jcdebuisson@foodpartners.be             </t>
  </si>
  <si>
    <t xml:space="preserve">LACROIX THIERRY SRL    </t>
  </si>
  <si>
    <t xml:space="preserve">BE0471341707        </t>
  </si>
  <si>
    <t xml:space="preserve">RUE SAIVELETTE, 69/B               </t>
  </si>
  <si>
    <t xml:space="preserve">sprllacroix@gmail.com                   </t>
  </si>
  <si>
    <t>ISOPROJECT</t>
  </si>
  <si>
    <t>ISOPROJET</t>
  </si>
  <si>
    <t>NMY</t>
  </si>
  <si>
    <t>IPWT SRL</t>
  </si>
  <si>
    <t>IPWTSRL</t>
  </si>
  <si>
    <t>C12.250103</t>
  </si>
  <si>
    <t>C12.250104</t>
  </si>
  <si>
    <t>C15.250052</t>
  </si>
  <si>
    <t>C15.250053</t>
  </si>
  <si>
    <t>F11.251822</t>
  </si>
  <si>
    <t>F11.251823</t>
  </si>
  <si>
    <t>F11.251824</t>
  </si>
  <si>
    <t>F11.251825</t>
  </si>
  <si>
    <t>F11.251826</t>
  </si>
  <si>
    <t>F11.251827</t>
  </si>
  <si>
    <t>F11.251828</t>
  </si>
  <si>
    <t>F11.251829</t>
  </si>
  <si>
    <t>F11.251830</t>
  </si>
  <si>
    <t>F11.251831</t>
  </si>
  <si>
    <t>F11.251832</t>
  </si>
  <si>
    <t>F11.251833</t>
  </si>
  <si>
    <t>F11.251834</t>
  </si>
  <si>
    <t>F11.251835</t>
  </si>
  <si>
    <t>F11.251836</t>
  </si>
  <si>
    <t>F11.251837</t>
  </si>
  <si>
    <t>F11.251838</t>
  </si>
  <si>
    <t>F11.251839</t>
  </si>
  <si>
    <t>F11.251840</t>
  </si>
  <si>
    <t>F11.251841</t>
  </si>
  <si>
    <t>F11.251842</t>
  </si>
  <si>
    <t>F11.251843</t>
  </si>
  <si>
    <t>F11.251844</t>
  </si>
  <si>
    <t>F11.251845</t>
  </si>
  <si>
    <t>F11.251846</t>
  </si>
  <si>
    <t>F11.251847</t>
  </si>
  <si>
    <t>F11.251848</t>
  </si>
  <si>
    <t>F11.251849</t>
  </si>
  <si>
    <t>F11.251850</t>
  </si>
  <si>
    <t>F11.251851</t>
  </si>
  <si>
    <t>F11.251852</t>
  </si>
  <si>
    <t>F11.251853</t>
  </si>
  <si>
    <t>F11.251854</t>
  </si>
  <si>
    <t>F11.251855</t>
  </si>
  <si>
    <t>F11.251856</t>
  </si>
  <si>
    <t>F11.251857</t>
  </si>
  <si>
    <t>F11.251858</t>
  </si>
  <si>
    <t>F11.251859</t>
  </si>
  <si>
    <t>F11.251860</t>
  </si>
  <si>
    <t>F11.251861</t>
  </si>
  <si>
    <t>F11.251862</t>
  </si>
  <si>
    <t>F11.251863</t>
  </si>
  <si>
    <t>F11.251864</t>
  </si>
  <si>
    <t>F11.251865</t>
  </si>
  <si>
    <t>F11.251866</t>
  </si>
  <si>
    <t>F11.251867</t>
  </si>
  <si>
    <t>F11.251868</t>
  </si>
  <si>
    <t>F11.251869</t>
  </si>
  <si>
    <t>F11.251870</t>
  </si>
  <si>
    <t>F11.251871</t>
  </si>
  <si>
    <t>F11.251872</t>
  </si>
  <si>
    <t>F11.251873</t>
  </si>
  <si>
    <t>F11.251874</t>
  </si>
  <si>
    <t>F11.251875</t>
  </si>
  <si>
    <t>F11.251876</t>
  </si>
  <si>
    <t>F11.251877</t>
  </si>
  <si>
    <t>BRANKAER</t>
  </si>
  <si>
    <t>F11.251878</t>
  </si>
  <si>
    <t>F11.251879</t>
  </si>
  <si>
    <t>F11.251880</t>
  </si>
  <si>
    <t>F11.251881</t>
  </si>
  <si>
    <t>F11.251882</t>
  </si>
  <si>
    <t>F11.251883</t>
  </si>
  <si>
    <t>F11.251884</t>
  </si>
  <si>
    <t>F11.251885</t>
  </si>
  <si>
    <t>F11.251886</t>
  </si>
  <si>
    <t>F11.251887</t>
  </si>
  <si>
    <t>F11.251888</t>
  </si>
  <si>
    <t>F11.251889</t>
  </si>
  <si>
    <t>F13.252390</t>
  </si>
  <si>
    <t>F13.252391</t>
  </si>
  <si>
    <t>F13.252392</t>
  </si>
  <si>
    <t>F13.252393</t>
  </si>
  <si>
    <t>F13.252394</t>
  </si>
  <si>
    <t xml:space="preserve">compta@cig.lu                           </t>
  </si>
  <si>
    <t xml:space="preserve">INSTITUT GREGORY       </t>
  </si>
  <si>
    <t xml:space="preserve">BE0455780927        </t>
  </si>
  <si>
    <t xml:space="preserve">BATESON SRL                        </t>
  </si>
  <si>
    <t xml:space="preserve">ALLEE DES PLATANES 16              </t>
  </si>
  <si>
    <t xml:space="preserve">virginie.olivieri@igb-mri.com           </t>
  </si>
  <si>
    <t xml:space="preserve">MATHONET SA            </t>
  </si>
  <si>
    <t xml:space="preserve">BE0446813672        </t>
  </si>
  <si>
    <t xml:space="preserve">PONT-BORGUEUSE HE 1                </t>
  </si>
  <si>
    <t xml:space="preserve">ALLER-RETOUR: 121km </t>
  </si>
  <si>
    <t xml:space="preserve">info@pisciculture-mathonet.be           </t>
  </si>
  <si>
    <t xml:space="preserve">L'IMMOBILIERE WOLFS SA </t>
  </si>
  <si>
    <t xml:space="preserve">BE0454920694        </t>
  </si>
  <si>
    <t xml:space="preserve">PLACE COMMUNALE, 3                 </t>
  </si>
  <si>
    <t xml:space="preserve">HAUCOURT                      </t>
  </si>
  <si>
    <t xml:space="preserve">immobiliere@wolfs.be                    </t>
  </si>
  <si>
    <t>ELECTROFLA</t>
  </si>
  <si>
    <t>ELECTROFLAM SRL</t>
  </si>
  <si>
    <t>TVOLOG</t>
  </si>
  <si>
    <t>PHALSU</t>
  </si>
  <si>
    <t>NEWTRAVHYM</t>
  </si>
  <si>
    <t>NEW TRAVHYMAT</t>
  </si>
  <si>
    <t>WOLFSIMMO</t>
  </si>
  <si>
    <t>L'IMMOBILIERE WOLFS SA</t>
  </si>
  <si>
    <t>TVO LOGISTICS</t>
  </si>
  <si>
    <t>PHALSU SPRL</t>
  </si>
  <si>
    <t xml:space="preserve">FRANCOIS LECLERCQ SRL  </t>
  </si>
  <si>
    <t xml:space="preserve">BE0406427624        </t>
  </si>
  <si>
    <t xml:space="preserve">QUAI DES ARDENNES 116              </t>
  </si>
  <si>
    <t xml:space="preserve">jean.leclercq116@gmail.com              </t>
  </si>
  <si>
    <t xml:space="preserve">SIGEDIS ASBL           </t>
  </si>
  <si>
    <t xml:space="preserve">BE0880820673        </t>
  </si>
  <si>
    <t xml:space="preserve">PLACE VICTOR HORTA 11              </t>
  </si>
  <si>
    <t xml:space="preserve">A/R : 204km         </t>
  </si>
  <si>
    <t xml:space="preserve">marc.bossicard@sigedis.fgov.be          </t>
  </si>
  <si>
    <t xml:space="preserve">CABINET COMPTABLE MC   </t>
  </si>
  <si>
    <t xml:space="preserve">BE0832661757        </t>
  </si>
  <si>
    <t xml:space="preserve">30 RUE SUR LES HEIDS 30            </t>
  </si>
  <si>
    <t xml:space="preserve">cedric.lescalier@ccmc.be                </t>
  </si>
  <si>
    <t xml:space="preserve">PUCCI LUDOVIC          </t>
  </si>
  <si>
    <t xml:space="preserve">AVENUE DE LA CHAPELLE, 64          </t>
  </si>
  <si>
    <t xml:space="preserve">Ludovic.pucci.p@gmail.com               </t>
  </si>
  <si>
    <t>PUCCI LUDOVIC</t>
  </si>
  <si>
    <t xml:space="preserve">CONCEPTION ALEX        </t>
  </si>
  <si>
    <t xml:space="preserve">BE0805007156        </t>
  </si>
  <si>
    <t xml:space="preserve">RUE DE STRAUX, 19                  </t>
  </si>
  <si>
    <t xml:space="preserve">BE0805007156                  </t>
  </si>
  <si>
    <t xml:space="preserve">A/R 112KM           </t>
  </si>
  <si>
    <t xml:space="preserve">alexandre.f213@gmail.com                </t>
  </si>
  <si>
    <t>CABINETMC</t>
  </si>
  <si>
    <t>CABINET COMPTABLE MC</t>
  </si>
  <si>
    <t xml:space="preserve">TECHNIBLUE             </t>
  </si>
  <si>
    <t xml:space="preserve">BE0744876559        </t>
  </si>
  <si>
    <t xml:space="preserve">RUE DES ARTISANS 22                </t>
  </si>
  <si>
    <t xml:space="preserve">laurent.mahy@techniblue.net             </t>
  </si>
  <si>
    <t xml:space="preserve">BE0692679572        </t>
  </si>
  <si>
    <t xml:space="preserve">RUE DE HEUSY 30                    </t>
  </si>
  <si>
    <t xml:space="preserve">rphcroquet@hotmail.com                  </t>
  </si>
  <si>
    <t xml:space="preserve">info@tecnoform.be                       </t>
  </si>
  <si>
    <t xml:space="preserve">HAMROL RENOVATION      </t>
  </si>
  <si>
    <t xml:space="preserve">BE0754979407        </t>
  </si>
  <si>
    <t xml:space="preserve">finance@hamrolrenovation.be             </t>
  </si>
  <si>
    <t xml:space="preserve">C&amp;ASSOCIES SRL         </t>
  </si>
  <si>
    <t xml:space="preserve">BE1030299158        </t>
  </si>
  <si>
    <t xml:space="preserve">RUE BERTRAND, 40 1/03              </t>
  </si>
  <si>
    <t xml:space="preserve">PISTACHE ET CHOCOLAT   </t>
  </si>
  <si>
    <t xml:space="preserve">BE0888274035        </t>
  </si>
  <si>
    <t xml:space="preserve">RUE DES CROISETTES 73              </t>
  </si>
  <si>
    <t xml:space="preserve">info@pistacheetchocolat.be              </t>
  </si>
  <si>
    <t>HAMROLRENO</t>
  </si>
  <si>
    <t>HAMROL RENOVATION</t>
  </si>
  <si>
    <t>PRESTATIONS TECHNIQUES WALID HADJI</t>
  </si>
  <si>
    <t xml:space="preserve">57, RUE DU VENEUR                  </t>
  </si>
  <si>
    <t xml:space="preserve">ENGHIEN                       </t>
  </si>
  <si>
    <t xml:space="preserve">Yvan.Leclercq@nutri-ethic.com&gt;          </t>
  </si>
  <si>
    <t xml:space="preserve">comptabilite.sabanigroup@gmail.com      </t>
  </si>
  <si>
    <t xml:space="preserve">VERVICOOP SC           </t>
  </si>
  <si>
    <t xml:space="preserve">EC ACCOUNTING SRL      </t>
  </si>
  <si>
    <t xml:space="preserve">RUE LE HAMEAU 14/1                 </t>
  </si>
  <si>
    <t xml:space="preserve">SOLRE-SAINT-GERY              </t>
  </si>
  <si>
    <t xml:space="preserve">PRO-COMPTAFISC SRL     </t>
  </si>
  <si>
    <t xml:space="preserve">BE0732987527        </t>
  </si>
  <si>
    <t xml:space="preserve">ALBERT BIESMANSLAAN 20 BOITE 2     </t>
  </si>
  <si>
    <t xml:space="preserve">A/R : 210 KM        </t>
  </si>
  <si>
    <t xml:space="preserve">info@procomptafisc.be                   </t>
  </si>
  <si>
    <t>TOCATRA SA</t>
  </si>
  <si>
    <t>TOCATRA</t>
  </si>
  <si>
    <t xml:space="preserve">EUROPASSUR SPRL        </t>
  </si>
  <si>
    <t xml:space="preserve">BE0465793109        </t>
  </si>
  <si>
    <t xml:space="preserve">RUE DU VILLAGE 47                  </t>
  </si>
  <si>
    <t xml:space="preserve">AUBANGE                       </t>
  </si>
  <si>
    <t xml:space="preserve">LAURENT.AUTHELET@MONCOURTIER.BE         </t>
  </si>
  <si>
    <t>WARSCONSUL</t>
  </si>
  <si>
    <t xml:space="preserve">BE1031008050        </t>
  </si>
  <si>
    <t xml:space="preserve">FERME VIEILLE MAISON   </t>
  </si>
  <si>
    <t xml:space="preserve">BE0803959061        </t>
  </si>
  <si>
    <t xml:space="preserve">RUE VIEILLE-MAISON, 1              </t>
  </si>
  <si>
    <t xml:space="preserve">SOMBREFFE                     </t>
  </si>
  <si>
    <t xml:space="preserve">A/R : 167 km        </t>
  </si>
  <si>
    <t xml:space="preserve">mariazillikens@gmail.com                </t>
  </si>
  <si>
    <t xml:space="preserve">CABINET EXP COMPTABLES </t>
  </si>
  <si>
    <t xml:space="preserve">BE0433635431        </t>
  </si>
  <si>
    <t xml:space="preserve">MOREAU SRL                         </t>
  </si>
  <si>
    <t xml:space="preserve">RUE DE LA CHENAIE 42               </t>
  </si>
  <si>
    <t xml:space="preserve">moreau@cabinetmoreau.be                 </t>
  </si>
  <si>
    <t xml:space="preserve">LOGIMETAL SA           </t>
  </si>
  <si>
    <t xml:space="preserve">BE0478381729        </t>
  </si>
  <si>
    <t xml:space="preserve">RUE DU TRONE 91 BOITE A-C          </t>
  </si>
  <si>
    <t xml:space="preserve">ALLER-RETOUR: 197km </t>
  </si>
  <si>
    <t xml:space="preserve">p.mazzoni@logimetal.com                 </t>
  </si>
  <si>
    <t xml:space="preserve">MSM BUSINESS CENTER    </t>
  </si>
  <si>
    <t xml:space="preserve">BE1031237682        </t>
  </si>
  <si>
    <t xml:space="preserve">AVENUE PAUL PASTUR 68/A            </t>
  </si>
  <si>
    <t>ALLER-RETOUR: 192 KM</t>
  </si>
  <si>
    <t>MSM BUSINESS CENTER SRL</t>
  </si>
  <si>
    <t>C&amp;ASSOCIES SRL</t>
  </si>
  <si>
    <t>CASSOCIES</t>
  </si>
  <si>
    <t>EC ACCOUNTING SRL</t>
  </si>
  <si>
    <t>ECACCOUNT</t>
  </si>
  <si>
    <t>ACA TECHNICS SRL</t>
  </si>
  <si>
    <t>ACATECHNIC</t>
  </si>
  <si>
    <t>WARS CONSULTING SNC</t>
  </si>
  <si>
    <t xml:space="preserve">BE1030925304        </t>
  </si>
  <si>
    <t xml:space="preserve">chris.curtis@iremis.eu                  </t>
  </si>
  <si>
    <t xml:space="preserve">ESPACE SCENE           </t>
  </si>
  <si>
    <t xml:space="preserve">BE0603837866        </t>
  </si>
  <si>
    <t xml:space="preserve">RUE GILON 15                       </t>
  </si>
  <si>
    <t xml:space="preserve">espacescene@skynet.be                   </t>
  </si>
  <si>
    <t xml:space="preserve">FISCABREX SRL          </t>
  </si>
  <si>
    <t xml:space="preserve">BE0738881266        </t>
  </si>
  <si>
    <t xml:space="preserve">RUE GROSSE BOULE 3                 </t>
  </si>
  <si>
    <t xml:space="preserve">VILLERS-LA-VILLE              </t>
  </si>
  <si>
    <t xml:space="preserve">ALLER-RETOUR: 181KM </t>
  </si>
  <si>
    <t xml:space="preserve">francois@fiscabrex.be                   </t>
  </si>
  <si>
    <t xml:space="preserve">CFP &amp; PARTNERS BV      </t>
  </si>
  <si>
    <t xml:space="preserve">ITTERBEEKSEBAAN, 191               </t>
  </si>
  <si>
    <t>ESPACE SCENE</t>
  </si>
  <si>
    <t>ESPACESCEN</t>
  </si>
  <si>
    <t>SERVICE - Installation cost - Rcarré -</t>
  </si>
  <si>
    <t>BFISC</t>
  </si>
  <si>
    <t>B-FISC SPRL</t>
  </si>
  <si>
    <t xml:space="preserve">FIDUCIAIRE EVRARD      </t>
  </si>
  <si>
    <t xml:space="preserve">BE0478368366        </t>
  </si>
  <si>
    <t xml:space="preserve">AVENUE PELTZER,78                  </t>
  </si>
  <si>
    <t xml:space="preserve">jean-marc@jm-evrard.eu                  </t>
  </si>
  <si>
    <t>DETROMARLI</t>
  </si>
  <si>
    <t>I...1</t>
  </si>
  <si>
    <t xml:space="preserve">mategro@mategro.com                     </t>
  </si>
  <si>
    <t xml:space="preserve">RUE JEAN-KOCH 9                    </t>
  </si>
  <si>
    <t xml:space="preserve">LAMBERMONT                    </t>
  </si>
  <si>
    <t xml:space="preserve">MAINTENANCE MECANIQUE  </t>
  </si>
  <si>
    <t xml:space="preserve">BE0472965466        </t>
  </si>
  <si>
    <t xml:space="preserve">ET SERVICES INDUSTRIELS SRL        </t>
  </si>
  <si>
    <t xml:space="preserve">RUE DU FRAITY, 53                  </t>
  </si>
  <si>
    <t xml:space="preserve">BERNISSART                    </t>
  </si>
  <si>
    <t xml:space="preserve">A/R 316             </t>
  </si>
  <si>
    <t xml:space="preserve">loanna.berti@mmsi.be                    </t>
  </si>
  <si>
    <t xml:space="preserve">DANATEL                </t>
  </si>
  <si>
    <t xml:space="preserve">BE0862443133        </t>
  </si>
  <si>
    <t xml:space="preserve">RUE FORET-VILLAGE 19B              </t>
  </si>
  <si>
    <t xml:space="preserve">louis-philippe.crahay@agral.be          </t>
  </si>
  <si>
    <t xml:space="preserve">GOMITEX SA             </t>
  </si>
  <si>
    <t xml:space="preserve">BE0407647745        </t>
  </si>
  <si>
    <t xml:space="preserve">HAUT DE TREME 1                    </t>
  </si>
  <si>
    <t xml:space="preserve">vincent.talmas@graf-companies.com       </t>
  </si>
  <si>
    <t>FERMEVM</t>
  </si>
  <si>
    <t>FERME VIEILLE MAISON</t>
  </si>
  <si>
    <t xml:space="preserve">PISTACHE ET CHOCOLAT </t>
  </si>
  <si>
    <t>PISTACHECH</t>
  </si>
  <si>
    <t>MSM BUSINESS CENTER</t>
  </si>
  <si>
    <t>MSMBUSINES</t>
  </si>
  <si>
    <t>AGILITB</t>
  </si>
  <si>
    <t>DBKMG</t>
  </si>
  <si>
    <t>BERTHOLET ANNE</t>
  </si>
  <si>
    <t>BERTHOLET</t>
  </si>
  <si>
    <t>CFP &amp; PARTNERS BV</t>
  </si>
  <si>
    <t xml:space="preserve">CAISHEN COMPTA SCOMM </t>
  </si>
  <si>
    <t>CAISHENCOM</t>
  </si>
  <si>
    <t>SIMOJ73WGT</t>
  </si>
  <si>
    <t>FISCMD7BDD</t>
  </si>
  <si>
    <t>CFPP93R73U</t>
  </si>
  <si>
    <t>DANATEL</t>
  </si>
  <si>
    <t xml:space="preserve">SIMON CLEMENT </t>
  </si>
  <si>
    <t>FISCABREX SRL</t>
  </si>
  <si>
    <t xml:space="preserve">PROACCESS SRL </t>
  </si>
  <si>
    <t>PROAF6AYDG</t>
  </si>
  <si>
    <t>DENOTTE CEDRIC</t>
  </si>
  <si>
    <t>DENOQVRKM0</t>
  </si>
  <si>
    <t>LLHOMME</t>
  </si>
  <si>
    <t>PRESTATIONS TECHNIQUES KEVIN GUILLAUME</t>
  </si>
  <si>
    <t>RESARM ENGINEERTING PLASTICS SA</t>
  </si>
  <si>
    <t>RESARM</t>
  </si>
  <si>
    <t>CABION1F9M</t>
  </si>
  <si>
    <t>CABINET MEDICAL DU DOCTEUR GAYETOT</t>
  </si>
  <si>
    <t>EUROPASSUR Sprl</t>
  </si>
  <si>
    <t>EUROPASSUR</t>
  </si>
  <si>
    <t>Prestations Techniques Lexi L'homme</t>
  </si>
  <si>
    <t>CAISHEN COMPTA SCOMM</t>
  </si>
  <si>
    <t>EUROMIS</t>
  </si>
  <si>
    <t>EUROMIS SRL</t>
  </si>
  <si>
    <t>PRESTATIONS TECHNIQUES GWENAEL DUHOUX</t>
  </si>
  <si>
    <t>GDUHOUX</t>
  </si>
  <si>
    <t>Prestation Technique Colyn CLOSTER</t>
  </si>
  <si>
    <t>HAMAL OLIVIER</t>
  </si>
  <si>
    <t>HAMARGBGJI</t>
  </si>
  <si>
    <t>FOODBW3HIL</t>
  </si>
  <si>
    <t xml:space="preserve">FOODBRO&amp;CIE SRL </t>
  </si>
  <si>
    <t>DAILY FOOD SRL</t>
  </si>
  <si>
    <t>DEKODAR SRL</t>
  </si>
  <si>
    <t>DAILQ6LPC8</t>
  </si>
  <si>
    <t>DEKOHCTJMD</t>
  </si>
  <si>
    <t>Assoc. des Médecins Groupe Santé CHC</t>
  </si>
  <si>
    <t>ASSO16VY51</t>
  </si>
  <si>
    <t>SIGEDIS ASBL</t>
  </si>
  <si>
    <t>ASBL0LMU7T</t>
  </si>
  <si>
    <t>J.D. CONSTRUCTION S.A.</t>
  </si>
  <si>
    <t>JDCO2J1DJ3</t>
  </si>
  <si>
    <t>PIRGHAYE JOELLE</t>
  </si>
  <si>
    <t>PIRGPRHDAE</t>
  </si>
  <si>
    <t>CLINIQUE DENTAIRE DE FLERON</t>
  </si>
  <si>
    <t>CABIU7U77N</t>
  </si>
  <si>
    <t>RELAIS DE LA HAUTE SAMBRE ASL</t>
  </si>
  <si>
    <t>RELA730K5K</t>
  </si>
  <si>
    <t>ALP00001</t>
  </si>
  <si>
    <t>RELAIS DE LA HAUTE SAMBRE ASBL</t>
  </si>
  <si>
    <t>RUE DE LA FONTAINE PEPIN 12</t>
  </si>
  <si>
    <t>LOBBES</t>
  </si>
  <si>
    <t>RUE PRECHAMPS 21</t>
  </si>
  <si>
    <t>JD CONSTRUCTION SA</t>
  </si>
  <si>
    <t>29A DUERSTROOSS</t>
  </si>
  <si>
    <t>TARCHAMPS</t>
  </si>
  <si>
    <t>ALPHA GESTION SCRL</t>
  </si>
  <si>
    <t>ELBA BENELUX SRL</t>
  </si>
  <si>
    <t>ORABYBI351</t>
  </si>
  <si>
    <t>TRANSPORTS WERY SRL</t>
  </si>
  <si>
    <t>TPSWERY</t>
  </si>
  <si>
    <t>BE0407736332</t>
  </si>
  <si>
    <t>LU25324540</t>
  </si>
  <si>
    <t>BE1035252591</t>
  </si>
  <si>
    <t>AVENUE EIFFEL 3</t>
  </si>
  <si>
    <t>RELAIS DE LA HAITE SAMBRE ASBL</t>
  </si>
  <si>
    <t>FOODBRO&amp;CIE SRL</t>
  </si>
  <si>
    <t>BE0754978417</t>
  </si>
  <si>
    <t>RUE HORS CHÂTEAU 33A</t>
  </si>
  <si>
    <t>BE0797159361</t>
  </si>
  <si>
    <t>BE0801702525</t>
  </si>
  <si>
    <t>RUE D'IZEGEM 11</t>
  </si>
  <si>
    <t>HOTTON</t>
  </si>
  <si>
    <t>Assoc des Médecins Groupe Santé CHC</t>
  </si>
  <si>
    <t>BD DE PATIENCE ET BEAUJONC 9</t>
  </si>
  <si>
    <t>BE0718719916</t>
  </si>
  <si>
    <t>RUE RIEU DU CŒUR 83</t>
  </si>
  <si>
    <t>QUAREGNON</t>
  </si>
  <si>
    <t>CHAUSSEE DE GAULLE 52</t>
  </si>
  <si>
    <t>EQUIP'SA</t>
  </si>
  <si>
    <t>EQUIA2FA5E</t>
  </si>
  <si>
    <t>BE04511418520</t>
  </si>
  <si>
    <t>RUE D'ABHOOZ 31</t>
  </si>
  <si>
    <t>SQUARREL</t>
  </si>
  <si>
    <t>LU36857728</t>
  </si>
  <si>
    <t>Loumillewee 11</t>
  </si>
  <si>
    <t>FEULEN-Luxembourg</t>
  </si>
  <si>
    <t>C3P INVEST</t>
  </si>
  <si>
    <t>C3PINVESTS</t>
  </si>
  <si>
    <t>C3P  INVEST SA</t>
  </si>
  <si>
    <t>LU22652116</t>
  </si>
  <si>
    <t>10 ZONE INDUSTRIELLE</t>
  </si>
  <si>
    <t>KEHLEN</t>
  </si>
  <si>
    <t>C3P INVESTS SA</t>
  </si>
  <si>
    <t>PLUGANDGO</t>
  </si>
  <si>
    <t>CABINET MEDICO-DENTAIRE</t>
  </si>
  <si>
    <t>CABI7UP875</t>
  </si>
  <si>
    <t>CABINET MEDICO-DENTAIRE SRL</t>
  </si>
  <si>
    <t>BE0772672801</t>
  </si>
  <si>
    <t>GRAND PLACE 57-59</t>
  </si>
  <si>
    <t xml:space="preserve">BELSIM INTERNATIONAL AG </t>
  </si>
  <si>
    <t xml:space="preserve">TOTEMPOSE HENNAUX SRL </t>
  </si>
  <si>
    <t xml:space="preserve">PAMSA SRL </t>
  </si>
  <si>
    <t xml:space="preserve">CARVAL BIOMASS SRL </t>
  </si>
  <si>
    <t xml:space="preserve">LECLERCQ HOLDING SRL </t>
  </si>
  <si>
    <t>BELSDFLRPH</t>
  </si>
  <si>
    <t>BE0477398663</t>
  </si>
  <si>
    <t>ALLEE JF KENNEDY (CHA) 16/3</t>
  </si>
  <si>
    <t>WALCOURT</t>
  </si>
  <si>
    <t>BE439643590</t>
  </si>
  <si>
    <t>RUE DE LA CLE 54</t>
  </si>
  <si>
    <t>CLINIQUE DENTAIRE DE LFERON SRL</t>
  </si>
  <si>
    <t>BE1036869226</t>
  </si>
  <si>
    <t>VIEILLE VOIE ROMAINE 4</t>
  </si>
  <si>
    <t>ROLOUX</t>
  </si>
  <si>
    <t>BE1037420542</t>
  </si>
  <si>
    <t>RUE DE L ILE MONSIN 129</t>
  </si>
  <si>
    <t>BE1002365732</t>
  </si>
  <si>
    <t>RUE DE LA CITE 101</t>
  </si>
  <si>
    <t>TOTEZ0DNV4</t>
  </si>
  <si>
    <t>BRICCWIWE5</t>
  </si>
  <si>
    <t>CARVK2MU9F</t>
  </si>
  <si>
    <t>LECLZTT81D</t>
  </si>
  <si>
    <t>MUFA</t>
  </si>
  <si>
    <t>PROFINCO</t>
  </si>
  <si>
    <t>BE0894278731</t>
  </si>
  <si>
    <t>RUE DE L'ABBAYE 4</t>
  </si>
  <si>
    <t>EUROMIS SPRL</t>
  </si>
  <si>
    <t>MAISON DE L'URBANISME</t>
  </si>
  <si>
    <t>PROFINCO SA</t>
  </si>
  <si>
    <t>CLINIQUE DENTAIRE DE FLERON SRL</t>
  </si>
  <si>
    <t>BUGESCOFIN</t>
  </si>
  <si>
    <t>BUGE2QJPX4</t>
  </si>
  <si>
    <t>MICE SA</t>
  </si>
  <si>
    <t>MICE49KHUQ</t>
  </si>
  <si>
    <t>COFITAX</t>
  </si>
  <si>
    <t>COFITAX SRL</t>
  </si>
  <si>
    <t>BE0475047107</t>
  </si>
  <si>
    <t>RUE AUGUSTE PICARD 12</t>
  </si>
  <si>
    <t>SQUABOIQTM</t>
  </si>
  <si>
    <t>SQUARREL SARL</t>
  </si>
  <si>
    <t>Farallon Capital Lux Sarl</t>
  </si>
  <si>
    <t>FARACXK41J</t>
  </si>
  <si>
    <t>FIDUSERVAIS SRL</t>
  </si>
  <si>
    <t xml:space="preserve">ECE REAL ESTATE PARTNER </t>
  </si>
  <si>
    <t>ECE</t>
  </si>
  <si>
    <t xml:space="preserve">ECE REAL ESTATE </t>
  </si>
  <si>
    <t>RUE EDMOND REUTER</t>
  </si>
  <si>
    <t>CONTERN</t>
  </si>
  <si>
    <t>LU24570767</t>
  </si>
  <si>
    <t>BOISX7UWAL</t>
  </si>
  <si>
    <t>DEMUNTER</t>
  </si>
  <si>
    <t>NOVA47ABYS</t>
  </si>
  <si>
    <t>NOVA Belgique Luxembourg SRL</t>
  </si>
  <si>
    <t>BE1040104274</t>
  </si>
  <si>
    <t>Rue des Guillemins 139</t>
  </si>
  <si>
    <t>CDCP CABINET DENTAIRE</t>
  </si>
  <si>
    <t>CDCP</t>
  </si>
  <si>
    <t>BE0433035912</t>
  </si>
  <si>
    <t>410000001 IBGRAF BUSINESS SOL.</t>
  </si>
  <si>
    <t>410000767 LEODIUM AVOCATS SASPJ</t>
  </si>
  <si>
    <t>IBHIVE</t>
  </si>
  <si>
    <t>704120050</t>
  </si>
  <si>
    <t>60420020</t>
  </si>
  <si>
    <t>410000098 UPIGNAC SA</t>
  </si>
  <si>
    <t>RCARRELUX</t>
  </si>
  <si>
    <t>SNC EXP’ERE COMPTA </t>
  </si>
  <si>
    <t>EXPE4M4J6X</t>
  </si>
  <si>
    <t>FIDUCIAIRE EMAXIS SRL</t>
  </si>
  <si>
    <t>EMAX</t>
  </si>
  <si>
    <t>ATARIS SA</t>
  </si>
  <si>
    <t>FIDU6K4LNK</t>
  </si>
  <si>
    <t>Fiduciaire de l'Ourthe srl</t>
  </si>
  <si>
    <t>FRANCOIS LECLERCQ SRL</t>
  </si>
  <si>
    <t xml:space="preserve">PEGASUS FINANCIAL SERV </t>
  </si>
  <si>
    <t>LECLERCF</t>
  </si>
  <si>
    <t>PEGASUSFS</t>
  </si>
  <si>
    <t>LARASERVAI</t>
  </si>
  <si>
    <t>METASYSTEM</t>
  </si>
  <si>
    <t>META SYSTEMS SRL</t>
  </si>
  <si>
    <t>VFPOAXPNWX</t>
  </si>
  <si>
    <t>VF POOL SRL</t>
  </si>
  <si>
    <t>YSAPFQGQUY</t>
  </si>
  <si>
    <t>YSAPSYN SRL</t>
  </si>
  <si>
    <t>ERIP</t>
  </si>
  <si>
    <t>Académie Régionale de Police de Bruxelles (ARPB-ERIP)</t>
  </si>
  <si>
    <t>LUX FIDU</t>
  </si>
  <si>
    <t>LUX FIDUCIARY Sàrl</t>
  </si>
  <si>
    <t>GLOBEZENIT LUXEMBOURG</t>
  </si>
  <si>
    <t>ARNAUD WIERTZ SRL</t>
  </si>
  <si>
    <t>MARCOURT RAPHAELLE</t>
  </si>
  <si>
    <t>HH</t>
  </si>
  <si>
    <t>AWIERTZ</t>
  </si>
  <si>
    <t>MARCCV11QY</t>
  </si>
  <si>
    <t>MYCLF9AVEM</t>
  </si>
  <si>
    <t>MY CLAVIS srl</t>
  </si>
  <si>
    <t>KIDSCLGLHX</t>
  </si>
  <si>
    <t>LU34706655</t>
  </si>
  <si>
    <t>133 Avenue du Dix Septembre</t>
  </si>
  <si>
    <t>Rue de Peppange 13</t>
  </si>
  <si>
    <t>LU30977959</t>
  </si>
  <si>
    <t>LIVANGE</t>
  </si>
  <si>
    <t>LU10517050</t>
  </si>
  <si>
    <t>2 Rue de Bascharage</t>
  </si>
  <si>
    <t>CLEMENCY</t>
  </si>
  <si>
    <t>Levée de Limbourg(BLN) 11/A</t>
  </si>
  <si>
    <t>BE0765853503</t>
  </si>
  <si>
    <t>BAELEN</t>
  </si>
  <si>
    <t>BE1004940685</t>
  </si>
  <si>
    <t>Avenue Blonden 54/51</t>
  </si>
  <si>
    <t>BE1040547047</t>
  </si>
  <si>
    <t>Rue Hors-Château 33/A</t>
  </si>
  <si>
    <t>KID'S LAND SARL</t>
  </si>
  <si>
    <t>LU30465306</t>
  </si>
  <si>
    <t>Rue du Clopp 10</t>
  </si>
  <si>
    <t>RODANGE</t>
  </si>
  <si>
    <t>GECOMAD</t>
  </si>
  <si>
    <t>GECOMAD SARL</t>
  </si>
  <si>
    <t>LU162176127</t>
  </si>
  <si>
    <t>Rue ddes Résidences 2A</t>
  </si>
  <si>
    <t>SENNINGERBERG</t>
  </si>
  <si>
    <t>BE0417301126</t>
  </si>
  <si>
    <t>Rue de l'Empereur</t>
  </si>
  <si>
    <t>Thimeon</t>
  </si>
  <si>
    <t>BE0875613852</t>
  </si>
  <si>
    <t/>
  </si>
  <si>
    <t>DELASEMOIS</t>
  </si>
  <si>
    <t>FESTIVAL DU THEATRE DE SPA</t>
  </si>
  <si>
    <t>FEST989E0B</t>
  </si>
  <si>
    <t>BE0599747040</t>
  </si>
  <si>
    <t>Rue du Marché 20</t>
  </si>
  <si>
    <t>JOANTI SA</t>
  </si>
  <si>
    <t>JOANTISA</t>
  </si>
  <si>
    <t>ANIMATIO</t>
  </si>
  <si>
    <t>ANIMATION PLATEAU ASBL</t>
  </si>
  <si>
    <t>BE0473272304</t>
  </si>
  <si>
    <t>Rue du Parc Dugard 6</t>
  </si>
  <si>
    <t>HEUSY</t>
  </si>
  <si>
    <t>HOCKQD45DZ</t>
  </si>
  <si>
    <t>HOCKEY BELGIUM COMPANY BV</t>
  </si>
  <si>
    <t>BE0759600763</t>
  </si>
  <si>
    <t>Rue du Roy de Blicquylaan 15/11</t>
  </si>
  <si>
    <t>ZAVENTEM</t>
  </si>
  <si>
    <t>ROYAGSRYL8</t>
  </si>
  <si>
    <t>Royal Belgian Hockey Association ASBL</t>
  </si>
  <si>
    <t>BE0407587169</t>
  </si>
  <si>
    <t>Esplanade 1/PO 78</t>
  </si>
  <si>
    <t>ACFNLVQ0HL</t>
  </si>
  <si>
    <t>BBMG  (ACFNEW)</t>
  </si>
  <si>
    <t>BBMG</t>
  </si>
  <si>
    <t>BE0544719534</t>
  </si>
  <si>
    <t>Rue de l'Hôtle Communal 67/2</t>
  </si>
  <si>
    <t>SAINT-NICOLAS</t>
  </si>
  <si>
    <t>IDEU6QKK04</t>
  </si>
  <si>
    <t>I3D EUROPE</t>
  </si>
  <si>
    <t>BE0829455908</t>
  </si>
  <si>
    <t>Avenue des Arts 56</t>
  </si>
  <si>
    <t>410000809 SYNACO SA</t>
  </si>
  <si>
    <t>410000943 KLEVER SRL</t>
  </si>
  <si>
    <t>410001105 IBD SOLUTIONS SRL</t>
  </si>
  <si>
    <t>CUSTOMS COUTREZ BY BERBEN SRL</t>
  </si>
  <si>
    <t>COUTREZSPR</t>
  </si>
  <si>
    <t>DLPARTS</t>
  </si>
  <si>
    <t>DL PARTS SPRL</t>
  </si>
  <si>
    <t>DL PARTS SRL</t>
  </si>
  <si>
    <t>BE0550858644</t>
  </si>
  <si>
    <t>ZI NORS BAIL 27</t>
  </si>
  <si>
    <t>SOMME-LEUZE</t>
  </si>
  <si>
    <t>ARCO GROUP SRL</t>
  </si>
  <si>
    <t>BE0763525701</t>
  </si>
  <si>
    <t>Rue des Métiers 10</t>
  </si>
  <si>
    <t>ARCOGROYP</t>
  </si>
  <si>
    <t>BE0729534723</t>
  </si>
  <si>
    <t>Rue du Xhygnez 18/c</t>
  </si>
  <si>
    <t>JAMAD4KBP4</t>
  </si>
  <si>
    <t>JAMART MANAGEMENT SRL</t>
  </si>
  <si>
    <t>BE0804141381</t>
  </si>
  <si>
    <t>Rue du Bois 8</t>
  </si>
  <si>
    <t>LACI2DU8U7</t>
  </si>
  <si>
    <t>LA CITE DES COUTELIERS</t>
  </si>
  <si>
    <t>BE0402550691</t>
  </si>
  <si>
    <t>Rue Albert 18</t>
  </si>
  <si>
    <t>PIERREM</t>
  </si>
  <si>
    <t>PIERRE MICHEL TRAITEUR</t>
  </si>
  <si>
    <t>BE0809730561</t>
  </si>
  <si>
    <t>Sous le Château 39</t>
  </si>
  <si>
    <t>ANDRIMONT</t>
  </si>
  <si>
    <t>DT STRATEGY</t>
  </si>
  <si>
    <t>DTSTRATEGY</t>
  </si>
  <si>
    <t>BE0804693687</t>
  </si>
  <si>
    <t>Avenue Pail Hymans  83/a01</t>
  </si>
  <si>
    <t>HALC20FFA8</t>
  </si>
  <si>
    <t>JEAN-LUC HALCONRUY &amp; CO SRL</t>
  </si>
  <si>
    <t>ATARN8T3IO</t>
  </si>
  <si>
    <t>ATARI SA</t>
  </si>
  <si>
    <t>LU37702420</t>
  </si>
  <si>
    <t>Avenue de la Gare 8</t>
  </si>
  <si>
    <t>410000029 CB FISC</t>
  </si>
  <si>
    <t>410000036 ETS COUTREZ ET CIE SA</t>
  </si>
  <si>
    <t>410000378 HMC BELGIUM SPRL</t>
  </si>
  <si>
    <t>410000589 HERVE VANDEN HAUTE</t>
  </si>
  <si>
    <t>410000637 MEBF MECA SA</t>
  </si>
  <si>
    <t>410000671 CL. DENT. CDPY</t>
  </si>
  <si>
    <t>410000677 TRANS. VGH</t>
  </si>
  <si>
    <t>410000684 PRINCE CARAVANING</t>
  </si>
  <si>
    <t>410000882 HOFMAN SA</t>
  </si>
  <si>
    <t>410001043 LIBRA MANAGEMENT</t>
  </si>
  <si>
    <t>410001071 ATELIERS SOMVILLE SA</t>
  </si>
  <si>
    <t>CECHV7FW20</t>
  </si>
  <si>
    <t>CECHO ACCOUNTING SRL</t>
  </si>
  <si>
    <t>BE0883319315</t>
  </si>
  <si>
    <t>Rue Kasterlinden 128</t>
  </si>
  <si>
    <t>BERCHEM</t>
  </si>
  <si>
    <t>410000797 JPS FINANCIAL SRL</t>
  </si>
  <si>
    <t>C12.260077</t>
  </si>
  <si>
    <t>12260077</t>
  </si>
  <si>
    <t>IT-LLH</t>
  </si>
  <si>
    <t>Prestations Techniques Lexi L'Homme</t>
  </si>
  <si>
    <t>000007 Support</t>
  </si>
  <si>
    <t>+++003/8260/07776+++</t>
  </si>
  <si>
    <t>60300000</t>
  </si>
  <si>
    <t>410000956 IV ZINC SRL</t>
  </si>
  <si>
    <t>C12.260078</t>
  </si>
  <si>
    <t>12260078</t>
  </si>
  <si>
    <t>+++003/8260/07877+++</t>
  </si>
  <si>
    <t>F11.261511</t>
  </si>
  <si>
    <t>11261511</t>
  </si>
  <si>
    <t>IT-BME</t>
  </si>
  <si>
    <t>+++003/7261/51128+++</t>
  </si>
  <si>
    <t xml:space="preserve">705002000 </t>
  </si>
  <si>
    <t>IT-GDU</t>
  </si>
  <si>
    <t>F11.261512</t>
  </si>
  <si>
    <t>11261512</t>
  </si>
  <si>
    <t>+++003/7261/51229+++</t>
  </si>
  <si>
    <t>F11.261513</t>
  </si>
  <si>
    <t>11261513</t>
  </si>
  <si>
    <t>+++003/7261/51330+++</t>
  </si>
  <si>
    <t>410000043 DELHEZ COMBUSTIBLES</t>
  </si>
  <si>
    <t>F11.261514</t>
  </si>
  <si>
    <t>11261514</t>
  </si>
  <si>
    <t>IT-MFO</t>
  </si>
  <si>
    <t>+++003/7261/51431+++</t>
  </si>
  <si>
    <t>FDF KM</t>
  </si>
  <si>
    <t>000005 Travelling Expenses</t>
  </si>
  <si>
    <t>705001002</t>
  </si>
  <si>
    <t>410000053 EUROBOIS SA</t>
  </si>
  <si>
    <t>F11.261515</t>
  </si>
  <si>
    <t>11261515</t>
  </si>
  <si>
    <t>+++003/7261/51532+++</t>
  </si>
  <si>
    <t>F11.261516</t>
  </si>
  <si>
    <t>11261516</t>
  </si>
  <si>
    <t>T000565</t>
  </si>
  <si>
    <t>ABONNEMENT-Domain Name-Rcarré / Rcube</t>
  </si>
  <si>
    <t>+++003/7261/51633+++</t>
  </si>
  <si>
    <t>410000247 COFIDENA SPRL</t>
  </si>
  <si>
    <t>F11.261517</t>
  </si>
  <si>
    <t>11261517</t>
  </si>
  <si>
    <t>+++003/7261/51734+++</t>
  </si>
  <si>
    <t>F11.261518</t>
  </si>
  <si>
    <t>11261518</t>
  </si>
  <si>
    <t>+++003/7261/51835+++</t>
  </si>
  <si>
    <t>410000478 DIGITAL LIFE</t>
  </si>
  <si>
    <t>F11.261519</t>
  </si>
  <si>
    <t>11261519</t>
  </si>
  <si>
    <t>+++003/7261/51936+++</t>
  </si>
  <si>
    <t>IT-FSI</t>
  </si>
  <si>
    <t>F11.261520</t>
  </si>
  <si>
    <t>11261520</t>
  </si>
  <si>
    <t>+++003/7261/52037+++</t>
  </si>
  <si>
    <t>F11.261521</t>
  </si>
  <si>
    <t>11261521</t>
  </si>
  <si>
    <t>+++003/7261/52138+++</t>
  </si>
  <si>
    <t>F11.261522</t>
  </si>
  <si>
    <t>11261522</t>
  </si>
  <si>
    <t>T032309</t>
  </si>
  <si>
    <t>COMPUTER-Desktop-Dell-Pro Micro QCM1250</t>
  </si>
  <si>
    <t>02 COMPUTERS</t>
  </si>
  <si>
    <t>000002 Desktop</t>
  </si>
  <si>
    <t>+++003/7261/52239+++</t>
  </si>
  <si>
    <t>704100000</t>
  </si>
  <si>
    <t>60400000</t>
  </si>
  <si>
    <t>T032222</t>
  </si>
  <si>
    <t>COMPUTER-Warranty extension-DELL-Dell</t>
  </si>
  <si>
    <t>000011 Warranty Extension</t>
  </si>
  <si>
    <t>T001110</t>
  </si>
  <si>
    <t>TAXE - Recupel</t>
  </si>
  <si>
    <t>81 TAXES BELGES</t>
  </si>
  <si>
    <t>000001 TAXES BELGES</t>
  </si>
  <si>
    <t>704100001</t>
  </si>
  <si>
    <t>T036033</t>
  </si>
  <si>
    <t>COMPUTER-Monitor-IIYAMA-ProLite XB2497HSU</t>
  </si>
  <si>
    <t>000003 Monitor</t>
  </si>
  <si>
    <t>T000546</t>
  </si>
  <si>
    <t>COMPUTER-Accessory-Dell-Multimedia</t>
  </si>
  <si>
    <t>000010 Accessory</t>
  </si>
  <si>
    <t>T000206</t>
  </si>
  <si>
    <t>COMPUTER - Accessory - Dell - Mouse MS116</t>
  </si>
  <si>
    <t>T032145</t>
  </si>
  <si>
    <t>COMPUTER-Component-Kingston-DDR4 module 16</t>
  </si>
  <si>
    <t>000004 Component</t>
  </si>
  <si>
    <t>F11.261523</t>
  </si>
  <si>
    <t>11261523</t>
  </si>
  <si>
    <t>+++003/7261/52340+++</t>
  </si>
  <si>
    <t>F11.261524</t>
  </si>
  <si>
    <t>11261524</t>
  </si>
  <si>
    <t>+++003/7261/52441+++</t>
  </si>
  <si>
    <t>F11.261525</t>
  </si>
  <si>
    <t>11261525</t>
  </si>
  <si>
    <t>+++003/7261/52542+++</t>
  </si>
  <si>
    <t>F11.261526</t>
  </si>
  <si>
    <t>11261526</t>
  </si>
  <si>
    <t>+++003/7261/52643+++</t>
  </si>
  <si>
    <t>F11.261527</t>
  </si>
  <si>
    <t>11261527</t>
  </si>
  <si>
    <t>+++003/7261/52744+++</t>
  </si>
  <si>
    <t>410000870 DRYTEC SA</t>
  </si>
  <si>
    <t>F11.261528</t>
  </si>
  <si>
    <t>11261528</t>
  </si>
  <si>
    <t>+++003/7261/52845+++</t>
  </si>
  <si>
    <t>F11.261529</t>
  </si>
  <si>
    <t>11261529</t>
  </si>
  <si>
    <t>+++003/7261/52946+++</t>
  </si>
  <si>
    <t>410000883 HOUBEN</t>
  </si>
  <si>
    <t>F11.261530</t>
  </si>
  <si>
    <t>11261530</t>
  </si>
  <si>
    <t>+++003/7261/53047+++</t>
  </si>
  <si>
    <t>410000900 MARECHAL ET MERCKX SPRL</t>
  </si>
  <si>
    <t>F11.261531</t>
  </si>
  <si>
    <t>11261531</t>
  </si>
  <si>
    <t>+++003/7261/53148+++</t>
  </si>
  <si>
    <t>F11.261532</t>
  </si>
  <si>
    <t>11261532</t>
  </si>
  <si>
    <t>+++003/7261/53249+++</t>
  </si>
  <si>
    <t>410000949 DECUBE CONSULT SRL</t>
  </si>
  <si>
    <t>F11.261533</t>
  </si>
  <si>
    <t>11261533</t>
  </si>
  <si>
    <t>+++003/7261/53350+++</t>
  </si>
  <si>
    <t>410000950 BELGIUM COATINGS SA</t>
  </si>
  <si>
    <t>F11.261534</t>
  </si>
  <si>
    <t>11261534</t>
  </si>
  <si>
    <t>T029142</t>
  </si>
  <si>
    <t>NETWORKING - Warranty extension - Fortinet</t>
  </si>
  <si>
    <t>04 NETWORKING</t>
  </si>
  <si>
    <t>000013 Warranty Extension</t>
  </si>
  <si>
    <t>+++003/7261/53451+++</t>
  </si>
  <si>
    <t>T033779</t>
  </si>
  <si>
    <t>NETWORKING-Firewall-Fortinet-Fortinet</t>
  </si>
  <si>
    <t>000004 Firewall</t>
  </si>
  <si>
    <t>F11.261535</t>
  </si>
  <si>
    <t>11261535</t>
  </si>
  <si>
    <t>+++003/7261/53552+++</t>
  </si>
  <si>
    <t>F11.261536</t>
  </si>
  <si>
    <t>11261536</t>
  </si>
  <si>
    <t>+++003/7261/53653+++</t>
  </si>
  <si>
    <t>F11.261537</t>
  </si>
  <si>
    <t>11261537</t>
  </si>
  <si>
    <t>+++003/7261/53754+++</t>
  </si>
  <si>
    <t>410001273 MARCOURT RAPHAELLE</t>
  </si>
  <si>
    <t>F11.261538</t>
  </si>
  <si>
    <t>11261538</t>
  </si>
  <si>
    <t>+++003/7261/53855+++</t>
  </si>
  <si>
    <t>705099999</t>
  </si>
  <si>
    <t>APAJ</t>
  </si>
  <si>
    <t>ASSOC. PEDAGOGIQUE D'ACCUEIL AUX JEUNES</t>
  </si>
  <si>
    <t>BE0416315585</t>
  </si>
  <si>
    <t>Chaussée de Haecht 146</t>
  </si>
  <si>
    <t>SCHAERBEEK</t>
  </si>
  <si>
    <t>ASBL</t>
  </si>
  <si>
    <t>Email</t>
  </si>
  <si>
    <t>test@hotmail.com</t>
  </si>
  <si>
    <t>test1@hotmail.com</t>
  </si>
  <si>
    <t>CF11261601.PDF</t>
  </si>
  <si>
    <t>JPSFITEST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</si>
</sst>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dd\-mm\-yyyy"/>
    <numFmt numFmtId="165" formatCode="#,##0.00\ \€;[Red]\-#,##0.00\ \€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8" fillId="0" borderId="0"/>
    <xf numFmtId="44" fontId="3" fillId="0" borderId="0" applyFont="0" applyFill="0" applyBorder="0" applyAlignment="0" applyProtection="0"/>
    <xf numFmtId="0" fontId="12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/>
    </xf>
    <xf numFmtId="3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4" fillId="2" borderId="0" xfId="1" applyFont="1" applyFill="1" applyAlignment="1">
      <alignment horizontal="left"/>
    </xf>
    <xf numFmtId="49" fontId="0" fillId="5" borderId="0" xfId="0" applyNumberFormat="1" applyFill="1"/>
    <xf numFmtId="14" fontId="4" fillId="2" borderId="0" xfId="1" applyNumberFormat="1" applyFont="1" applyFill="1" applyAlignment="1">
      <alignment horizontal="left"/>
    </xf>
    <xf numFmtId="0" fontId="4" fillId="3" borderId="0" xfId="1" applyFont="1" applyFill="1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  <xf numFmtId="0" fontId="6" fillId="0" borderId="0" xfId="0" applyFont="1" applyAlignment="1">
      <alignment horizontal="center"/>
    </xf>
    <xf numFmtId="2" fontId="4" fillId="5" borderId="0" xfId="1" applyNumberFormat="1" applyFont="1" applyFill="1" applyAlignment="1">
      <alignment horizontal="left"/>
    </xf>
    <xf numFmtId="2" fontId="0" fillId="0" borderId="0" xfId="2" applyNumberFormat="1" applyFont="1" applyFill="1"/>
    <xf numFmtId="2" fontId="4" fillId="2" borderId="0" xfId="1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1" fillId="7" borderId="0" xfId="0" applyFont="1" applyFill="1"/>
    <xf numFmtId="0" fontId="0" fillId="8" borderId="0" xfId="0" applyFill="1"/>
    <xf numFmtId="0" fontId="0" fillId="6" borderId="0" xfId="0" applyFill="1"/>
    <xf numFmtId="49" fontId="1" fillId="6" borderId="0" xfId="0" applyNumberFormat="1" applyFont="1" applyFill="1"/>
    <xf numFmtId="49" fontId="8" fillId="0" borderId="0" xfId="3" applyNumberFormat="1"/>
    <xf numFmtId="0" fontId="5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49" fontId="2" fillId="0" borderId="0" xfId="3" applyNumberFormat="1" applyFont="1"/>
    <xf numFmtId="49" fontId="9" fillId="0" borderId="0" xfId="1" applyNumberFormat="1" applyFont="1"/>
    <xf numFmtId="49" fontId="2" fillId="0" borderId="0" xfId="1" applyNumberFormat="1"/>
    <xf numFmtId="0" fontId="1" fillId="9" borderId="0" xfId="0" applyFont="1" applyFill="1"/>
    <xf numFmtId="0" fontId="1" fillId="4" borderId="0" xfId="0" applyFont="1" applyFill="1"/>
    <xf numFmtId="0" fontId="1" fillId="3" borderId="0" xfId="0" applyFont="1" applyFill="1"/>
    <xf numFmtId="0" fontId="10" fillId="0" borderId="0" xfId="0" applyFont="1"/>
    <xf numFmtId="0" fontId="11" fillId="0" borderId="0" xfId="0" applyFont="1" applyAlignment="1">
      <alignment vertical="center"/>
    </xf>
    <xf numFmtId="0" fontId="4" fillId="10" borderId="0" xfId="1" applyFont="1" applyFill="1" applyAlignment="1">
      <alignment horizontal="left"/>
    </xf>
    <xf numFmtId="44" fontId="0" fillId="0" borderId="0" xfId="4" applyFont="1"/>
    <xf numFmtId="44" fontId="0" fillId="0" borderId="0" xfId="0" applyNumberFormat="1"/>
    <xf numFmtId="49" fontId="1" fillId="4" borderId="0" xfId="0" applyNumberFormat="1" applyFont="1" applyFill="1"/>
    <xf numFmtId="164" fontId="1" fillId="4" borderId="0" xfId="0" applyNumberFormat="1" applyFont="1" applyFill="1"/>
    <xf numFmtId="165" fontId="1" fillId="4" borderId="0" xfId="0" applyNumberFormat="1" applyFont="1" applyFill="1"/>
    <xf numFmtId="0" fontId="1" fillId="2" borderId="0" xfId="0" applyFont="1" applyFill="1"/>
    <xf numFmtId="0" fontId="0" fillId="5" borderId="0" xfId="0" applyFill="1"/>
    <xf numFmtId="4" fontId="0" fillId="0" borderId="0" xfId="0" applyNumberForma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6" applyAlignment="1">
      <alignment horizontal="right"/>
    </xf>
    <xf numFmtId="0" fontId="1" fillId="9" borderId="0" xfId="0" applyFont="1" applyFill="1" applyAlignment="1">
      <alignment horizontal="center"/>
    </xf>
  </cellXfs>
  <cellStyles count="7">
    <cellStyle name="Lien hypertexte" xfId="6" builtinId="8"/>
    <cellStyle name="Milliers" xfId="2" builtinId="3"/>
    <cellStyle name="Monétaire" xfId="4" builtinId="4"/>
    <cellStyle name="Normal" xfId="0" builtinId="0"/>
    <cellStyle name="Normal 2" xfId="1" xr:uid="{00000000-0005-0000-0000-000003000000}"/>
    <cellStyle name="Normal 3" xfId="3" xr:uid="{9F56B751-F6F3-4FB1-AEB8-C072A97BAAB3}"/>
    <cellStyle name="Normal 4" xfId="5" xr:uid="{B55BC4C3-F2E9-4BFA-82A8-59A78BFBA986}"/>
  </cellStyles>
  <dxfs count="6"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9</xdr:row>
      <xdr:rowOff>123825</xdr:rowOff>
    </xdr:from>
    <xdr:to>
      <xdr:col>0</xdr:col>
      <xdr:colOff>6839897</xdr:colOff>
      <xdr:row>16</xdr:row>
      <xdr:rowOff>47800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593D07A-9A25-1CD3-3BE6-442CF141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028825"/>
          <a:ext cx="6782747" cy="1257475"/>
        </a:xfrm>
        <a:prstGeom prst="rect">
          <a:avLst/>
        </a:prstGeom>
      </xdr:spPr>
    </xdr:pic>
    <xdr:clientData/>
  </xdr:twoCellAnchor>
  <xdr:twoCellAnchor editAs="oneCell">
    <xdr:from>
      <xdr:col>0</xdr:col>
      <xdr:colOff>4210050</xdr:colOff>
      <xdr:row>8</xdr:row>
      <xdr:rowOff>28575</xdr:rowOff>
    </xdr:from>
    <xdr:to>
      <xdr:col>0</xdr:col>
      <xdr:colOff>5372262</xdr:colOff>
      <xdr:row>9</xdr:row>
      <xdr:rowOff>9549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A7B3937-2E4D-F5C1-2A0B-42ED0330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1743075"/>
          <a:ext cx="1162212" cy="1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1@hotmail.com" TargetMode="External"/><Relationship Id="rId1" Type="http://schemas.openxmlformats.org/officeDocument/2006/relationships/hyperlink" Target="mailto:test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C51"/>
  <sheetViews>
    <sheetView tabSelected="1" workbookViewId="0">
      <pane ySplit="1" topLeftCell="A2" activePane="bottomLeft" state="frozen"/>
      <selection pane="bottomLeft" activeCell="H6" sqref="H6"/>
    </sheetView>
  </sheetViews>
  <sheetFormatPr baseColWidth="10" defaultColWidth="8.85546875" defaultRowHeight="15" customHeight="1" x14ac:dyDescent="0.25"/>
  <cols>
    <col min="1" max="1" width="9.5703125" bestFit="1" customWidth="1"/>
    <col min="2" max="2" width="9" bestFit="1" customWidth="1"/>
    <col min="3" max="3" width="7.5703125" bestFit="1" customWidth="1"/>
    <col min="4" max="4" width="14" style="1" bestFit="1" customWidth="1"/>
    <col min="5" max="5" width="11.42578125" style="1" bestFit="1" customWidth="1"/>
    <col min="6" max="6" width="11.85546875" customWidth="1"/>
    <col min="7" max="7" width="13.42578125" bestFit="1" customWidth="1"/>
    <col min="8" max="8" width="10.140625" bestFit="1" customWidth="1"/>
    <col min="9" max="10" width="20.85546875" bestFit="1" customWidth="1"/>
    <col min="11" max="11" width="12.140625" style="14" bestFit="1" customWidth="1"/>
    <col min="12" max="12" width="9.5703125" bestFit="1" customWidth="1"/>
    <col min="13" max="13" width="7.28515625" style="14" bestFit="1" customWidth="1"/>
    <col min="14" max="14" width="12.28515625" style="14" bestFit="1" customWidth="1"/>
    <col min="15" max="15" width="11" style="14" customWidth="1"/>
    <col min="16" max="16" width="9.140625" bestFit="1" customWidth="1"/>
    <col min="17" max="17" width="8.140625" bestFit="1" customWidth="1"/>
    <col min="18" max="18" width="44.5703125" bestFit="1" customWidth="1"/>
    <col min="19" max="19" width="33.85546875" bestFit="1" customWidth="1"/>
    <col min="20" max="20" width="13.7109375" bestFit="1" customWidth="1"/>
    <col min="21" max="21" width="31.7109375" bestFit="1" customWidth="1"/>
    <col min="22" max="22" width="16.85546875" bestFit="1" customWidth="1"/>
    <col min="23" max="23" width="10.28515625" customWidth="1"/>
    <col min="24" max="24" width="46.140625" customWidth="1"/>
    <col min="25" max="25" width="15.140625" bestFit="1" customWidth="1"/>
    <col min="26" max="26" width="20.42578125" customWidth="1"/>
    <col min="27" max="27" width="14.28515625" bestFit="1" customWidth="1"/>
    <col min="28" max="28" width="13.85546875" bestFit="1" customWidth="1"/>
    <col min="29" max="29" width="13.42578125" bestFit="1" customWidth="1"/>
  </cols>
  <sheetData>
    <row r="1" spans="1:29" s="2" customFormat="1" ht="14.25" customHeight="1" x14ac:dyDescent="0.25">
      <c r="A1" s="8" t="s">
        <v>0</v>
      </c>
      <c r="B1" s="8" t="s">
        <v>1</v>
      </c>
      <c r="C1" s="8" t="s">
        <v>2</v>
      </c>
      <c r="D1" s="10" t="s">
        <v>3</v>
      </c>
      <c r="E1" s="10" t="s">
        <v>4</v>
      </c>
      <c r="F1" s="8" t="s">
        <v>5</v>
      </c>
      <c r="G1" s="37" t="s">
        <v>452</v>
      </c>
      <c r="H1" s="8" t="s">
        <v>6</v>
      </c>
      <c r="I1" s="8" t="s">
        <v>7</v>
      </c>
      <c r="J1" s="8" t="s">
        <v>8</v>
      </c>
      <c r="K1" s="16" t="s">
        <v>9</v>
      </c>
      <c r="L1" s="8" t="s">
        <v>10</v>
      </c>
      <c r="M1" s="18" t="s">
        <v>11</v>
      </c>
      <c r="N1" s="18" t="s">
        <v>12</v>
      </c>
      <c r="O1" s="18" t="s">
        <v>13</v>
      </c>
      <c r="P1" s="8" t="s">
        <v>14</v>
      </c>
      <c r="Q1" s="8" t="s">
        <v>152</v>
      </c>
      <c r="R1" s="11" t="s">
        <v>15</v>
      </c>
      <c r="S1" s="11" t="s">
        <v>157</v>
      </c>
      <c r="T1" s="11" t="s">
        <v>153</v>
      </c>
      <c r="U1" s="11" t="s">
        <v>154</v>
      </c>
      <c r="V1" s="8" t="s">
        <v>16</v>
      </c>
      <c r="W1" s="11" t="s">
        <v>17</v>
      </c>
      <c r="X1" s="11" t="s">
        <v>8194</v>
      </c>
      <c r="Y1" s="8" t="s">
        <v>156</v>
      </c>
      <c r="Z1" s="37" t="s">
        <v>18</v>
      </c>
      <c r="AA1" s="37" t="s">
        <v>19</v>
      </c>
      <c r="AB1" s="37" t="s">
        <v>20</v>
      </c>
      <c r="AC1" s="37" t="s">
        <v>21</v>
      </c>
    </row>
    <row r="2" spans="1:29" ht="18.75" customHeight="1" x14ac:dyDescent="0.25">
      <c r="A2" t="str">
        <f>IF('1) Import fichier Remi (coller)'!D2="","",'1) Import fichier Remi (coller)'!D2)</f>
        <v>NCV</v>
      </c>
      <c r="B2">
        <f>IF(A2="","",YEAR('1) Import fichier Remi (coller)'!F2))</f>
        <v>2026</v>
      </c>
      <c r="C2">
        <f>IF(A2="","",MONTH('1) Import fichier Remi (coller)'!F2))</f>
        <v>9</v>
      </c>
      <c r="D2" s="1">
        <f>IF(A2="","",'1) Import fichier Remi (coller)'!F2)</f>
        <v>46281</v>
      </c>
      <c r="E2" s="1">
        <f>IF(A2="","",'1) Import fichier Remi (coller)'!G2)</f>
        <v>46281</v>
      </c>
      <c r="F2" t="str">
        <f>IF(A2="","",'1) Import fichier Remi (coller)'!E2)</f>
        <v>12260077</v>
      </c>
      <c r="G2" t="s">
        <v>8198</v>
      </c>
      <c r="H2" t="str">
        <f>IF(A2="","",IF(ISERROR(VLOOKUP('1) Import fichier Remi (coller)'!K2&amp;" - "&amp;'1) Import fichier Remi (coller)'!L2,'Spécifique comptes'!$A:$G,1,FALSE))=TRUE,'1) Import fichier Remi (coller)'!V2,VLOOKUP('1) Import fichier Remi (coller)'!K2&amp;" - "&amp;'1) Import fichier Remi (coller)'!L2,'Spécifique comptes'!$A:$G,IF(LEFT('2) BOB compta (completer-forcer'!F2,2)="11",4,IF(LEFT('2) BOB compta (completer-forcer'!F2,2)="12",5,IF(LEFT('2) BOB compta (completer-forcer'!F2,2)="13",6,IF(LEFT('2) BOB compta (completer-forcer'!F2,2)="15",7,"Erreur Compte")))),FALSE)))</f>
        <v>705099999</v>
      </c>
      <c r="I2" s="26" t="str">
        <f>IF(A2="","",IF(H2="70100000",'1) Import fichier Remi (coller)'!J2,'1) Import fichier Remi (coller)'!U2))</f>
        <v>+++003/8260/07776+++</v>
      </c>
      <c r="J2" s="26" t="str">
        <f>IF(A2="","",'1) Import fichier Remi (coller)'!U2)</f>
        <v>+++003/8260/07776+++</v>
      </c>
      <c r="K2" s="17">
        <f>IF(A2="","",SUMIFS(N:N,A:A,A2,F:F,F2)+SUMIFS(O:O,A:A,A2,F:F,F2))</f>
        <v>28.740000000000002</v>
      </c>
      <c r="L2" t="str">
        <f t="shared" ref="L2" si="0">IF(A2="","",IF(LEFT(T2,1)="B","V","PRT"))</f>
        <v>V</v>
      </c>
      <c r="M2" s="14">
        <f>IF(A2="","",'1) Import fichier Remi (coller)'!S2)</f>
        <v>21</v>
      </c>
      <c r="N2" s="17">
        <f>IF($A2="","",IF(OR($A2="NCV",$A2="NC15"),-'1) Import fichier Remi (coller)'!R2,'1) Import fichier Remi (coller)'!R2))</f>
        <v>23.75</v>
      </c>
      <c r="O2" s="17">
        <f>IF($A2="","",IF(OR($A2="NCV",$A2="NC15"),-'1) Import fichier Remi (coller)'!T2,'1) Import fichier Remi (coller)'!T2))</f>
        <v>4.99</v>
      </c>
      <c r="R2" t="str">
        <f>IF($A2="","",IF(ISERROR(VLOOKUP(LEFT('1) Import fichier Remi (coller)'!$A2,9),'Concordance client liv et fact'!$A:$H,8,FALSE))=TRUE,VLOOKUP(LEFT('1) Import fichier Remi (coller)'!$A2,9)+0,'Clients R2'!$A:$CY,2,FALSE),VLOOKUP(VLOOKUP(LEFT('1) Import fichier Remi (coller)'!$A2,9),'Concordance client liv et fact'!$A:$H,7,FALSE)+0,'Clients R2'!$A:$CY,2,FALSE)))</f>
        <v xml:space="preserve">JPS FINANCIAL SRL      </v>
      </c>
      <c r="S2" t="str">
        <f>IF($A2="","",PROPER(IF(ISERROR(VLOOKUP(LEFT('1) Import fichier Remi (coller)'!$A2,9),'Concordance client liv et fact'!$A:$H,8,FALSE))=TRUE,VLOOKUP(LEFT('1) Import fichier Remi (coller)'!$A2,9)+0,'Clients R2'!$A:$CY,27,FALSE),VLOOKUP(VLOOKUP(LEFT('1) Import fichier Remi (coller)'!$A2,9),'Concordance client liv et fact'!$A:$H,7,FALSE)+0,'Clients R2'!$A:$CY,27,FALSE))))</f>
        <v xml:space="preserve">Rue De Mont 213                    </v>
      </c>
      <c r="T2" t="str">
        <f>IF($A2="","",LEFT(UPPER(IF(ISERROR(VLOOKUP(LEFT('1) Import fichier Remi (coller)'!$A2,9),'Concordance client liv et fact'!$A:$H,8,FALSE))=TRUE,VLOOKUP(LEFT('1) Import fichier Remi (coller)'!$A2,9)+0,'Clients R2'!$A:$CY,28,FALSE),VLOOKUP(VLOOKUP(LEFT('1) Import fichier Remi (coller)'!$A2,9),'Concordance client liv et fact'!$A:$H,7,FALSE)+0,'Clients R2'!$A:$CY,28,FALSE))),2)&amp;UPPER(IF(ISERROR(VLOOKUP(LEFT('1) Import fichier Remi (coller)'!$A2,9),'Concordance client liv et fact'!$A:$H,8,FALSE))=TRUE,VLOOKUP(LEFT('1) Import fichier Remi (coller)'!$A2,9)+0,'Clients R2'!$A:$CY,29,FALSE),VLOOKUP(VLOOKUP(LEFT('1) Import fichier Remi (coller)'!$A2,9),'Concordance client liv et fact'!$A:$H,7,FALSE)+0,'Clients R2'!$A:$CY,29,FALSE))))</f>
        <v>B 4820</v>
      </c>
      <c r="U2" t="str">
        <f>IF($A2="","",PROPER(IF(ISERROR(VLOOKUP(LEFT('1) Import fichier Remi (coller)'!$A2,9),'Concordance client liv et fact'!$A:$H,8,FALSE))=TRUE,VLOOKUP(LEFT('1) Import fichier Remi (coller)'!$A2,9)+0,'Clients R2'!$A:$CY,30,FALSE),VLOOKUP(VLOOKUP(LEFT('1) Import fichier Remi (coller)'!$A2,9),'Concordance client liv et fact'!$A:$H,7,FALSE)+0,'Clients R2'!$A:$CY,30,FALSE))))</f>
        <v xml:space="preserve">Dison                         </v>
      </c>
      <c r="V2" t="str">
        <f>IF($A2="","",LEFT(UPPER(IF(ISERROR(VLOOKUP(LEFT('1) Import fichier Remi (coller)'!$A2,9),'Concordance client liv et fact'!$A:$H,8,FALSE))=TRUE,IF(VLOOKUP(LEFT('1) Import fichier Remi (coller)'!$A2,9)+0,'Clients R2'!$A:$CY,22,FALSE)=4,"NA",VLOOKUP(LEFT('1) Import fichier Remi (coller)'!$A2,9)+0,'Clients R2'!$A:$CY,3,FALSE)),IF(VLOOKUP(VLOOKUP(LEFT('1) Import fichier Remi (coller)'!$A2,9),'Concordance client liv et fact'!$A:$H,7,FALSE)+0,'Clients R2'!$A:$CY,22,FALSE)=4,"NA",VLOOKUP(VLOOKUP(LEFT('1) Import fichier Remi (coller)'!$A2,9),'Concordance client liv et fact'!$A:$H,7,FALSE)+0,'Clients R2'!$A:$CY,3,FALSE)))),2))</f>
        <v>BE</v>
      </c>
      <c r="W2" s="27"/>
      <c r="X2" s="27" t="str">
        <f>IF($A2="","",IF(ISERROR(VLOOKUP(LEFT('1) Import fichier Remi (coller)'!$A2,9),'Concordance client liv et fact'!$A:$H,8,FALSE))=TRUE,VLOOKUP(LEFT('1) Import fichier Remi (coller)'!$A2,9)+0,'Clients R2'!$A:$CY,102,FALSE),VLOOKUP(VLOOKUP(LEFT('1) Import fichier Remi (coller)'!$A2,9),'Concordance client liv et fact'!$A:$H,7,FALSE)+0,'Clients R2'!$A:$CY,102,FALSE)))</f>
        <v xml:space="preserve">jpierresch@voo.be                       </v>
      </c>
      <c r="Y2" t="s">
        <v>8197</v>
      </c>
      <c r="Z2" t="str">
        <f>IF(A2="","",IF(OR(H2="705099999",H2="705001002"),VLOOKUP('1) Import fichier Remi (coller)'!J2,'Analytique personnel'!$A:$B,2,FALSE),""))</f>
        <v>LLHOMME</v>
      </c>
      <c r="AA2" t="str">
        <f>IF($A2="VE11","",IF(LEFT($H2,4)="7050","",IF('1) Import fichier Remi (coller)'!M2="","",'1) Import fichier Remi (coller)'!M2)))</f>
        <v/>
      </c>
      <c r="AB2" t="str">
        <f>IF($A2="VE11","",IF(LEFT($H2,4)="7050","",IF('1) Import fichier Remi (coller)'!N2="","",'1) Import fichier Remi (coller)'!N2)))</f>
        <v/>
      </c>
      <c r="AC2" t="str">
        <f>IF(A2="","",VLOOKUP(LEFT('1) Import fichier Remi (coller)'!A2,9)+0,'Concordance Client R2 BOB'!$B:$C,2,FALSE))</f>
        <v>JPSFINANCI</v>
      </c>
    </row>
    <row r="3" spans="1:29" ht="18.75" customHeight="1" x14ac:dyDescent="0.25">
      <c r="A3" t="str">
        <f>IF('1) Import fichier Remi (coller)'!D3="","",'1) Import fichier Remi (coller)'!D3)</f>
        <v>NCV</v>
      </c>
      <c r="B3">
        <f>IF(A3="","",YEAR('1) Import fichier Remi (coller)'!F3))</f>
        <v>2026</v>
      </c>
      <c r="C3">
        <f>IF(A3="","",MONTH('1) Import fichier Remi (coller)'!F3))</f>
        <v>9</v>
      </c>
      <c r="D3" s="1">
        <f>IF(A3="","",'1) Import fichier Remi (coller)'!F3)</f>
        <v>46281</v>
      </c>
      <c r="E3" s="1">
        <f>IF(A3="","",'1) Import fichier Remi (coller)'!G3)</f>
        <v>46281</v>
      </c>
      <c r="F3" t="str">
        <f>IF(A3="","",'1) Import fichier Remi (coller)'!E3)</f>
        <v>12260078</v>
      </c>
      <c r="G3" t="str">
        <f>IF(A3="","",IF(ISERROR(VLOOKUP(LEFT('1) Import fichier Remi (coller)'!A3,9),'Concordance client liv et fact'!$A:$H,8,FALSE))=TRUE,'1) Import fichier Remi (coller)'!B3,VLOOKUP(LEFT('1) Import fichier Remi (coller)'!A3,9),'Concordance client liv et fact'!$A:$H,8,FALSE)))</f>
        <v>IVZINC</v>
      </c>
      <c r="H3" t="str">
        <f>IF(A3="","",IF(ISERROR(VLOOKUP('1) Import fichier Remi (coller)'!K3&amp;" - "&amp;'1) Import fichier Remi (coller)'!L3,'Spécifique comptes'!$A:$G,1,FALSE))=TRUE,'1) Import fichier Remi (coller)'!V3,VLOOKUP('1) Import fichier Remi (coller)'!K3&amp;" - "&amp;'1) Import fichier Remi (coller)'!L3,'Spécifique comptes'!$A:$G,IF(LEFT('2) BOB compta (completer-forcer'!F3,2)="11",4,IF(LEFT('2) BOB compta (completer-forcer'!F3,2)="12",5,IF(LEFT('2) BOB compta (completer-forcer'!F3,2)="13",6,IF(LEFT('2) BOB compta (completer-forcer'!F3,2)="15",7,"Erreur Compte")))),FALSE)))</f>
        <v>705099999</v>
      </c>
      <c r="I3" s="26" t="str">
        <f>IF(A3="","",IF(H3="70100000",'1) Import fichier Remi (coller)'!J3,'1) Import fichier Remi (coller)'!U3))</f>
        <v>+++003/8260/07877+++</v>
      </c>
      <c r="J3" s="26" t="str">
        <f>IF(A3="","",'1) Import fichier Remi (coller)'!U3)</f>
        <v>+++003/8260/07877+++</v>
      </c>
      <c r="K3" s="17">
        <f t="shared" ref="K3:K51" si="1">IF(A3="","",SUMIFS(N:N,A:A,A3,F:F,F3)+SUMIFS(O:O,A:A,A3,F:F,F3))</f>
        <v>28.740000000000002</v>
      </c>
      <c r="L3" t="str">
        <f t="shared" ref="L3:L51" si="2">IF(A3="","",IF(LEFT(T3,1)="B","V","PRT"))</f>
        <v>V</v>
      </c>
      <c r="M3" s="14">
        <f>IF(A3="","",'1) Import fichier Remi (coller)'!S3)</f>
        <v>21</v>
      </c>
      <c r="N3" s="17">
        <f>IF($A3="","",IF(OR($A3="NCV",$A3="NC15"),-'1) Import fichier Remi (coller)'!R3,'1) Import fichier Remi (coller)'!R3))</f>
        <v>23.75</v>
      </c>
      <c r="O3" s="17">
        <f>IF($A3="","",IF(OR($A3="NCV",$A3="NC15"),-'1) Import fichier Remi (coller)'!T3,'1) Import fichier Remi (coller)'!T3))</f>
        <v>4.99</v>
      </c>
      <c r="R3" t="str">
        <f>IF($A3="","",IF(ISERROR(VLOOKUP(LEFT('1) Import fichier Remi (coller)'!$A3,9),'Concordance client liv et fact'!$A:$H,8,FALSE))=TRUE,VLOOKUP(LEFT('1) Import fichier Remi (coller)'!$A3,9)+0,'Clients R2'!$A:$CY,2,FALSE),VLOOKUP(VLOOKUP(LEFT('1) Import fichier Remi (coller)'!$A3,9),'Concordance client liv et fact'!$A:$H,7,FALSE)+0,'Clients R2'!$A:$CY,2,FALSE)))</f>
        <v xml:space="preserve">IV ZINC SRL            </v>
      </c>
      <c r="S3" t="str">
        <f>IF($A3="","",PROPER(IF(ISERROR(VLOOKUP(LEFT('1) Import fichier Remi (coller)'!$A3,9),'Concordance client liv et fact'!$A:$H,8,FALSE))=TRUE,VLOOKUP(LEFT('1) Import fichier Remi (coller)'!$A3,9)+0,'Clients R2'!$A:$CY,27,FALSE),VLOOKUP(VLOOKUP(LEFT('1) Import fichier Remi (coller)'!$A3,9),'Concordance client liv et fact'!$A:$H,7,FALSE)+0,'Clients R2'!$A:$CY,27,FALSE))))</f>
        <v xml:space="preserve">Rue De L'Eperonnerie 21            </v>
      </c>
      <c r="T3" t="str">
        <f>IF($A3="","",LEFT(UPPER(IF(ISERROR(VLOOKUP(LEFT('1) Import fichier Remi (coller)'!$A3,9),'Concordance client liv et fact'!$A:$H,8,FALSE))=TRUE,VLOOKUP(LEFT('1) Import fichier Remi (coller)'!$A3,9)+0,'Clients R2'!$A:$CY,28,FALSE),VLOOKUP(VLOOKUP(LEFT('1) Import fichier Remi (coller)'!$A3,9),'Concordance client liv et fact'!$A:$H,7,FALSE)+0,'Clients R2'!$A:$CY,28,FALSE))),2)&amp;UPPER(IF(ISERROR(VLOOKUP(LEFT('1) Import fichier Remi (coller)'!$A3,9),'Concordance client liv et fact'!$A:$H,8,FALSE))=TRUE,VLOOKUP(LEFT('1) Import fichier Remi (coller)'!$A3,9)+0,'Clients R2'!$A:$CY,29,FALSE),VLOOKUP(VLOOKUP(LEFT('1) Import fichier Remi (coller)'!$A3,9),'Concordance client liv et fact'!$A:$H,7,FALSE)+0,'Clients R2'!$A:$CY,29,FALSE))))</f>
        <v>B 4081</v>
      </c>
      <c r="U3" t="str">
        <f>IF($A3="","",PROPER(IF(ISERROR(VLOOKUP(LEFT('1) Import fichier Remi (coller)'!$A3,9),'Concordance client liv et fact'!$A:$H,8,FALSE))=TRUE,VLOOKUP(LEFT('1) Import fichier Remi (coller)'!$A3,9)+0,'Clients R2'!$A:$CY,30,FALSE),VLOOKUP(VLOOKUP(LEFT('1) Import fichier Remi (coller)'!$A3,9),'Concordance client liv et fact'!$A:$H,7,FALSE)+0,'Clients R2'!$A:$CY,30,FALSE))))</f>
        <v xml:space="preserve">Milmort                       </v>
      </c>
      <c r="V3" t="str">
        <f>IF($A3="","",LEFT(UPPER(IF(ISERROR(VLOOKUP(LEFT('1) Import fichier Remi (coller)'!$A3,9),'Concordance client liv et fact'!$A:$H,8,FALSE))=TRUE,IF(VLOOKUP(LEFT('1) Import fichier Remi (coller)'!$A3,9)+0,'Clients R2'!$A:$CY,22,FALSE)=4,"NA",VLOOKUP(LEFT('1) Import fichier Remi (coller)'!$A3,9)+0,'Clients R2'!$A:$CY,3,FALSE)),IF(VLOOKUP(VLOOKUP(LEFT('1) Import fichier Remi (coller)'!$A3,9),'Concordance client liv et fact'!$A:$H,7,FALSE)+0,'Clients R2'!$A:$CY,22,FALSE)=4,"NA",VLOOKUP(VLOOKUP(LEFT('1) Import fichier Remi (coller)'!$A3,9),'Concordance client liv et fact'!$A:$H,7,FALSE)+0,'Clients R2'!$A:$CY,3,FALSE)))),2))</f>
        <v>BE</v>
      </c>
      <c r="W3" s="27"/>
      <c r="X3" s="27" t="str">
        <f>IF($A3="","",IF(ISERROR(VLOOKUP(LEFT('1) Import fichier Remi (coller)'!$A3,9),'Concordance client liv et fact'!$A:$H,8,FALSE))=TRUE,VLOOKUP(LEFT('1) Import fichier Remi (coller)'!$A3,9)+0,'Clients R2'!$A:$CY,102,FALSE),VLOOKUP(VLOOKUP(LEFT('1) Import fichier Remi (coller)'!$A3,9),'Concordance client liv et fact'!$A:$H,7,FALSE)+0,'Clients R2'!$A:$CY,102,FALSE)))</f>
        <v xml:space="preserve">comptabilite.sabanigroup@gmail.com      </v>
      </c>
      <c r="Y3" t="s">
        <v>8197</v>
      </c>
      <c r="Z3" t="str">
        <f>IF(A3="","",IF(OR(H3="705099999",H3="705001002"),VLOOKUP('1) Import fichier Remi (coller)'!J3,'Analytique personnel'!$A:$B,2,FALSE),""))</f>
        <v>LLHOMME</v>
      </c>
      <c r="AA3" t="str">
        <f>IF($A3="VE11","",IF(LEFT($H3,4)="7050","",IF('1) Import fichier Remi (coller)'!M3="","",'1) Import fichier Remi (coller)'!M3)))</f>
        <v/>
      </c>
      <c r="AB3" t="str">
        <f>IF($A3="VE11","",IF(LEFT($H3,4)="7050","",IF('1) Import fichier Remi (coller)'!N3="","",'1) Import fichier Remi (coller)'!N3)))</f>
        <v/>
      </c>
      <c r="AC3" t="str">
        <f>IF(A3="","",VLOOKUP(LEFT('1) Import fichier Remi (coller)'!A3,9)+0,'Concordance Client R2 BOB'!$B:$C,2,FALSE))</f>
        <v>IVZINC</v>
      </c>
    </row>
    <row r="4" spans="1:29" ht="18.75" customHeight="1" x14ac:dyDescent="0.25">
      <c r="A4" t="str">
        <f>IF('1) Import fichier Remi (coller)'!D4="","",'1) Import fichier Remi (coller)'!D4)</f>
        <v>VE11</v>
      </c>
      <c r="B4">
        <f>IF(A4="","",YEAR('1) Import fichier Remi (coller)'!F4))</f>
        <v>2026</v>
      </c>
      <c r="C4">
        <f>IF(A4="","",MONTH('1) Import fichier Remi (coller)'!F4))</f>
        <v>9</v>
      </c>
      <c r="D4" s="1">
        <f>IF(A4="","",'1) Import fichier Remi (coller)'!F4)</f>
        <v>46281</v>
      </c>
      <c r="E4" s="1">
        <f>IF(A4="","",'1) Import fichier Remi (coller)'!G4)</f>
        <v>46281</v>
      </c>
      <c r="F4" t="str">
        <f>IF(A4="","",'1) Import fichier Remi (coller)'!E4)</f>
        <v>11261511</v>
      </c>
      <c r="G4" t="str">
        <f>IF(A4="","",IF(ISERROR(VLOOKUP(LEFT('1) Import fichier Remi (coller)'!A4,9),'Concordance client liv et fact'!$A:$H,8,FALSE))=TRUE,'1) Import fichier Remi (coller)'!B4,VLOOKUP(LEFT('1) Import fichier Remi (coller)'!A4,9),'Concordance client liv et fact'!$A:$H,8,FALSE)))</f>
        <v>IBS</v>
      </c>
      <c r="H4" t="str">
        <f>IF(A4="","",IF(ISERROR(VLOOKUP('1) Import fichier Remi (coller)'!K4&amp;" - "&amp;'1) Import fichier Remi (coller)'!L4,'Spécifique comptes'!$A:$G,1,FALSE))=TRUE,'1) Import fichier Remi (coller)'!V4,VLOOKUP('1) Import fichier Remi (coller)'!K4&amp;" - "&amp;'1) Import fichier Remi (coller)'!L4,'Spécifique comptes'!$A:$G,IF(LEFT('2) BOB compta (completer-forcer'!F4,2)="11",4,IF(LEFT('2) BOB compta (completer-forcer'!F4,2)="12",5,IF(LEFT('2) BOB compta (completer-forcer'!F4,2)="13",6,IF(LEFT('2) BOB compta (completer-forcer'!F4,2)="15",7,"Erreur Compte")))),FALSE)))</f>
        <v xml:space="preserve">705002000 </v>
      </c>
      <c r="I4" s="26" t="str">
        <f>IF(A4="","",IF(H4="70100000",'1) Import fichier Remi (coller)'!J4,'1) Import fichier Remi (coller)'!U4))</f>
        <v>+++003/7261/51128+++</v>
      </c>
      <c r="J4" s="26" t="str">
        <f>IF(A4="","",'1) Import fichier Remi (coller)'!U4)</f>
        <v>+++003/7261/51128+++</v>
      </c>
      <c r="K4" s="17">
        <f t="shared" si="1"/>
        <v>152.46</v>
      </c>
      <c r="L4" t="str">
        <f t="shared" si="2"/>
        <v>V</v>
      </c>
      <c r="M4" s="14">
        <f>IF(A4="","",'1) Import fichier Remi (coller)'!S4)</f>
        <v>21</v>
      </c>
      <c r="N4" s="17">
        <f>IF($A4="","",IF(OR($A4="NCV",$A4="NC15"),-'1) Import fichier Remi (coller)'!R4,'1) Import fichier Remi (coller)'!R4))</f>
        <v>18</v>
      </c>
      <c r="O4" s="17">
        <f>IF($A4="","",IF(OR($A4="NCV",$A4="NC15"),-'1) Import fichier Remi (coller)'!T4,'1) Import fichier Remi (coller)'!T4))</f>
        <v>3.78</v>
      </c>
      <c r="R4" t="str">
        <f>IF($A4="","",IF(ISERROR(VLOOKUP(LEFT('1) Import fichier Remi (coller)'!$A4,9),'Concordance client liv et fact'!$A:$H,8,FALSE))=TRUE,VLOOKUP(LEFT('1) Import fichier Remi (coller)'!$A4,9)+0,'Clients R2'!$A:$CY,2,FALSE),VLOOKUP(VLOOKUP(LEFT('1) Import fichier Remi (coller)'!$A4,9),'Concordance client liv et fact'!$A:$H,7,FALSE)+0,'Clients R2'!$A:$CY,2,FALSE)))</f>
        <v xml:space="preserve">IBGRAF BUSINESS SOL.   </v>
      </c>
      <c r="S4" t="str">
        <f>IF($A4="","",PROPER(IF(ISERROR(VLOOKUP(LEFT('1) Import fichier Remi (coller)'!$A4,9),'Concordance client liv et fact'!$A:$H,8,FALSE))=TRUE,VLOOKUP(LEFT('1) Import fichier Remi (coller)'!$A4,9)+0,'Clients R2'!$A:$CY,27,FALSE),VLOOKUP(VLOOKUP(LEFT('1) Import fichier Remi (coller)'!$A4,9),'Concordance client liv et fact'!$A:$H,7,FALSE)+0,'Clients R2'!$A:$CY,27,FALSE))))</f>
        <v xml:space="preserve">Rue D'Abhooz, 27                   </v>
      </c>
      <c r="T4" t="str">
        <f>IF($A4="","",LEFT(UPPER(IF(ISERROR(VLOOKUP(LEFT('1) Import fichier Remi (coller)'!$A4,9),'Concordance client liv et fact'!$A:$H,8,FALSE))=TRUE,VLOOKUP(LEFT('1) Import fichier Remi (coller)'!$A4,9)+0,'Clients R2'!$A:$CY,28,FALSE),VLOOKUP(VLOOKUP(LEFT('1) Import fichier Remi (coller)'!$A4,9),'Concordance client liv et fact'!$A:$H,7,FALSE)+0,'Clients R2'!$A:$CY,28,FALSE))),2)&amp;UPPER(IF(ISERROR(VLOOKUP(LEFT('1) Import fichier Remi (coller)'!$A4,9),'Concordance client liv et fact'!$A:$H,8,FALSE))=TRUE,VLOOKUP(LEFT('1) Import fichier Remi (coller)'!$A4,9)+0,'Clients R2'!$A:$CY,29,FALSE),VLOOKUP(VLOOKUP(LEFT('1) Import fichier Remi (coller)'!$A4,9),'Concordance client liv et fact'!$A:$H,7,FALSE)+0,'Clients R2'!$A:$CY,29,FALSE))))</f>
        <v>B 4040</v>
      </c>
      <c r="U4" t="str">
        <f>IF($A4="","",PROPER(IF(ISERROR(VLOOKUP(LEFT('1) Import fichier Remi (coller)'!$A4,9),'Concordance client liv et fact'!$A:$H,8,FALSE))=TRUE,VLOOKUP(LEFT('1) Import fichier Remi (coller)'!$A4,9)+0,'Clients R2'!$A:$CY,30,FALSE),VLOOKUP(VLOOKUP(LEFT('1) Import fichier Remi (coller)'!$A4,9),'Concordance client liv et fact'!$A:$H,7,FALSE)+0,'Clients R2'!$A:$CY,30,FALSE))))</f>
        <v xml:space="preserve">Herstal                       </v>
      </c>
      <c r="V4" t="str">
        <f>IF($A4="","",LEFT(UPPER(IF(ISERROR(VLOOKUP(LEFT('1) Import fichier Remi (coller)'!$A4,9),'Concordance client liv et fact'!$A:$H,8,FALSE))=TRUE,IF(VLOOKUP(LEFT('1) Import fichier Remi (coller)'!$A4,9)+0,'Clients R2'!$A:$CY,22,FALSE)=4,"NA",VLOOKUP(LEFT('1) Import fichier Remi (coller)'!$A4,9)+0,'Clients R2'!$A:$CY,3,FALSE)),IF(VLOOKUP(VLOOKUP(LEFT('1) Import fichier Remi (coller)'!$A4,9),'Concordance client liv et fact'!$A:$H,7,FALSE)+0,'Clients R2'!$A:$CY,22,FALSE)=4,"NA",VLOOKUP(VLOOKUP(LEFT('1) Import fichier Remi (coller)'!$A4,9),'Concordance client liv et fact'!$A:$H,7,FALSE)+0,'Clients R2'!$A:$CY,3,FALSE)))),2))</f>
        <v>BE</v>
      </c>
      <c r="W4" s="27"/>
      <c r="X4" s="27" t="str">
        <f>IF($A4="","",IF(ISERROR(VLOOKUP(LEFT('1) Import fichier Remi (coller)'!$A4,9),'Concordance client liv et fact'!$A:$H,8,FALSE))=TRUE,VLOOKUP(LEFT('1) Import fichier Remi (coller)'!$A4,9)+0,'Clients R2'!$A:$CY,102,FALSE),VLOOKUP(VLOOKUP(LEFT('1) Import fichier Remi (coller)'!$A4,9),'Concordance client liv et fact'!$A:$H,7,FALSE)+0,'Clients R2'!$A:$CY,102,FALSE)))</f>
        <v xml:space="preserve">compta.ibs@ibgraf.com                   </v>
      </c>
      <c r="Y4" t="s">
        <v>8197</v>
      </c>
      <c r="Z4" t="s">
        <v>467</v>
      </c>
      <c r="AA4" t="str">
        <f>IF($A4="VE11","",IF(LEFT($H4,4)="7050","",IF('1) Import fichier Remi (coller)'!M4="","",'1) Import fichier Remi (coller)'!M4)))</f>
        <v/>
      </c>
      <c r="AB4" t="str">
        <f>IF($A4="VE11","",IF(LEFT($H4,4)="7050","",IF('1) Import fichier Remi (coller)'!N4="","",'1) Import fichier Remi (coller)'!N4)))</f>
        <v/>
      </c>
      <c r="AC4" t="str">
        <f>IF(A4="","",VLOOKUP(LEFT('1) Import fichier Remi (coller)'!A4,9)+0,'Concordance Client R2 BOB'!$B:$C,2,FALSE))</f>
        <v>IBS</v>
      </c>
    </row>
    <row r="5" spans="1:29" ht="18.75" customHeight="1" x14ac:dyDescent="0.25">
      <c r="A5" t="str">
        <f>IF('1) Import fichier Remi (coller)'!D5="","",'1) Import fichier Remi (coller)'!D5)</f>
        <v>VE11</v>
      </c>
      <c r="B5">
        <f>IF(A5="","",YEAR('1) Import fichier Remi (coller)'!F5))</f>
        <v>2026</v>
      </c>
      <c r="C5">
        <f>IF(A5="","",MONTH('1) Import fichier Remi (coller)'!F5))</f>
        <v>9</v>
      </c>
      <c r="D5" s="1">
        <f>IF(A5="","",'1) Import fichier Remi (coller)'!F5)</f>
        <v>46281</v>
      </c>
      <c r="E5" s="1">
        <f>IF(A5="","",'1) Import fichier Remi (coller)'!G5)</f>
        <v>46281</v>
      </c>
      <c r="F5" t="str">
        <f>IF(A5="","",'1) Import fichier Remi (coller)'!E5)</f>
        <v>11261511</v>
      </c>
      <c r="G5" t="str">
        <f>IF(A5="","",IF(ISERROR(VLOOKUP(LEFT('1) Import fichier Remi (coller)'!A5,9),'Concordance client liv et fact'!$A:$H,8,FALSE))=TRUE,'1) Import fichier Remi (coller)'!B5,VLOOKUP(LEFT('1) Import fichier Remi (coller)'!A5,9),'Concordance client liv et fact'!$A:$H,8,FALSE)))</f>
        <v>IBS</v>
      </c>
      <c r="H5" t="str">
        <f>IF(A5="","",IF(ISERROR(VLOOKUP('1) Import fichier Remi (coller)'!K5&amp;" - "&amp;'1) Import fichier Remi (coller)'!L5,'Spécifique comptes'!$A:$G,1,FALSE))=TRUE,'1) Import fichier Remi (coller)'!V5,VLOOKUP('1) Import fichier Remi (coller)'!K5&amp;" - "&amp;'1) Import fichier Remi (coller)'!L5,'Spécifique comptes'!$A:$G,IF(LEFT('2) BOB compta (completer-forcer'!F5,2)="11",4,IF(LEFT('2) BOB compta (completer-forcer'!F5,2)="12",5,IF(LEFT('2) BOB compta (completer-forcer'!F5,2)="13",6,IF(LEFT('2) BOB compta (completer-forcer'!F5,2)="15",7,"Erreur Compte")))),FALSE)))</f>
        <v xml:space="preserve">705002000 </v>
      </c>
      <c r="I5" s="26" t="str">
        <f>IF(A5="","",IF(H5="70100000",'1) Import fichier Remi (coller)'!J5,'1) Import fichier Remi (coller)'!U5))</f>
        <v>+++003/7261/51128+++</v>
      </c>
      <c r="J5" s="26" t="str">
        <f>IF(A5="","",'1) Import fichier Remi (coller)'!U5)</f>
        <v>+++003/7261/51128+++</v>
      </c>
      <c r="K5" s="17">
        <f t="shared" si="1"/>
        <v>152.46</v>
      </c>
      <c r="L5" t="str">
        <f t="shared" si="2"/>
        <v>V</v>
      </c>
      <c r="M5" s="14">
        <f>IF(A5="","",'1) Import fichier Remi (coller)'!S5)</f>
        <v>21</v>
      </c>
      <c r="N5" s="17">
        <f>IF($A5="","",IF(OR($A5="NCV",$A5="NC15"),-'1) Import fichier Remi (coller)'!R5,'1) Import fichier Remi (coller)'!R5))</f>
        <v>72</v>
      </c>
      <c r="O5" s="17">
        <f>IF($A5="","",IF(OR($A5="NCV",$A5="NC15"),-'1) Import fichier Remi (coller)'!T5,'1) Import fichier Remi (coller)'!T5))</f>
        <v>15.12</v>
      </c>
      <c r="R5" t="str">
        <f>IF($A5="","",IF(ISERROR(VLOOKUP(LEFT('1) Import fichier Remi (coller)'!$A5,9),'Concordance client liv et fact'!$A:$H,8,FALSE))=TRUE,VLOOKUP(LEFT('1) Import fichier Remi (coller)'!$A5,9)+0,'Clients R2'!$A:$CY,2,FALSE),VLOOKUP(VLOOKUP(LEFT('1) Import fichier Remi (coller)'!$A5,9),'Concordance client liv et fact'!$A:$H,7,FALSE)+0,'Clients R2'!$A:$CY,2,FALSE)))</f>
        <v xml:space="preserve">IBGRAF BUSINESS SOL.   </v>
      </c>
      <c r="S5" t="str">
        <f>IF($A5="","",PROPER(IF(ISERROR(VLOOKUP(LEFT('1) Import fichier Remi (coller)'!$A5,9),'Concordance client liv et fact'!$A:$H,8,FALSE))=TRUE,VLOOKUP(LEFT('1) Import fichier Remi (coller)'!$A5,9)+0,'Clients R2'!$A:$CY,27,FALSE),VLOOKUP(VLOOKUP(LEFT('1) Import fichier Remi (coller)'!$A5,9),'Concordance client liv et fact'!$A:$H,7,FALSE)+0,'Clients R2'!$A:$CY,27,FALSE))))</f>
        <v xml:space="preserve">Rue D'Abhooz, 27                   </v>
      </c>
      <c r="T5" t="str">
        <f>IF($A5="","",LEFT(UPPER(IF(ISERROR(VLOOKUP(LEFT('1) Import fichier Remi (coller)'!$A5,9),'Concordance client liv et fact'!$A:$H,8,FALSE))=TRUE,VLOOKUP(LEFT('1) Import fichier Remi (coller)'!$A5,9)+0,'Clients R2'!$A:$CY,28,FALSE),VLOOKUP(VLOOKUP(LEFT('1) Import fichier Remi (coller)'!$A5,9),'Concordance client liv et fact'!$A:$H,7,FALSE)+0,'Clients R2'!$A:$CY,28,FALSE))),2)&amp;UPPER(IF(ISERROR(VLOOKUP(LEFT('1) Import fichier Remi (coller)'!$A5,9),'Concordance client liv et fact'!$A:$H,8,FALSE))=TRUE,VLOOKUP(LEFT('1) Import fichier Remi (coller)'!$A5,9)+0,'Clients R2'!$A:$CY,29,FALSE),VLOOKUP(VLOOKUP(LEFT('1) Import fichier Remi (coller)'!$A5,9),'Concordance client liv et fact'!$A:$H,7,FALSE)+0,'Clients R2'!$A:$CY,29,FALSE))))</f>
        <v>B 4040</v>
      </c>
      <c r="U5" t="str">
        <f>IF($A5="","",PROPER(IF(ISERROR(VLOOKUP(LEFT('1) Import fichier Remi (coller)'!$A5,9),'Concordance client liv et fact'!$A:$H,8,FALSE))=TRUE,VLOOKUP(LEFT('1) Import fichier Remi (coller)'!$A5,9)+0,'Clients R2'!$A:$CY,30,FALSE),VLOOKUP(VLOOKUP(LEFT('1) Import fichier Remi (coller)'!$A5,9),'Concordance client liv et fact'!$A:$H,7,FALSE)+0,'Clients R2'!$A:$CY,30,FALSE))))</f>
        <v xml:space="preserve">Herstal                       </v>
      </c>
      <c r="V5" t="str">
        <f>IF($A5="","",LEFT(UPPER(IF(ISERROR(VLOOKUP(LEFT('1) Import fichier Remi (coller)'!$A5,9),'Concordance client liv et fact'!$A:$H,8,FALSE))=TRUE,IF(VLOOKUP(LEFT('1) Import fichier Remi (coller)'!$A5,9)+0,'Clients R2'!$A:$CY,22,FALSE)=4,"NA",VLOOKUP(LEFT('1) Import fichier Remi (coller)'!$A5,9)+0,'Clients R2'!$A:$CY,3,FALSE)),IF(VLOOKUP(VLOOKUP(LEFT('1) Import fichier Remi (coller)'!$A5,9),'Concordance client liv et fact'!$A:$H,7,FALSE)+0,'Clients R2'!$A:$CY,22,FALSE)=4,"NA",VLOOKUP(VLOOKUP(LEFT('1) Import fichier Remi (coller)'!$A5,9),'Concordance client liv et fact'!$A:$H,7,FALSE)+0,'Clients R2'!$A:$CY,3,FALSE)))),2))</f>
        <v>BE</v>
      </c>
      <c r="W5" s="27"/>
      <c r="X5" s="27" t="str">
        <f>IF($A5="","",IF(ISERROR(VLOOKUP(LEFT('1) Import fichier Remi (coller)'!$A5,9),'Concordance client liv et fact'!$A:$H,8,FALSE))=TRUE,VLOOKUP(LEFT('1) Import fichier Remi (coller)'!$A5,9)+0,'Clients R2'!$A:$CY,102,FALSE),VLOOKUP(VLOOKUP(LEFT('1) Import fichier Remi (coller)'!$A5,9),'Concordance client liv et fact'!$A:$H,7,FALSE)+0,'Clients R2'!$A:$CY,102,FALSE)))</f>
        <v xml:space="preserve">compta.ibs@ibgraf.com                   </v>
      </c>
      <c r="Y5" t="s">
        <v>8197</v>
      </c>
      <c r="Z5" t="s">
        <v>467</v>
      </c>
      <c r="AA5" t="str">
        <f>IF($A5="VE11","",IF(LEFT($H5,4)="7050","",IF('1) Import fichier Remi (coller)'!M5="","",'1) Import fichier Remi (coller)'!M5)))</f>
        <v/>
      </c>
      <c r="AB5" t="str">
        <f>IF($A5="VE11","",IF(LEFT($H5,4)="7050","",IF('1) Import fichier Remi (coller)'!N5="","",'1) Import fichier Remi (coller)'!N5)))</f>
        <v/>
      </c>
      <c r="AC5" t="str">
        <f>IF(A5="","",VLOOKUP(LEFT('1) Import fichier Remi (coller)'!A5,9)+0,'Concordance Client R2 BOB'!$B:$C,2,FALSE))</f>
        <v>IBS</v>
      </c>
    </row>
    <row r="6" spans="1:29" ht="18.75" customHeight="1" x14ac:dyDescent="0.25">
      <c r="A6" t="str">
        <f>IF('1) Import fichier Remi (coller)'!D6="","",'1) Import fichier Remi (coller)'!D6)</f>
        <v>VE11</v>
      </c>
      <c r="B6">
        <f>IF(A6="","",YEAR('1) Import fichier Remi (coller)'!F6))</f>
        <v>2026</v>
      </c>
      <c r="C6">
        <f>IF(A6="","",MONTH('1) Import fichier Remi (coller)'!F6))</f>
        <v>9</v>
      </c>
      <c r="D6" s="1">
        <f>IF(A6="","",'1) Import fichier Remi (coller)'!F6)</f>
        <v>46281</v>
      </c>
      <c r="E6" s="1">
        <f>IF(A6="","",'1) Import fichier Remi (coller)'!G6)</f>
        <v>46281</v>
      </c>
      <c r="F6" t="str">
        <f>IF(A6="","",'1) Import fichier Remi (coller)'!E6)</f>
        <v>11261511</v>
      </c>
      <c r="G6" t="str">
        <f>IF(A6="","",IF(ISERROR(VLOOKUP(LEFT('1) Import fichier Remi (coller)'!A6,9),'Concordance client liv et fact'!$A:$H,8,FALSE))=TRUE,'1) Import fichier Remi (coller)'!B6,VLOOKUP(LEFT('1) Import fichier Remi (coller)'!A6,9),'Concordance client liv et fact'!$A:$H,8,FALSE)))</f>
        <v>IBS</v>
      </c>
      <c r="H6" t="str">
        <f>IF(A6="","",IF(ISERROR(VLOOKUP('1) Import fichier Remi (coller)'!K6&amp;" - "&amp;'1) Import fichier Remi (coller)'!L6,'Spécifique comptes'!$A:$G,1,FALSE))=TRUE,'1) Import fichier Remi (coller)'!V6,VLOOKUP('1) Import fichier Remi (coller)'!K6&amp;" - "&amp;'1) Import fichier Remi (coller)'!L6,'Spécifique comptes'!$A:$G,IF(LEFT('2) BOB compta (completer-forcer'!F6,2)="11",4,IF(LEFT('2) BOB compta (completer-forcer'!F6,2)="12",5,IF(LEFT('2) BOB compta (completer-forcer'!F6,2)="13",6,IF(LEFT('2) BOB compta (completer-forcer'!F6,2)="15",7,"Erreur Compte")))),FALSE)))</f>
        <v xml:space="preserve">705002000 </v>
      </c>
      <c r="I6" s="26" t="str">
        <f>IF(A6="","",IF(H6="70100000",'1) Import fichier Remi (coller)'!J6,'1) Import fichier Remi (coller)'!U6))</f>
        <v>+++003/7261/51128+++</v>
      </c>
      <c r="J6" s="26" t="str">
        <f>IF(A6="","",'1) Import fichier Remi (coller)'!U6)</f>
        <v>+++003/7261/51128+++</v>
      </c>
      <c r="K6" s="17">
        <f t="shared" si="1"/>
        <v>152.46</v>
      </c>
      <c r="L6" t="str">
        <f t="shared" si="2"/>
        <v>V</v>
      </c>
      <c r="M6" s="14">
        <f>IF(A6="","",'1) Import fichier Remi (coller)'!S6)</f>
        <v>21</v>
      </c>
      <c r="N6" s="17">
        <f>IF($A6="","",IF(OR($A6="NCV",$A6="NC15"),-'1) Import fichier Remi (coller)'!R6,'1) Import fichier Remi (coller)'!R6))</f>
        <v>18</v>
      </c>
      <c r="O6" s="17">
        <f>IF($A6="","",IF(OR($A6="NCV",$A6="NC15"),-'1) Import fichier Remi (coller)'!T6,'1) Import fichier Remi (coller)'!T6))</f>
        <v>3.78</v>
      </c>
      <c r="R6" t="str">
        <f>IF($A6="","",IF(ISERROR(VLOOKUP(LEFT('1) Import fichier Remi (coller)'!$A6,9),'Concordance client liv et fact'!$A:$H,8,FALSE))=TRUE,VLOOKUP(LEFT('1) Import fichier Remi (coller)'!$A6,9)+0,'Clients R2'!$A:$CY,2,FALSE),VLOOKUP(VLOOKUP(LEFT('1) Import fichier Remi (coller)'!$A6,9),'Concordance client liv et fact'!$A:$H,7,FALSE)+0,'Clients R2'!$A:$CY,2,FALSE)))</f>
        <v xml:space="preserve">IBGRAF BUSINESS SOL.   </v>
      </c>
      <c r="S6" t="str">
        <f>IF($A6="","",PROPER(IF(ISERROR(VLOOKUP(LEFT('1) Import fichier Remi (coller)'!$A6,9),'Concordance client liv et fact'!$A:$H,8,FALSE))=TRUE,VLOOKUP(LEFT('1) Import fichier Remi (coller)'!$A6,9)+0,'Clients R2'!$A:$CY,27,FALSE),VLOOKUP(VLOOKUP(LEFT('1) Import fichier Remi (coller)'!$A6,9),'Concordance client liv et fact'!$A:$H,7,FALSE)+0,'Clients R2'!$A:$CY,27,FALSE))))</f>
        <v xml:space="preserve">Rue D'Abhooz, 27                   </v>
      </c>
      <c r="T6" t="str">
        <f>IF($A6="","",LEFT(UPPER(IF(ISERROR(VLOOKUP(LEFT('1) Import fichier Remi (coller)'!$A6,9),'Concordance client liv et fact'!$A:$H,8,FALSE))=TRUE,VLOOKUP(LEFT('1) Import fichier Remi (coller)'!$A6,9)+0,'Clients R2'!$A:$CY,28,FALSE),VLOOKUP(VLOOKUP(LEFT('1) Import fichier Remi (coller)'!$A6,9),'Concordance client liv et fact'!$A:$H,7,FALSE)+0,'Clients R2'!$A:$CY,28,FALSE))),2)&amp;UPPER(IF(ISERROR(VLOOKUP(LEFT('1) Import fichier Remi (coller)'!$A6,9),'Concordance client liv et fact'!$A:$H,8,FALSE))=TRUE,VLOOKUP(LEFT('1) Import fichier Remi (coller)'!$A6,9)+0,'Clients R2'!$A:$CY,29,FALSE),VLOOKUP(VLOOKUP(LEFT('1) Import fichier Remi (coller)'!$A6,9),'Concordance client liv et fact'!$A:$H,7,FALSE)+0,'Clients R2'!$A:$CY,29,FALSE))))</f>
        <v>B 4040</v>
      </c>
      <c r="U6" t="str">
        <f>IF($A6="","",PROPER(IF(ISERROR(VLOOKUP(LEFT('1) Import fichier Remi (coller)'!$A6,9),'Concordance client liv et fact'!$A:$H,8,FALSE))=TRUE,VLOOKUP(LEFT('1) Import fichier Remi (coller)'!$A6,9)+0,'Clients R2'!$A:$CY,30,FALSE),VLOOKUP(VLOOKUP(LEFT('1) Import fichier Remi (coller)'!$A6,9),'Concordance client liv et fact'!$A:$H,7,FALSE)+0,'Clients R2'!$A:$CY,30,FALSE))))</f>
        <v xml:space="preserve">Herstal                       </v>
      </c>
      <c r="V6" t="str">
        <f>IF($A6="","",LEFT(UPPER(IF(ISERROR(VLOOKUP(LEFT('1) Import fichier Remi (coller)'!$A6,9),'Concordance client liv et fact'!$A:$H,8,FALSE))=TRUE,IF(VLOOKUP(LEFT('1) Import fichier Remi (coller)'!$A6,9)+0,'Clients R2'!$A:$CY,22,FALSE)=4,"NA",VLOOKUP(LEFT('1) Import fichier Remi (coller)'!$A6,9)+0,'Clients R2'!$A:$CY,3,FALSE)),IF(VLOOKUP(VLOOKUP(LEFT('1) Import fichier Remi (coller)'!$A6,9),'Concordance client liv et fact'!$A:$H,7,FALSE)+0,'Clients R2'!$A:$CY,22,FALSE)=4,"NA",VLOOKUP(VLOOKUP(LEFT('1) Import fichier Remi (coller)'!$A6,9),'Concordance client liv et fact'!$A:$H,7,FALSE)+0,'Clients R2'!$A:$CY,3,FALSE)))),2))</f>
        <v>BE</v>
      </c>
      <c r="W6" s="27"/>
      <c r="X6" s="27" t="str">
        <f>IF($A6="","",IF(ISERROR(VLOOKUP(LEFT('1) Import fichier Remi (coller)'!$A6,9),'Concordance client liv et fact'!$A:$H,8,FALSE))=TRUE,VLOOKUP(LEFT('1) Import fichier Remi (coller)'!$A6,9)+0,'Clients R2'!$A:$CY,102,FALSE),VLOOKUP(VLOOKUP(LEFT('1) Import fichier Remi (coller)'!$A6,9),'Concordance client liv et fact'!$A:$H,7,FALSE)+0,'Clients R2'!$A:$CY,102,FALSE)))</f>
        <v xml:space="preserve">compta.ibs@ibgraf.com                   </v>
      </c>
      <c r="Y6" t="s">
        <v>8197</v>
      </c>
      <c r="Z6" t="s">
        <v>7752</v>
      </c>
      <c r="AA6" t="str">
        <f>IF($A6="VE11","",IF(LEFT($H6,4)="7050","",IF('1) Import fichier Remi (coller)'!M6="","",'1) Import fichier Remi (coller)'!M6)))</f>
        <v/>
      </c>
      <c r="AB6" t="str">
        <f>IF($A6="VE11","",IF(LEFT($H6,4)="7050","",IF('1) Import fichier Remi (coller)'!N6="","",'1) Import fichier Remi (coller)'!N6)))</f>
        <v/>
      </c>
      <c r="AC6" t="str">
        <f>IF(A6="","",VLOOKUP(LEFT('1) Import fichier Remi (coller)'!A6,9)+0,'Concordance Client R2 BOB'!$B:$C,2,FALSE))</f>
        <v>IBS</v>
      </c>
    </row>
    <row r="7" spans="1:29" ht="18.75" customHeight="1" x14ac:dyDescent="0.25">
      <c r="A7" t="str">
        <f>IF('1) Import fichier Remi (coller)'!D7="","",'1) Import fichier Remi (coller)'!D7)</f>
        <v>VE11</v>
      </c>
      <c r="B7">
        <f>IF(A7="","",YEAR('1) Import fichier Remi (coller)'!F7))</f>
        <v>2026</v>
      </c>
      <c r="C7">
        <f>IF(A7="","",MONTH('1) Import fichier Remi (coller)'!F7))</f>
        <v>9</v>
      </c>
      <c r="D7" s="1">
        <f>IF(A7="","",'1) Import fichier Remi (coller)'!F7)</f>
        <v>46281</v>
      </c>
      <c r="E7" s="1">
        <f>IF(A7="","",'1) Import fichier Remi (coller)'!G7)</f>
        <v>46281</v>
      </c>
      <c r="F7" t="str">
        <f>IF(A7="","",'1) Import fichier Remi (coller)'!E7)</f>
        <v>11261511</v>
      </c>
      <c r="G7" t="str">
        <f>IF(A7="","",IF(ISERROR(VLOOKUP(LEFT('1) Import fichier Remi (coller)'!A7,9),'Concordance client liv et fact'!$A:$H,8,FALSE))=TRUE,'1) Import fichier Remi (coller)'!B7,VLOOKUP(LEFT('1) Import fichier Remi (coller)'!A7,9),'Concordance client liv et fact'!$A:$H,8,FALSE)))</f>
        <v>IBS</v>
      </c>
      <c r="H7" t="str">
        <f>IF(A7="","",IF(ISERROR(VLOOKUP('1) Import fichier Remi (coller)'!K7&amp;" - "&amp;'1) Import fichier Remi (coller)'!L7,'Spécifique comptes'!$A:$G,1,FALSE))=TRUE,'1) Import fichier Remi (coller)'!V7,VLOOKUP('1) Import fichier Remi (coller)'!K7&amp;" - "&amp;'1) Import fichier Remi (coller)'!L7,'Spécifique comptes'!$A:$G,IF(LEFT('2) BOB compta (completer-forcer'!F7,2)="11",4,IF(LEFT('2) BOB compta (completer-forcer'!F7,2)="12",5,IF(LEFT('2) BOB compta (completer-forcer'!F7,2)="13",6,IF(LEFT('2) BOB compta (completer-forcer'!F7,2)="15",7,"Erreur Compte")))),FALSE)))</f>
        <v xml:space="preserve">705002000 </v>
      </c>
      <c r="I7" s="26" t="str">
        <f>IF(A7="","",IF(H7="70100000",'1) Import fichier Remi (coller)'!J7,'1) Import fichier Remi (coller)'!U7))</f>
        <v>+++003/7261/51128+++</v>
      </c>
      <c r="J7" s="26" t="str">
        <f>IF(A7="","",'1) Import fichier Remi (coller)'!U7)</f>
        <v>+++003/7261/51128+++</v>
      </c>
      <c r="K7" s="17">
        <f t="shared" si="1"/>
        <v>152.46</v>
      </c>
      <c r="L7" t="str">
        <f t="shared" si="2"/>
        <v>V</v>
      </c>
      <c r="M7" s="14">
        <f>IF(A7="","",'1) Import fichier Remi (coller)'!S7)</f>
        <v>21</v>
      </c>
      <c r="N7" s="17">
        <f>IF($A7="","",IF(OR($A7="NCV",$A7="NC15"),-'1) Import fichier Remi (coller)'!R7,'1) Import fichier Remi (coller)'!R7))</f>
        <v>18</v>
      </c>
      <c r="O7" s="17">
        <f>IF($A7="","",IF(OR($A7="NCV",$A7="NC15"),-'1) Import fichier Remi (coller)'!T7,'1) Import fichier Remi (coller)'!T7))</f>
        <v>3.78</v>
      </c>
      <c r="R7" t="str">
        <f>IF($A7="","",IF(ISERROR(VLOOKUP(LEFT('1) Import fichier Remi (coller)'!$A7,9),'Concordance client liv et fact'!$A:$H,8,FALSE))=TRUE,VLOOKUP(LEFT('1) Import fichier Remi (coller)'!$A7,9)+0,'Clients R2'!$A:$CY,2,FALSE),VLOOKUP(VLOOKUP(LEFT('1) Import fichier Remi (coller)'!$A7,9),'Concordance client liv et fact'!$A:$H,7,FALSE)+0,'Clients R2'!$A:$CY,2,FALSE)))</f>
        <v xml:space="preserve">IBGRAF BUSINESS SOL.   </v>
      </c>
      <c r="S7" t="str">
        <f>IF($A7="","",PROPER(IF(ISERROR(VLOOKUP(LEFT('1) Import fichier Remi (coller)'!$A7,9),'Concordance client liv et fact'!$A:$H,8,FALSE))=TRUE,VLOOKUP(LEFT('1) Import fichier Remi (coller)'!$A7,9)+0,'Clients R2'!$A:$CY,27,FALSE),VLOOKUP(VLOOKUP(LEFT('1) Import fichier Remi (coller)'!$A7,9),'Concordance client liv et fact'!$A:$H,7,FALSE)+0,'Clients R2'!$A:$CY,27,FALSE))))</f>
        <v xml:space="preserve">Rue D'Abhooz, 27                   </v>
      </c>
      <c r="T7" t="str">
        <f>IF($A7="","",LEFT(UPPER(IF(ISERROR(VLOOKUP(LEFT('1) Import fichier Remi (coller)'!$A7,9),'Concordance client liv et fact'!$A:$H,8,FALSE))=TRUE,VLOOKUP(LEFT('1) Import fichier Remi (coller)'!$A7,9)+0,'Clients R2'!$A:$CY,28,FALSE),VLOOKUP(VLOOKUP(LEFT('1) Import fichier Remi (coller)'!$A7,9),'Concordance client liv et fact'!$A:$H,7,FALSE)+0,'Clients R2'!$A:$CY,28,FALSE))),2)&amp;UPPER(IF(ISERROR(VLOOKUP(LEFT('1) Import fichier Remi (coller)'!$A7,9),'Concordance client liv et fact'!$A:$H,8,FALSE))=TRUE,VLOOKUP(LEFT('1) Import fichier Remi (coller)'!$A7,9)+0,'Clients R2'!$A:$CY,29,FALSE),VLOOKUP(VLOOKUP(LEFT('1) Import fichier Remi (coller)'!$A7,9),'Concordance client liv et fact'!$A:$H,7,FALSE)+0,'Clients R2'!$A:$CY,29,FALSE))))</f>
        <v>B 4040</v>
      </c>
      <c r="U7" t="str">
        <f>IF($A7="","",PROPER(IF(ISERROR(VLOOKUP(LEFT('1) Import fichier Remi (coller)'!$A7,9),'Concordance client liv et fact'!$A:$H,8,FALSE))=TRUE,VLOOKUP(LEFT('1) Import fichier Remi (coller)'!$A7,9)+0,'Clients R2'!$A:$CY,30,FALSE),VLOOKUP(VLOOKUP(LEFT('1) Import fichier Remi (coller)'!$A7,9),'Concordance client liv et fact'!$A:$H,7,FALSE)+0,'Clients R2'!$A:$CY,30,FALSE))))</f>
        <v xml:space="preserve">Herstal                       </v>
      </c>
      <c r="V7" t="str">
        <f>IF($A7="","",LEFT(UPPER(IF(ISERROR(VLOOKUP(LEFT('1) Import fichier Remi (coller)'!$A7,9),'Concordance client liv et fact'!$A:$H,8,FALSE))=TRUE,IF(VLOOKUP(LEFT('1) Import fichier Remi (coller)'!$A7,9)+0,'Clients R2'!$A:$CY,22,FALSE)=4,"NA",VLOOKUP(LEFT('1) Import fichier Remi (coller)'!$A7,9)+0,'Clients R2'!$A:$CY,3,FALSE)),IF(VLOOKUP(VLOOKUP(LEFT('1) Import fichier Remi (coller)'!$A7,9),'Concordance client liv et fact'!$A:$H,7,FALSE)+0,'Clients R2'!$A:$CY,22,FALSE)=4,"NA",VLOOKUP(VLOOKUP(LEFT('1) Import fichier Remi (coller)'!$A7,9),'Concordance client liv et fact'!$A:$H,7,FALSE)+0,'Clients R2'!$A:$CY,3,FALSE)))),2))</f>
        <v>BE</v>
      </c>
      <c r="W7" s="27"/>
      <c r="X7" s="27" t="str">
        <f>IF($A7="","",IF(ISERROR(VLOOKUP(LEFT('1) Import fichier Remi (coller)'!$A7,9),'Concordance client liv et fact'!$A:$H,8,FALSE))=TRUE,VLOOKUP(LEFT('1) Import fichier Remi (coller)'!$A7,9)+0,'Clients R2'!$A:$CY,102,FALSE),VLOOKUP(VLOOKUP(LEFT('1) Import fichier Remi (coller)'!$A7,9),'Concordance client liv et fact'!$A:$H,7,FALSE)+0,'Clients R2'!$A:$CY,102,FALSE)))</f>
        <v xml:space="preserve">compta.ibs@ibgraf.com                   </v>
      </c>
      <c r="Y7" t="s">
        <v>8197</v>
      </c>
      <c r="Z7" t="s">
        <v>7752</v>
      </c>
      <c r="AA7" t="str">
        <f>IF($A7="VE11","",IF(LEFT($H7,4)="7050","",IF('1) Import fichier Remi (coller)'!M7="","",'1) Import fichier Remi (coller)'!M7)))</f>
        <v/>
      </c>
      <c r="AB7" t="str">
        <f>IF($A7="VE11","",IF(LEFT($H7,4)="7050","",IF('1) Import fichier Remi (coller)'!N7="","",'1) Import fichier Remi (coller)'!N7)))</f>
        <v/>
      </c>
      <c r="AC7" t="str">
        <f>IF(A7="","",VLOOKUP(LEFT('1) Import fichier Remi (coller)'!A7,9)+0,'Concordance Client R2 BOB'!$B:$C,2,FALSE))</f>
        <v>IBS</v>
      </c>
    </row>
    <row r="8" spans="1:29" ht="18.75" customHeight="1" x14ac:dyDescent="0.25">
      <c r="A8" t="str">
        <f>IF('1) Import fichier Remi (coller)'!D8="","",'1) Import fichier Remi (coller)'!D8)</f>
        <v>VE11</v>
      </c>
      <c r="B8">
        <f>IF(A8="","",YEAR('1) Import fichier Remi (coller)'!F8))</f>
        <v>2026</v>
      </c>
      <c r="C8">
        <f>IF(A8="","",MONTH('1) Import fichier Remi (coller)'!F8))</f>
        <v>9</v>
      </c>
      <c r="D8" s="1">
        <f>IF(A8="","",'1) Import fichier Remi (coller)'!F8)</f>
        <v>46281</v>
      </c>
      <c r="E8" s="1">
        <f>IF(A8="","",'1) Import fichier Remi (coller)'!G8)</f>
        <v>46281</v>
      </c>
      <c r="F8" t="str">
        <f>IF(A8="","",'1) Import fichier Remi (coller)'!E8)</f>
        <v>11261512</v>
      </c>
      <c r="G8" t="str">
        <f>IF(A8="","",IF(ISERROR(VLOOKUP(LEFT('1) Import fichier Remi (coller)'!A8,9),'Concordance client liv et fact'!$A:$H,8,FALSE))=TRUE,'1) Import fichier Remi (coller)'!B8,VLOOKUP(LEFT('1) Import fichier Remi (coller)'!A8,9),'Concordance client liv et fact'!$A:$H,8,FALSE)))</f>
        <v>CBFISC</v>
      </c>
      <c r="H8" t="str">
        <f>IF(A8="","",IF(ISERROR(VLOOKUP('1) Import fichier Remi (coller)'!K8&amp;" - "&amp;'1) Import fichier Remi (coller)'!L8,'Spécifique comptes'!$A:$G,1,FALSE))=TRUE,'1) Import fichier Remi (coller)'!V8,VLOOKUP('1) Import fichier Remi (coller)'!K8&amp;" - "&amp;'1) Import fichier Remi (coller)'!L8,'Spécifique comptes'!$A:$G,IF(LEFT('2) BOB compta (completer-forcer'!F8,2)="11",4,IF(LEFT('2) BOB compta (completer-forcer'!F8,2)="12",5,IF(LEFT('2) BOB compta (completer-forcer'!F8,2)="13",6,IF(LEFT('2) BOB compta (completer-forcer'!F8,2)="15",7,"Erreur Compte")))),FALSE)))</f>
        <v>705099999</v>
      </c>
      <c r="I8" s="26" t="str">
        <f>IF(A8="","",IF(H8="70100000",'1) Import fichier Remi (coller)'!J8,'1) Import fichier Remi (coller)'!U8))</f>
        <v>+++003/7261/51229+++</v>
      </c>
      <c r="J8" s="26" t="str">
        <f>IF(A8="","",'1) Import fichier Remi (coller)'!U8)</f>
        <v>+++003/7261/51229+++</v>
      </c>
      <c r="K8" s="17">
        <f t="shared" si="1"/>
        <v>28.740000000000002</v>
      </c>
      <c r="L8" t="str">
        <f t="shared" si="2"/>
        <v>V</v>
      </c>
      <c r="M8" s="14">
        <f>IF(A8="","",'1) Import fichier Remi (coller)'!S8)</f>
        <v>21</v>
      </c>
      <c r="N8" s="17">
        <f>IF($A8="","",IF(OR($A8="NCV",$A8="NC15"),-'1) Import fichier Remi (coller)'!R8,'1) Import fichier Remi (coller)'!R8))</f>
        <v>23.75</v>
      </c>
      <c r="O8" s="17">
        <f>IF($A8="","",IF(OR($A8="NCV",$A8="NC15"),-'1) Import fichier Remi (coller)'!T8,'1) Import fichier Remi (coller)'!T8))</f>
        <v>4.99</v>
      </c>
      <c r="R8" t="str">
        <f>IF($A8="","",IF(ISERROR(VLOOKUP(LEFT('1) Import fichier Remi (coller)'!$A8,9),'Concordance client liv et fact'!$A:$H,8,FALSE))=TRUE,VLOOKUP(LEFT('1) Import fichier Remi (coller)'!$A8,9)+0,'Clients R2'!$A:$CY,2,FALSE),VLOOKUP(VLOOKUP(LEFT('1) Import fichier Remi (coller)'!$A8,9),'Concordance client liv et fact'!$A:$H,7,FALSE)+0,'Clients R2'!$A:$CY,2,FALSE)))</f>
        <v xml:space="preserve">CB FISC                </v>
      </c>
      <c r="S8" t="str">
        <f>IF($A8="","",PROPER(IF(ISERROR(VLOOKUP(LEFT('1) Import fichier Remi (coller)'!$A8,9),'Concordance client liv et fact'!$A:$H,8,FALSE))=TRUE,VLOOKUP(LEFT('1) Import fichier Remi (coller)'!$A8,9)+0,'Clients R2'!$A:$CY,27,FALSE),VLOOKUP(VLOOKUP(LEFT('1) Import fichier Remi (coller)'!$A8,9),'Concordance client liv et fact'!$A:$H,7,FALSE)+0,'Clients R2'!$A:$CY,27,FALSE))))</f>
        <v xml:space="preserve">Rue Affnay, 13                     </v>
      </c>
      <c r="T8" t="str">
        <f>IF($A8="","",LEFT(UPPER(IF(ISERROR(VLOOKUP(LEFT('1) Import fichier Remi (coller)'!$A8,9),'Concordance client liv et fact'!$A:$H,8,FALSE))=TRUE,VLOOKUP(LEFT('1) Import fichier Remi (coller)'!$A8,9)+0,'Clients R2'!$A:$CY,28,FALSE),VLOOKUP(VLOOKUP(LEFT('1) Import fichier Remi (coller)'!$A8,9),'Concordance client liv et fact'!$A:$H,7,FALSE)+0,'Clients R2'!$A:$CY,28,FALSE))),2)&amp;UPPER(IF(ISERROR(VLOOKUP(LEFT('1) Import fichier Remi (coller)'!$A8,9),'Concordance client liv et fact'!$A:$H,8,FALSE))=TRUE,VLOOKUP(LEFT('1) Import fichier Remi (coller)'!$A8,9)+0,'Clients R2'!$A:$CY,29,FALSE),VLOOKUP(VLOOKUP(LEFT('1) Import fichier Remi (coller)'!$A8,9),'Concordance client liv et fact'!$A:$H,7,FALSE)+0,'Clients R2'!$A:$CY,29,FALSE))))</f>
        <v>B 4608</v>
      </c>
      <c r="U8" t="str">
        <f>IF($A8="","",PROPER(IF(ISERROR(VLOOKUP(LEFT('1) Import fichier Remi (coller)'!$A8,9),'Concordance client liv et fact'!$A:$H,8,FALSE))=TRUE,VLOOKUP(LEFT('1) Import fichier Remi (coller)'!$A8,9)+0,'Clients R2'!$A:$CY,30,FALSE),VLOOKUP(VLOOKUP(LEFT('1) Import fichier Remi (coller)'!$A8,9),'Concordance client liv et fact'!$A:$H,7,FALSE)+0,'Clients R2'!$A:$CY,30,FALSE))))</f>
        <v xml:space="preserve">Dalhem (Neufchateau)          </v>
      </c>
      <c r="V8" t="str">
        <f>IF($A8="","",LEFT(UPPER(IF(ISERROR(VLOOKUP(LEFT('1) Import fichier Remi (coller)'!$A8,9),'Concordance client liv et fact'!$A:$H,8,FALSE))=TRUE,IF(VLOOKUP(LEFT('1) Import fichier Remi (coller)'!$A8,9)+0,'Clients R2'!$A:$CY,22,FALSE)=4,"NA",VLOOKUP(LEFT('1) Import fichier Remi (coller)'!$A8,9)+0,'Clients R2'!$A:$CY,3,FALSE)),IF(VLOOKUP(VLOOKUP(LEFT('1) Import fichier Remi (coller)'!$A8,9),'Concordance client liv et fact'!$A:$H,7,FALSE)+0,'Clients R2'!$A:$CY,22,FALSE)=4,"NA",VLOOKUP(VLOOKUP(LEFT('1) Import fichier Remi (coller)'!$A8,9),'Concordance client liv et fact'!$A:$H,7,FALSE)+0,'Clients R2'!$A:$CY,3,FALSE)))),2))</f>
        <v>BE</v>
      </c>
      <c r="W8" s="27"/>
      <c r="X8" s="27" t="str">
        <f>IF($A8="","",IF(ISERROR(VLOOKUP(LEFT('1) Import fichier Remi (coller)'!$A8,9),'Concordance client liv et fact'!$A:$H,8,FALSE))=TRUE,VLOOKUP(LEFT('1) Import fichier Remi (coller)'!$A8,9)+0,'Clients R2'!$A:$CY,102,FALSE),VLOOKUP(VLOOKUP(LEFT('1) Import fichier Remi (coller)'!$A8,9),'Concordance client liv et fact'!$A:$H,7,FALSE)+0,'Clients R2'!$A:$CY,102,FALSE)))</f>
        <v xml:space="preserve">info@cbfisc.be                          </v>
      </c>
      <c r="Y8" t="s">
        <v>8197</v>
      </c>
      <c r="Z8" t="str">
        <f>IF(A8="","",IF(OR(H8="705099999",H8="705001002"),VLOOKUP('1) Import fichier Remi (coller)'!J8,'Analytique personnel'!$A:$B,2,FALSE),""))</f>
        <v>GDUHOUX</v>
      </c>
      <c r="AA8" t="str">
        <f>IF($A8="VE11","",IF(LEFT($H8,4)="7050","",IF('1) Import fichier Remi (coller)'!M8="","",'1) Import fichier Remi (coller)'!M8)))</f>
        <v/>
      </c>
      <c r="AB8" t="str">
        <f>IF($A8="VE11","",IF(LEFT($H8,4)="7050","",IF('1) Import fichier Remi (coller)'!N8="","",'1) Import fichier Remi (coller)'!N8)))</f>
        <v/>
      </c>
      <c r="AC8" t="str">
        <f>IF(A8="","",VLOOKUP(LEFT('1) Import fichier Remi (coller)'!A8,9)+0,'Concordance Client R2 BOB'!$B:$C,2,FALSE))</f>
        <v>CBFISC</v>
      </c>
    </row>
    <row r="9" spans="1:29" ht="18.75" customHeight="1" x14ac:dyDescent="0.25">
      <c r="A9" t="str">
        <f>IF('1) Import fichier Remi (coller)'!D9="","",'1) Import fichier Remi (coller)'!D9)</f>
        <v>VE11</v>
      </c>
      <c r="B9">
        <f>IF(A9="","",YEAR('1) Import fichier Remi (coller)'!F9))</f>
        <v>2026</v>
      </c>
      <c r="C9">
        <f>IF(A9="","",MONTH('1) Import fichier Remi (coller)'!F9))</f>
        <v>9</v>
      </c>
      <c r="D9" s="1">
        <f>IF(A9="","",'1) Import fichier Remi (coller)'!F9)</f>
        <v>46281</v>
      </c>
      <c r="E9" s="1">
        <f>IF(A9="","",'1) Import fichier Remi (coller)'!G9)</f>
        <v>46311</v>
      </c>
      <c r="F9" t="str">
        <f>IF(A9="","",'1) Import fichier Remi (coller)'!E9)</f>
        <v>11261513</v>
      </c>
      <c r="G9" t="str">
        <f>IF(A9="","",IF(ISERROR(VLOOKUP(LEFT('1) Import fichier Remi (coller)'!A9,9),'Concordance client liv et fact'!$A:$H,8,FALSE))=TRUE,'1) Import fichier Remi (coller)'!B9,VLOOKUP(LEFT('1) Import fichier Remi (coller)'!A9,9),'Concordance client liv et fact'!$A:$H,8,FALSE)))</f>
        <v>COUTREZSA</v>
      </c>
      <c r="H9" t="str">
        <f>IF(A9="","",IF(ISERROR(VLOOKUP('1) Import fichier Remi (coller)'!K9&amp;" - "&amp;'1) Import fichier Remi (coller)'!L9,'Spécifique comptes'!$A:$G,1,FALSE))=TRUE,'1) Import fichier Remi (coller)'!V9,VLOOKUP('1) Import fichier Remi (coller)'!K9&amp;" - "&amp;'1) Import fichier Remi (coller)'!L9,'Spécifique comptes'!$A:$G,IF(LEFT('2) BOB compta (completer-forcer'!F9,2)="11",4,IF(LEFT('2) BOB compta (completer-forcer'!F9,2)="12",5,IF(LEFT('2) BOB compta (completer-forcer'!F9,2)="13",6,IF(LEFT('2) BOB compta (completer-forcer'!F9,2)="15",7,"Erreur Compte")))),FALSE)))</f>
        <v>705099999</v>
      </c>
      <c r="I9" s="26" t="str">
        <f>IF(A9="","",IF(H9="70100000",'1) Import fichier Remi (coller)'!J9,'1) Import fichier Remi (coller)'!U9))</f>
        <v>+++003/7261/51330+++</v>
      </c>
      <c r="J9" s="26" t="str">
        <f>IF(A9="","",'1) Import fichier Remi (coller)'!U9)</f>
        <v>+++003/7261/51330+++</v>
      </c>
      <c r="K9" s="17">
        <f t="shared" si="1"/>
        <v>114.95</v>
      </c>
      <c r="L9" t="str">
        <f t="shared" si="2"/>
        <v>V</v>
      </c>
      <c r="M9" s="14">
        <f>IF(A9="","",'1) Import fichier Remi (coller)'!S9)</f>
        <v>21</v>
      </c>
      <c r="N9" s="17">
        <f>IF($A9="","",IF(OR($A9="NCV",$A9="NC15"),-'1) Import fichier Remi (coller)'!R9,'1) Import fichier Remi (coller)'!R9))</f>
        <v>95</v>
      </c>
      <c r="O9" s="17">
        <f>IF($A9="","",IF(OR($A9="NCV",$A9="NC15"),-'1) Import fichier Remi (coller)'!T9,'1) Import fichier Remi (coller)'!T9))</f>
        <v>19.95</v>
      </c>
      <c r="R9" t="str">
        <f>IF($A9="","",IF(ISERROR(VLOOKUP(LEFT('1) Import fichier Remi (coller)'!$A9,9),'Concordance client liv et fact'!$A:$H,8,FALSE))=TRUE,VLOOKUP(LEFT('1) Import fichier Remi (coller)'!$A9,9)+0,'Clients R2'!$A:$CY,2,FALSE),VLOOKUP(VLOOKUP(LEFT('1) Import fichier Remi (coller)'!$A9,9),'Concordance client liv et fact'!$A:$H,7,FALSE)+0,'Clients R2'!$A:$CY,2,FALSE)))</f>
        <v xml:space="preserve">ETS COUTREZ ET CIE SA  </v>
      </c>
      <c r="S9" t="str">
        <f>IF($A9="","",PROPER(IF(ISERROR(VLOOKUP(LEFT('1) Import fichier Remi (coller)'!$A9,9),'Concordance client liv et fact'!$A:$H,8,FALSE))=TRUE,VLOOKUP(LEFT('1) Import fichier Remi (coller)'!$A9,9)+0,'Clients R2'!$A:$CY,27,FALSE),VLOOKUP(VLOOKUP(LEFT('1) Import fichier Remi (coller)'!$A9,9),'Concordance client liv et fact'!$A:$H,7,FALSE)+0,'Clients R2'!$A:$CY,27,FALSE))))</f>
        <v xml:space="preserve">Rue Louis Bleriot, 1               </v>
      </c>
      <c r="T9" t="str">
        <f>IF($A9="","",LEFT(UPPER(IF(ISERROR(VLOOKUP(LEFT('1) Import fichier Remi (coller)'!$A9,9),'Concordance client liv et fact'!$A:$H,8,FALSE))=TRUE,VLOOKUP(LEFT('1) Import fichier Remi (coller)'!$A9,9)+0,'Clients R2'!$A:$CY,28,FALSE),VLOOKUP(VLOOKUP(LEFT('1) Import fichier Remi (coller)'!$A9,9),'Concordance client liv et fact'!$A:$H,7,FALSE)+0,'Clients R2'!$A:$CY,28,FALSE))),2)&amp;UPPER(IF(ISERROR(VLOOKUP(LEFT('1) Import fichier Remi (coller)'!$A9,9),'Concordance client liv et fact'!$A:$H,8,FALSE))=TRUE,VLOOKUP(LEFT('1) Import fichier Remi (coller)'!$A9,9)+0,'Clients R2'!$A:$CY,29,FALSE),VLOOKUP(VLOOKUP(LEFT('1) Import fichier Remi (coller)'!$A9,9),'Concordance client liv et fact'!$A:$H,7,FALSE)+0,'Clients R2'!$A:$CY,29,FALSE))))</f>
        <v>B 4460</v>
      </c>
      <c r="U9" t="str">
        <f>IF($A9="","",PROPER(IF(ISERROR(VLOOKUP(LEFT('1) Import fichier Remi (coller)'!$A9,9),'Concordance client liv et fact'!$A:$H,8,FALSE))=TRUE,VLOOKUP(LEFT('1) Import fichier Remi (coller)'!$A9,9)+0,'Clients R2'!$A:$CY,30,FALSE),VLOOKUP(VLOOKUP(LEFT('1) Import fichier Remi (coller)'!$A9,9),'Concordance client liv et fact'!$A:$H,7,FALSE)+0,'Clients R2'!$A:$CY,30,FALSE))))</f>
        <v xml:space="preserve">Grace Hollogne                </v>
      </c>
      <c r="V9" t="str">
        <f>IF($A9="","",LEFT(UPPER(IF(ISERROR(VLOOKUP(LEFT('1) Import fichier Remi (coller)'!$A9,9),'Concordance client liv et fact'!$A:$H,8,FALSE))=TRUE,IF(VLOOKUP(LEFT('1) Import fichier Remi (coller)'!$A9,9)+0,'Clients R2'!$A:$CY,22,FALSE)=4,"NA",VLOOKUP(LEFT('1) Import fichier Remi (coller)'!$A9,9)+0,'Clients R2'!$A:$CY,3,FALSE)),IF(VLOOKUP(VLOOKUP(LEFT('1) Import fichier Remi (coller)'!$A9,9),'Concordance client liv et fact'!$A:$H,7,FALSE)+0,'Clients R2'!$A:$CY,22,FALSE)=4,"NA",VLOOKUP(VLOOKUP(LEFT('1) Import fichier Remi (coller)'!$A9,9),'Concordance client liv et fact'!$A:$H,7,FALSE)+0,'Clients R2'!$A:$CY,3,FALSE)))),2))</f>
        <v>BE</v>
      </c>
      <c r="W9" s="27"/>
      <c r="X9" s="27" t="str">
        <f>IF($A9="","",IF(ISERROR(VLOOKUP(LEFT('1) Import fichier Remi (coller)'!$A9,9),'Concordance client liv et fact'!$A:$H,8,FALSE))=TRUE,VLOOKUP(LEFT('1) Import fichier Remi (coller)'!$A9,9)+0,'Clients R2'!$A:$CY,102,FALSE),VLOOKUP(VLOOKUP(LEFT('1) Import fichier Remi (coller)'!$A9,9),'Concordance client liv et fact'!$A:$H,7,FALSE)+0,'Clients R2'!$A:$CY,102,FALSE)))</f>
        <v xml:space="preserve">invoicing@coutrez.be                    </v>
      </c>
      <c r="Y9" t="s">
        <v>8197</v>
      </c>
      <c r="Z9" t="str">
        <f>IF(A9="","",IF(OR(H9="705099999",H9="705001002"),VLOOKUP('1) Import fichier Remi (coller)'!J9,'Analytique personnel'!$A:$B,2,FALSE),""))</f>
        <v>BMELIN</v>
      </c>
      <c r="AA9" t="str">
        <f>IF($A9="VE11","",IF(LEFT($H9,4)="7050","",IF('1) Import fichier Remi (coller)'!M9="","",'1) Import fichier Remi (coller)'!M9)))</f>
        <v/>
      </c>
      <c r="AB9" t="str">
        <f>IF($A9="VE11","",IF(LEFT($H9,4)="7050","",IF('1) Import fichier Remi (coller)'!N9="","",'1) Import fichier Remi (coller)'!N9)))</f>
        <v/>
      </c>
      <c r="AC9" t="str">
        <f>IF(A9="","",VLOOKUP(LEFT('1) Import fichier Remi (coller)'!A9,9)+0,'Concordance Client R2 BOB'!$B:$C,2,FALSE))</f>
        <v>COUTREZSA</v>
      </c>
    </row>
    <row r="10" spans="1:29" ht="18.75" customHeight="1" x14ac:dyDescent="0.25">
      <c r="A10" t="str">
        <f>IF('1) Import fichier Remi (coller)'!D10="","",'1) Import fichier Remi (coller)'!D10)</f>
        <v>VE11</v>
      </c>
      <c r="B10">
        <f>IF(A10="","",YEAR('1) Import fichier Remi (coller)'!F10))</f>
        <v>2026</v>
      </c>
      <c r="C10">
        <f>IF(A10="","",MONTH('1) Import fichier Remi (coller)'!F10))</f>
        <v>9</v>
      </c>
      <c r="D10" s="1">
        <f>IF(A10="","",'1) Import fichier Remi (coller)'!F10)</f>
        <v>46281</v>
      </c>
      <c r="E10" s="1">
        <f>IF(A10="","",'1) Import fichier Remi (coller)'!G10)</f>
        <v>46281</v>
      </c>
      <c r="F10" t="str">
        <f>IF(A10="","",'1) Import fichier Remi (coller)'!E10)</f>
        <v>11261514</v>
      </c>
      <c r="G10" t="str">
        <f>IF(A10="","",IF(ISERROR(VLOOKUP(LEFT('1) Import fichier Remi (coller)'!A10,9),'Concordance client liv et fact'!$A:$H,8,FALSE))=TRUE,'1) Import fichier Remi (coller)'!B10,VLOOKUP(LEFT('1) Import fichier Remi (coller)'!A10,9),'Concordance client liv et fact'!$A:$H,8,FALSE)))</f>
        <v>DEL003</v>
      </c>
      <c r="H10" t="str">
        <f>IF(A10="","",IF(ISERROR(VLOOKUP('1) Import fichier Remi (coller)'!K10&amp;" - "&amp;'1) Import fichier Remi (coller)'!L10,'Spécifique comptes'!$A:$G,1,FALSE))=TRUE,'1) Import fichier Remi (coller)'!V10,VLOOKUP('1) Import fichier Remi (coller)'!K10&amp;" - "&amp;'1) Import fichier Remi (coller)'!L10,'Spécifique comptes'!$A:$G,IF(LEFT('2) BOB compta (completer-forcer'!F10,2)="11",4,IF(LEFT('2) BOB compta (completer-forcer'!F10,2)="12",5,IF(LEFT('2) BOB compta (completer-forcer'!F10,2)="13",6,IF(LEFT('2) BOB compta (completer-forcer'!F10,2)="15",7,"Erreur Compte")))),FALSE)))</f>
        <v>705099999</v>
      </c>
      <c r="I10" s="26" t="str">
        <f>IF(A10="","",IF(H10="70100000",'1) Import fichier Remi (coller)'!J10,'1) Import fichier Remi (coller)'!U10))</f>
        <v>+++003/7261/51431+++</v>
      </c>
      <c r="J10" s="26" t="str">
        <f>IF(A10="","",'1) Import fichier Remi (coller)'!U10)</f>
        <v>+++003/7261/51431+++</v>
      </c>
      <c r="K10" s="17">
        <f t="shared" si="1"/>
        <v>205.46</v>
      </c>
      <c r="L10" t="str">
        <f t="shared" si="2"/>
        <v>V</v>
      </c>
      <c r="M10" s="14">
        <f>IF(A10="","",'1) Import fichier Remi (coller)'!S10)</f>
        <v>21</v>
      </c>
      <c r="N10" s="17">
        <f>IF($A10="","",IF(OR($A10="NCV",$A10="NC15"),-'1) Import fichier Remi (coller)'!R10,'1) Import fichier Remi (coller)'!R10))</f>
        <v>47.5</v>
      </c>
      <c r="O10" s="17">
        <f>IF($A10="","",IF(OR($A10="NCV",$A10="NC15"),-'1) Import fichier Remi (coller)'!T10,'1) Import fichier Remi (coller)'!T10))</f>
        <v>9.98</v>
      </c>
      <c r="R10" t="str">
        <f>IF($A10="","",IF(ISERROR(VLOOKUP(LEFT('1) Import fichier Remi (coller)'!$A10,9),'Concordance client liv et fact'!$A:$H,8,FALSE))=TRUE,VLOOKUP(LEFT('1) Import fichier Remi (coller)'!$A10,9)+0,'Clients R2'!$A:$CY,2,FALSE),VLOOKUP(VLOOKUP(LEFT('1) Import fichier Remi (coller)'!$A10,9),'Concordance client liv et fact'!$A:$H,7,FALSE)+0,'Clients R2'!$A:$CY,2,FALSE)))</f>
        <v xml:space="preserve">DELHEZ COMBUSTIBLES    </v>
      </c>
      <c r="S10" t="str">
        <f>IF($A10="","",PROPER(IF(ISERROR(VLOOKUP(LEFT('1) Import fichier Remi (coller)'!$A10,9),'Concordance client liv et fact'!$A:$H,8,FALSE))=TRUE,VLOOKUP(LEFT('1) Import fichier Remi (coller)'!$A10,9)+0,'Clients R2'!$A:$CY,27,FALSE),VLOOKUP(VLOOKUP(LEFT('1) Import fichier Remi (coller)'!$A10,9),'Concordance client liv et fact'!$A:$H,7,FALSE)+0,'Clients R2'!$A:$CY,27,FALSE))))</f>
        <v xml:space="preserve">Route Du Chateau, 4                </v>
      </c>
      <c r="T10" t="str">
        <f>IF($A10="","",LEFT(UPPER(IF(ISERROR(VLOOKUP(LEFT('1) Import fichier Remi (coller)'!$A10,9),'Concordance client liv et fact'!$A:$H,8,FALSE))=TRUE,VLOOKUP(LEFT('1) Import fichier Remi (coller)'!$A10,9)+0,'Clients R2'!$A:$CY,28,FALSE),VLOOKUP(VLOOKUP(LEFT('1) Import fichier Remi (coller)'!$A10,9),'Concordance client liv et fact'!$A:$H,7,FALSE)+0,'Clients R2'!$A:$CY,28,FALSE))),2)&amp;UPPER(IF(ISERROR(VLOOKUP(LEFT('1) Import fichier Remi (coller)'!$A10,9),'Concordance client liv et fact'!$A:$H,8,FALSE))=TRUE,VLOOKUP(LEFT('1) Import fichier Remi (coller)'!$A10,9)+0,'Clients R2'!$A:$CY,29,FALSE),VLOOKUP(VLOOKUP(LEFT('1) Import fichier Remi (coller)'!$A10,9),'Concordance client liv et fact'!$A:$H,7,FALSE)+0,'Clients R2'!$A:$CY,29,FALSE))))</f>
        <v>B 4877</v>
      </c>
      <c r="U10" t="str">
        <f>IF($A10="","",PROPER(IF(ISERROR(VLOOKUP(LEFT('1) Import fichier Remi (coller)'!$A10,9),'Concordance client liv et fact'!$A:$H,8,FALSE))=TRUE,VLOOKUP(LEFT('1) Import fichier Remi (coller)'!$A10,9)+0,'Clients R2'!$A:$CY,30,FALSE),VLOOKUP(VLOOKUP(LEFT('1) Import fichier Remi (coller)'!$A10,9),'Concordance client liv et fact'!$A:$H,7,FALSE)+0,'Clients R2'!$A:$CY,30,FALSE))))</f>
        <v xml:space="preserve">Olne                          </v>
      </c>
      <c r="V10" t="str">
        <f>IF($A10="","",LEFT(UPPER(IF(ISERROR(VLOOKUP(LEFT('1) Import fichier Remi (coller)'!$A10,9),'Concordance client liv et fact'!$A:$H,8,FALSE))=TRUE,IF(VLOOKUP(LEFT('1) Import fichier Remi (coller)'!$A10,9)+0,'Clients R2'!$A:$CY,22,FALSE)=4,"NA",VLOOKUP(LEFT('1) Import fichier Remi (coller)'!$A10,9)+0,'Clients R2'!$A:$CY,3,FALSE)),IF(VLOOKUP(VLOOKUP(LEFT('1) Import fichier Remi (coller)'!$A10,9),'Concordance client liv et fact'!$A:$H,7,FALSE)+0,'Clients R2'!$A:$CY,22,FALSE)=4,"NA",VLOOKUP(VLOOKUP(LEFT('1) Import fichier Remi (coller)'!$A10,9),'Concordance client liv et fact'!$A:$H,7,FALSE)+0,'Clients R2'!$A:$CY,3,FALSE)))),2))</f>
        <v>BE</v>
      </c>
      <c r="W10" s="27"/>
      <c r="X10" s="27" t="str">
        <f>IF($A10="","",IF(ISERROR(VLOOKUP(LEFT('1) Import fichier Remi (coller)'!$A10,9),'Concordance client liv et fact'!$A:$H,8,FALSE))=TRUE,VLOOKUP(LEFT('1) Import fichier Remi (coller)'!$A10,9)+0,'Clients R2'!$A:$CY,102,FALSE),VLOOKUP(VLOOKUP(LEFT('1) Import fichier Remi (coller)'!$A10,9),'Concordance client liv et fact'!$A:$H,7,FALSE)+0,'Clients R2'!$A:$CY,102,FALSE)))</f>
        <v xml:space="preserve">info@delhez-combustibles.be             </v>
      </c>
      <c r="Y10" t="s">
        <v>8197</v>
      </c>
      <c r="Z10" t="str">
        <f>IF(A10="","",IF(OR(H10="705099999",H10="705001002"),VLOOKUP('1) Import fichier Remi (coller)'!J10,'Analytique personnel'!$A:$B,2,FALSE),""))</f>
        <v>MFONTAINE</v>
      </c>
      <c r="AA10" t="str">
        <f>IF($A10="VE11","",IF(LEFT($H10,4)="7050","",IF('1) Import fichier Remi (coller)'!M10="","",'1) Import fichier Remi (coller)'!M10)))</f>
        <v/>
      </c>
      <c r="AB10" t="str">
        <f>IF($A10="VE11","",IF(LEFT($H10,4)="7050","",IF('1) Import fichier Remi (coller)'!N10="","",'1) Import fichier Remi (coller)'!N10)))</f>
        <v/>
      </c>
      <c r="AC10" t="str">
        <f>IF(A10="","",VLOOKUP(LEFT('1) Import fichier Remi (coller)'!A10,9)+0,'Concordance Client R2 BOB'!$B:$C,2,FALSE))</f>
        <v>DEL003</v>
      </c>
    </row>
    <row r="11" spans="1:29" ht="18.75" customHeight="1" x14ac:dyDescent="0.25">
      <c r="A11" t="str">
        <f>IF('1) Import fichier Remi (coller)'!D11="","",'1) Import fichier Remi (coller)'!D11)</f>
        <v>VE11</v>
      </c>
      <c r="B11">
        <f>IF(A11="","",YEAR('1) Import fichier Remi (coller)'!F11))</f>
        <v>2026</v>
      </c>
      <c r="C11">
        <f>IF(A11="","",MONTH('1) Import fichier Remi (coller)'!F11))</f>
        <v>9</v>
      </c>
      <c r="D11" s="1">
        <f>IF(A11="","",'1) Import fichier Remi (coller)'!F11)</f>
        <v>46281</v>
      </c>
      <c r="E11" s="1">
        <f>IF(A11="","",'1) Import fichier Remi (coller)'!G11)</f>
        <v>46281</v>
      </c>
      <c r="F11" t="str">
        <f>IF(A11="","",'1) Import fichier Remi (coller)'!E11)</f>
        <v>11261514</v>
      </c>
      <c r="G11" t="str">
        <f>IF(A11="","",IF(ISERROR(VLOOKUP(LEFT('1) Import fichier Remi (coller)'!A11,9),'Concordance client liv et fact'!$A:$H,8,FALSE))=TRUE,'1) Import fichier Remi (coller)'!B11,VLOOKUP(LEFT('1) Import fichier Remi (coller)'!A11,9),'Concordance client liv et fact'!$A:$H,8,FALSE)))</f>
        <v>DEL003</v>
      </c>
      <c r="H11" t="str">
        <f>IF(A11="","",IF(ISERROR(VLOOKUP('1) Import fichier Remi (coller)'!K11&amp;" - "&amp;'1) Import fichier Remi (coller)'!L11,'Spécifique comptes'!$A:$G,1,FALSE))=TRUE,'1) Import fichier Remi (coller)'!V11,VLOOKUP('1) Import fichier Remi (coller)'!K11&amp;" - "&amp;'1) Import fichier Remi (coller)'!L11,'Spécifique comptes'!$A:$G,IF(LEFT('2) BOB compta (completer-forcer'!F11,2)="11",4,IF(LEFT('2) BOB compta (completer-forcer'!F11,2)="12",5,IF(LEFT('2) BOB compta (completer-forcer'!F11,2)="13",6,IF(LEFT('2) BOB compta (completer-forcer'!F11,2)="15",7,"Erreur Compte")))),FALSE)))</f>
        <v>705099999</v>
      </c>
      <c r="I11" s="26" t="str">
        <f>IF(A11="","",IF(H11="70100000",'1) Import fichier Remi (coller)'!J11,'1) Import fichier Remi (coller)'!U11))</f>
        <v>+++003/7261/51431+++</v>
      </c>
      <c r="J11" s="26" t="str">
        <f>IF(A11="","",'1) Import fichier Remi (coller)'!U11)</f>
        <v>+++003/7261/51431+++</v>
      </c>
      <c r="K11" s="17">
        <f t="shared" si="1"/>
        <v>205.46</v>
      </c>
      <c r="L11" t="str">
        <f t="shared" si="2"/>
        <v>V</v>
      </c>
      <c r="M11" s="14">
        <f>IF(A11="","",'1) Import fichier Remi (coller)'!S11)</f>
        <v>21</v>
      </c>
      <c r="N11" s="17">
        <f>IF($A11="","",IF(OR($A11="NCV",$A11="NC15"),-'1) Import fichier Remi (coller)'!R11,'1) Import fichier Remi (coller)'!R11))</f>
        <v>47.5</v>
      </c>
      <c r="O11" s="17">
        <f>IF($A11="","",IF(OR($A11="NCV",$A11="NC15"),-'1) Import fichier Remi (coller)'!T11,'1) Import fichier Remi (coller)'!T11))</f>
        <v>9.98</v>
      </c>
      <c r="R11" t="str">
        <f>IF($A11="","",IF(ISERROR(VLOOKUP(LEFT('1) Import fichier Remi (coller)'!$A11,9),'Concordance client liv et fact'!$A:$H,8,FALSE))=TRUE,VLOOKUP(LEFT('1) Import fichier Remi (coller)'!$A11,9)+0,'Clients R2'!$A:$CY,2,FALSE),VLOOKUP(VLOOKUP(LEFT('1) Import fichier Remi (coller)'!$A11,9),'Concordance client liv et fact'!$A:$H,7,FALSE)+0,'Clients R2'!$A:$CY,2,FALSE)))</f>
        <v xml:space="preserve">DELHEZ COMBUSTIBLES    </v>
      </c>
      <c r="S11" t="str">
        <f>IF($A11="","",PROPER(IF(ISERROR(VLOOKUP(LEFT('1) Import fichier Remi (coller)'!$A11,9),'Concordance client liv et fact'!$A:$H,8,FALSE))=TRUE,VLOOKUP(LEFT('1) Import fichier Remi (coller)'!$A11,9)+0,'Clients R2'!$A:$CY,27,FALSE),VLOOKUP(VLOOKUP(LEFT('1) Import fichier Remi (coller)'!$A11,9),'Concordance client liv et fact'!$A:$H,7,FALSE)+0,'Clients R2'!$A:$CY,27,FALSE))))</f>
        <v xml:space="preserve">Route Du Chateau, 4                </v>
      </c>
      <c r="T11" t="str">
        <f>IF($A11="","",LEFT(UPPER(IF(ISERROR(VLOOKUP(LEFT('1) Import fichier Remi (coller)'!$A11,9),'Concordance client liv et fact'!$A:$H,8,FALSE))=TRUE,VLOOKUP(LEFT('1) Import fichier Remi (coller)'!$A11,9)+0,'Clients R2'!$A:$CY,28,FALSE),VLOOKUP(VLOOKUP(LEFT('1) Import fichier Remi (coller)'!$A11,9),'Concordance client liv et fact'!$A:$H,7,FALSE)+0,'Clients R2'!$A:$CY,28,FALSE))),2)&amp;UPPER(IF(ISERROR(VLOOKUP(LEFT('1) Import fichier Remi (coller)'!$A11,9),'Concordance client liv et fact'!$A:$H,8,FALSE))=TRUE,VLOOKUP(LEFT('1) Import fichier Remi (coller)'!$A11,9)+0,'Clients R2'!$A:$CY,29,FALSE),VLOOKUP(VLOOKUP(LEFT('1) Import fichier Remi (coller)'!$A11,9),'Concordance client liv et fact'!$A:$H,7,FALSE)+0,'Clients R2'!$A:$CY,29,FALSE))))</f>
        <v>B 4877</v>
      </c>
      <c r="U11" t="str">
        <f>IF($A11="","",PROPER(IF(ISERROR(VLOOKUP(LEFT('1) Import fichier Remi (coller)'!$A11,9),'Concordance client liv et fact'!$A:$H,8,FALSE))=TRUE,VLOOKUP(LEFT('1) Import fichier Remi (coller)'!$A11,9)+0,'Clients R2'!$A:$CY,30,FALSE),VLOOKUP(VLOOKUP(LEFT('1) Import fichier Remi (coller)'!$A11,9),'Concordance client liv et fact'!$A:$H,7,FALSE)+0,'Clients R2'!$A:$CY,30,FALSE))))</f>
        <v xml:space="preserve">Olne                          </v>
      </c>
      <c r="V11" t="str">
        <f>IF($A11="","",LEFT(UPPER(IF(ISERROR(VLOOKUP(LEFT('1) Import fichier Remi (coller)'!$A11,9),'Concordance client liv et fact'!$A:$H,8,FALSE))=TRUE,IF(VLOOKUP(LEFT('1) Import fichier Remi (coller)'!$A11,9)+0,'Clients R2'!$A:$CY,22,FALSE)=4,"NA",VLOOKUP(LEFT('1) Import fichier Remi (coller)'!$A11,9)+0,'Clients R2'!$A:$CY,3,FALSE)),IF(VLOOKUP(VLOOKUP(LEFT('1) Import fichier Remi (coller)'!$A11,9),'Concordance client liv et fact'!$A:$H,7,FALSE)+0,'Clients R2'!$A:$CY,22,FALSE)=4,"NA",VLOOKUP(VLOOKUP(LEFT('1) Import fichier Remi (coller)'!$A11,9),'Concordance client liv et fact'!$A:$H,7,FALSE)+0,'Clients R2'!$A:$CY,3,FALSE)))),2))</f>
        <v>BE</v>
      </c>
      <c r="W11" s="27"/>
      <c r="X11" s="27" t="str">
        <f>IF($A11="","",IF(ISERROR(VLOOKUP(LEFT('1) Import fichier Remi (coller)'!$A11,9),'Concordance client liv et fact'!$A:$H,8,FALSE))=TRUE,VLOOKUP(LEFT('1) Import fichier Remi (coller)'!$A11,9)+0,'Clients R2'!$A:$CY,102,FALSE),VLOOKUP(VLOOKUP(LEFT('1) Import fichier Remi (coller)'!$A11,9),'Concordance client liv et fact'!$A:$H,7,FALSE)+0,'Clients R2'!$A:$CY,102,FALSE)))</f>
        <v xml:space="preserve">info@delhez-combustibles.be             </v>
      </c>
      <c r="Y11" t="s">
        <v>8197</v>
      </c>
      <c r="Z11" t="str">
        <f>IF(A11="","",IF(OR(H11="705099999",H11="705001002"),VLOOKUP('1) Import fichier Remi (coller)'!J11,'Analytique personnel'!$A:$B,2,FALSE),""))</f>
        <v>GDUHOUX</v>
      </c>
      <c r="AA11" t="str">
        <f>IF($A11="VE11","",IF(LEFT($H11,4)="7050","",IF('1) Import fichier Remi (coller)'!M11="","",'1) Import fichier Remi (coller)'!M11)))</f>
        <v/>
      </c>
      <c r="AB11" t="str">
        <f>IF($A11="VE11","",IF(LEFT($H11,4)="7050","",IF('1) Import fichier Remi (coller)'!N11="","",'1) Import fichier Remi (coller)'!N11)))</f>
        <v/>
      </c>
      <c r="AC11" t="str">
        <f>IF(A11="","",VLOOKUP(LEFT('1) Import fichier Remi (coller)'!A11,9)+0,'Concordance Client R2 BOB'!$B:$C,2,FALSE))</f>
        <v>DEL003</v>
      </c>
    </row>
    <row r="12" spans="1:29" ht="18.75" customHeight="1" x14ac:dyDescent="0.25">
      <c r="A12" t="str">
        <f>IF('1) Import fichier Remi (coller)'!D12="","",'1) Import fichier Remi (coller)'!D12)</f>
        <v>VE11</v>
      </c>
      <c r="B12">
        <f>IF(A12="","",YEAR('1) Import fichier Remi (coller)'!F12))</f>
        <v>2026</v>
      </c>
      <c r="C12">
        <f>IF(A12="","",MONTH('1) Import fichier Remi (coller)'!F12))</f>
        <v>9</v>
      </c>
      <c r="D12" s="1">
        <f>IF(A12="","",'1) Import fichier Remi (coller)'!F12)</f>
        <v>46281</v>
      </c>
      <c r="E12" s="1">
        <f>IF(A12="","",'1) Import fichier Remi (coller)'!G12)</f>
        <v>46281</v>
      </c>
      <c r="F12" t="str">
        <f>IF(A12="","",'1) Import fichier Remi (coller)'!E12)</f>
        <v>11261514</v>
      </c>
      <c r="G12" t="str">
        <f>IF(A12="","",IF(ISERROR(VLOOKUP(LEFT('1) Import fichier Remi (coller)'!A12,9),'Concordance client liv et fact'!$A:$H,8,FALSE))=TRUE,'1) Import fichier Remi (coller)'!B12,VLOOKUP(LEFT('1) Import fichier Remi (coller)'!A12,9),'Concordance client liv et fact'!$A:$H,8,FALSE)))</f>
        <v>DEL003</v>
      </c>
      <c r="H12" t="str">
        <f>IF(A12="","",IF(ISERROR(VLOOKUP('1) Import fichier Remi (coller)'!K12&amp;" - "&amp;'1) Import fichier Remi (coller)'!L12,'Spécifique comptes'!$A:$G,1,FALSE))=TRUE,'1) Import fichier Remi (coller)'!V12,VLOOKUP('1) Import fichier Remi (coller)'!K12&amp;" - "&amp;'1) Import fichier Remi (coller)'!L12,'Spécifique comptes'!$A:$G,IF(LEFT('2) BOB compta (completer-forcer'!F12,2)="11",4,IF(LEFT('2) BOB compta (completer-forcer'!F12,2)="12",5,IF(LEFT('2) BOB compta (completer-forcer'!F12,2)="13",6,IF(LEFT('2) BOB compta (completer-forcer'!F12,2)="15",7,"Erreur Compte")))),FALSE)))</f>
        <v>705001002</v>
      </c>
      <c r="I12" s="26" t="str">
        <f>IF(A12="","",IF(H12="70100000",'1) Import fichier Remi (coller)'!J12,'1) Import fichier Remi (coller)'!U12))</f>
        <v>+++003/7261/51431+++</v>
      </c>
      <c r="J12" s="26" t="str">
        <f>IF(A12="","",'1) Import fichier Remi (coller)'!U12)</f>
        <v>+++003/7261/51431+++</v>
      </c>
      <c r="K12" s="17">
        <f t="shared" si="1"/>
        <v>205.46</v>
      </c>
      <c r="L12" t="str">
        <f t="shared" si="2"/>
        <v>V</v>
      </c>
      <c r="M12" s="14">
        <f>IF(A12="","",'1) Import fichier Remi (coller)'!S12)</f>
        <v>21</v>
      </c>
      <c r="N12" s="17">
        <f>IF($A12="","",IF(OR($A12="NCV",$A12="NC15"),-'1) Import fichier Remi (coller)'!R12,'1) Import fichier Remi (coller)'!R12))</f>
        <v>74.8</v>
      </c>
      <c r="O12" s="17">
        <f>IF($A12="","",IF(OR($A12="NCV",$A12="NC15"),-'1) Import fichier Remi (coller)'!T12,'1) Import fichier Remi (coller)'!T12))</f>
        <v>15.7</v>
      </c>
      <c r="R12" t="str">
        <f>IF($A12="","",IF(ISERROR(VLOOKUP(LEFT('1) Import fichier Remi (coller)'!$A12,9),'Concordance client liv et fact'!$A:$H,8,FALSE))=TRUE,VLOOKUP(LEFT('1) Import fichier Remi (coller)'!$A12,9)+0,'Clients R2'!$A:$CY,2,FALSE),VLOOKUP(VLOOKUP(LEFT('1) Import fichier Remi (coller)'!$A12,9),'Concordance client liv et fact'!$A:$H,7,FALSE)+0,'Clients R2'!$A:$CY,2,FALSE)))</f>
        <v xml:space="preserve">DELHEZ COMBUSTIBLES    </v>
      </c>
      <c r="S12" t="str">
        <f>IF($A12="","",PROPER(IF(ISERROR(VLOOKUP(LEFT('1) Import fichier Remi (coller)'!$A12,9),'Concordance client liv et fact'!$A:$H,8,FALSE))=TRUE,VLOOKUP(LEFT('1) Import fichier Remi (coller)'!$A12,9)+0,'Clients R2'!$A:$CY,27,FALSE),VLOOKUP(VLOOKUP(LEFT('1) Import fichier Remi (coller)'!$A12,9),'Concordance client liv et fact'!$A:$H,7,FALSE)+0,'Clients R2'!$A:$CY,27,FALSE))))</f>
        <v xml:space="preserve">Route Du Chateau, 4                </v>
      </c>
      <c r="T12" t="str">
        <f>IF($A12="","",LEFT(UPPER(IF(ISERROR(VLOOKUP(LEFT('1) Import fichier Remi (coller)'!$A12,9),'Concordance client liv et fact'!$A:$H,8,FALSE))=TRUE,VLOOKUP(LEFT('1) Import fichier Remi (coller)'!$A12,9)+0,'Clients R2'!$A:$CY,28,FALSE),VLOOKUP(VLOOKUP(LEFT('1) Import fichier Remi (coller)'!$A12,9),'Concordance client liv et fact'!$A:$H,7,FALSE)+0,'Clients R2'!$A:$CY,28,FALSE))),2)&amp;UPPER(IF(ISERROR(VLOOKUP(LEFT('1) Import fichier Remi (coller)'!$A12,9),'Concordance client liv et fact'!$A:$H,8,FALSE))=TRUE,VLOOKUP(LEFT('1) Import fichier Remi (coller)'!$A12,9)+0,'Clients R2'!$A:$CY,29,FALSE),VLOOKUP(VLOOKUP(LEFT('1) Import fichier Remi (coller)'!$A12,9),'Concordance client liv et fact'!$A:$H,7,FALSE)+0,'Clients R2'!$A:$CY,29,FALSE))))</f>
        <v>B 4877</v>
      </c>
      <c r="U12" t="str">
        <f>IF($A12="","",PROPER(IF(ISERROR(VLOOKUP(LEFT('1) Import fichier Remi (coller)'!$A12,9),'Concordance client liv et fact'!$A:$H,8,FALSE))=TRUE,VLOOKUP(LEFT('1) Import fichier Remi (coller)'!$A12,9)+0,'Clients R2'!$A:$CY,30,FALSE),VLOOKUP(VLOOKUP(LEFT('1) Import fichier Remi (coller)'!$A12,9),'Concordance client liv et fact'!$A:$H,7,FALSE)+0,'Clients R2'!$A:$CY,30,FALSE))))</f>
        <v xml:space="preserve">Olne                          </v>
      </c>
      <c r="V12" t="str">
        <f>IF($A12="","",LEFT(UPPER(IF(ISERROR(VLOOKUP(LEFT('1) Import fichier Remi (coller)'!$A12,9),'Concordance client liv et fact'!$A:$H,8,FALSE))=TRUE,IF(VLOOKUP(LEFT('1) Import fichier Remi (coller)'!$A12,9)+0,'Clients R2'!$A:$CY,22,FALSE)=4,"NA",VLOOKUP(LEFT('1) Import fichier Remi (coller)'!$A12,9)+0,'Clients R2'!$A:$CY,3,FALSE)),IF(VLOOKUP(VLOOKUP(LEFT('1) Import fichier Remi (coller)'!$A12,9),'Concordance client liv et fact'!$A:$H,7,FALSE)+0,'Clients R2'!$A:$CY,22,FALSE)=4,"NA",VLOOKUP(VLOOKUP(LEFT('1) Import fichier Remi (coller)'!$A12,9),'Concordance client liv et fact'!$A:$H,7,FALSE)+0,'Clients R2'!$A:$CY,3,FALSE)))),2))</f>
        <v>BE</v>
      </c>
      <c r="W12" s="27"/>
      <c r="X12" s="27" t="str">
        <f>IF($A12="","",IF(ISERROR(VLOOKUP(LEFT('1) Import fichier Remi (coller)'!$A12,9),'Concordance client liv et fact'!$A:$H,8,FALSE))=TRUE,VLOOKUP(LEFT('1) Import fichier Remi (coller)'!$A12,9)+0,'Clients R2'!$A:$CY,102,FALSE),VLOOKUP(VLOOKUP(LEFT('1) Import fichier Remi (coller)'!$A12,9),'Concordance client liv et fact'!$A:$H,7,FALSE)+0,'Clients R2'!$A:$CY,102,FALSE)))</f>
        <v xml:space="preserve">info@delhez-combustibles.be             </v>
      </c>
      <c r="Y12" t="s">
        <v>8197</v>
      </c>
      <c r="Z12" t="s">
        <v>7752</v>
      </c>
      <c r="AA12" t="str">
        <f>IF($A12="VE11","",IF(LEFT($H12,4)="7050","",IF('1) Import fichier Remi (coller)'!M12="","",'1) Import fichier Remi (coller)'!M12)))</f>
        <v/>
      </c>
      <c r="AB12" t="str">
        <f>IF($A12="VE11","",IF(LEFT($H12,4)="7050","",IF('1) Import fichier Remi (coller)'!N12="","",'1) Import fichier Remi (coller)'!N12)))</f>
        <v/>
      </c>
      <c r="AC12" t="str">
        <f>IF(A12="","",VLOOKUP(LEFT('1) Import fichier Remi (coller)'!A12,9)+0,'Concordance Client R2 BOB'!$B:$C,2,FALSE))</f>
        <v>DEL003</v>
      </c>
    </row>
    <row r="13" spans="1:29" ht="18.75" customHeight="1" x14ac:dyDescent="0.25">
      <c r="A13" t="str">
        <f>IF('1) Import fichier Remi (coller)'!D13="","",'1) Import fichier Remi (coller)'!D13)</f>
        <v>VE11</v>
      </c>
      <c r="B13">
        <f>IF(A13="","",YEAR('1) Import fichier Remi (coller)'!F13))</f>
        <v>2026</v>
      </c>
      <c r="C13">
        <f>IF(A13="","",MONTH('1) Import fichier Remi (coller)'!F13))</f>
        <v>9</v>
      </c>
      <c r="D13" s="1">
        <f>IF(A13="","",'1) Import fichier Remi (coller)'!F13)</f>
        <v>46281</v>
      </c>
      <c r="E13" s="1">
        <f>IF(A13="","",'1) Import fichier Remi (coller)'!G13)</f>
        <v>46281</v>
      </c>
      <c r="F13" t="str">
        <f>IF(A13="","",'1) Import fichier Remi (coller)'!E13)</f>
        <v>11261515</v>
      </c>
      <c r="G13" t="str">
        <f>IF(A13="","",IF(ISERROR(VLOOKUP(LEFT('1) Import fichier Remi (coller)'!A13,9),'Concordance client liv et fact'!$A:$H,8,FALSE))=TRUE,'1) Import fichier Remi (coller)'!B13,VLOOKUP(LEFT('1) Import fichier Remi (coller)'!A13,9),'Concordance client liv et fact'!$A:$H,8,FALSE)))</f>
        <v>EUROBOIS</v>
      </c>
      <c r="H13" t="str">
        <f>IF(A13="","",IF(ISERROR(VLOOKUP('1) Import fichier Remi (coller)'!K13&amp;" - "&amp;'1) Import fichier Remi (coller)'!L13,'Spécifique comptes'!$A:$G,1,FALSE))=TRUE,'1) Import fichier Remi (coller)'!V13,VLOOKUP('1) Import fichier Remi (coller)'!K13&amp;" - "&amp;'1) Import fichier Remi (coller)'!L13,'Spécifique comptes'!$A:$G,IF(LEFT('2) BOB compta (completer-forcer'!F13,2)="11",4,IF(LEFT('2) BOB compta (completer-forcer'!F13,2)="12",5,IF(LEFT('2) BOB compta (completer-forcer'!F13,2)="13",6,IF(LEFT('2) BOB compta (completer-forcer'!F13,2)="15",7,"Erreur Compte")))),FALSE)))</f>
        <v>705099999</v>
      </c>
      <c r="I13" s="26" t="str">
        <f>IF(A13="","",IF(H13="70100000",'1) Import fichier Remi (coller)'!J13,'1) Import fichier Remi (coller)'!U13))</f>
        <v>+++003/7261/51532+++</v>
      </c>
      <c r="J13" s="26" t="str">
        <f>IF(A13="","",'1) Import fichier Remi (coller)'!U13)</f>
        <v>+++003/7261/51532+++</v>
      </c>
      <c r="K13" s="17">
        <f t="shared" si="1"/>
        <v>28.740000000000002</v>
      </c>
      <c r="L13" t="str">
        <f t="shared" si="2"/>
        <v>V</v>
      </c>
      <c r="M13" s="14">
        <f>IF(A13="","",'1) Import fichier Remi (coller)'!S13)</f>
        <v>21</v>
      </c>
      <c r="N13" s="17">
        <f>IF($A13="","",IF(OR($A13="NCV",$A13="NC15"),-'1) Import fichier Remi (coller)'!R13,'1) Import fichier Remi (coller)'!R13))</f>
        <v>23.75</v>
      </c>
      <c r="O13" s="17">
        <f>IF($A13="","",IF(OR($A13="NCV",$A13="NC15"),-'1) Import fichier Remi (coller)'!T13,'1) Import fichier Remi (coller)'!T13))</f>
        <v>4.99</v>
      </c>
      <c r="R13" t="str">
        <f>IF($A13="","",IF(ISERROR(VLOOKUP(LEFT('1) Import fichier Remi (coller)'!$A13,9),'Concordance client liv et fact'!$A:$H,8,FALSE))=TRUE,VLOOKUP(LEFT('1) Import fichier Remi (coller)'!$A13,9)+0,'Clients R2'!$A:$CY,2,FALSE),VLOOKUP(VLOOKUP(LEFT('1) Import fichier Remi (coller)'!$A13,9),'Concordance client liv et fact'!$A:$H,7,FALSE)+0,'Clients R2'!$A:$CY,2,FALSE)))</f>
        <v xml:space="preserve">EUROBOIS SA            </v>
      </c>
      <c r="S13" t="str">
        <f>IF($A13="","",PROPER(IF(ISERROR(VLOOKUP(LEFT('1) Import fichier Remi (coller)'!$A13,9),'Concordance client liv et fact'!$A:$H,8,FALSE))=TRUE,VLOOKUP(LEFT('1) Import fichier Remi (coller)'!$A13,9)+0,'Clients R2'!$A:$CY,27,FALSE),VLOOKUP(VLOOKUP(LEFT('1) Import fichier Remi (coller)'!$A13,9),'Concordance client liv et fact'!$A:$H,7,FALSE)+0,'Clients R2'!$A:$CY,27,FALSE))))</f>
        <v xml:space="preserve">Prolongement Rue De L'Abbaye 30    </v>
      </c>
      <c r="T13" t="str">
        <f>IF($A13="","",LEFT(UPPER(IF(ISERROR(VLOOKUP(LEFT('1) Import fichier Remi (coller)'!$A13,9),'Concordance client liv et fact'!$A:$H,8,FALSE))=TRUE,VLOOKUP(LEFT('1) Import fichier Remi (coller)'!$A13,9)+0,'Clients R2'!$A:$CY,28,FALSE),VLOOKUP(VLOOKUP(LEFT('1) Import fichier Remi (coller)'!$A13,9),'Concordance client liv et fact'!$A:$H,7,FALSE)+0,'Clients R2'!$A:$CY,28,FALSE))),2)&amp;UPPER(IF(ISERROR(VLOOKUP(LEFT('1) Import fichier Remi (coller)'!$A13,9),'Concordance client liv et fact'!$A:$H,8,FALSE))=TRUE,VLOOKUP(LEFT('1) Import fichier Remi (coller)'!$A13,9)+0,'Clients R2'!$A:$CY,29,FALSE),VLOOKUP(VLOOKUP(LEFT('1) Import fichier Remi (coller)'!$A13,9),'Concordance client liv et fact'!$A:$H,7,FALSE)+0,'Clients R2'!$A:$CY,29,FALSE))))</f>
        <v>B 4040</v>
      </c>
      <c r="U13" t="str">
        <f>IF($A13="","",PROPER(IF(ISERROR(VLOOKUP(LEFT('1) Import fichier Remi (coller)'!$A13,9),'Concordance client liv et fact'!$A:$H,8,FALSE))=TRUE,VLOOKUP(LEFT('1) Import fichier Remi (coller)'!$A13,9)+0,'Clients R2'!$A:$CY,30,FALSE),VLOOKUP(VLOOKUP(LEFT('1) Import fichier Remi (coller)'!$A13,9),'Concordance client liv et fact'!$A:$H,7,FALSE)+0,'Clients R2'!$A:$CY,30,FALSE))))</f>
        <v xml:space="preserve">Herstal                       </v>
      </c>
      <c r="V13" t="str">
        <f>IF($A13="","",LEFT(UPPER(IF(ISERROR(VLOOKUP(LEFT('1) Import fichier Remi (coller)'!$A13,9),'Concordance client liv et fact'!$A:$H,8,FALSE))=TRUE,IF(VLOOKUP(LEFT('1) Import fichier Remi (coller)'!$A13,9)+0,'Clients R2'!$A:$CY,22,FALSE)=4,"NA",VLOOKUP(LEFT('1) Import fichier Remi (coller)'!$A13,9)+0,'Clients R2'!$A:$CY,3,FALSE)),IF(VLOOKUP(VLOOKUP(LEFT('1) Import fichier Remi (coller)'!$A13,9),'Concordance client liv et fact'!$A:$H,7,FALSE)+0,'Clients R2'!$A:$CY,22,FALSE)=4,"NA",VLOOKUP(VLOOKUP(LEFT('1) Import fichier Remi (coller)'!$A13,9),'Concordance client liv et fact'!$A:$H,7,FALSE)+0,'Clients R2'!$A:$CY,3,FALSE)))),2))</f>
        <v>BE</v>
      </c>
      <c r="W13" s="27"/>
      <c r="X13" s="27" t="str">
        <f>IF($A13="","",IF(ISERROR(VLOOKUP(LEFT('1) Import fichier Remi (coller)'!$A13,9),'Concordance client liv et fact'!$A:$H,8,FALSE))=TRUE,VLOOKUP(LEFT('1) Import fichier Remi (coller)'!$A13,9)+0,'Clients R2'!$A:$CY,102,FALSE),VLOOKUP(VLOOKUP(LEFT('1) Import fichier Remi (coller)'!$A13,9),'Concordance client liv et fact'!$A:$H,7,FALSE)+0,'Clients R2'!$A:$CY,102,FALSE)))</f>
        <v xml:space="preserve">eurobois@skynet.be                      </v>
      </c>
      <c r="Y13" t="s">
        <v>8197</v>
      </c>
      <c r="Z13" t="str">
        <f>IF(A13="","",IF(OR(H13="705099999",H13="705001002"),VLOOKUP('1) Import fichier Remi (coller)'!J13,'Analytique personnel'!$A:$B,2,FALSE),""))</f>
        <v>GDUHOUX</v>
      </c>
      <c r="AA13" t="str">
        <f>IF($A13="VE11","",IF(LEFT($H13,4)="7050","",IF('1) Import fichier Remi (coller)'!M13="","",'1) Import fichier Remi (coller)'!M13)))</f>
        <v/>
      </c>
      <c r="AB13" t="str">
        <f>IF($A13="VE11","",IF(LEFT($H13,4)="7050","",IF('1) Import fichier Remi (coller)'!N13="","",'1) Import fichier Remi (coller)'!N13)))</f>
        <v/>
      </c>
      <c r="AC13" t="str">
        <f>IF(A13="","",VLOOKUP(LEFT('1) Import fichier Remi (coller)'!A13,9)+0,'Concordance Client R2 BOB'!$B:$C,2,FALSE))</f>
        <v>EUROBOIS</v>
      </c>
    </row>
    <row r="14" spans="1:29" ht="18.75" customHeight="1" x14ac:dyDescent="0.25">
      <c r="A14" t="str">
        <f>IF('1) Import fichier Remi (coller)'!D14="","",'1) Import fichier Remi (coller)'!D14)</f>
        <v>VE11</v>
      </c>
      <c r="B14">
        <f>IF(A14="","",YEAR('1) Import fichier Remi (coller)'!F14))</f>
        <v>2026</v>
      </c>
      <c r="C14">
        <f>IF(A14="","",MONTH('1) Import fichier Remi (coller)'!F14))</f>
        <v>9</v>
      </c>
      <c r="D14" s="1">
        <f>IF(A14="","",'1) Import fichier Remi (coller)'!F14)</f>
        <v>46281</v>
      </c>
      <c r="E14" s="1">
        <f>IF(A14="","",'1) Import fichier Remi (coller)'!G14)</f>
        <v>46311</v>
      </c>
      <c r="F14" t="str">
        <f>IF(A14="","",'1) Import fichier Remi (coller)'!E14)</f>
        <v>11261516</v>
      </c>
      <c r="G14" t="str">
        <f>IF(A14="","",IF(ISERROR(VLOOKUP(LEFT('1) Import fichier Remi (coller)'!A14,9),'Concordance client liv et fact'!$A:$H,8,FALSE))=TRUE,'1) Import fichier Remi (coller)'!B14,VLOOKUP(LEFT('1) Import fichier Remi (coller)'!A14,9),'Concordance client liv et fact'!$A:$H,8,FALSE)))</f>
        <v>UPI000</v>
      </c>
      <c r="H14">
        <f>IF(A14="","",IF(ISERROR(VLOOKUP('1) Import fichier Remi (coller)'!K14&amp;" - "&amp;'1) Import fichier Remi (coller)'!L14,'Spécifique comptes'!$A:$G,1,FALSE))=TRUE,'1) Import fichier Remi (coller)'!V14,VLOOKUP('1) Import fichier Remi (coller)'!K14&amp;" - "&amp;'1) Import fichier Remi (coller)'!L14,'Spécifique comptes'!$A:$G,IF(LEFT('2) BOB compta (completer-forcer'!F14,2)="11",4,IF(LEFT('2) BOB compta (completer-forcer'!F14,2)="12",5,IF(LEFT('2) BOB compta (completer-forcer'!F14,2)="13",6,IF(LEFT('2) BOB compta (completer-forcer'!F14,2)="15",7,"Erreur Compte")))),FALSE)))</f>
        <v>704119000</v>
      </c>
      <c r="I14" s="26" t="str">
        <f>IF(A14="","",IF(H14="70100000",'1) Import fichier Remi (coller)'!J14,'1) Import fichier Remi (coller)'!U14))</f>
        <v>+++003/7261/51633+++</v>
      </c>
      <c r="J14" s="26" t="str">
        <f>IF(A14="","",'1) Import fichier Remi (coller)'!U14)</f>
        <v>+++003/7261/51633+++</v>
      </c>
      <c r="K14" s="17">
        <f t="shared" si="1"/>
        <v>72.599999999999994</v>
      </c>
      <c r="L14" t="str">
        <f t="shared" si="2"/>
        <v>V</v>
      </c>
      <c r="M14" s="14">
        <f>IF(A14="","",'1) Import fichier Remi (coller)'!S14)</f>
        <v>21</v>
      </c>
      <c r="N14" s="17">
        <f>IF($A14="","",IF(OR($A14="NCV",$A14="NC15"),-'1) Import fichier Remi (coller)'!R14,'1) Import fichier Remi (coller)'!R14))</f>
        <v>60</v>
      </c>
      <c r="O14" s="17">
        <f>IF($A14="","",IF(OR($A14="NCV",$A14="NC15"),-'1) Import fichier Remi (coller)'!T14,'1) Import fichier Remi (coller)'!T14))</f>
        <v>12.6</v>
      </c>
      <c r="R14" t="str">
        <f>IF($A14="","",IF(ISERROR(VLOOKUP(LEFT('1) Import fichier Remi (coller)'!$A14,9),'Concordance client liv et fact'!$A:$H,8,FALSE))=TRUE,VLOOKUP(LEFT('1) Import fichier Remi (coller)'!$A14,9)+0,'Clients R2'!$A:$CY,2,FALSE),VLOOKUP(VLOOKUP(LEFT('1) Import fichier Remi (coller)'!$A14,9),'Concordance client liv et fact'!$A:$H,7,FALSE)+0,'Clients R2'!$A:$CY,2,FALSE)))</f>
        <v xml:space="preserve">UPIGNAC SA             </v>
      </c>
      <c r="S14" t="str">
        <f>IF($A14="","",PROPER(IF(ISERROR(VLOOKUP(LEFT('1) Import fichier Remi (coller)'!$A14,9),'Concordance client liv et fact'!$A:$H,8,FALSE))=TRUE,VLOOKUP(LEFT('1) Import fichier Remi (coller)'!$A14,9)+0,'Clients R2'!$A:$CY,27,FALSE),VLOOKUP(VLOOKUP(LEFT('1) Import fichier Remi (coller)'!$A14,9),'Concordance client liv et fact'!$A:$H,7,FALSE)+0,'Clients R2'!$A:$CY,27,FALSE))))</f>
        <v xml:space="preserve">Rue De Frise 97                    </v>
      </c>
      <c r="T14" t="str">
        <f>IF($A14="","",LEFT(UPPER(IF(ISERROR(VLOOKUP(LEFT('1) Import fichier Remi (coller)'!$A14,9),'Concordance client liv et fact'!$A:$H,8,FALSE))=TRUE,VLOOKUP(LEFT('1) Import fichier Remi (coller)'!$A14,9)+0,'Clients R2'!$A:$CY,28,FALSE),VLOOKUP(VLOOKUP(LEFT('1) Import fichier Remi (coller)'!$A14,9),'Concordance client liv et fact'!$A:$H,7,FALSE)+0,'Clients R2'!$A:$CY,28,FALSE))),2)&amp;UPPER(IF(ISERROR(VLOOKUP(LEFT('1) Import fichier Remi (coller)'!$A14,9),'Concordance client liv et fact'!$A:$H,8,FALSE))=TRUE,VLOOKUP(LEFT('1) Import fichier Remi (coller)'!$A14,9)+0,'Clients R2'!$A:$CY,29,FALSE),VLOOKUP(VLOOKUP(LEFT('1) Import fichier Remi (coller)'!$A14,9),'Concordance client liv et fact'!$A:$H,7,FALSE)+0,'Clients R2'!$A:$CY,29,FALSE))))</f>
        <v>B 5310</v>
      </c>
      <c r="U14" t="str">
        <f>IF($A14="","",PROPER(IF(ISERROR(VLOOKUP(LEFT('1) Import fichier Remi (coller)'!$A14,9),'Concordance client liv et fact'!$A:$H,8,FALSE))=TRUE,VLOOKUP(LEFT('1) Import fichier Remi (coller)'!$A14,9)+0,'Clients R2'!$A:$CY,30,FALSE),VLOOKUP(VLOOKUP(LEFT('1) Import fichier Remi (coller)'!$A14,9),'Concordance client liv et fact'!$A:$H,7,FALSE)+0,'Clients R2'!$A:$CY,30,FALSE))))</f>
        <v xml:space="preserve">Upigny                        </v>
      </c>
      <c r="V14" t="str">
        <f>IF($A14="","",LEFT(UPPER(IF(ISERROR(VLOOKUP(LEFT('1) Import fichier Remi (coller)'!$A14,9),'Concordance client liv et fact'!$A:$H,8,FALSE))=TRUE,IF(VLOOKUP(LEFT('1) Import fichier Remi (coller)'!$A14,9)+0,'Clients R2'!$A:$CY,22,FALSE)=4,"NA",VLOOKUP(LEFT('1) Import fichier Remi (coller)'!$A14,9)+0,'Clients R2'!$A:$CY,3,FALSE)),IF(VLOOKUP(VLOOKUP(LEFT('1) Import fichier Remi (coller)'!$A14,9),'Concordance client liv et fact'!$A:$H,7,FALSE)+0,'Clients R2'!$A:$CY,22,FALSE)=4,"NA",VLOOKUP(VLOOKUP(LEFT('1) Import fichier Remi (coller)'!$A14,9),'Concordance client liv et fact'!$A:$H,7,FALSE)+0,'Clients R2'!$A:$CY,3,FALSE)))),2))</f>
        <v>BE</v>
      </c>
      <c r="W14" s="27"/>
      <c r="X14" s="27" t="str">
        <f>IF($A14="","",IF(ISERROR(VLOOKUP(LEFT('1) Import fichier Remi (coller)'!$A14,9),'Concordance client liv et fact'!$A:$H,8,FALSE))=TRUE,VLOOKUP(LEFT('1) Import fichier Remi (coller)'!$A14,9)+0,'Clients R2'!$A:$CY,102,FALSE),VLOOKUP(VLOOKUP(LEFT('1) Import fichier Remi (coller)'!$A14,9),'Concordance client liv et fact'!$A:$H,7,FALSE)+0,'Clients R2'!$A:$CY,102,FALSE)))</f>
        <v xml:space="preserve">ap@upignac.be                           </v>
      </c>
      <c r="Y14" t="s">
        <v>8197</v>
      </c>
      <c r="Z14" t="str">
        <f>IF(A14="","",IF(OR(H14="705099999",H14="705001002"),VLOOKUP('1) Import fichier Remi (coller)'!J14,'Analytique personnel'!$A:$B,2,FALSE),""))</f>
        <v/>
      </c>
      <c r="AA14" t="str">
        <f>IF($A14="VE11","",IF(LEFT($H14,4)="7050","",IF('1) Import fichier Remi (coller)'!M14="","",'1) Import fichier Remi (coller)'!M14)))</f>
        <v/>
      </c>
      <c r="AB14" t="str">
        <f>IF($A14="VE11","",IF(LEFT($H14,4)="7050","",IF('1) Import fichier Remi (coller)'!N14="","",'1) Import fichier Remi (coller)'!N14)))</f>
        <v/>
      </c>
      <c r="AC14" t="str">
        <f>IF(A14="","",VLOOKUP(LEFT('1) Import fichier Remi (coller)'!A14,9)+0,'Concordance Client R2 BOB'!$B:$C,2,FALSE))</f>
        <v>UPI000</v>
      </c>
    </row>
    <row r="15" spans="1:29" ht="18.75" customHeight="1" x14ac:dyDescent="0.25">
      <c r="A15" t="str">
        <f>IF('1) Import fichier Remi (coller)'!D15="","",'1) Import fichier Remi (coller)'!D15)</f>
        <v>VE11</v>
      </c>
      <c r="B15">
        <f>IF(A15="","",YEAR('1) Import fichier Remi (coller)'!F15))</f>
        <v>2026</v>
      </c>
      <c r="C15">
        <f>IF(A15="","",MONTH('1) Import fichier Remi (coller)'!F15))</f>
        <v>9</v>
      </c>
      <c r="D15" s="1">
        <f>IF(A15="","",'1) Import fichier Remi (coller)'!F15)</f>
        <v>46281</v>
      </c>
      <c r="E15" s="1">
        <f>IF(A15="","",'1) Import fichier Remi (coller)'!G15)</f>
        <v>46281</v>
      </c>
      <c r="F15" t="str">
        <f>IF(A15="","",'1) Import fichier Remi (coller)'!E15)</f>
        <v>11261517</v>
      </c>
      <c r="G15" t="str">
        <f>IF(A15="","",IF(ISERROR(VLOOKUP(LEFT('1) Import fichier Remi (coller)'!A15,9),'Concordance client liv et fact'!$A:$H,8,FALSE))=TRUE,'1) Import fichier Remi (coller)'!B15,VLOOKUP(LEFT('1) Import fichier Remi (coller)'!A15,9),'Concordance client liv et fact'!$A:$H,8,FALSE)))</f>
        <v>COFIDENA</v>
      </c>
      <c r="H15" t="str">
        <f>IF(A15="","",IF(ISERROR(VLOOKUP('1) Import fichier Remi (coller)'!K15&amp;" - "&amp;'1) Import fichier Remi (coller)'!L15,'Spécifique comptes'!$A:$G,1,FALSE))=TRUE,'1) Import fichier Remi (coller)'!V15,VLOOKUP('1) Import fichier Remi (coller)'!K15&amp;" - "&amp;'1) Import fichier Remi (coller)'!L15,'Spécifique comptes'!$A:$G,IF(LEFT('2) BOB compta (completer-forcer'!F15,2)="11",4,IF(LEFT('2) BOB compta (completer-forcer'!F15,2)="12",5,IF(LEFT('2) BOB compta (completer-forcer'!F15,2)="13",6,IF(LEFT('2) BOB compta (completer-forcer'!F15,2)="15",7,"Erreur Compte")))),FALSE)))</f>
        <v>705099999</v>
      </c>
      <c r="I15" s="26" t="str">
        <f>IF(A15="","",IF(H15="70100000",'1) Import fichier Remi (coller)'!J15,'1) Import fichier Remi (coller)'!U15))</f>
        <v>+++003/7261/51734+++</v>
      </c>
      <c r="J15" s="26" t="str">
        <f>IF(A15="","",'1) Import fichier Remi (coller)'!U15)</f>
        <v>+++003/7261/51734+++</v>
      </c>
      <c r="K15" s="17">
        <f t="shared" si="1"/>
        <v>86.210000000000008</v>
      </c>
      <c r="L15" t="str">
        <f t="shared" si="2"/>
        <v>V</v>
      </c>
      <c r="M15" s="14">
        <f>IF(A15="","",'1) Import fichier Remi (coller)'!S15)</f>
        <v>21</v>
      </c>
      <c r="N15" s="17">
        <f>IF($A15="","",IF(OR($A15="NCV",$A15="NC15"),-'1) Import fichier Remi (coller)'!R15,'1) Import fichier Remi (coller)'!R15))</f>
        <v>23.75</v>
      </c>
      <c r="O15" s="17">
        <f>IF($A15="","",IF(OR($A15="NCV",$A15="NC15"),-'1) Import fichier Remi (coller)'!T15,'1) Import fichier Remi (coller)'!T15))</f>
        <v>4.99</v>
      </c>
      <c r="R15" t="str">
        <f>IF($A15="","",IF(ISERROR(VLOOKUP(LEFT('1) Import fichier Remi (coller)'!$A15,9),'Concordance client liv et fact'!$A:$H,8,FALSE))=TRUE,VLOOKUP(LEFT('1) Import fichier Remi (coller)'!$A15,9)+0,'Clients R2'!$A:$CY,2,FALSE),VLOOKUP(VLOOKUP(LEFT('1) Import fichier Remi (coller)'!$A15,9),'Concordance client liv et fact'!$A:$H,7,FALSE)+0,'Clients R2'!$A:$CY,2,FALSE)))</f>
        <v xml:space="preserve">COFIDENA SPRL          </v>
      </c>
      <c r="S15" t="str">
        <f>IF($A15="","",PROPER(IF(ISERROR(VLOOKUP(LEFT('1) Import fichier Remi (coller)'!$A15,9),'Concordance client liv et fact'!$A:$H,8,FALSE))=TRUE,VLOOKUP(LEFT('1) Import fichier Remi (coller)'!$A15,9)+0,'Clients R2'!$A:$CY,27,FALSE),VLOOKUP(VLOOKUP(LEFT('1) Import fichier Remi (coller)'!$A15,9),'Concordance client liv et fact'!$A:$H,7,FALSE)+0,'Clients R2'!$A:$CY,27,FALSE))))</f>
        <v xml:space="preserve">Allee Des Mesanges, 3              </v>
      </c>
      <c r="T15" t="str">
        <f>IF($A15="","",LEFT(UPPER(IF(ISERROR(VLOOKUP(LEFT('1) Import fichier Remi (coller)'!$A15,9),'Concordance client liv et fact'!$A:$H,8,FALSE))=TRUE,VLOOKUP(LEFT('1) Import fichier Remi (coller)'!$A15,9)+0,'Clients R2'!$A:$CY,28,FALSE),VLOOKUP(VLOOKUP(LEFT('1) Import fichier Remi (coller)'!$A15,9),'Concordance client liv et fact'!$A:$H,7,FALSE)+0,'Clients R2'!$A:$CY,28,FALSE))),2)&amp;UPPER(IF(ISERROR(VLOOKUP(LEFT('1) Import fichier Remi (coller)'!$A15,9),'Concordance client liv et fact'!$A:$H,8,FALSE))=TRUE,VLOOKUP(LEFT('1) Import fichier Remi (coller)'!$A15,9)+0,'Clients R2'!$A:$CY,29,FALSE),VLOOKUP(VLOOKUP(LEFT('1) Import fichier Remi (coller)'!$A15,9),'Concordance client liv et fact'!$A:$H,7,FALSE)+0,'Clients R2'!$A:$CY,29,FALSE))))</f>
        <v>B 4600</v>
      </c>
      <c r="U15" t="str">
        <f>IF($A15="","",PROPER(IF(ISERROR(VLOOKUP(LEFT('1) Import fichier Remi (coller)'!$A15,9),'Concordance client liv et fact'!$A:$H,8,FALSE))=TRUE,VLOOKUP(LEFT('1) Import fichier Remi (coller)'!$A15,9)+0,'Clients R2'!$A:$CY,30,FALSE),VLOOKUP(VLOOKUP(LEFT('1) Import fichier Remi (coller)'!$A15,9),'Concordance client liv et fact'!$A:$H,7,FALSE)+0,'Clients R2'!$A:$CY,30,FALSE))))</f>
        <v xml:space="preserve">Vise                          </v>
      </c>
      <c r="V15" t="str">
        <f>IF($A15="","",LEFT(UPPER(IF(ISERROR(VLOOKUP(LEFT('1) Import fichier Remi (coller)'!$A15,9),'Concordance client liv et fact'!$A:$H,8,FALSE))=TRUE,IF(VLOOKUP(LEFT('1) Import fichier Remi (coller)'!$A15,9)+0,'Clients R2'!$A:$CY,22,FALSE)=4,"NA",VLOOKUP(LEFT('1) Import fichier Remi (coller)'!$A15,9)+0,'Clients R2'!$A:$CY,3,FALSE)),IF(VLOOKUP(VLOOKUP(LEFT('1) Import fichier Remi (coller)'!$A15,9),'Concordance client liv et fact'!$A:$H,7,FALSE)+0,'Clients R2'!$A:$CY,22,FALSE)=4,"NA",VLOOKUP(VLOOKUP(LEFT('1) Import fichier Remi (coller)'!$A15,9),'Concordance client liv et fact'!$A:$H,7,FALSE)+0,'Clients R2'!$A:$CY,3,FALSE)))),2))</f>
        <v>BE</v>
      </c>
      <c r="W15" s="27"/>
      <c r="X15" s="27" t="str">
        <f>IF($A15="","",IF(ISERROR(VLOOKUP(LEFT('1) Import fichier Remi (coller)'!$A15,9),'Concordance client liv et fact'!$A:$H,8,FALSE))=TRUE,VLOOKUP(LEFT('1) Import fichier Remi (coller)'!$A15,9)+0,'Clients R2'!$A:$CY,102,FALSE),VLOOKUP(VLOOKUP(LEFT('1) Import fichier Remi (coller)'!$A15,9),'Concordance client liv et fact'!$A:$H,7,FALSE)+0,'Clients R2'!$A:$CY,102,FALSE)))</f>
        <v xml:space="preserve">cofidena@skynet.be                      </v>
      </c>
      <c r="Y15" t="s">
        <v>8197</v>
      </c>
      <c r="Z15" t="str">
        <f>IF(A15="","",IF(OR(H15="705099999",H15="705001002"),VLOOKUP('1) Import fichier Remi (coller)'!J15,'Analytique personnel'!$A:$B,2,FALSE),""))</f>
        <v>GDUHOUX</v>
      </c>
      <c r="AA15" t="str">
        <f>IF($A15="VE11","",IF(LEFT($H15,4)="7050","",IF('1) Import fichier Remi (coller)'!M15="","",'1) Import fichier Remi (coller)'!M15)))</f>
        <v/>
      </c>
      <c r="AB15" t="str">
        <f>IF($A15="VE11","",IF(LEFT($H15,4)="7050","",IF('1) Import fichier Remi (coller)'!N15="","",'1) Import fichier Remi (coller)'!N15)))</f>
        <v/>
      </c>
      <c r="AC15" t="str">
        <f>IF(A15="","",VLOOKUP(LEFT('1) Import fichier Remi (coller)'!A15,9)+0,'Concordance Client R2 BOB'!$B:$C,2,FALSE))</f>
        <v>COFIDENA</v>
      </c>
    </row>
    <row r="16" spans="1:29" ht="18.75" customHeight="1" x14ac:dyDescent="0.25">
      <c r="A16" t="str">
        <f>IF('1) Import fichier Remi (coller)'!D16="","",'1) Import fichier Remi (coller)'!D16)</f>
        <v>VE11</v>
      </c>
      <c r="B16">
        <f>IF(A16="","",YEAR('1) Import fichier Remi (coller)'!F16))</f>
        <v>2026</v>
      </c>
      <c r="C16">
        <f>IF(A16="","",MONTH('1) Import fichier Remi (coller)'!F16))</f>
        <v>9</v>
      </c>
      <c r="D16" s="1">
        <f>IF(A16="","",'1) Import fichier Remi (coller)'!F16)</f>
        <v>46281</v>
      </c>
      <c r="E16" s="1">
        <f>IF(A16="","",'1) Import fichier Remi (coller)'!G16)</f>
        <v>46281</v>
      </c>
      <c r="F16" t="str">
        <f>IF(A16="","",'1) Import fichier Remi (coller)'!E16)</f>
        <v>11261517</v>
      </c>
      <c r="G16" t="str">
        <f>IF(A16="","",IF(ISERROR(VLOOKUP(LEFT('1) Import fichier Remi (coller)'!A16,9),'Concordance client liv et fact'!$A:$H,8,FALSE))=TRUE,'1) Import fichier Remi (coller)'!B16,VLOOKUP(LEFT('1) Import fichier Remi (coller)'!A16,9),'Concordance client liv et fact'!$A:$H,8,FALSE)))</f>
        <v>COFIDENA</v>
      </c>
      <c r="H16" t="str">
        <f>IF(A16="","",IF(ISERROR(VLOOKUP('1) Import fichier Remi (coller)'!K16&amp;" - "&amp;'1) Import fichier Remi (coller)'!L16,'Spécifique comptes'!$A:$G,1,FALSE))=TRUE,'1) Import fichier Remi (coller)'!V16,VLOOKUP('1) Import fichier Remi (coller)'!K16&amp;" - "&amp;'1) Import fichier Remi (coller)'!L16,'Spécifique comptes'!$A:$G,IF(LEFT('2) BOB compta (completer-forcer'!F16,2)="11",4,IF(LEFT('2) BOB compta (completer-forcer'!F16,2)="12",5,IF(LEFT('2) BOB compta (completer-forcer'!F16,2)="13",6,IF(LEFT('2) BOB compta (completer-forcer'!F16,2)="15",7,"Erreur Compte")))),FALSE)))</f>
        <v>705099999</v>
      </c>
      <c r="I16" s="26" t="str">
        <f>IF(A16="","",IF(H16="70100000",'1) Import fichier Remi (coller)'!J16,'1) Import fichier Remi (coller)'!U16))</f>
        <v>+++003/7261/51734+++</v>
      </c>
      <c r="J16" s="26" t="str">
        <f>IF(A16="","",'1) Import fichier Remi (coller)'!U16)</f>
        <v>+++003/7261/51734+++</v>
      </c>
      <c r="K16" s="17">
        <f t="shared" si="1"/>
        <v>86.210000000000008</v>
      </c>
      <c r="L16" t="str">
        <f t="shared" si="2"/>
        <v>V</v>
      </c>
      <c r="M16" s="14">
        <f>IF(A16="","",'1) Import fichier Remi (coller)'!S16)</f>
        <v>21</v>
      </c>
      <c r="N16" s="17">
        <f>IF($A16="","",IF(OR($A16="NCV",$A16="NC15"),-'1) Import fichier Remi (coller)'!R16,'1) Import fichier Remi (coller)'!R16))</f>
        <v>47.5</v>
      </c>
      <c r="O16" s="17">
        <f>IF($A16="","",IF(OR($A16="NCV",$A16="NC15"),-'1) Import fichier Remi (coller)'!T16,'1) Import fichier Remi (coller)'!T16))</f>
        <v>9.9700000000000006</v>
      </c>
      <c r="R16" t="str">
        <f>IF($A16="","",IF(ISERROR(VLOOKUP(LEFT('1) Import fichier Remi (coller)'!$A16,9),'Concordance client liv et fact'!$A:$H,8,FALSE))=TRUE,VLOOKUP(LEFT('1) Import fichier Remi (coller)'!$A16,9)+0,'Clients R2'!$A:$CY,2,FALSE),VLOOKUP(VLOOKUP(LEFT('1) Import fichier Remi (coller)'!$A16,9),'Concordance client liv et fact'!$A:$H,7,FALSE)+0,'Clients R2'!$A:$CY,2,FALSE)))</f>
        <v xml:space="preserve">COFIDENA SPRL          </v>
      </c>
      <c r="S16" t="str">
        <f>IF($A16="","",PROPER(IF(ISERROR(VLOOKUP(LEFT('1) Import fichier Remi (coller)'!$A16,9),'Concordance client liv et fact'!$A:$H,8,FALSE))=TRUE,VLOOKUP(LEFT('1) Import fichier Remi (coller)'!$A16,9)+0,'Clients R2'!$A:$CY,27,FALSE),VLOOKUP(VLOOKUP(LEFT('1) Import fichier Remi (coller)'!$A16,9),'Concordance client liv et fact'!$A:$H,7,FALSE)+0,'Clients R2'!$A:$CY,27,FALSE))))</f>
        <v xml:space="preserve">Allee Des Mesanges, 3              </v>
      </c>
      <c r="T16" t="str">
        <f>IF($A16="","",LEFT(UPPER(IF(ISERROR(VLOOKUP(LEFT('1) Import fichier Remi (coller)'!$A16,9),'Concordance client liv et fact'!$A:$H,8,FALSE))=TRUE,VLOOKUP(LEFT('1) Import fichier Remi (coller)'!$A16,9)+0,'Clients R2'!$A:$CY,28,FALSE),VLOOKUP(VLOOKUP(LEFT('1) Import fichier Remi (coller)'!$A16,9),'Concordance client liv et fact'!$A:$H,7,FALSE)+0,'Clients R2'!$A:$CY,28,FALSE))),2)&amp;UPPER(IF(ISERROR(VLOOKUP(LEFT('1) Import fichier Remi (coller)'!$A16,9),'Concordance client liv et fact'!$A:$H,8,FALSE))=TRUE,VLOOKUP(LEFT('1) Import fichier Remi (coller)'!$A16,9)+0,'Clients R2'!$A:$CY,29,FALSE),VLOOKUP(VLOOKUP(LEFT('1) Import fichier Remi (coller)'!$A16,9),'Concordance client liv et fact'!$A:$H,7,FALSE)+0,'Clients R2'!$A:$CY,29,FALSE))))</f>
        <v>B 4600</v>
      </c>
      <c r="U16" t="str">
        <f>IF($A16="","",PROPER(IF(ISERROR(VLOOKUP(LEFT('1) Import fichier Remi (coller)'!$A16,9),'Concordance client liv et fact'!$A:$H,8,FALSE))=TRUE,VLOOKUP(LEFT('1) Import fichier Remi (coller)'!$A16,9)+0,'Clients R2'!$A:$CY,30,FALSE),VLOOKUP(VLOOKUP(LEFT('1) Import fichier Remi (coller)'!$A16,9),'Concordance client liv et fact'!$A:$H,7,FALSE)+0,'Clients R2'!$A:$CY,30,FALSE))))</f>
        <v xml:space="preserve">Vise                          </v>
      </c>
      <c r="V16" t="str">
        <f>IF($A16="","",LEFT(UPPER(IF(ISERROR(VLOOKUP(LEFT('1) Import fichier Remi (coller)'!$A16,9),'Concordance client liv et fact'!$A:$H,8,FALSE))=TRUE,IF(VLOOKUP(LEFT('1) Import fichier Remi (coller)'!$A16,9)+0,'Clients R2'!$A:$CY,22,FALSE)=4,"NA",VLOOKUP(LEFT('1) Import fichier Remi (coller)'!$A16,9)+0,'Clients R2'!$A:$CY,3,FALSE)),IF(VLOOKUP(VLOOKUP(LEFT('1) Import fichier Remi (coller)'!$A16,9),'Concordance client liv et fact'!$A:$H,7,FALSE)+0,'Clients R2'!$A:$CY,22,FALSE)=4,"NA",VLOOKUP(VLOOKUP(LEFT('1) Import fichier Remi (coller)'!$A16,9),'Concordance client liv et fact'!$A:$H,7,FALSE)+0,'Clients R2'!$A:$CY,3,FALSE)))),2))</f>
        <v>BE</v>
      </c>
      <c r="W16" s="27"/>
      <c r="X16" s="27" t="str">
        <f>IF($A16="","",IF(ISERROR(VLOOKUP(LEFT('1) Import fichier Remi (coller)'!$A16,9),'Concordance client liv et fact'!$A:$H,8,FALSE))=TRUE,VLOOKUP(LEFT('1) Import fichier Remi (coller)'!$A16,9)+0,'Clients R2'!$A:$CY,102,FALSE),VLOOKUP(VLOOKUP(LEFT('1) Import fichier Remi (coller)'!$A16,9),'Concordance client liv et fact'!$A:$H,7,FALSE)+0,'Clients R2'!$A:$CY,102,FALSE)))</f>
        <v xml:space="preserve">cofidena@skynet.be                      </v>
      </c>
      <c r="Y16" t="s">
        <v>8197</v>
      </c>
      <c r="Z16" t="str">
        <f>IF(A16="","",IF(OR(H16="705099999",H16="705001002"),VLOOKUP('1) Import fichier Remi (coller)'!J16,'Analytique personnel'!$A:$B,2,FALSE),""))</f>
        <v>GDUHOUX</v>
      </c>
      <c r="AA16" t="str">
        <f>IF($A16="VE11","",IF(LEFT($H16,4)="7050","",IF('1) Import fichier Remi (coller)'!M16="","",'1) Import fichier Remi (coller)'!M16)))</f>
        <v/>
      </c>
      <c r="AB16" t="str">
        <f>IF($A16="VE11","",IF(LEFT($H16,4)="7050","",IF('1) Import fichier Remi (coller)'!N16="","",'1) Import fichier Remi (coller)'!N16)))</f>
        <v/>
      </c>
      <c r="AC16" t="str">
        <f>IF(A16="","",VLOOKUP(LEFT('1) Import fichier Remi (coller)'!A16,9)+0,'Concordance Client R2 BOB'!$B:$C,2,FALSE))</f>
        <v>COFIDENA</v>
      </c>
    </row>
    <row r="17" spans="1:29" ht="18.75" customHeight="1" x14ac:dyDescent="0.25">
      <c r="A17" t="str">
        <f>IF('1) Import fichier Remi (coller)'!D17="","",'1) Import fichier Remi (coller)'!D17)</f>
        <v>VE11</v>
      </c>
      <c r="B17">
        <f>IF(A17="","",YEAR('1) Import fichier Remi (coller)'!F17))</f>
        <v>2026</v>
      </c>
      <c r="C17">
        <f>IF(A17="","",MONTH('1) Import fichier Remi (coller)'!F17))</f>
        <v>9</v>
      </c>
      <c r="D17" s="1">
        <f>IF(A17="","",'1) Import fichier Remi (coller)'!F17)</f>
        <v>46281</v>
      </c>
      <c r="E17" s="1">
        <f>IF(A17="","",'1) Import fichier Remi (coller)'!G17)</f>
        <v>46281</v>
      </c>
      <c r="F17" t="str">
        <f>IF(A17="","",'1) Import fichier Remi (coller)'!E17)</f>
        <v>11261518</v>
      </c>
      <c r="G17" t="str">
        <f>IF(A17="","",IF(ISERROR(VLOOKUP(LEFT('1) Import fichier Remi (coller)'!A17,9),'Concordance client liv et fact'!$A:$H,8,FALSE))=TRUE,'1) Import fichier Remi (coller)'!B17,VLOOKUP(LEFT('1) Import fichier Remi (coller)'!A17,9),'Concordance client liv et fact'!$A:$H,8,FALSE)))</f>
        <v>HMC</v>
      </c>
      <c r="H17" t="str">
        <f>IF(A17="","",IF(ISERROR(VLOOKUP('1) Import fichier Remi (coller)'!K17&amp;" - "&amp;'1) Import fichier Remi (coller)'!L17,'Spécifique comptes'!$A:$G,1,FALSE))=TRUE,'1) Import fichier Remi (coller)'!V17,VLOOKUP('1) Import fichier Remi (coller)'!K17&amp;" - "&amp;'1) Import fichier Remi (coller)'!L17,'Spécifique comptes'!$A:$G,IF(LEFT('2) BOB compta (completer-forcer'!F17,2)="11",4,IF(LEFT('2) BOB compta (completer-forcer'!F17,2)="12",5,IF(LEFT('2) BOB compta (completer-forcer'!F17,2)="13",6,IF(LEFT('2) BOB compta (completer-forcer'!F17,2)="15",7,"Erreur Compte")))),FALSE)))</f>
        <v>705099999</v>
      </c>
      <c r="I17" s="26" t="str">
        <f>IF(A17="","",IF(H17="70100000",'1) Import fichier Remi (coller)'!J17,'1) Import fichier Remi (coller)'!U17))</f>
        <v>+++003/7261/51835+++</v>
      </c>
      <c r="J17" s="26" t="str">
        <f>IF(A17="","",'1) Import fichier Remi (coller)'!U17)</f>
        <v>+++003/7261/51835+++</v>
      </c>
      <c r="K17" s="17">
        <f t="shared" si="1"/>
        <v>57.480000000000004</v>
      </c>
      <c r="L17" t="str">
        <f t="shared" si="2"/>
        <v>V</v>
      </c>
      <c r="M17" s="14">
        <f>IF(A17="","",'1) Import fichier Remi (coller)'!S17)</f>
        <v>21</v>
      </c>
      <c r="N17" s="17">
        <f>IF($A17="","",IF(OR($A17="NCV",$A17="NC15"),-'1) Import fichier Remi (coller)'!R17,'1) Import fichier Remi (coller)'!R17))</f>
        <v>23.75</v>
      </c>
      <c r="O17" s="17">
        <f>IF($A17="","",IF(OR($A17="NCV",$A17="NC15"),-'1) Import fichier Remi (coller)'!T17,'1) Import fichier Remi (coller)'!T17))</f>
        <v>4.99</v>
      </c>
      <c r="R17" t="str">
        <f>IF($A17="","",IF(ISERROR(VLOOKUP(LEFT('1) Import fichier Remi (coller)'!$A17,9),'Concordance client liv et fact'!$A:$H,8,FALSE))=TRUE,VLOOKUP(LEFT('1) Import fichier Remi (coller)'!$A17,9)+0,'Clients R2'!$A:$CY,2,FALSE),VLOOKUP(VLOOKUP(LEFT('1) Import fichier Remi (coller)'!$A17,9),'Concordance client liv et fact'!$A:$H,7,FALSE)+0,'Clients R2'!$A:$CY,2,FALSE)))</f>
        <v xml:space="preserve">HMC BELGIUM SPRL       </v>
      </c>
      <c r="S17" t="str">
        <f>IF($A17="","",PROPER(IF(ISERROR(VLOOKUP(LEFT('1) Import fichier Remi (coller)'!$A17,9),'Concordance client liv et fact'!$A:$H,8,FALSE))=TRUE,VLOOKUP(LEFT('1) Import fichier Remi (coller)'!$A17,9)+0,'Clients R2'!$A:$CY,27,FALSE),VLOOKUP(VLOOKUP(LEFT('1) Import fichier Remi (coller)'!$A17,9),'Concordance client liv et fact'!$A:$H,7,FALSE)+0,'Clients R2'!$A:$CY,27,FALSE))))</f>
        <v xml:space="preserve">Rue De Gaillarmont, 95             </v>
      </c>
      <c r="T17" t="str">
        <f>IF($A17="","",LEFT(UPPER(IF(ISERROR(VLOOKUP(LEFT('1) Import fichier Remi (coller)'!$A17,9),'Concordance client liv et fact'!$A:$H,8,FALSE))=TRUE,VLOOKUP(LEFT('1) Import fichier Remi (coller)'!$A17,9)+0,'Clients R2'!$A:$CY,28,FALSE),VLOOKUP(VLOOKUP(LEFT('1) Import fichier Remi (coller)'!$A17,9),'Concordance client liv et fact'!$A:$H,7,FALSE)+0,'Clients R2'!$A:$CY,28,FALSE))),2)&amp;UPPER(IF(ISERROR(VLOOKUP(LEFT('1) Import fichier Remi (coller)'!$A17,9),'Concordance client liv et fact'!$A:$H,8,FALSE))=TRUE,VLOOKUP(LEFT('1) Import fichier Remi (coller)'!$A17,9)+0,'Clients R2'!$A:$CY,29,FALSE),VLOOKUP(VLOOKUP(LEFT('1) Import fichier Remi (coller)'!$A17,9),'Concordance client liv et fact'!$A:$H,7,FALSE)+0,'Clients R2'!$A:$CY,29,FALSE))))</f>
        <v>B 4032</v>
      </c>
      <c r="U17" t="str">
        <f>IF($A17="","",PROPER(IF(ISERROR(VLOOKUP(LEFT('1) Import fichier Remi (coller)'!$A17,9),'Concordance client liv et fact'!$A:$H,8,FALSE))=TRUE,VLOOKUP(LEFT('1) Import fichier Remi (coller)'!$A17,9)+0,'Clients R2'!$A:$CY,30,FALSE),VLOOKUP(VLOOKUP(LEFT('1) Import fichier Remi (coller)'!$A17,9),'Concordance client liv et fact'!$A:$H,7,FALSE)+0,'Clients R2'!$A:$CY,30,FALSE))))</f>
        <v xml:space="preserve">Liege                         </v>
      </c>
      <c r="V17" t="str">
        <f>IF($A17="","",LEFT(UPPER(IF(ISERROR(VLOOKUP(LEFT('1) Import fichier Remi (coller)'!$A17,9),'Concordance client liv et fact'!$A:$H,8,FALSE))=TRUE,IF(VLOOKUP(LEFT('1) Import fichier Remi (coller)'!$A17,9)+0,'Clients R2'!$A:$CY,22,FALSE)=4,"NA",VLOOKUP(LEFT('1) Import fichier Remi (coller)'!$A17,9)+0,'Clients R2'!$A:$CY,3,FALSE)),IF(VLOOKUP(VLOOKUP(LEFT('1) Import fichier Remi (coller)'!$A17,9),'Concordance client liv et fact'!$A:$H,7,FALSE)+0,'Clients R2'!$A:$CY,22,FALSE)=4,"NA",VLOOKUP(VLOOKUP(LEFT('1) Import fichier Remi (coller)'!$A17,9),'Concordance client liv et fact'!$A:$H,7,FALSE)+0,'Clients R2'!$A:$CY,3,FALSE)))),2))</f>
        <v>BE</v>
      </c>
      <c r="W17" s="27"/>
      <c r="X17" s="27" t="str">
        <f>IF($A17="","",IF(ISERROR(VLOOKUP(LEFT('1) Import fichier Remi (coller)'!$A17,9),'Concordance client liv et fact'!$A:$H,8,FALSE))=TRUE,VLOOKUP(LEFT('1) Import fichier Remi (coller)'!$A17,9)+0,'Clients R2'!$A:$CY,102,FALSE),VLOOKUP(VLOOKUP(LEFT('1) Import fichier Remi (coller)'!$A17,9),'Concordance client liv et fact'!$A:$H,7,FALSE)+0,'Clients R2'!$A:$CY,102,FALSE)))</f>
        <v xml:space="preserve">direction@hmcbelgium.com                </v>
      </c>
      <c r="Y17" t="s">
        <v>8197</v>
      </c>
      <c r="Z17" t="str">
        <f>IF(A17="","",IF(OR(H17="705099999",H17="705001002"),VLOOKUP('1) Import fichier Remi (coller)'!J17,'Analytique personnel'!$A:$B,2,FALSE),""))</f>
        <v>GDUHOUX</v>
      </c>
      <c r="AA17" t="str">
        <f>IF($A17="VE11","",IF(LEFT($H17,4)="7050","",IF('1) Import fichier Remi (coller)'!M17="","",'1) Import fichier Remi (coller)'!M17)))</f>
        <v/>
      </c>
      <c r="AB17" t="str">
        <f>IF($A17="VE11","",IF(LEFT($H17,4)="7050","",IF('1) Import fichier Remi (coller)'!N17="","",'1) Import fichier Remi (coller)'!N17)))</f>
        <v/>
      </c>
      <c r="AC17" t="str">
        <f>IF(A17="","",VLOOKUP(LEFT('1) Import fichier Remi (coller)'!A17,9)+0,'Concordance Client R2 BOB'!$B:$C,2,FALSE))</f>
        <v>HMC</v>
      </c>
    </row>
    <row r="18" spans="1:29" ht="18.75" customHeight="1" x14ac:dyDescent="0.25">
      <c r="A18" t="str">
        <f>IF('1) Import fichier Remi (coller)'!D18="","",'1) Import fichier Remi (coller)'!D18)</f>
        <v>VE11</v>
      </c>
      <c r="B18">
        <f>IF(A18="","",YEAR('1) Import fichier Remi (coller)'!F18))</f>
        <v>2026</v>
      </c>
      <c r="C18">
        <f>IF(A18="","",MONTH('1) Import fichier Remi (coller)'!F18))</f>
        <v>9</v>
      </c>
      <c r="D18" s="1">
        <f>IF(A18="","",'1) Import fichier Remi (coller)'!F18)</f>
        <v>46281</v>
      </c>
      <c r="E18" s="1">
        <f>IF(A18="","",'1) Import fichier Remi (coller)'!G18)</f>
        <v>46281</v>
      </c>
      <c r="F18" t="str">
        <f>IF(A18="","",'1) Import fichier Remi (coller)'!E18)</f>
        <v>11261518</v>
      </c>
      <c r="G18" t="str">
        <f>IF(A18="","",IF(ISERROR(VLOOKUP(LEFT('1) Import fichier Remi (coller)'!A18,9),'Concordance client liv et fact'!$A:$H,8,FALSE))=TRUE,'1) Import fichier Remi (coller)'!B18,VLOOKUP(LEFT('1) Import fichier Remi (coller)'!A18,9),'Concordance client liv et fact'!$A:$H,8,FALSE)))</f>
        <v>HMC</v>
      </c>
      <c r="H18" t="str">
        <f>IF(A18="","",IF(ISERROR(VLOOKUP('1) Import fichier Remi (coller)'!K18&amp;" - "&amp;'1) Import fichier Remi (coller)'!L18,'Spécifique comptes'!$A:$G,1,FALSE))=TRUE,'1) Import fichier Remi (coller)'!V18,VLOOKUP('1) Import fichier Remi (coller)'!K18&amp;" - "&amp;'1) Import fichier Remi (coller)'!L18,'Spécifique comptes'!$A:$G,IF(LEFT('2) BOB compta (completer-forcer'!F18,2)="11",4,IF(LEFT('2) BOB compta (completer-forcer'!F18,2)="12",5,IF(LEFT('2) BOB compta (completer-forcer'!F18,2)="13",6,IF(LEFT('2) BOB compta (completer-forcer'!F18,2)="15",7,"Erreur Compte")))),FALSE)))</f>
        <v>705099999</v>
      </c>
      <c r="I18" s="26" t="str">
        <f>IF(A18="","",IF(H18="70100000",'1) Import fichier Remi (coller)'!J18,'1) Import fichier Remi (coller)'!U18))</f>
        <v>+++003/7261/51835+++</v>
      </c>
      <c r="J18" s="26" t="str">
        <f>IF(A18="","",'1) Import fichier Remi (coller)'!U18)</f>
        <v>+++003/7261/51835+++</v>
      </c>
      <c r="K18" s="17">
        <f t="shared" si="1"/>
        <v>57.480000000000004</v>
      </c>
      <c r="L18" t="str">
        <f t="shared" si="2"/>
        <v>V</v>
      </c>
      <c r="M18" s="14">
        <f>IF(A18="","",'1) Import fichier Remi (coller)'!S18)</f>
        <v>21</v>
      </c>
      <c r="N18" s="17">
        <f>IF($A18="","",IF(OR($A18="NCV",$A18="NC15"),-'1) Import fichier Remi (coller)'!R18,'1) Import fichier Remi (coller)'!R18))</f>
        <v>23.75</v>
      </c>
      <c r="O18" s="17">
        <f>IF($A18="","",IF(OR($A18="NCV",$A18="NC15"),-'1) Import fichier Remi (coller)'!T18,'1) Import fichier Remi (coller)'!T18))</f>
        <v>4.99</v>
      </c>
      <c r="R18" t="str">
        <f>IF($A18="","",IF(ISERROR(VLOOKUP(LEFT('1) Import fichier Remi (coller)'!$A18,9),'Concordance client liv et fact'!$A:$H,8,FALSE))=TRUE,VLOOKUP(LEFT('1) Import fichier Remi (coller)'!$A18,9)+0,'Clients R2'!$A:$CY,2,FALSE),VLOOKUP(VLOOKUP(LEFT('1) Import fichier Remi (coller)'!$A18,9),'Concordance client liv et fact'!$A:$H,7,FALSE)+0,'Clients R2'!$A:$CY,2,FALSE)))</f>
        <v xml:space="preserve">HMC BELGIUM SPRL       </v>
      </c>
      <c r="S18" t="str">
        <f>IF($A18="","",PROPER(IF(ISERROR(VLOOKUP(LEFT('1) Import fichier Remi (coller)'!$A18,9),'Concordance client liv et fact'!$A:$H,8,FALSE))=TRUE,VLOOKUP(LEFT('1) Import fichier Remi (coller)'!$A18,9)+0,'Clients R2'!$A:$CY,27,FALSE),VLOOKUP(VLOOKUP(LEFT('1) Import fichier Remi (coller)'!$A18,9),'Concordance client liv et fact'!$A:$H,7,FALSE)+0,'Clients R2'!$A:$CY,27,FALSE))))</f>
        <v xml:space="preserve">Rue De Gaillarmont, 95             </v>
      </c>
      <c r="T18" t="str">
        <f>IF($A18="","",LEFT(UPPER(IF(ISERROR(VLOOKUP(LEFT('1) Import fichier Remi (coller)'!$A18,9),'Concordance client liv et fact'!$A:$H,8,FALSE))=TRUE,VLOOKUP(LEFT('1) Import fichier Remi (coller)'!$A18,9)+0,'Clients R2'!$A:$CY,28,FALSE),VLOOKUP(VLOOKUP(LEFT('1) Import fichier Remi (coller)'!$A18,9),'Concordance client liv et fact'!$A:$H,7,FALSE)+0,'Clients R2'!$A:$CY,28,FALSE))),2)&amp;UPPER(IF(ISERROR(VLOOKUP(LEFT('1) Import fichier Remi (coller)'!$A18,9),'Concordance client liv et fact'!$A:$H,8,FALSE))=TRUE,VLOOKUP(LEFT('1) Import fichier Remi (coller)'!$A18,9)+0,'Clients R2'!$A:$CY,29,FALSE),VLOOKUP(VLOOKUP(LEFT('1) Import fichier Remi (coller)'!$A18,9),'Concordance client liv et fact'!$A:$H,7,FALSE)+0,'Clients R2'!$A:$CY,29,FALSE))))</f>
        <v>B 4032</v>
      </c>
      <c r="U18" t="str">
        <f>IF($A18="","",PROPER(IF(ISERROR(VLOOKUP(LEFT('1) Import fichier Remi (coller)'!$A18,9),'Concordance client liv et fact'!$A:$H,8,FALSE))=TRUE,VLOOKUP(LEFT('1) Import fichier Remi (coller)'!$A18,9)+0,'Clients R2'!$A:$CY,30,FALSE),VLOOKUP(VLOOKUP(LEFT('1) Import fichier Remi (coller)'!$A18,9),'Concordance client liv et fact'!$A:$H,7,FALSE)+0,'Clients R2'!$A:$CY,30,FALSE))))</f>
        <v xml:space="preserve">Liege                         </v>
      </c>
      <c r="V18" t="str">
        <f>IF($A18="","",LEFT(UPPER(IF(ISERROR(VLOOKUP(LEFT('1) Import fichier Remi (coller)'!$A18,9),'Concordance client liv et fact'!$A:$H,8,FALSE))=TRUE,IF(VLOOKUP(LEFT('1) Import fichier Remi (coller)'!$A18,9)+0,'Clients R2'!$A:$CY,22,FALSE)=4,"NA",VLOOKUP(LEFT('1) Import fichier Remi (coller)'!$A18,9)+0,'Clients R2'!$A:$CY,3,FALSE)),IF(VLOOKUP(VLOOKUP(LEFT('1) Import fichier Remi (coller)'!$A18,9),'Concordance client liv et fact'!$A:$H,7,FALSE)+0,'Clients R2'!$A:$CY,22,FALSE)=4,"NA",VLOOKUP(VLOOKUP(LEFT('1) Import fichier Remi (coller)'!$A18,9),'Concordance client liv et fact'!$A:$H,7,FALSE)+0,'Clients R2'!$A:$CY,3,FALSE)))),2))</f>
        <v>BE</v>
      </c>
      <c r="W18" s="27"/>
      <c r="X18" s="27" t="str">
        <f>IF($A18="","",IF(ISERROR(VLOOKUP(LEFT('1) Import fichier Remi (coller)'!$A18,9),'Concordance client liv et fact'!$A:$H,8,FALSE))=TRUE,VLOOKUP(LEFT('1) Import fichier Remi (coller)'!$A18,9)+0,'Clients R2'!$A:$CY,102,FALSE),VLOOKUP(VLOOKUP(LEFT('1) Import fichier Remi (coller)'!$A18,9),'Concordance client liv et fact'!$A:$H,7,FALSE)+0,'Clients R2'!$A:$CY,102,FALSE)))</f>
        <v xml:space="preserve">direction@hmcbelgium.com                </v>
      </c>
      <c r="Y18" t="s">
        <v>8197</v>
      </c>
      <c r="Z18" t="str">
        <f>IF(A18="","",IF(OR(H18="705099999",H18="705001002"),VLOOKUP('1) Import fichier Remi (coller)'!J18,'Analytique personnel'!$A:$B,2,FALSE),""))</f>
        <v>GDUHOUX</v>
      </c>
      <c r="AA18" t="str">
        <f>IF($A18="VE11","",IF(LEFT($H18,4)="7050","",IF('1) Import fichier Remi (coller)'!M18="","",'1) Import fichier Remi (coller)'!M18)))</f>
        <v/>
      </c>
      <c r="AB18" t="str">
        <f>IF($A18="VE11","",IF(LEFT($H18,4)="7050","",IF('1) Import fichier Remi (coller)'!N18="","",'1) Import fichier Remi (coller)'!N18)))</f>
        <v/>
      </c>
      <c r="AC18" t="str">
        <f>IF(A18="","",VLOOKUP(LEFT('1) Import fichier Remi (coller)'!A18,9)+0,'Concordance Client R2 BOB'!$B:$C,2,FALSE))</f>
        <v>HMC</v>
      </c>
    </row>
    <row r="19" spans="1:29" ht="18.75" customHeight="1" x14ac:dyDescent="0.25">
      <c r="A19" t="str">
        <f>IF('1) Import fichier Remi (coller)'!D19="","",'1) Import fichier Remi (coller)'!D19)</f>
        <v>VE11</v>
      </c>
      <c r="B19">
        <f>IF(A19="","",YEAR('1) Import fichier Remi (coller)'!F19))</f>
        <v>2026</v>
      </c>
      <c r="C19">
        <f>IF(A19="","",MONTH('1) Import fichier Remi (coller)'!F19))</f>
        <v>9</v>
      </c>
      <c r="D19" s="1">
        <f>IF(A19="","",'1) Import fichier Remi (coller)'!F19)</f>
        <v>46281</v>
      </c>
      <c r="E19" s="1">
        <f>IF(A19="","",'1) Import fichier Remi (coller)'!G19)</f>
        <v>46281</v>
      </c>
      <c r="F19" t="str">
        <f>IF(A19="","",'1) Import fichier Remi (coller)'!E19)</f>
        <v>11261519</v>
      </c>
      <c r="G19" t="str">
        <f>IF(A19="","",IF(ISERROR(VLOOKUP(LEFT('1) Import fichier Remi (coller)'!A19,9),'Concordance client liv et fact'!$A:$H,8,FALSE))=TRUE,'1) Import fichier Remi (coller)'!B19,VLOOKUP(LEFT('1) Import fichier Remi (coller)'!A19,9),'Concordance client liv et fact'!$A:$H,8,FALSE)))</f>
        <v>DIGITALLIF</v>
      </c>
      <c r="H19" t="str">
        <f>IF(A19="","",IF(ISERROR(VLOOKUP('1) Import fichier Remi (coller)'!K19&amp;" - "&amp;'1) Import fichier Remi (coller)'!L19,'Spécifique comptes'!$A:$G,1,FALSE))=TRUE,'1) Import fichier Remi (coller)'!V19,VLOOKUP('1) Import fichier Remi (coller)'!K19&amp;" - "&amp;'1) Import fichier Remi (coller)'!L19,'Spécifique comptes'!$A:$G,IF(LEFT('2) BOB compta (completer-forcer'!F19,2)="11",4,IF(LEFT('2) BOB compta (completer-forcer'!F19,2)="12",5,IF(LEFT('2) BOB compta (completer-forcer'!F19,2)="13",6,IF(LEFT('2) BOB compta (completer-forcer'!F19,2)="15",7,"Erreur Compte")))),FALSE)))</f>
        <v xml:space="preserve">705002000 </v>
      </c>
      <c r="I19" s="26" t="str">
        <f>IF(A19="","",IF(H19="70100000",'1) Import fichier Remi (coller)'!J19,'1) Import fichier Remi (coller)'!U19))</f>
        <v>+++003/7261/51936+++</v>
      </c>
      <c r="J19" s="26" t="str">
        <f>IF(A19="","",'1) Import fichier Remi (coller)'!U19)</f>
        <v>+++003/7261/51936+++</v>
      </c>
      <c r="K19" s="17">
        <f t="shared" si="1"/>
        <v>268.62</v>
      </c>
      <c r="L19" t="str">
        <f t="shared" si="2"/>
        <v>V</v>
      </c>
      <c r="M19" s="14">
        <f>IF(A19="","",'1) Import fichier Remi (coller)'!S19)</f>
        <v>21</v>
      </c>
      <c r="N19" s="17">
        <f>IF($A19="","",IF(OR($A19="NCV",$A19="NC15"),-'1) Import fichier Remi (coller)'!R19,'1) Import fichier Remi (coller)'!R19))</f>
        <v>18</v>
      </c>
      <c r="O19" s="17">
        <f>IF($A19="","",IF(OR($A19="NCV",$A19="NC15"),-'1) Import fichier Remi (coller)'!T19,'1) Import fichier Remi (coller)'!T19))</f>
        <v>3.78</v>
      </c>
      <c r="R19" t="str">
        <f>IF($A19="","",IF(ISERROR(VLOOKUP(LEFT('1) Import fichier Remi (coller)'!$A19,9),'Concordance client liv et fact'!$A:$H,8,FALSE))=TRUE,VLOOKUP(LEFT('1) Import fichier Remi (coller)'!$A19,9)+0,'Clients R2'!$A:$CY,2,FALSE),VLOOKUP(VLOOKUP(LEFT('1) Import fichier Remi (coller)'!$A19,9),'Concordance client liv et fact'!$A:$H,7,FALSE)+0,'Clients R2'!$A:$CY,2,FALSE)))</f>
        <v xml:space="preserve">DIGITAL LIFE           </v>
      </c>
      <c r="S19" t="str">
        <f>IF($A19="","",PROPER(IF(ISERROR(VLOOKUP(LEFT('1) Import fichier Remi (coller)'!$A19,9),'Concordance client liv et fact'!$A:$H,8,FALSE))=TRUE,VLOOKUP(LEFT('1) Import fichier Remi (coller)'!$A19,9)+0,'Clients R2'!$A:$CY,27,FALSE),VLOOKUP(VLOOKUP(LEFT('1) Import fichier Remi (coller)'!$A19,9),'Concordance client liv et fact'!$A:$H,7,FALSE)+0,'Clients R2'!$A:$CY,27,FALSE))))</f>
        <v xml:space="preserve">Avenue Pasteur, 6 - Bat H          </v>
      </c>
      <c r="T19" t="str">
        <f>IF($A19="","",LEFT(UPPER(IF(ISERROR(VLOOKUP(LEFT('1) Import fichier Remi (coller)'!$A19,9),'Concordance client liv et fact'!$A:$H,8,FALSE))=TRUE,VLOOKUP(LEFT('1) Import fichier Remi (coller)'!$A19,9)+0,'Clients R2'!$A:$CY,28,FALSE),VLOOKUP(VLOOKUP(LEFT('1) Import fichier Remi (coller)'!$A19,9),'Concordance client liv et fact'!$A:$H,7,FALSE)+0,'Clients R2'!$A:$CY,28,FALSE))),2)&amp;UPPER(IF(ISERROR(VLOOKUP(LEFT('1) Import fichier Remi (coller)'!$A19,9),'Concordance client liv et fact'!$A:$H,8,FALSE))=TRUE,VLOOKUP(LEFT('1) Import fichier Remi (coller)'!$A19,9)+0,'Clients R2'!$A:$CY,29,FALSE),VLOOKUP(VLOOKUP(LEFT('1) Import fichier Remi (coller)'!$A19,9),'Concordance client liv et fact'!$A:$H,7,FALSE)+0,'Clients R2'!$A:$CY,29,FALSE))))</f>
        <v>B 1300</v>
      </c>
      <c r="U19" t="str">
        <f>IF($A19="","",PROPER(IF(ISERROR(VLOOKUP(LEFT('1) Import fichier Remi (coller)'!$A19,9),'Concordance client liv et fact'!$A:$H,8,FALSE))=TRUE,VLOOKUP(LEFT('1) Import fichier Remi (coller)'!$A19,9)+0,'Clients R2'!$A:$CY,30,FALSE),VLOOKUP(VLOOKUP(LEFT('1) Import fichier Remi (coller)'!$A19,9),'Concordance client liv et fact'!$A:$H,7,FALSE)+0,'Clients R2'!$A:$CY,30,FALSE))))</f>
        <v xml:space="preserve">Wavre                         </v>
      </c>
      <c r="V19" t="str">
        <f>IF($A19="","",LEFT(UPPER(IF(ISERROR(VLOOKUP(LEFT('1) Import fichier Remi (coller)'!$A19,9),'Concordance client liv et fact'!$A:$H,8,FALSE))=TRUE,IF(VLOOKUP(LEFT('1) Import fichier Remi (coller)'!$A19,9)+0,'Clients R2'!$A:$CY,22,FALSE)=4,"NA",VLOOKUP(LEFT('1) Import fichier Remi (coller)'!$A19,9)+0,'Clients R2'!$A:$CY,3,FALSE)),IF(VLOOKUP(VLOOKUP(LEFT('1) Import fichier Remi (coller)'!$A19,9),'Concordance client liv et fact'!$A:$H,7,FALSE)+0,'Clients R2'!$A:$CY,22,FALSE)=4,"NA",VLOOKUP(VLOOKUP(LEFT('1) Import fichier Remi (coller)'!$A19,9),'Concordance client liv et fact'!$A:$H,7,FALSE)+0,'Clients R2'!$A:$CY,3,FALSE)))),2))</f>
        <v>BE</v>
      </c>
      <c r="W19" s="27"/>
      <c r="X19" s="27" t="str">
        <f>IF($A19="","",IF(ISERROR(VLOOKUP(LEFT('1) Import fichier Remi (coller)'!$A19,9),'Concordance client liv et fact'!$A:$H,8,FALSE))=TRUE,VLOOKUP(LEFT('1) Import fichier Remi (coller)'!$A19,9)+0,'Clients R2'!$A:$CY,102,FALSE),VLOOKUP(VLOOKUP(LEFT('1) Import fichier Remi (coller)'!$A19,9),'Concordance client liv et fact'!$A:$H,7,FALSE)+0,'Clients R2'!$A:$CY,102,FALSE)))</f>
        <v xml:space="preserve">compta@digital-life.be                  </v>
      </c>
      <c r="Y19" t="s">
        <v>8197</v>
      </c>
      <c r="Z19" t="s">
        <v>7752</v>
      </c>
      <c r="AA19" t="str">
        <f>IF($A19="VE11","",IF(LEFT($H19,4)="7050","",IF('1) Import fichier Remi (coller)'!M19="","",'1) Import fichier Remi (coller)'!M19)))</f>
        <v/>
      </c>
      <c r="AB19" t="str">
        <f>IF($A19="VE11","",IF(LEFT($H19,4)="7050","",IF('1) Import fichier Remi (coller)'!N19="","",'1) Import fichier Remi (coller)'!N19)))</f>
        <v/>
      </c>
      <c r="AC19" t="str">
        <f>IF(A19="","",VLOOKUP(LEFT('1) Import fichier Remi (coller)'!A19,9)+0,'Concordance Client R2 BOB'!$B:$C,2,FALSE))</f>
        <v>DIGITALLIF</v>
      </c>
    </row>
    <row r="20" spans="1:29" ht="18.75" customHeight="1" x14ac:dyDescent="0.25">
      <c r="A20" t="str">
        <f>IF('1) Import fichier Remi (coller)'!D20="","",'1) Import fichier Remi (coller)'!D20)</f>
        <v>VE11</v>
      </c>
      <c r="B20">
        <f>IF(A20="","",YEAR('1) Import fichier Remi (coller)'!F20))</f>
        <v>2026</v>
      </c>
      <c r="C20">
        <f>IF(A20="","",MONTH('1) Import fichier Remi (coller)'!F20))</f>
        <v>9</v>
      </c>
      <c r="D20" s="1">
        <f>IF(A20="","",'1) Import fichier Remi (coller)'!F20)</f>
        <v>46281</v>
      </c>
      <c r="E20" s="1">
        <f>IF(A20="","",'1) Import fichier Remi (coller)'!G20)</f>
        <v>46281</v>
      </c>
      <c r="F20" t="str">
        <f>IF(A20="","",'1) Import fichier Remi (coller)'!E20)</f>
        <v>11261519</v>
      </c>
      <c r="G20" t="str">
        <f>IF(A20="","",IF(ISERROR(VLOOKUP(LEFT('1) Import fichier Remi (coller)'!A20,9),'Concordance client liv et fact'!$A:$H,8,FALSE))=TRUE,'1) Import fichier Remi (coller)'!B20,VLOOKUP(LEFT('1) Import fichier Remi (coller)'!A20,9),'Concordance client liv et fact'!$A:$H,8,FALSE)))</f>
        <v>DIGITALLIF</v>
      </c>
      <c r="H20" t="str">
        <f>IF(A20="","",IF(ISERROR(VLOOKUP('1) Import fichier Remi (coller)'!K20&amp;" - "&amp;'1) Import fichier Remi (coller)'!L20,'Spécifique comptes'!$A:$G,1,FALSE))=TRUE,'1) Import fichier Remi (coller)'!V20,VLOOKUP('1) Import fichier Remi (coller)'!K20&amp;" - "&amp;'1) Import fichier Remi (coller)'!L20,'Spécifique comptes'!$A:$G,IF(LEFT('2) BOB compta (completer-forcer'!F20,2)="11",4,IF(LEFT('2) BOB compta (completer-forcer'!F20,2)="12",5,IF(LEFT('2) BOB compta (completer-forcer'!F20,2)="13",6,IF(LEFT('2) BOB compta (completer-forcer'!F20,2)="15",7,"Erreur Compte")))),FALSE)))</f>
        <v xml:space="preserve">705002000 </v>
      </c>
      <c r="I20" s="26" t="str">
        <f>IF(A20="","",IF(H20="70100000",'1) Import fichier Remi (coller)'!J20,'1) Import fichier Remi (coller)'!U20))</f>
        <v>+++003/7261/51936+++</v>
      </c>
      <c r="J20" s="26" t="str">
        <f>IF(A20="","",'1) Import fichier Remi (coller)'!U20)</f>
        <v>+++003/7261/51936+++</v>
      </c>
      <c r="K20" s="17">
        <f t="shared" si="1"/>
        <v>268.62</v>
      </c>
      <c r="L20" t="str">
        <f t="shared" si="2"/>
        <v>V</v>
      </c>
      <c r="M20" s="14">
        <f>IF(A20="","",'1) Import fichier Remi (coller)'!S20)</f>
        <v>21</v>
      </c>
      <c r="N20" s="17">
        <f>IF($A20="","",IF(OR($A20="NCV",$A20="NC15"),-'1) Import fichier Remi (coller)'!R20,'1) Import fichier Remi (coller)'!R20))</f>
        <v>144</v>
      </c>
      <c r="O20" s="17">
        <f>IF($A20="","",IF(OR($A20="NCV",$A20="NC15"),-'1) Import fichier Remi (coller)'!T20,'1) Import fichier Remi (coller)'!T20))</f>
        <v>30.24</v>
      </c>
      <c r="R20" t="str">
        <f>IF($A20="","",IF(ISERROR(VLOOKUP(LEFT('1) Import fichier Remi (coller)'!$A20,9),'Concordance client liv et fact'!$A:$H,8,FALSE))=TRUE,VLOOKUP(LEFT('1) Import fichier Remi (coller)'!$A20,9)+0,'Clients R2'!$A:$CY,2,FALSE),VLOOKUP(VLOOKUP(LEFT('1) Import fichier Remi (coller)'!$A20,9),'Concordance client liv et fact'!$A:$H,7,FALSE)+0,'Clients R2'!$A:$CY,2,FALSE)))</f>
        <v xml:space="preserve">DIGITAL LIFE           </v>
      </c>
      <c r="S20" t="str">
        <f>IF($A20="","",PROPER(IF(ISERROR(VLOOKUP(LEFT('1) Import fichier Remi (coller)'!$A20,9),'Concordance client liv et fact'!$A:$H,8,FALSE))=TRUE,VLOOKUP(LEFT('1) Import fichier Remi (coller)'!$A20,9)+0,'Clients R2'!$A:$CY,27,FALSE),VLOOKUP(VLOOKUP(LEFT('1) Import fichier Remi (coller)'!$A20,9),'Concordance client liv et fact'!$A:$H,7,FALSE)+0,'Clients R2'!$A:$CY,27,FALSE))))</f>
        <v xml:space="preserve">Avenue Pasteur, 6 - Bat H          </v>
      </c>
      <c r="T20" t="str">
        <f>IF($A20="","",LEFT(UPPER(IF(ISERROR(VLOOKUP(LEFT('1) Import fichier Remi (coller)'!$A20,9),'Concordance client liv et fact'!$A:$H,8,FALSE))=TRUE,VLOOKUP(LEFT('1) Import fichier Remi (coller)'!$A20,9)+0,'Clients R2'!$A:$CY,28,FALSE),VLOOKUP(VLOOKUP(LEFT('1) Import fichier Remi (coller)'!$A20,9),'Concordance client liv et fact'!$A:$H,7,FALSE)+0,'Clients R2'!$A:$CY,28,FALSE))),2)&amp;UPPER(IF(ISERROR(VLOOKUP(LEFT('1) Import fichier Remi (coller)'!$A20,9),'Concordance client liv et fact'!$A:$H,8,FALSE))=TRUE,VLOOKUP(LEFT('1) Import fichier Remi (coller)'!$A20,9)+0,'Clients R2'!$A:$CY,29,FALSE),VLOOKUP(VLOOKUP(LEFT('1) Import fichier Remi (coller)'!$A20,9),'Concordance client liv et fact'!$A:$H,7,FALSE)+0,'Clients R2'!$A:$CY,29,FALSE))))</f>
        <v>B 1300</v>
      </c>
      <c r="U20" t="str">
        <f>IF($A20="","",PROPER(IF(ISERROR(VLOOKUP(LEFT('1) Import fichier Remi (coller)'!$A20,9),'Concordance client liv et fact'!$A:$H,8,FALSE))=TRUE,VLOOKUP(LEFT('1) Import fichier Remi (coller)'!$A20,9)+0,'Clients R2'!$A:$CY,30,FALSE),VLOOKUP(VLOOKUP(LEFT('1) Import fichier Remi (coller)'!$A20,9),'Concordance client liv et fact'!$A:$H,7,FALSE)+0,'Clients R2'!$A:$CY,30,FALSE))))</f>
        <v xml:space="preserve">Wavre                         </v>
      </c>
      <c r="V20" t="str">
        <f>IF($A20="","",LEFT(UPPER(IF(ISERROR(VLOOKUP(LEFT('1) Import fichier Remi (coller)'!$A20,9),'Concordance client liv et fact'!$A:$H,8,FALSE))=TRUE,IF(VLOOKUP(LEFT('1) Import fichier Remi (coller)'!$A20,9)+0,'Clients R2'!$A:$CY,22,FALSE)=4,"NA",VLOOKUP(LEFT('1) Import fichier Remi (coller)'!$A20,9)+0,'Clients R2'!$A:$CY,3,FALSE)),IF(VLOOKUP(VLOOKUP(LEFT('1) Import fichier Remi (coller)'!$A20,9),'Concordance client liv et fact'!$A:$H,7,FALSE)+0,'Clients R2'!$A:$CY,22,FALSE)=4,"NA",VLOOKUP(VLOOKUP(LEFT('1) Import fichier Remi (coller)'!$A20,9),'Concordance client liv et fact'!$A:$H,7,FALSE)+0,'Clients R2'!$A:$CY,3,FALSE)))),2))</f>
        <v>BE</v>
      </c>
      <c r="W20" s="27"/>
      <c r="X20" s="27" t="str">
        <f>IF($A20="","",IF(ISERROR(VLOOKUP(LEFT('1) Import fichier Remi (coller)'!$A20,9),'Concordance client liv et fact'!$A:$H,8,FALSE))=TRUE,VLOOKUP(LEFT('1) Import fichier Remi (coller)'!$A20,9)+0,'Clients R2'!$A:$CY,102,FALSE),VLOOKUP(VLOOKUP(LEFT('1) Import fichier Remi (coller)'!$A20,9),'Concordance client liv et fact'!$A:$H,7,FALSE)+0,'Clients R2'!$A:$CY,102,FALSE)))</f>
        <v xml:space="preserve">compta@digital-life.be                  </v>
      </c>
      <c r="Y20" t="s">
        <v>8197</v>
      </c>
      <c r="Z20" t="s">
        <v>265</v>
      </c>
      <c r="AA20" t="str">
        <f>IF($A20="VE11","",IF(LEFT($H20,4)="7050","",IF('1) Import fichier Remi (coller)'!M20="","",'1) Import fichier Remi (coller)'!M20)))</f>
        <v/>
      </c>
      <c r="AB20" t="str">
        <f>IF($A20="VE11","",IF(LEFT($H20,4)="7050","",IF('1) Import fichier Remi (coller)'!N20="","",'1) Import fichier Remi (coller)'!N20)))</f>
        <v/>
      </c>
      <c r="AC20" t="str">
        <f>IF(A20="","",VLOOKUP(LEFT('1) Import fichier Remi (coller)'!A20,9)+0,'Concordance Client R2 BOB'!$B:$C,2,FALSE))</f>
        <v>DIGITALLIF</v>
      </c>
    </row>
    <row r="21" spans="1:29" ht="18.75" customHeight="1" x14ac:dyDescent="0.25">
      <c r="A21" t="str">
        <f>IF('1) Import fichier Remi (coller)'!D21="","",'1) Import fichier Remi (coller)'!D21)</f>
        <v>VE11</v>
      </c>
      <c r="B21">
        <f>IF(A21="","",YEAR('1) Import fichier Remi (coller)'!F21))</f>
        <v>2026</v>
      </c>
      <c r="C21">
        <f>IF(A21="","",MONTH('1) Import fichier Remi (coller)'!F21))</f>
        <v>9</v>
      </c>
      <c r="D21" s="1">
        <f>IF(A21="","",'1) Import fichier Remi (coller)'!F21)</f>
        <v>46281</v>
      </c>
      <c r="E21" s="1">
        <f>IF(A21="","",'1) Import fichier Remi (coller)'!G21)</f>
        <v>46281</v>
      </c>
      <c r="F21" t="str">
        <f>IF(A21="","",'1) Import fichier Remi (coller)'!E21)</f>
        <v>11261519</v>
      </c>
      <c r="G21" t="str">
        <f>IF(A21="","",IF(ISERROR(VLOOKUP(LEFT('1) Import fichier Remi (coller)'!A21,9),'Concordance client liv et fact'!$A:$H,8,FALSE))=TRUE,'1) Import fichier Remi (coller)'!B21,VLOOKUP(LEFT('1) Import fichier Remi (coller)'!A21,9),'Concordance client liv et fact'!$A:$H,8,FALSE)))</f>
        <v>DIGITALLIF</v>
      </c>
      <c r="H21">
        <f>IF(A21="","",IF(ISERROR(VLOOKUP('1) Import fichier Remi (coller)'!K21&amp;" - "&amp;'1) Import fichier Remi (coller)'!L21,'Spécifique comptes'!$A:$G,1,FALSE))=TRUE,'1) Import fichier Remi (coller)'!V21,VLOOKUP('1) Import fichier Remi (coller)'!K21&amp;" - "&amp;'1) Import fichier Remi (coller)'!L21,'Spécifique comptes'!$A:$G,IF(LEFT('2) BOB compta (completer-forcer'!F21,2)="11",4,IF(LEFT('2) BOB compta (completer-forcer'!F21,2)="12",5,IF(LEFT('2) BOB compta (completer-forcer'!F21,2)="13",6,IF(LEFT('2) BOB compta (completer-forcer'!F21,2)="15",7,"Erreur Compte")))),FALSE)))</f>
        <v>704119000</v>
      </c>
      <c r="I21" s="26" t="str">
        <f>IF(A21="","",IF(H21="70100000",'1) Import fichier Remi (coller)'!J21,'1) Import fichier Remi (coller)'!U21))</f>
        <v>+++003/7261/51936+++</v>
      </c>
      <c r="J21" s="26" t="str">
        <f>IF(A21="","",'1) Import fichier Remi (coller)'!U21)</f>
        <v>+++003/7261/51936+++</v>
      </c>
      <c r="K21" s="17">
        <f t="shared" si="1"/>
        <v>268.62</v>
      </c>
      <c r="L21" t="str">
        <f t="shared" si="2"/>
        <v>V</v>
      </c>
      <c r="M21" s="14">
        <f>IF(A21="","",'1) Import fichier Remi (coller)'!S21)</f>
        <v>21</v>
      </c>
      <c r="N21" s="17">
        <f>IF($A21="","",IF(OR($A21="NCV",$A21="NC15"),-'1) Import fichier Remi (coller)'!R21,'1) Import fichier Remi (coller)'!R21))</f>
        <v>60</v>
      </c>
      <c r="O21" s="17">
        <f>IF($A21="","",IF(OR($A21="NCV",$A21="NC15"),-'1) Import fichier Remi (coller)'!T21,'1) Import fichier Remi (coller)'!T21))</f>
        <v>12.6</v>
      </c>
      <c r="R21" t="str">
        <f>IF($A21="","",IF(ISERROR(VLOOKUP(LEFT('1) Import fichier Remi (coller)'!$A21,9),'Concordance client liv et fact'!$A:$H,8,FALSE))=TRUE,VLOOKUP(LEFT('1) Import fichier Remi (coller)'!$A21,9)+0,'Clients R2'!$A:$CY,2,FALSE),VLOOKUP(VLOOKUP(LEFT('1) Import fichier Remi (coller)'!$A21,9),'Concordance client liv et fact'!$A:$H,7,FALSE)+0,'Clients R2'!$A:$CY,2,FALSE)))</f>
        <v xml:space="preserve">DIGITAL LIFE           </v>
      </c>
      <c r="S21" t="str">
        <f>IF($A21="","",PROPER(IF(ISERROR(VLOOKUP(LEFT('1) Import fichier Remi (coller)'!$A21,9),'Concordance client liv et fact'!$A:$H,8,FALSE))=TRUE,VLOOKUP(LEFT('1) Import fichier Remi (coller)'!$A21,9)+0,'Clients R2'!$A:$CY,27,FALSE),VLOOKUP(VLOOKUP(LEFT('1) Import fichier Remi (coller)'!$A21,9),'Concordance client liv et fact'!$A:$H,7,FALSE)+0,'Clients R2'!$A:$CY,27,FALSE))))</f>
        <v xml:space="preserve">Avenue Pasteur, 6 - Bat H          </v>
      </c>
      <c r="T21" t="str">
        <f>IF($A21="","",LEFT(UPPER(IF(ISERROR(VLOOKUP(LEFT('1) Import fichier Remi (coller)'!$A21,9),'Concordance client liv et fact'!$A:$H,8,FALSE))=TRUE,VLOOKUP(LEFT('1) Import fichier Remi (coller)'!$A21,9)+0,'Clients R2'!$A:$CY,28,FALSE),VLOOKUP(VLOOKUP(LEFT('1) Import fichier Remi (coller)'!$A21,9),'Concordance client liv et fact'!$A:$H,7,FALSE)+0,'Clients R2'!$A:$CY,28,FALSE))),2)&amp;UPPER(IF(ISERROR(VLOOKUP(LEFT('1) Import fichier Remi (coller)'!$A21,9),'Concordance client liv et fact'!$A:$H,8,FALSE))=TRUE,VLOOKUP(LEFT('1) Import fichier Remi (coller)'!$A21,9)+0,'Clients R2'!$A:$CY,29,FALSE),VLOOKUP(VLOOKUP(LEFT('1) Import fichier Remi (coller)'!$A21,9),'Concordance client liv et fact'!$A:$H,7,FALSE)+0,'Clients R2'!$A:$CY,29,FALSE))))</f>
        <v>B 1300</v>
      </c>
      <c r="U21" t="str">
        <f>IF($A21="","",PROPER(IF(ISERROR(VLOOKUP(LEFT('1) Import fichier Remi (coller)'!$A21,9),'Concordance client liv et fact'!$A:$H,8,FALSE))=TRUE,VLOOKUP(LEFT('1) Import fichier Remi (coller)'!$A21,9)+0,'Clients R2'!$A:$CY,30,FALSE),VLOOKUP(VLOOKUP(LEFT('1) Import fichier Remi (coller)'!$A21,9),'Concordance client liv et fact'!$A:$H,7,FALSE)+0,'Clients R2'!$A:$CY,30,FALSE))))</f>
        <v xml:space="preserve">Wavre                         </v>
      </c>
      <c r="V21" t="str">
        <f>IF($A21="","",LEFT(UPPER(IF(ISERROR(VLOOKUP(LEFT('1) Import fichier Remi (coller)'!$A21,9),'Concordance client liv et fact'!$A:$H,8,FALSE))=TRUE,IF(VLOOKUP(LEFT('1) Import fichier Remi (coller)'!$A21,9)+0,'Clients R2'!$A:$CY,22,FALSE)=4,"NA",VLOOKUP(LEFT('1) Import fichier Remi (coller)'!$A21,9)+0,'Clients R2'!$A:$CY,3,FALSE)),IF(VLOOKUP(VLOOKUP(LEFT('1) Import fichier Remi (coller)'!$A21,9),'Concordance client liv et fact'!$A:$H,7,FALSE)+0,'Clients R2'!$A:$CY,22,FALSE)=4,"NA",VLOOKUP(VLOOKUP(LEFT('1) Import fichier Remi (coller)'!$A21,9),'Concordance client liv et fact'!$A:$H,7,FALSE)+0,'Clients R2'!$A:$CY,3,FALSE)))),2))</f>
        <v>BE</v>
      </c>
      <c r="W21" s="27"/>
      <c r="X21" s="27" t="str">
        <f>IF($A21="","",IF(ISERROR(VLOOKUP(LEFT('1) Import fichier Remi (coller)'!$A21,9),'Concordance client liv et fact'!$A:$H,8,FALSE))=TRUE,VLOOKUP(LEFT('1) Import fichier Remi (coller)'!$A21,9)+0,'Clients R2'!$A:$CY,102,FALSE),VLOOKUP(VLOOKUP(LEFT('1) Import fichier Remi (coller)'!$A21,9),'Concordance client liv et fact'!$A:$H,7,FALSE)+0,'Clients R2'!$A:$CY,102,FALSE)))</f>
        <v xml:space="preserve">compta@digital-life.be                  </v>
      </c>
      <c r="Y21" t="s">
        <v>8197</v>
      </c>
      <c r="Z21" t="str">
        <f>IF(A21="","",IF(OR(H21="705099999",H21="705001002"),VLOOKUP('1) Import fichier Remi (coller)'!J21,'Analytique personnel'!$A:$B,2,FALSE),""))</f>
        <v/>
      </c>
      <c r="AA21" t="str">
        <f>IF($A21="VE11","",IF(LEFT($H21,4)="7050","",IF('1) Import fichier Remi (coller)'!M21="","",'1) Import fichier Remi (coller)'!M21)))</f>
        <v/>
      </c>
      <c r="AB21" t="str">
        <f>IF($A21="VE11","",IF(LEFT($H21,4)="7050","",IF('1) Import fichier Remi (coller)'!N21="","",'1) Import fichier Remi (coller)'!N21)))</f>
        <v/>
      </c>
      <c r="AC21" t="str">
        <f>IF(A21="","",VLOOKUP(LEFT('1) Import fichier Remi (coller)'!A21,9)+0,'Concordance Client R2 BOB'!$B:$C,2,FALSE))</f>
        <v>DIGITALLIF</v>
      </c>
    </row>
    <row r="22" spans="1:29" ht="18.75" customHeight="1" x14ac:dyDescent="0.25">
      <c r="A22" t="str">
        <f>IF('1) Import fichier Remi (coller)'!D22="","",'1) Import fichier Remi (coller)'!D22)</f>
        <v>VE11</v>
      </c>
      <c r="B22">
        <f>IF(A22="","",YEAR('1) Import fichier Remi (coller)'!F22))</f>
        <v>2026</v>
      </c>
      <c r="C22">
        <f>IF(A22="","",MONTH('1) Import fichier Remi (coller)'!F22))</f>
        <v>9</v>
      </c>
      <c r="D22" s="1">
        <f>IF(A22="","",'1) Import fichier Remi (coller)'!F22)</f>
        <v>46281</v>
      </c>
      <c r="E22" s="1">
        <f>IF(A22="","",'1) Import fichier Remi (coller)'!G22)</f>
        <v>46281</v>
      </c>
      <c r="F22" t="str">
        <f>IF(A22="","",'1) Import fichier Remi (coller)'!E22)</f>
        <v>11261520</v>
      </c>
      <c r="G22" t="str">
        <f>IF(A22="","",IF(ISERROR(VLOOKUP(LEFT('1) Import fichier Remi (coller)'!A22,9),'Concordance client liv et fact'!$A:$H,8,FALSE))=TRUE,'1) Import fichier Remi (coller)'!B22,VLOOKUP(LEFT('1) Import fichier Remi (coller)'!A22,9),'Concordance client liv et fact'!$A:$H,8,FALSE)))</f>
        <v>HERVEVAND</v>
      </c>
      <c r="H22" t="str">
        <f>IF(A22="","",IF(ISERROR(VLOOKUP('1) Import fichier Remi (coller)'!K22&amp;" - "&amp;'1) Import fichier Remi (coller)'!L22,'Spécifique comptes'!$A:$G,1,FALSE))=TRUE,'1) Import fichier Remi (coller)'!V22,VLOOKUP('1) Import fichier Remi (coller)'!K22&amp;" - "&amp;'1) Import fichier Remi (coller)'!L22,'Spécifique comptes'!$A:$G,IF(LEFT('2) BOB compta (completer-forcer'!F22,2)="11",4,IF(LEFT('2) BOB compta (completer-forcer'!F22,2)="12",5,IF(LEFT('2) BOB compta (completer-forcer'!F22,2)="13",6,IF(LEFT('2) BOB compta (completer-forcer'!F22,2)="15",7,"Erreur Compte")))),FALSE)))</f>
        <v>705099999</v>
      </c>
      <c r="I22" s="26" t="str">
        <f>IF(A22="","",IF(H22="70100000",'1) Import fichier Remi (coller)'!J22,'1) Import fichier Remi (coller)'!U22))</f>
        <v>+++003/7261/52037+++</v>
      </c>
      <c r="J22" s="26" t="str">
        <f>IF(A22="","",'1) Import fichier Remi (coller)'!U22)</f>
        <v>+++003/7261/52037+++</v>
      </c>
      <c r="K22" s="17">
        <f t="shared" si="1"/>
        <v>28.740000000000002</v>
      </c>
      <c r="L22" t="str">
        <f t="shared" si="2"/>
        <v>V</v>
      </c>
      <c r="M22" s="14">
        <f>IF(A22="","",'1) Import fichier Remi (coller)'!S22)</f>
        <v>21</v>
      </c>
      <c r="N22" s="17">
        <f>IF($A22="","",IF(OR($A22="NCV",$A22="NC15"),-'1) Import fichier Remi (coller)'!R22,'1) Import fichier Remi (coller)'!R22))</f>
        <v>23.75</v>
      </c>
      <c r="O22" s="17">
        <f>IF($A22="","",IF(OR($A22="NCV",$A22="NC15"),-'1) Import fichier Remi (coller)'!T22,'1) Import fichier Remi (coller)'!T22))</f>
        <v>4.99</v>
      </c>
      <c r="R22" t="str">
        <f>IF($A22="","",IF(ISERROR(VLOOKUP(LEFT('1) Import fichier Remi (coller)'!$A22,9),'Concordance client liv et fact'!$A:$H,8,FALSE))=TRUE,VLOOKUP(LEFT('1) Import fichier Remi (coller)'!$A22,9)+0,'Clients R2'!$A:$CY,2,FALSE),VLOOKUP(VLOOKUP(LEFT('1) Import fichier Remi (coller)'!$A22,9),'Concordance client liv et fact'!$A:$H,7,FALSE)+0,'Clients R2'!$A:$CY,2,FALSE)))</f>
        <v xml:space="preserve">HERVE VANDEN HAUTE     </v>
      </c>
      <c r="S22" t="str">
        <f>IF($A22="","",PROPER(IF(ISERROR(VLOOKUP(LEFT('1) Import fichier Remi (coller)'!$A22,9),'Concordance client liv et fact'!$A:$H,8,FALSE))=TRUE,VLOOKUP(LEFT('1) Import fichier Remi (coller)'!$A22,9)+0,'Clients R2'!$A:$CY,27,FALSE),VLOOKUP(VLOOKUP(LEFT('1) Import fichier Remi (coller)'!$A22,9),'Concordance client liv et fact'!$A:$H,7,FALSE)+0,'Clients R2'!$A:$CY,27,FALSE))))</f>
        <v xml:space="preserve">Rue Emmanuel Lutte 13              </v>
      </c>
      <c r="T22" t="str">
        <f>IF($A22="","",LEFT(UPPER(IF(ISERROR(VLOOKUP(LEFT('1) Import fichier Remi (coller)'!$A22,9),'Concordance client liv et fact'!$A:$H,8,FALSE))=TRUE,VLOOKUP(LEFT('1) Import fichier Remi (coller)'!$A22,9)+0,'Clients R2'!$A:$CY,28,FALSE),VLOOKUP(VLOOKUP(LEFT('1) Import fichier Remi (coller)'!$A22,9),'Concordance client liv et fact'!$A:$H,7,FALSE)+0,'Clients R2'!$A:$CY,28,FALSE))),2)&amp;UPPER(IF(ISERROR(VLOOKUP(LEFT('1) Import fichier Remi (coller)'!$A22,9),'Concordance client liv et fact'!$A:$H,8,FALSE))=TRUE,VLOOKUP(LEFT('1) Import fichier Remi (coller)'!$A22,9)+0,'Clients R2'!$A:$CY,29,FALSE),VLOOKUP(VLOOKUP(LEFT('1) Import fichier Remi (coller)'!$A22,9),'Concordance client liv et fact'!$A:$H,7,FALSE)+0,'Clients R2'!$A:$CY,29,FALSE))))</f>
        <v>B 1470</v>
      </c>
      <c r="U22" t="str">
        <f>IF($A22="","",PROPER(IF(ISERROR(VLOOKUP(LEFT('1) Import fichier Remi (coller)'!$A22,9),'Concordance client liv et fact'!$A:$H,8,FALSE))=TRUE,VLOOKUP(LEFT('1) Import fichier Remi (coller)'!$A22,9)+0,'Clients R2'!$A:$CY,30,FALSE),VLOOKUP(VLOOKUP(LEFT('1) Import fichier Remi (coller)'!$A22,9),'Concordance client liv et fact'!$A:$H,7,FALSE)+0,'Clients R2'!$A:$CY,30,FALSE))))</f>
        <v xml:space="preserve">Genappe                       </v>
      </c>
      <c r="V22" t="str">
        <f>IF($A22="","",LEFT(UPPER(IF(ISERROR(VLOOKUP(LEFT('1) Import fichier Remi (coller)'!$A22,9),'Concordance client liv et fact'!$A:$H,8,FALSE))=TRUE,IF(VLOOKUP(LEFT('1) Import fichier Remi (coller)'!$A22,9)+0,'Clients R2'!$A:$CY,22,FALSE)=4,"NA",VLOOKUP(LEFT('1) Import fichier Remi (coller)'!$A22,9)+0,'Clients R2'!$A:$CY,3,FALSE)),IF(VLOOKUP(VLOOKUP(LEFT('1) Import fichier Remi (coller)'!$A22,9),'Concordance client liv et fact'!$A:$H,7,FALSE)+0,'Clients R2'!$A:$CY,22,FALSE)=4,"NA",VLOOKUP(VLOOKUP(LEFT('1) Import fichier Remi (coller)'!$A22,9),'Concordance client liv et fact'!$A:$H,7,FALSE)+0,'Clients R2'!$A:$CY,3,FALSE)))),2))</f>
        <v>BE</v>
      </c>
      <c r="W22" s="27"/>
      <c r="X22" s="27" t="str">
        <f>IF($A22="","",IF(ISERROR(VLOOKUP(LEFT('1) Import fichier Remi (coller)'!$A22,9),'Concordance client liv et fact'!$A:$H,8,FALSE))=TRUE,VLOOKUP(LEFT('1) Import fichier Remi (coller)'!$A22,9)+0,'Clients R2'!$A:$CY,102,FALSE),VLOOKUP(VLOOKUP(LEFT('1) Import fichier Remi (coller)'!$A22,9),'Concordance client liv et fact'!$A:$H,7,FALSE)+0,'Clients R2'!$A:$CY,102,FALSE)))</f>
        <v xml:space="preserve">HERVE.VANDENHAUTE@HVH.ARCHI             </v>
      </c>
      <c r="Y22" t="s">
        <v>8197</v>
      </c>
      <c r="Z22" t="str">
        <f>IF(A22="","",IF(OR(H22="705099999",H22="705001002"),VLOOKUP('1) Import fichier Remi (coller)'!J22,'Analytique personnel'!$A:$B,2,FALSE),""))</f>
        <v>GDUHOUX</v>
      </c>
      <c r="AA22" t="str">
        <f>IF($A22="VE11","",IF(LEFT($H22,4)="7050","",IF('1) Import fichier Remi (coller)'!M22="","",'1) Import fichier Remi (coller)'!M22)))</f>
        <v/>
      </c>
      <c r="AB22" t="str">
        <f>IF($A22="VE11","",IF(LEFT($H22,4)="7050","",IF('1) Import fichier Remi (coller)'!N22="","",'1) Import fichier Remi (coller)'!N22)))</f>
        <v/>
      </c>
      <c r="AC22" t="str">
        <f>IF(A22="","",VLOOKUP(LEFT('1) Import fichier Remi (coller)'!A22,9)+0,'Concordance Client R2 BOB'!$B:$C,2,FALSE))</f>
        <v>HERVEVAND</v>
      </c>
    </row>
    <row r="23" spans="1:29" ht="18.75" customHeight="1" x14ac:dyDescent="0.25">
      <c r="A23" t="str">
        <f>IF('1) Import fichier Remi (coller)'!D23="","",'1) Import fichier Remi (coller)'!D23)</f>
        <v>VE11</v>
      </c>
      <c r="B23">
        <f>IF(A23="","",YEAR('1) Import fichier Remi (coller)'!F23))</f>
        <v>2026</v>
      </c>
      <c r="C23">
        <f>IF(A23="","",MONTH('1) Import fichier Remi (coller)'!F23))</f>
        <v>9</v>
      </c>
      <c r="D23" s="1">
        <f>IF(A23="","",'1) Import fichier Remi (coller)'!F23)</f>
        <v>46281</v>
      </c>
      <c r="E23" s="1">
        <f>IF(A23="","",'1) Import fichier Remi (coller)'!G23)</f>
        <v>46281</v>
      </c>
      <c r="F23" t="str">
        <f>IF(A23="","",'1) Import fichier Remi (coller)'!E23)</f>
        <v>11261521</v>
      </c>
      <c r="G23" t="str">
        <f>IF(A23="","",IF(ISERROR(VLOOKUP(LEFT('1) Import fichier Remi (coller)'!A23,9),'Concordance client liv et fact'!$A:$H,8,FALSE))=TRUE,'1) Import fichier Remi (coller)'!B23,VLOOKUP(LEFT('1) Import fichier Remi (coller)'!A23,9),'Concordance client liv et fact'!$A:$H,8,FALSE)))</f>
        <v>METAUXEM</v>
      </c>
      <c r="H23" t="str">
        <f>IF(A23="","",IF(ISERROR(VLOOKUP('1) Import fichier Remi (coller)'!K23&amp;" - "&amp;'1) Import fichier Remi (coller)'!L23,'Spécifique comptes'!$A:$G,1,FALSE))=TRUE,'1) Import fichier Remi (coller)'!V23,VLOOKUP('1) Import fichier Remi (coller)'!K23&amp;" - "&amp;'1) Import fichier Remi (coller)'!L23,'Spécifique comptes'!$A:$G,IF(LEFT('2) BOB compta (completer-forcer'!F23,2)="11",4,IF(LEFT('2) BOB compta (completer-forcer'!F23,2)="12",5,IF(LEFT('2) BOB compta (completer-forcer'!F23,2)="13",6,IF(LEFT('2) BOB compta (completer-forcer'!F23,2)="15",7,"Erreur Compte")))),FALSE)))</f>
        <v>705099999</v>
      </c>
      <c r="I23" s="26" t="str">
        <f>IF(A23="","",IF(H23="70100000",'1) Import fichier Remi (coller)'!J23,'1) Import fichier Remi (coller)'!U23))</f>
        <v>+++003/7261/52138+++</v>
      </c>
      <c r="J23" s="26" t="str">
        <f>IF(A23="","",'1) Import fichier Remi (coller)'!U23)</f>
        <v>+++003/7261/52138+++</v>
      </c>
      <c r="K23" s="17">
        <f t="shared" si="1"/>
        <v>804.65</v>
      </c>
      <c r="L23" t="str">
        <f t="shared" si="2"/>
        <v>V</v>
      </c>
      <c r="M23" s="14">
        <f>IF(A23="","",'1) Import fichier Remi (coller)'!S23)</f>
        <v>21</v>
      </c>
      <c r="N23" s="17">
        <f>IF($A23="","",IF(OR($A23="NCV",$A23="NC15"),-'1) Import fichier Remi (coller)'!R23,'1) Import fichier Remi (coller)'!R23))</f>
        <v>285</v>
      </c>
      <c r="O23" s="17">
        <f>IF($A23="","",IF(OR($A23="NCV",$A23="NC15"),-'1) Import fichier Remi (coller)'!T23,'1) Import fichier Remi (coller)'!T23))</f>
        <v>59.85</v>
      </c>
      <c r="R23" t="str">
        <f>IF($A23="","",IF(ISERROR(VLOOKUP(LEFT('1) Import fichier Remi (coller)'!$A23,9),'Concordance client liv et fact'!$A:$H,8,FALSE))=TRUE,VLOOKUP(LEFT('1) Import fichier Remi (coller)'!$A23,9)+0,'Clients R2'!$A:$CY,2,FALSE),VLOOKUP(VLOOKUP(LEFT('1) Import fichier Remi (coller)'!$A23,9),'Concordance client liv et fact'!$A:$H,7,FALSE)+0,'Clients R2'!$A:$CY,2,FALSE)))</f>
        <v xml:space="preserve">MEBF MECA SA           </v>
      </c>
      <c r="S23" t="str">
        <f>IF($A23="","",PROPER(IF(ISERROR(VLOOKUP(LEFT('1) Import fichier Remi (coller)'!$A23,9),'Concordance client liv et fact'!$A:$H,8,FALSE))=TRUE,VLOOKUP(LEFT('1) Import fichier Remi (coller)'!$A23,9)+0,'Clients R2'!$A:$CY,27,FALSE),VLOOKUP(VLOOKUP(LEFT('1) Import fichier Remi (coller)'!$A23,9),'Concordance client liv et fact'!$A:$H,7,FALSE)+0,'Clients R2'!$A:$CY,27,FALSE))))</f>
        <v xml:space="preserve">Rue Haute Marexhe, 176             </v>
      </c>
      <c r="T23" t="str">
        <f>IF($A23="","",LEFT(UPPER(IF(ISERROR(VLOOKUP(LEFT('1) Import fichier Remi (coller)'!$A23,9),'Concordance client liv et fact'!$A:$H,8,FALSE))=TRUE,VLOOKUP(LEFT('1) Import fichier Remi (coller)'!$A23,9)+0,'Clients R2'!$A:$CY,28,FALSE),VLOOKUP(VLOOKUP(LEFT('1) Import fichier Remi (coller)'!$A23,9),'Concordance client liv et fact'!$A:$H,7,FALSE)+0,'Clients R2'!$A:$CY,28,FALSE))),2)&amp;UPPER(IF(ISERROR(VLOOKUP(LEFT('1) Import fichier Remi (coller)'!$A23,9),'Concordance client liv et fact'!$A:$H,8,FALSE))=TRUE,VLOOKUP(LEFT('1) Import fichier Remi (coller)'!$A23,9)+0,'Clients R2'!$A:$CY,29,FALSE),VLOOKUP(VLOOKUP(LEFT('1) Import fichier Remi (coller)'!$A23,9),'Concordance client liv et fact'!$A:$H,7,FALSE)+0,'Clients R2'!$A:$CY,29,FALSE))))</f>
        <v>B 4040</v>
      </c>
      <c r="U23" t="str">
        <f>IF($A23="","",PROPER(IF(ISERROR(VLOOKUP(LEFT('1) Import fichier Remi (coller)'!$A23,9),'Concordance client liv et fact'!$A:$H,8,FALSE))=TRUE,VLOOKUP(LEFT('1) Import fichier Remi (coller)'!$A23,9)+0,'Clients R2'!$A:$CY,30,FALSE),VLOOKUP(VLOOKUP(LEFT('1) Import fichier Remi (coller)'!$A23,9),'Concordance client liv et fact'!$A:$H,7,FALSE)+0,'Clients R2'!$A:$CY,30,FALSE))))</f>
        <v xml:space="preserve">Herstal                       </v>
      </c>
      <c r="V23" t="str">
        <f>IF($A23="","",LEFT(UPPER(IF(ISERROR(VLOOKUP(LEFT('1) Import fichier Remi (coller)'!$A23,9),'Concordance client liv et fact'!$A:$H,8,FALSE))=TRUE,IF(VLOOKUP(LEFT('1) Import fichier Remi (coller)'!$A23,9)+0,'Clients R2'!$A:$CY,22,FALSE)=4,"NA",VLOOKUP(LEFT('1) Import fichier Remi (coller)'!$A23,9)+0,'Clients R2'!$A:$CY,3,FALSE)),IF(VLOOKUP(VLOOKUP(LEFT('1) Import fichier Remi (coller)'!$A23,9),'Concordance client liv et fact'!$A:$H,7,FALSE)+0,'Clients R2'!$A:$CY,22,FALSE)=4,"NA",VLOOKUP(VLOOKUP(LEFT('1) Import fichier Remi (coller)'!$A23,9),'Concordance client liv et fact'!$A:$H,7,FALSE)+0,'Clients R2'!$A:$CY,3,FALSE)))),2))</f>
        <v>BE</v>
      </c>
      <c r="W23" s="27"/>
      <c r="X23" s="27" t="str">
        <f>IF($A23="","",IF(ISERROR(VLOOKUP(LEFT('1) Import fichier Remi (coller)'!$A23,9),'Concordance client liv et fact'!$A:$H,8,FALSE))=TRUE,VLOOKUP(LEFT('1) Import fichier Remi (coller)'!$A23,9)+0,'Clients R2'!$A:$CY,102,FALSE),VLOOKUP(VLOOKUP(LEFT('1) Import fichier Remi (coller)'!$A23,9),'Concordance client liv et fact'!$A:$H,7,FALSE)+0,'Clients R2'!$A:$CY,102,FALSE)))</f>
        <v xml:space="preserve">invoice@mebf.be                         </v>
      </c>
      <c r="Y23" t="s">
        <v>8197</v>
      </c>
      <c r="Z23" t="str">
        <f>IF(A23="","",IF(OR(H23="705099999",H23="705001002"),VLOOKUP('1) Import fichier Remi (coller)'!J23,'Analytique personnel'!$A:$B,2,FALSE),""))</f>
        <v>GDUHOUX</v>
      </c>
      <c r="AA23" t="str">
        <f>IF($A23="VE11","",IF(LEFT($H23,4)="7050","",IF('1) Import fichier Remi (coller)'!M23="","",'1) Import fichier Remi (coller)'!M23)))</f>
        <v/>
      </c>
      <c r="AB23" t="str">
        <f>IF($A23="VE11","",IF(LEFT($H23,4)="7050","",IF('1) Import fichier Remi (coller)'!N23="","",'1) Import fichier Remi (coller)'!N23)))</f>
        <v/>
      </c>
      <c r="AC23" t="str">
        <f>IF(A23="","",VLOOKUP(LEFT('1) Import fichier Remi (coller)'!A23,9)+0,'Concordance Client R2 BOB'!$B:$C,2,FALSE))</f>
        <v>METAUXEM</v>
      </c>
    </row>
    <row r="24" spans="1:29" ht="18.75" customHeight="1" x14ac:dyDescent="0.25">
      <c r="A24" t="str">
        <f>IF('1) Import fichier Remi (coller)'!D24="","",'1) Import fichier Remi (coller)'!D24)</f>
        <v>VE11</v>
      </c>
      <c r="B24">
        <f>IF(A24="","",YEAR('1) Import fichier Remi (coller)'!F24))</f>
        <v>2026</v>
      </c>
      <c r="C24">
        <f>IF(A24="","",MONTH('1) Import fichier Remi (coller)'!F24))</f>
        <v>9</v>
      </c>
      <c r="D24" s="1">
        <f>IF(A24="","",'1) Import fichier Remi (coller)'!F24)</f>
        <v>46281</v>
      </c>
      <c r="E24" s="1">
        <f>IF(A24="","",'1) Import fichier Remi (coller)'!G24)</f>
        <v>46281</v>
      </c>
      <c r="F24" t="str">
        <f>IF(A24="","",'1) Import fichier Remi (coller)'!E24)</f>
        <v>11261521</v>
      </c>
      <c r="G24" t="str">
        <f>IF(A24="","",IF(ISERROR(VLOOKUP(LEFT('1) Import fichier Remi (coller)'!A24,9),'Concordance client liv et fact'!$A:$H,8,FALSE))=TRUE,'1) Import fichier Remi (coller)'!B24,VLOOKUP(LEFT('1) Import fichier Remi (coller)'!A24,9),'Concordance client liv et fact'!$A:$H,8,FALSE)))</f>
        <v>METAUXEM</v>
      </c>
      <c r="H24" t="str">
        <f>IF(A24="","",IF(ISERROR(VLOOKUP('1) Import fichier Remi (coller)'!K24&amp;" - "&amp;'1) Import fichier Remi (coller)'!L24,'Spécifique comptes'!$A:$G,1,FALSE))=TRUE,'1) Import fichier Remi (coller)'!V24,VLOOKUP('1) Import fichier Remi (coller)'!K24&amp;" - "&amp;'1) Import fichier Remi (coller)'!L24,'Spécifique comptes'!$A:$G,IF(LEFT('2) BOB compta (completer-forcer'!F24,2)="11",4,IF(LEFT('2) BOB compta (completer-forcer'!F24,2)="12",5,IF(LEFT('2) BOB compta (completer-forcer'!F24,2)="13",6,IF(LEFT('2) BOB compta (completer-forcer'!F24,2)="15",7,"Erreur Compte")))),FALSE)))</f>
        <v>705099999</v>
      </c>
      <c r="I24" s="26" t="str">
        <f>IF(A24="","",IF(H24="70100000",'1) Import fichier Remi (coller)'!J24,'1) Import fichier Remi (coller)'!U24))</f>
        <v>+++003/7261/52138+++</v>
      </c>
      <c r="J24" s="26" t="str">
        <f>IF(A24="","",'1) Import fichier Remi (coller)'!U24)</f>
        <v>+++003/7261/52138+++</v>
      </c>
      <c r="K24" s="17">
        <f t="shared" si="1"/>
        <v>804.65</v>
      </c>
      <c r="L24" t="str">
        <f t="shared" si="2"/>
        <v>V</v>
      </c>
      <c r="M24" s="14">
        <f>IF(A24="","",'1) Import fichier Remi (coller)'!S24)</f>
        <v>21</v>
      </c>
      <c r="N24" s="17">
        <f>IF($A24="","",IF(OR($A24="NCV",$A24="NC15"),-'1) Import fichier Remi (coller)'!R24,'1) Import fichier Remi (coller)'!R24))</f>
        <v>380</v>
      </c>
      <c r="O24" s="17">
        <f>IF($A24="","",IF(OR($A24="NCV",$A24="NC15"),-'1) Import fichier Remi (coller)'!T24,'1) Import fichier Remi (coller)'!T24))</f>
        <v>79.8</v>
      </c>
      <c r="R24" t="str">
        <f>IF($A24="","",IF(ISERROR(VLOOKUP(LEFT('1) Import fichier Remi (coller)'!$A24,9),'Concordance client liv et fact'!$A:$H,8,FALSE))=TRUE,VLOOKUP(LEFT('1) Import fichier Remi (coller)'!$A24,9)+0,'Clients R2'!$A:$CY,2,FALSE),VLOOKUP(VLOOKUP(LEFT('1) Import fichier Remi (coller)'!$A24,9),'Concordance client liv et fact'!$A:$H,7,FALSE)+0,'Clients R2'!$A:$CY,2,FALSE)))</f>
        <v xml:space="preserve">MEBF MECA SA           </v>
      </c>
      <c r="S24" t="str">
        <f>IF($A24="","",PROPER(IF(ISERROR(VLOOKUP(LEFT('1) Import fichier Remi (coller)'!$A24,9),'Concordance client liv et fact'!$A:$H,8,FALSE))=TRUE,VLOOKUP(LEFT('1) Import fichier Remi (coller)'!$A24,9)+0,'Clients R2'!$A:$CY,27,FALSE),VLOOKUP(VLOOKUP(LEFT('1) Import fichier Remi (coller)'!$A24,9),'Concordance client liv et fact'!$A:$H,7,FALSE)+0,'Clients R2'!$A:$CY,27,FALSE))))</f>
        <v xml:space="preserve">Rue Haute Marexhe, 176             </v>
      </c>
      <c r="T24" t="str">
        <f>IF($A24="","",LEFT(UPPER(IF(ISERROR(VLOOKUP(LEFT('1) Import fichier Remi (coller)'!$A24,9),'Concordance client liv et fact'!$A:$H,8,FALSE))=TRUE,VLOOKUP(LEFT('1) Import fichier Remi (coller)'!$A24,9)+0,'Clients R2'!$A:$CY,28,FALSE),VLOOKUP(VLOOKUP(LEFT('1) Import fichier Remi (coller)'!$A24,9),'Concordance client liv et fact'!$A:$H,7,FALSE)+0,'Clients R2'!$A:$CY,28,FALSE))),2)&amp;UPPER(IF(ISERROR(VLOOKUP(LEFT('1) Import fichier Remi (coller)'!$A24,9),'Concordance client liv et fact'!$A:$H,8,FALSE))=TRUE,VLOOKUP(LEFT('1) Import fichier Remi (coller)'!$A24,9)+0,'Clients R2'!$A:$CY,29,FALSE),VLOOKUP(VLOOKUP(LEFT('1) Import fichier Remi (coller)'!$A24,9),'Concordance client liv et fact'!$A:$H,7,FALSE)+0,'Clients R2'!$A:$CY,29,FALSE))))</f>
        <v>B 4040</v>
      </c>
      <c r="U24" t="str">
        <f>IF($A24="","",PROPER(IF(ISERROR(VLOOKUP(LEFT('1) Import fichier Remi (coller)'!$A24,9),'Concordance client liv et fact'!$A:$H,8,FALSE))=TRUE,VLOOKUP(LEFT('1) Import fichier Remi (coller)'!$A24,9)+0,'Clients R2'!$A:$CY,30,FALSE),VLOOKUP(VLOOKUP(LEFT('1) Import fichier Remi (coller)'!$A24,9),'Concordance client liv et fact'!$A:$H,7,FALSE)+0,'Clients R2'!$A:$CY,30,FALSE))))</f>
        <v xml:space="preserve">Herstal                       </v>
      </c>
      <c r="V24" t="str">
        <f>IF($A24="","",LEFT(UPPER(IF(ISERROR(VLOOKUP(LEFT('1) Import fichier Remi (coller)'!$A24,9),'Concordance client liv et fact'!$A:$H,8,FALSE))=TRUE,IF(VLOOKUP(LEFT('1) Import fichier Remi (coller)'!$A24,9)+0,'Clients R2'!$A:$CY,22,FALSE)=4,"NA",VLOOKUP(LEFT('1) Import fichier Remi (coller)'!$A24,9)+0,'Clients R2'!$A:$CY,3,FALSE)),IF(VLOOKUP(VLOOKUP(LEFT('1) Import fichier Remi (coller)'!$A24,9),'Concordance client liv et fact'!$A:$H,7,FALSE)+0,'Clients R2'!$A:$CY,22,FALSE)=4,"NA",VLOOKUP(VLOOKUP(LEFT('1) Import fichier Remi (coller)'!$A24,9),'Concordance client liv et fact'!$A:$H,7,FALSE)+0,'Clients R2'!$A:$CY,3,FALSE)))),2))</f>
        <v>BE</v>
      </c>
      <c r="W24" s="27"/>
      <c r="X24" s="27" t="str">
        <f>IF($A24="","",IF(ISERROR(VLOOKUP(LEFT('1) Import fichier Remi (coller)'!$A24,9),'Concordance client liv et fact'!$A:$H,8,FALSE))=TRUE,VLOOKUP(LEFT('1) Import fichier Remi (coller)'!$A24,9)+0,'Clients R2'!$A:$CY,102,FALSE),VLOOKUP(VLOOKUP(LEFT('1) Import fichier Remi (coller)'!$A24,9),'Concordance client liv et fact'!$A:$H,7,FALSE)+0,'Clients R2'!$A:$CY,102,FALSE)))</f>
        <v xml:space="preserve">invoice@mebf.be                         </v>
      </c>
      <c r="Y24" t="s">
        <v>8197</v>
      </c>
      <c r="Z24" t="str">
        <f>IF(A24="","",IF(OR(H24="705099999",H24="705001002"),VLOOKUP('1) Import fichier Remi (coller)'!J24,'Analytique personnel'!$A:$B,2,FALSE),""))</f>
        <v>GDUHOUX</v>
      </c>
      <c r="AA24" t="str">
        <f>IF($A24="VE11","",IF(LEFT($H24,4)="7050","",IF('1) Import fichier Remi (coller)'!M24="","",'1) Import fichier Remi (coller)'!M24)))</f>
        <v/>
      </c>
      <c r="AB24" t="str">
        <f>IF($A24="VE11","",IF(LEFT($H24,4)="7050","",IF('1) Import fichier Remi (coller)'!N24="","",'1) Import fichier Remi (coller)'!N24)))</f>
        <v/>
      </c>
      <c r="AC24" t="str">
        <f>IF(A24="","",VLOOKUP(LEFT('1) Import fichier Remi (coller)'!A24,9)+0,'Concordance Client R2 BOB'!$B:$C,2,FALSE))</f>
        <v>METAUXEM</v>
      </c>
    </row>
    <row r="25" spans="1:29" ht="18.75" customHeight="1" x14ac:dyDescent="0.25">
      <c r="A25" t="str">
        <f>IF('1) Import fichier Remi (coller)'!D25="","",'1) Import fichier Remi (coller)'!D25)</f>
        <v>VE11</v>
      </c>
      <c r="B25">
        <f>IF(A25="","",YEAR('1) Import fichier Remi (coller)'!F25))</f>
        <v>2026</v>
      </c>
      <c r="C25">
        <f>IF(A25="","",MONTH('1) Import fichier Remi (coller)'!F25))</f>
        <v>9</v>
      </c>
      <c r="D25" s="1">
        <f>IF(A25="","",'1) Import fichier Remi (coller)'!F25)</f>
        <v>46281</v>
      </c>
      <c r="E25" s="1">
        <f>IF(A25="","",'1) Import fichier Remi (coller)'!G25)</f>
        <v>46281</v>
      </c>
      <c r="F25" t="str">
        <f>IF(A25="","",'1) Import fichier Remi (coller)'!E25)</f>
        <v>11261522</v>
      </c>
      <c r="G25" t="str">
        <f>IF(A25="","",IF(ISERROR(VLOOKUP(LEFT('1) Import fichier Remi (coller)'!A25,9),'Concordance client liv et fact'!$A:$H,8,FALSE))=TRUE,'1) Import fichier Remi (coller)'!B25,VLOOKUP(LEFT('1) Import fichier Remi (coller)'!A25,9),'Concordance client liv et fact'!$A:$H,8,FALSE)))</f>
        <v>METAUXEM</v>
      </c>
      <c r="H25" t="str">
        <f>IF(A25="","",IF(ISERROR(VLOOKUP('1) Import fichier Remi (coller)'!K25&amp;" - "&amp;'1) Import fichier Remi (coller)'!L25,'Spécifique comptes'!$A:$G,1,FALSE))=TRUE,'1) Import fichier Remi (coller)'!V25,VLOOKUP('1) Import fichier Remi (coller)'!K25&amp;" - "&amp;'1) Import fichier Remi (coller)'!L25,'Spécifique comptes'!$A:$G,IF(LEFT('2) BOB compta (completer-forcer'!F25,2)="11",4,IF(LEFT('2) BOB compta (completer-forcer'!F25,2)="12",5,IF(LEFT('2) BOB compta (completer-forcer'!F25,2)="13",6,IF(LEFT('2) BOB compta (completer-forcer'!F25,2)="15",7,"Erreur Compte")))),FALSE)))</f>
        <v>704100000</v>
      </c>
      <c r="I25" s="26" t="str">
        <f>IF(A25="","",IF(H25="70100000",'1) Import fichier Remi (coller)'!J25,'1) Import fichier Remi (coller)'!U25))</f>
        <v>+++003/7261/52239+++</v>
      </c>
      <c r="J25" s="26" t="str">
        <f>IF(A25="","",'1) Import fichier Remi (coller)'!U25)</f>
        <v>+++003/7261/52239+++</v>
      </c>
      <c r="K25" s="17">
        <f t="shared" si="1"/>
        <v>4082.0199999999995</v>
      </c>
      <c r="L25" t="str">
        <f t="shared" si="2"/>
        <v>V</v>
      </c>
      <c r="M25" s="14">
        <f>IF(A25="","",'1) Import fichier Remi (coller)'!S25)</f>
        <v>21</v>
      </c>
      <c r="N25" s="17">
        <f>IF($A25="","",IF(OR($A25="NCV",$A25="NC15"),-'1) Import fichier Remi (coller)'!R25,'1) Import fichier Remi (coller)'!R25))</f>
        <v>2190.64</v>
      </c>
      <c r="O25" s="17">
        <f>IF($A25="","",IF(OR($A25="NCV",$A25="NC15"),-'1) Import fichier Remi (coller)'!T25,'1) Import fichier Remi (coller)'!T25))</f>
        <v>460.03</v>
      </c>
      <c r="R25" t="str">
        <f>IF($A25="","",IF(ISERROR(VLOOKUP(LEFT('1) Import fichier Remi (coller)'!$A25,9),'Concordance client liv et fact'!$A:$H,8,FALSE))=TRUE,VLOOKUP(LEFT('1) Import fichier Remi (coller)'!$A25,9)+0,'Clients R2'!$A:$CY,2,FALSE),VLOOKUP(VLOOKUP(LEFT('1) Import fichier Remi (coller)'!$A25,9),'Concordance client liv et fact'!$A:$H,7,FALSE)+0,'Clients R2'!$A:$CY,2,FALSE)))</f>
        <v xml:space="preserve">MEBF MECA SA           </v>
      </c>
      <c r="S25" t="str">
        <f>IF($A25="","",PROPER(IF(ISERROR(VLOOKUP(LEFT('1) Import fichier Remi (coller)'!$A25,9),'Concordance client liv et fact'!$A:$H,8,FALSE))=TRUE,VLOOKUP(LEFT('1) Import fichier Remi (coller)'!$A25,9)+0,'Clients R2'!$A:$CY,27,FALSE),VLOOKUP(VLOOKUP(LEFT('1) Import fichier Remi (coller)'!$A25,9),'Concordance client liv et fact'!$A:$H,7,FALSE)+0,'Clients R2'!$A:$CY,27,FALSE))))</f>
        <v xml:space="preserve">Rue Haute Marexhe, 176             </v>
      </c>
      <c r="T25" t="str">
        <f>IF($A25="","",LEFT(UPPER(IF(ISERROR(VLOOKUP(LEFT('1) Import fichier Remi (coller)'!$A25,9),'Concordance client liv et fact'!$A:$H,8,FALSE))=TRUE,VLOOKUP(LEFT('1) Import fichier Remi (coller)'!$A25,9)+0,'Clients R2'!$A:$CY,28,FALSE),VLOOKUP(VLOOKUP(LEFT('1) Import fichier Remi (coller)'!$A25,9),'Concordance client liv et fact'!$A:$H,7,FALSE)+0,'Clients R2'!$A:$CY,28,FALSE))),2)&amp;UPPER(IF(ISERROR(VLOOKUP(LEFT('1) Import fichier Remi (coller)'!$A25,9),'Concordance client liv et fact'!$A:$H,8,FALSE))=TRUE,VLOOKUP(LEFT('1) Import fichier Remi (coller)'!$A25,9)+0,'Clients R2'!$A:$CY,29,FALSE),VLOOKUP(VLOOKUP(LEFT('1) Import fichier Remi (coller)'!$A25,9),'Concordance client liv et fact'!$A:$H,7,FALSE)+0,'Clients R2'!$A:$CY,29,FALSE))))</f>
        <v>B 4040</v>
      </c>
      <c r="U25" t="str">
        <f>IF($A25="","",PROPER(IF(ISERROR(VLOOKUP(LEFT('1) Import fichier Remi (coller)'!$A25,9),'Concordance client liv et fact'!$A:$H,8,FALSE))=TRUE,VLOOKUP(LEFT('1) Import fichier Remi (coller)'!$A25,9)+0,'Clients R2'!$A:$CY,30,FALSE),VLOOKUP(VLOOKUP(LEFT('1) Import fichier Remi (coller)'!$A25,9),'Concordance client liv et fact'!$A:$H,7,FALSE)+0,'Clients R2'!$A:$CY,30,FALSE))))</f>
        <v xml:space="preserve">Herstal                       </v>
      </c>
      <c r="V25" t="str">
        <f>IF($A25="","",LEFT(UPPER(IF(ISERROR(VLOOKUP(LEFT('1) Import fichier Remi (coller)'!$A25,9),'Concordance client liv et fact'!$A:$H,8,FALSE))=TRUE,IF(VLOOKUP(LEFT('1) Import fichier Remi (coller)'!$A25,9)+0,'Clients R2'!$A:$CY,22,FALSE)=4,"NA",VLOOKUP(LEFT('1) Import fichier Remi (coller)'!$A25,9)+0,'Clients R2'!$A:$CY,3,FALSE)),IF(VLOOKUP(VLOOKUP(LEFT('1) Import fichier Remi (coller)'!$A25,9),'Concordance client liv et fact'!$A:$H,7,FALSE)+0,'Clients R2'!$A:$CY,22,FALSE)=4,"NA",VLOOKUP(VLOOKUP(LEFT('1) Import fichier Remi (coller)'!$A25,9),'Concordance client liv et fact'!$A:$H,7,FALSE)+0,'Clients R2'!$A:$CY,3,FALSE)))),2))</f>
        <v>BE</v>
      </c>
      <c r="W25" s="27"/>
      <c r="X25" s="27" t="str">
        <f>IF($A25="","",IF(ISERROR(VLOOKUP(LEFT('1) Import fichier Remi (coller)'!$A25,9),'Concordance client liv et fact'!$A:$H,8,FALSE))=TRUE,VLOOKUP(LEFT('1) Import fichier Remi (coller)'!$A25,9)+0,'Clients R2'!$A:$CY,102,FALSE),VLOOKUP(VLOOKUP(LEFT('1) Import fichier Remi (coller)'!$A25,9),'Concordance client liv et fact'!$A:$H,7,FALSE)+0,'Clients R2'!$A:$CY,102,FALSE)))</f>
        <v xml:space="preserve">invoice@mebf.be                         </v>
      </c>
      <c r="Y25" t="s">
        <v>8197</v>
      </c>
      <c r="Z25" t="str">
        <f>IF(A25="","",IF(OR(H25="705099999",H25="705001002"),VLOOKUP('1) Import fichier Remi (coller)'!J25,'Analytique personnel'!$A:$B,2,FALSE),""))</f>
        <v/>
      </c>
      <c r="AA25" t="str">
        <f>IF($A25="VE11","",IF(LEFT($H25,4)="7050","",IF('1) Import fichier Remi (coller)'!M25="","",'1) Import fichier Remi (coller)'!M25)))</f>
        <v/>
      </c>
      <c r="AB25" t="str">
        <f>IF($A25="VE11","",IF(LEFT($H25,4)="7050","",IF('1) Import fichier Remi (coller)'!N25="","",'1) Import fichier Remi (coller)'!N25)))</f>
        <v/>
      </c>
      <c r="AC25" t="str">
        <f>IF(A25="","",VLOOKUP(LEFT('1) Import fichier Remi (coller)'!A25,9)+0,'Concordance Client R2 BOB'!$B:$C,2,FALSE))</f>
        <v>METAUXEM</v>
      </c>
    </row>
    <row r="26" spans="1:29" ht="18.75" customHeight="1" x14ac:dyDescent="0.25">
      <c r="A26" t="str">
        <f>IF('1) Import fichier Remi (coller)'!D26="","",'1) Import fichier Remi (coller)'!D26)</f>
        <v>VE11</v>
      </c>
      <c r="B26">
        <f>IF(A26="","",YEAR('1) Import fichier Remi (coller)'!F26))</f>
        <v>2026</v>
      </c>
      <c r="C26">
        <f>IF(A26="","",MONTH('1) Import fichier Remi (coller)'!F26))</f>
        <v>9</v>
      </c>
      <c r="D26" s="1">
        <f>IF(A26="","",'1) Import fichier Remi (coller)'!F26)</f>
        <v>46281</v>
      </c>
      <c r="E26" s="1">
        <f>IF(A26="","",'1) Import fichier Remi (coller)'!G26)</f>
        <v>46281</v>
      </c>
      <c r="F26" t="str">
        <f>IF(A26="","",'1) Import fichier Remi (coller)'!E26)</f>
        <v>11261522</v>
      </c>
      <c r="G26" t="str">
        <f>IF(A26="","",IF(ISERROR(VLOOKUP(LEFT('1) Import fichier Remi (coller)'!A26,9),'Concordance client liv et fact'!$A:$H,8,FALSE))=TRUE,'1) Import fichier Remi (coller)'!B26,VLOOKUP(LEFT('1) Import fichier Remi (coller)'!A26,9),'Concordance client liv et fact'!$A:$H,8,FALSE)))</f>
        <v>METAUXEM</v>
      </c>
      <c r="H26" t="str">
        <f>IF(A26="","",IF(ISERROR(VLOOKUP('1) Import fichier Remi (coller)'!K26&amp;" - "&amp;'1) Import fichier Remi (coller)'!L26,'Spécifique comptes'!$A:$G,1,FALSE))=TRUE,'1) Import fichier Remi (coller)'!V26,VLOOKUP('1) Import fichier Remi (coller)'!K26&amp;" - "&amp;'1) Import fichier Remi (coller)'!L26,'Spécifique comptes'!$A:$G,IF(LEFT('2) BOB compta (completer-forcer'!F26,2)="11",4,IF(LEFT('2) BOB compta (completer-forcer'!F26,2)="12",5,IF(LEFT('2) BOB compta (completer-forcer'!F26,2)="13",6,IF(LEFT('2) BOB compta (completer-forcer'!F26,2)="15",7,"Erreur Compte")))),FALSE)))</f>
        <v>704100000</v>
      </c>
      <c r="I26" s="26" t="str">
        <f>IF(A26="","",IF(H26="70100000",'1) Import fichier Remi (coller)'!J26,'1) Import fichier Remi (coller)'!U26))</f>
        <v>+++003/7261/52239+++</v>
      </c>
      <c r="J26" s="26" t="str">
        <f>IF(A26="","",'1) Import fichier Remi (coller)'!U26)</f>
        <v>+++003/7261/52239+++</v>
      </c>
      <c r="K26" s="17">
        <f t="shared" si="1"/>
        <v>4082.0199999999995</v>
      </c>
      <c r="L26" t="str">
        <f t="shared" si="2"/>
        <v>V</v>
      </c>
      <c r="M26" s="14">
        <f>IF(A26="","",'1) Import fichier Remi (coller)'!S26)</f>
        <v>21</v>
      </c>
      <c r="N26" s="17">
        <f>IF($A26="","",IF(OR($A26="NCV",$A26="NC15"),-'1) Import fichier Remi (coller)'!R26,'1) Import fichier Remi (coller)'!R26))</f>
        <v>247.52</v>
      </c>
      <c r="O26" s="17">
        <f>IF($A26="","",IF(OR($A26="NCV",$A26="NC15"),-'1) Import fichier Remi (coller)'!T26,'1) Import fichier Remi (coller)'!T26))</f>
        <v>51.98</v>
      </c>
      <c r="R26" t="str">
        <f>IF($A26="","",IF(ISERROR(VLOOKUP(LEFT('1) Import fichier Remi (coller)'!$A26,9),'Concordance client liv et fact'!$A:$H,8,FALSE))=TRUE,VLOOKUP(LEFT('1) Import fichier Remi (coller)'!$A26,9)+0,'Clients R2'!$A:$CY,2,FALSE),VLOOKUP(VLOOKUP(LEFT('1) Import fichier Remi (coller)'!$A26,9),'Concordance client liv et fact'!$A:$H,7,FALSE)+0,'Clients R2'!$A:$CY,2,FALSE)))</f>
        <v xml:space="preserve">MEBF MECA SA           </v>
      </c>
      <c r="S26" t="str">
        <f>IF($A26="","",PROPER(IF(ISERROR(VLOOKUP(LEFT('1) Import fichier Remi (coller)'!$A26,9),'Concordance client liv et fact'!$A:$H,8,FALSE))=TRUE,VLOOKUP(LEFT('1) Import fichier Remi (coller)'!$A26,9)+0,'Clients R2'!$A:$CY,27,FALSE),VLOOKUP(VLOOKUP(LEFT('1) Import fichier Remi (coller)'!$A26,9),'Concordance client liv et fact'!$A:$H,7,FALSE)+0,'Clients R2'!$A:$CY,27,FALSE))))</f>
        <v xml:space="preserve">Rue Haute Marexhe, 176             </v>
      </c>
      <c r="T26" t="str">
        <f>IF($A26="","",LEFT(UPPER(IF(ISERROR(VLOOKUP(LEFT('1) Import fichier Remi (coller)'!$A26,9),'Concordance client liv et fact'!$A:$H,8,FALSE))=TRUE,VLOOKUP(LEFT('1) Import fichier Remi (coller)'!$A26,9)+0,'Clients R2'!$A:$CY,28,FALSE),VLOOKUP(VLOOKUP(LEFT('1) Import fichier Remi (coller)'!$A26,9),'Concordance client liv et fact'!$A:$H,7,FALSE)+0,'Clients R2'!$A:$CY,28,FALSE))),2)&amp;UPPER(IF(ISERROR(VLOOKUP(LEFT('1) Import fichier Remi (coller)'!$A26,9),'Concordance client liv et fact'!$A:$H,8,FALSE))=TRUE,VLOOKUP(LEFT('1) Import fichier Remi (coller)'!$A26,9)+0,'Clients R2'!$A:$CY,29,FALSE),VLOOKUP(VLOOKUP(LEFT('1) Import fichier Remi (coller)'!$A26,9),'Concordance client liv et fact'!$A:$H,7,FALSE)+0,'Clients R2'!$A:$CY,29,FALSE))))</f>
        <v>B 4040</v>
      </c>
      <c r="U26" t="str">
        <f>IF($A26="","",PROPER(IF(ISERROR(VLOOKUP(LEFT('1) Import fichier Remi (coller)'!$A26,9),'Concordance client liv et fact'!$A:$H,8,FALSE))=TRUE,VLOOKUP(LEFT('1) Import fichier Remi (coller)'!$A26,9)+0,'Clients R2'!$A:$CY,30,FALSE),VLOOKUP(VLOOKUP(LEFT('1) Import fichier Remi (coller)'!$A26,9),'Concordance client liv et fact'!$A:$H,7,FALSE)+0,'Clients R2'!$A:$CY,30,FALSE))))</f>
        <v xml:space="preserve">Herstal                       </v>
      </c>
      <c r="V26" t="str">
        <f>IF($A26="","",LEFT(UPPER(IF(ISERROR(VLOOKUP(LEFT('1) Import fichier Remi (coller)'!$A26,9),'Concordance client liv et fact'!$A:$H,8,FALSE))=TRUE,IF(VLOOKUP(LEFT('1) Import fichier Remi (coller)'!$A26,9)+0,'Clients R2'!$A:$CY,22,FALSE)=4,"NA",VLOOKUP(LEFT('1) Import fichier Remi (coller)'!$A26,9)+0,'Clients R2'!$A:$CY,3,FALSE)),IF(VLOOKUP(VLOOKUP(LEFT('1) Import fichier Remi (coller)'!$A26,9),'Concordance client liv et fact'!$A:$H,7,FALSE)+0,'Clients R2'!$A:$CY,22,FALSE)=4,"NA",VLOOKUP(VLOOKUP(LEFT('1) Import fichier Remi (coller)'!$A26,9),'Concordance client liv et fact'!$A:$H,7,FALSE)+0,'Clients R2'!$A:$CY,3,FALSE)))),2))</f>
        <v>BE</v>
      </c>
      <c r="W26" s="27"/>
      <c r="X26" s="27" t="str">
        <f>IF($A26="","",IF(ISERROR(VLOOKUP(LEFT('1) Import fichier Remi (coller)'!$A26,9),'Concordance client liv et fact'!$A:$H,8,FALSE))=TRUE,VLOOKUP(LEFT('1) Import fichier Remi (coller)'!$A26,9)+0,'Clients R2'!$A:$CY,102,FALSE),VLOOKUP(VLOOKUP(LEFT('1) Import fichier Remi (coller)'!$A26,9),'Concordance client liv et fact'!$A:$H,7,FALSE)+0,'Clients R2'!$A:$CY,102,FALSE)))</f>
        <v xml:space="preserve">invoice@mebf.be                         </v>
      </c>
      <c r="Y26" t="s">
        <v>8197</v>
      </c>
      <c r="Z26" t="str">
        <f>IF(A26="","",IF(OR(H26="705099999",H26="705001002"),VLOOKUP('1) Import fichier Remi (coller)'!J26,'Analytique personnel'!$A:$B,2,FALSE),""))</f>
        <v/>
      </c>
      <c r="AA26" t="str">
        <f>IF($A26="VE11","",IF(LEFT($H26,4)="7050","",IF('1) Import fichier Remi (coller)'!M26="","",'1) Import fichier Remi (coller)'!M26)))</f>
        <v/>
      </c>
      <c r="AB26" t="str">
        <f>IF($A26="VE11","",IF(LEFT($H26,4)="7050","",IF('1) Import fichier Remi (coller)'!N26="","",'1) Import fichier Remi (coller)'!N26)))</f>
        <v/>
      </c>
      <c r="AC26" t="str">
        <f>IF(A26="","",VLOOKUP(LEFT('1) Import fichier Remi (coller)'!A26,9)+0,'Concordance Client R2 BOB'!$B:$C,2,FALSE))</f>
        <v>METAUXEM</v>
      </c>
    </row>
    <row r="27" spans="1:29" ht="18.75" customHeight="1" x14ac:dyDescent="0.25">
      <c r="A27" t="str">
        <f>IF('1) Import fichier Remi (coller)'!D27="","",'1) Import fichier Remi (coller)'!D27)</f>
        <v>VE11</v>
      </c>
      <c r="B27">
        <f>IF(A27="","",YEAR('1) Import fichier Remi (coller)'!F27))</f>
        <v>2026</v>
      </c>
      <c r="C27">
        <f>IF(A27="","",MONTH('1) Import fichier Remi (coller)'!F27))</f>
        <v>9</v>
      </c>
      <c r="D27" s="1">
        <f>IF(A27="","",'1) Import fichier Remi (coller)'!F27)</f>
        <v>46281</v>
      </c>
      <c r="E27" s="1">
        <f>IF(A27="","",'1) Import fichier Remi (coller)'!G27)</f>
        <v>46281</v>
      </c>
      <c r="F27" t="str">
        <f>IF(A27="","",'1) Import fichier Remi (coller)'!E27)</f>
        <v>11261522</v>
      </c>
      <c r="G27" t="str">
        <f>IF(A27="","",IF(ISERROR(VLOOKUP(LEFT('1) Import fichier Remi (coller)'!A27,9),'Concordance client liv et fact'!$A:$H,8,FALSE))=TRUE,'1) Import fichier Remi (coller)'!B27,VLOOKUP(LEFT('1) Import fichier Remi (coller)'!A27,9),'Concordance client liv et fact'!$A:$H,8,FALSE)))</f>
        <v>METAUXEM</v>
      </c>
      <c r="H27" t="str">
        <f>IF(A27="","",IF(ISERROR(VLOOKUP('1) Import fichier Remi (coller)'!K27&amp;" - "&amp;'1) Import fichier Remi (coller)'!L27,'Spécifique comptes'!$A:$G,1,FALSE))=TRUE,'1) Import fichier Remi (coller)'!V27,VLOOKUP('1) Import fichier Remi (coller)'!K27&amp;" - "&amp;'1) Import fichier Remi (coller)'!L27,'Spécifique comptes'!$A:$G,IF(LEFT('2) BOB compta (completer-forcer'!F27,2)="11",4,IF(LEFT('2) BOB compta (completer-forcer'!F27,2)="12",5,IF(LEFT('2) BOB compta (completer-forcer'!F27,2)="13",6,IF(LEFT('2) BOB compta (completer-forcer'!F27,2)="15",7,"Erreur Compte")))),FALSE)))</f>
        <v>704100001</v>
      </c>
      <c r="I27" s="26" t="str">
        <f>IF(A27="","",IF(H27="70100000",'1) Import fichier Remi (coller)'!J27,'1) Import fichier Remi (coller)'!U27))</f>
        <v>+++003/7261/52239+++</v>
      </c>
      <c r="J27" s="26" t="str">
        <f>IF(A27="","",'1) Import fichier Remi (coller)'!U27)</f>
        <v>+++003/7261/52239+++</v>
      </c>
      <c r="K27" s="17">
        <f t="shared" si="1"/>
        <v>4082.0199999999995</v>
      </c>
      <c r="L27" t="str">
        <f t="shared" si="2"/>
        <v>V</v>
      </c>
      <c r="M27" s="14">
        <f>IF(A27="","",'1) Import fichier Remi (coller)'!S27)</f>
        <v>21</v>
      </c>
      <c r="N27" s="17">
        <f>IF($A27="","",IF(OR($A27="NCV",$A27="NC15"),-'1) Import fichier Remi (coller)'!R27,'1) Import fichier Remi (coller)'!R27))</f>
        <v>0.4</v>
      </c>
      <c r="O27" s="17">
        <f>IF($A27="","",IF(OR($A27="NCV",$A27="NC15"),-'1) Import fichier Remi (coller)'!T27,'1) Import fichier Remi (coller)'!T27))</f>
        <v>0.08</v>
      </c>
      <c r="R27" t="str">
        <f>IF($A27="","",IF(ISERROR(VLOOKUP(LEFT('1) Import fichier Remi (coller)'!$A27,9),'Concordance client liv et fact'!$A:$H,8,FALSE))=TRUE,VLOOKUP(LEFT('1) Import fichier Remi (coller)'!$A27,9)+0,'Clients R2'!$A:$CY,2,FALSE),VLOOKUP(VLOOKUP(LEFT('1) Import fichier Remi (coller)'!$A27,9),'Concordance client liv et fact'!$A:$H,7,FALSE)+0,'Clients R2'!$A:$CY,2,FALSE)))</f>
        <v xml:space="preserve">MEBF MECA SA           </v>
      </c>
      <c r="S27" t="str">
        <f>IF($A27="","",PROPER(IF(ISERROR(VLOOKUP(LEFT('1) Import fichier Remi (coller)'!$A27,9),'Concordance client liv et fact'!$A:$H,8,FALSE))=TRUE,VLOOKUP(LEFT('1) Import fichier Remi (coller)'!$A27,9)+0,'Clients R2'!$A:$CY,27,FALSE),VLOOKUP(VLOOKUP(LEFT('1) Import fichier Remi (coller)'!$A27,9),'Concordance client liv et fact'!$A:$H,7,FALSE)+0,'Clients R2'!$A:$CY,27,FALSE))))</f>
        <v xml:space="preserve">Rue Haute Marexhe, 176             </v>
      </c>
      <c r="T27" t="str">
        <f>IF($A27="","",LEFT(UPPER(IF(ISERROR(VLOOKUP(LEFT('1) Import fichier Remi (coller)'!$A27,9),'Concordance client liv et fact'!$A:$H,8,FALSE))=TRUE,VLOOKUP(LEFT('1) Import fichier Remi (coller)'!$A27,9)+0,'Clients R2'!$A:$CY,28,FALSE),VLOOKUP(VLOOKUP(LEFT('1) Import fichier Remi (coller)'!$A27,9),'Concordance client liv et fact'!$A:$H,7,FALSE)+0,'Clients R2'!$A:$CY,28,FALSE))),2)&amp;UPPER(IF(ISERROR(VLOOKUP(LEFT('1) Import fichier Remi (coller)'!$A27,9),'Concordance client liv et fact'!$A:$H,8,FALSE))=TRUE,VLOOKUP(LEFT('1) Import fichier Remi (coller)'!$A27,9)+0,'Clients R2'!$A:$CY,29,FALSE),VLOOKUP(VLOOKUP(LEFT('1) Import fichier Remi (coller)'!$A27,9),'Concordance client liv et fact'!$A:$H,7,FALSE)+0,'Clients R2'!$A:$CY,29,FALSE))))</f>
        <v>B 4040</v>
      </c>
      <c r="U27" t="str">
        <f>IF($A27="","",PROPER(IF(ISERROR(VLOOKUP(LEFT('1) Import fichier Remi (coller)'!$A27,9),'Concordance client liv et fact'!$A:$H,8,FALSE))=TRUE,VLOOKUP(LEFT('1) Import fichier Remi (coller)'!$A27,9)+0,'Clients R2'!$A:$CY,30,FALSE),VLOOKUP(VLOOKUP(LEFT('1) Import fichier Remi (coller)'!$A27,9),'Concordance client liv et fact'!$A:$H,7,FALSE)+0,'Clients R2'!$A:$CY,30,FALSE))))</f>
        <v xml:space="preserve">Herstal                       </v>
      </c>
      <c r="V27" t="str">
        <f>IF($A27="","",LEFT(UPPER(IF(ISERROR(VLOOKUP(LEFT('1) Import fichier Remi (coller)'!$A27,9),'Concordance client liv et fact'!$A:$H,8,FALSE))=TRUE,IF(VLOOKUP(LEFT('1) Import fichier Remi (coller)'!$A27,9)+0,'Clients R2'!$A:$CY,22,FALSE)=4,"NA",VLOOKUP(LEFT('1) Import fichier Remi (coller)'!$A27,9)+0,'Clients R2'!$A:$CY,3,FALSE)),IF(VLOOKUP(VLOOKUP(LEFT('1) Import fichier Remi (coller)'!$A27,9),'Concordance client liv et fact'!$A:$H,7,FALSE)+0,'Clients R2'!$A:$CY,22,FALSE)=4,"NA",VLOOKUP(VLOOKUP(LEFT('1) Import fichier Remi (coller)'!$A27,9),'Concordance client liv et fact'!$A:$H,7,FALSE)+0,'Clients R2'!$A:$CY,3,FALSE)))),2))</f>
        <v>BE</v>
      </c>
      <c r="W27" s="27"/>
      <c r="X27" s="27" t="str">
        <f>IF($A27="","",IF(ISERROR(VLOOKUP(LEFT('1) Import fichier Remi (coller)'!$A27,9),'Concordance client liv et fact'!$A:$H,8,FALSE))=TRUE,VLOOKUP(LEFT('1) Import fichier Remi (coller)'!$A27,9)+0,'Clients R2'!$A:$CY,102,FALSE),VLOOKUP(VLOOKUP(LEFT('1) Import fichier Remi (coller)'!$A27,9),'Concordance client liv et fact'!$A:$H,7,FALSE)+0,'Clients R2'!$A:$CY,102,FALSE)))</f>
        <v xml:space="preserve">invoice@mebf.be                         </v>
      </c>
      <c r="Y27" t="s">
        <v>8197</v>
      </c>
      <c r="Z27" t="str">
        <f>IF(A27="","",IF(OR(H27="705099999",H27="705001002"),VLOOKUP('1) Import fichier Remi (coller)'!J27,'Analytique personnel'!$A:$B,2,FALSE),""))</f>
        <v/>
      </c>
      <c r="AA27" t="str">
        <f>IF($A27="VE11","",IF(LEFT($H27,4)="7050","",IF('1) Import fichier Remi (coller)'!M27="","",'1) Import fichier Remi (coller)'!M27)))</f>
        <v/>
      </c>
      <c r="AB27" t="str">
        <f>IF($A27="VE11","",IF(LEFT($H27,4)="7050","",IF('1) Import fichier Remi (coller)'!N27="","",'1) Import fichier Remi (coller)'!N27)))</f>
        <v/>
      </c>
      <c r="AC27" t="str">
        <f>IF(A27="","",VLOOKUP(LEFT('1) Import fichier Remi (coller)'!A27,9)+0,'Concordance Client R2 BOB'!$B:$C,2,FALSE))</f>
        <v>METAUXEM</v>
      </c>
    </row>
    <row r="28" spans="1:29" ht="18.75" customHeight="1" x14ac:dyDescent="0.25">
      <c r="A28" t="str">
        <f>IF('1) Import fichier Remi (coller)'!D28="","",'1) Import fichier Remi (coller)'!D28)</f>
        <v>VE11</v>
      </c>
      <c r="B28">
        <f>IF(A28="","",YEAR('1) Import fichier Remi (coller)'!F28))</f>
        <v>2026</v>
      </c>
      <c r="C28">
        <f>IF(A28="","",MONTH('1) Import fichier Remi (coller)'!F28))</f>
        <v>9</v>
      </c>
      <c r="D28" s="1">
        <f>IF(A28="","",'1) Import fichier Remi (coller)'!F28)</f>
        <v>46281</v>
      </c>
      <c r="E28" s="1">
        <f>IF(A28="","",'1) Import fichier Remi (coller)'!G28)</f>
        <v>46281</v>
      </c>
      <c r="F28" t="str">
        <f>IF(A28="","",'1) Import fichier Remi (coller)'!E28)</f>
        <v>11261522</v>
      </c>
      <c r="G28" t="str">
        <f>IF(A28="","",IF(ISERROR(VLOOKUP(LEFT('1) Import fichier Remi (coller)'!A28,9),'Concordance client liv et fact'!$A:$H,8,FALSE))=TRUE,'1) Import fichier Remi (coller)'!B28,VLOOKUP(LEFT('1) Import fichier Remi (coller)'!A28,9),'Concordance client liv et fact'!$A:$H,8,FALSE)))</f>
        <v>METAUXEM</v>
      </c>
      <c r="H28" t="str">
        <f>IF(A28="","",IF(ISERROR(VLOOKUP('1) Import fichier Remi (coller)'!K28&amp;" - "&amp;'1) Import fichier Remi (coller)'!L28,'Spécifique comptes'!$A:$G,1,FALSE))=TRUE,'1) Import fichier Remi (coller)'!V28,VLOOKUP('1) Import fichier Remi (coller)'!K28&amp;" - "&amp;'1) Import fichier Remi (coller)'!L28,'Spécifique comptes'!$A:$G,IF(LEFT('2) BOB compta (completer-forcer'!F28,2)="11",4,IF(LEFT('2) BOB compta (completer-forcer'!F28,2)="12",5,IF(LEFT('2) BOB compta (completer-forcer'!F28,2)="13",6,IF(LEFT('2) BOB compta (completer-forcer'!F28,2)="15",7,"Erreur Compte")))),FALSE)))</f>
        <v>704100000</v>
      </c>
      <c r="I28" s="26" t="str">
        <f>IF(A28="","",IF(H28="70100000",'1) Import fichier Remi (coller)'!J28,'1) Import fichier Remi (coller)'!U28))</f>
        <v>+++003/7261/52239+++</v>
      </c>
      <c r="J28" s="26" t="str">
        <f>IF(A28="","",'1) Import fichier Remi (coller)'!U28)</f>
        <v>+++003/7261/52239+++</v>
      </c>
      <c r="K28" s="17">
        <f t="shared" si="1"/>
        <v>4082.0199999999995</v>
      </c>
      <c r="L28" t="str">
        <f t="shared" si="2"/>
        <v>V</v>
      </c>
      <c r="M28" s="14">
        <f>IF(A28="","",'1) Import fichier Remi (coller)'!S28)</f>
        <v>21</v>
      </c>
      <c r="N28" s="17">
        <f>IF($A28="","",IF(OR($A28="NCV",$A28="NC15"),-'1) Import fichier Remi (coller)'!R28,'1) Import fichier Remi (coller)'!R28))</f>
        <v>142.43</v>
      </c>
      <c r="O28" s="17">
        <f>IF($A28="","",IF(OR($A28="NCV",$A28="NC15"),-'1) Import fichier Remi (coller)'!T28,'1) Import fichier Remi (coller)'!T28))</f>
        <v>29.91</v>
      </c>
      <c r="R28" t="str">
        <f>IF($A28="","",IF(ISERROR(VLOOKUP(LEFT('1) Import fichier Remi (coller)'!$A28,9),'Concordance client liv et fact'!$A:$H,8,FALSE))=TRUE,VLOOKUP(LEFT('1) Import fichier Remi (coller)'!$A28,9)+0,'Clients R2'!$A:$CY,2,FALSE),VLOOKUP(VLOOKUP(LEFT('1) Import fichier Remi (coller)'!$A28,9),'Concordance client liv et fact'!$A:$H,7,FALSE)+0,'Clients R2'!$A:$CY,2,FALSE)))</f>
        <v xml:space="preserve">MEBF MECA SA           </v>
      </c>
      <c r="S28" t="str">
        <f>IF($A28="","",PROPER(IF(ISERROR(VLOOKUP(LEFT('1) Import fichier Remi (coller)'!$A28,9),'Concordance client liv et fact'!$A:$H,8,FALSE))=TRUE,VLOOKUP(LEFT('1) Import fichier Remi (coller)'!$A28,9)+0,'Clients R2'!$A:$CY,27,FALSE),VLOOKUP(VLOOKUP(LEFT('1) Import fichier Remi (coller)'!$A28,9),'Concordance client liv et fact'!$A:$H,7,FALSE)+0,'Clients R2'!$A:$CY,27,FALSE))))</f>
        <v xml:space="preserve">Rue Haute Marexhe, 176             </v>
      </c>
      <c r="T28" t="str">
        <f>IF($A28="","",LEFT(UPPER(IF(ISERROR(VLOOKUP(LEFT('1) Import fichier Remi (coller)'!$A28,9),'Concordance client liv et fact'!$A:$H,8,FALSE))=TRUE,VLOOKUP(LEFT('1) Import fichier Remi (coller)'!$A28,9)+0,'Clients R2'!$A:$CY,28,FALSE),VLOOKUP(VLOOKUP(LEFT('1) Import fichier Remi (coller)'!$A28,9),'Concordance client liv et fact'!$A:$H,7,FALSE)+0,'Clients R2'!$A:$CY,28,FALSE))),2)&amp;UPPER(IF(ISERROR(VLOOKUP(LEFT('1) Import fichier Remi (coller)'!$A28,9),'Concordance client liv et fact'!$A:$H,8,FALSE))=TRUE,VLOOKUP(LEFT('1) Import fichier Remi (coller)'!$A28,9)+0,'Clients R2'!$A:$CY,29,FALSE),VLOOKUP(VLOOKUP(LEFT('1) Import fichier Remi (coller)'!$A28,9),'Concordance client liv et fact'!$A:$H,7,FALSE)+0,'Clients R2'!$A:$CY,29,FALSE))))</f>
        <v>B 4040</v>
      </c>
      <c r="U28" t="str">
        <f>IF($A28="","",PROPER(IF(ISERROR(VLOOKUP(LEFT('1) Import fichier Remi (coller)'!$A28,9),'Concordance client liv et fact'!$A:$H,8,FALSE))=TRUE,VLOOKUP(LEFT('1) Import fichier Remi (coller)'!$A28,9)+0,'Clients R2'!$A:$CY,30,FALSE),VLOOKUP(VLOOKUP(LEFT('1) Import fichier Remi (coller)'!$A28,9),'Concordance client liv et fact'!$A:$H,7,FALSE)+0,'Clients R2'!$A:$CY,30,FALSE))))</f>
        <v xml:space="preserve">Herstal                       </v>
      </c>
      <c r="V28" t="str">
        <f>IF($A28="","",LEFT(UPPER(IF(ISERROR(VLOOKUP(LEFT('1) Import fichier Remi (coller)'!$A28,9),'Concordance client liv et fact'!$A:$H,8,FALSE))=TRUE,IF(VLOOKUP(LEFT('1) Import fichier Remi (coller)'!$A28,9)+0,'Clients R2'!$A:$CY,22,FALSE)=4,"NA",VLOOKUP(LEFT('1) Import fichier Remi (coller)'!$A28,9)+0,'Clients R2'!$A:$CY,3,FALSE)),IF(VLOOKUP(VLOOKUP(LEFT('1) Import fichier Remi (coller)'!$A28,9),'Concordance client liv et fact'!$A:$H,7,FALSE)+0,'Clients R2'!$A:$CY,22,FALSE)=4,"NA",VLOOKUP(VLOOKUP(LEFT('1) Import fichier Remi (coller)'!$A28,9),'Concordance client liv et fact'!$A:$H,7,FALSE)+0,'Clients R2'!$A:$CY,3,FALSE)))),2))</f>
        <v>BE</v>
      </c>
      <c r="W28" s="27"/>
      <c r="X28" s="27" t="str">
        <f>IF($A28="","",IF(ISERROR(VLOOKUP(LEFT('1) Import fichier Remi (coller)'!$A28,9),'Concordance client liv et fact'!$A:$H,8,FALSE))=TRUE,VLOOKUP(LEFT('1) Import fichier Remi (coller)'!$A28,9)+0,'Clients R2'!$A:$CY,102,FALSE),VLOOKUP(VLOOKUP(LEFT('1) Import fichier Remi (coller)'!$A28,9),'Concordance client liv et fact'!$A:$H,7,FALSE)+0,'Clients R2'!$A:$CY,102,FALSE)))</f>
        <v xml:space="preserve">invoice@mebf.be                         </v>
      </c>
      <c r="Y28" t="s">
        <v>8197</v>
      </c>
      <c r="Z28" t="str">
        <f>IF(A28="","",IF(OR(H28="705099999",H28="705001002"),VLOOKUP('1) Import fichier Remi (coller)'!J28,'Analytique personnel'!$A:$B,2,FALSE),""))</f>
        <v/>
      </c>
      <c r="AA28" t="str">
        <f>IF($A28="VE11","",IF(LEFT($H28,4)="7050","",IF('1) Import fichier Remi (coller)'!M28="","",'1) Import fichier Remi (coller)'!M28)))</f>
        <v/>
      </c>
      <c r="AB28" t="str">
        <f>IF($A28="VE11","",IF(LEFT($H28,4)="7050","",IF('1) Import fichier Remi (coller)'!N28="","",'1) Import fichier Remi (coller)'!N28)))</f>
        <v/>
      </c>
      <c r="AC28" t="str">
        <f>IF(A28="","",VLOOKUP(LEFT('1) Import fichier Remi (coller)'!A28,9)+0,'Concordance Client R2 BOB'!$B:$C,2,FALSE))</f>
        <v>METAUXEM</v>
      </c>
    </row>
    <row r="29" spans="1:29" ht="18.75" customHeight="1" x14ac:dyDescent="0.25">
      <c r="A29" t="str">
        <f>IF('1) Import fichier Remi (coller)'!D29="","",'1) Import fichier Remi (coller)'!D29)</f>
        <v>VE11</v>
      </c>
      <c r="B29">
        <f>IF(A29="","",YEAR('1) Import fichier Remi (coller)'!F29))</f>
        <v>2026</v>
      </c>
      <c r="C29">
        <f>IF(A29="","",MONTH('1) Import fichier Remi (coller)'!F29))</f>
        <v>9</v>
      </c>
      <c r="D29" s="1">
        <f>IF(A29="","",'1) Import fichier Remi (coller)'!F29)</f>
        <v>46281</v>
      </c>
      <c r="E29" s="1">
        <f>IF(A29="","",'1) Import fichier Remi (coller)'!G29)</f>
        <v>46281</v>
      </c>
      <c r="F29" t="str">
        <f>IF(A29="","",'1) Import fichier Remi (coller)'!E29)</f>
        <v>11261522</v>
      </c>
      <c r="G29" t="str">
        <f>IF(A29="","",IF(ISERROR(VLOOKUP(LEFT('1) Import fichier Remi (coller)'!A29,9),'Concordance client liv et fact'!$A:$H,8,FALSE))=TRUE,'1) Import fichier Remi (coller)'!B29,VLOOKUP(LEFT('1) Import fichier Remi (coller)'!A29,9),'Concordance client liv et fact'!$A:$H,8,FALSE)))</f>
        <v>METAUXEM</v>
      </c>
      <c r="H29" t="str">
        <f>IF(A29="","",IF(ISERROR(VLOOKUP('1) Import fichier Remi (coller)'!K29&amp;" - "&amp;'1) Import fichier Remi (coller)'!L29,'Spécifique comptes'!$A:$G,1,FALSE))=TRUE,'1) Import fichier Remi (coller)'!V29,VLOOKUP('1) Import fichier Remi (coller)'!K29&amp;" - "&amp;'1) Import fichier Remi (coller)'!L29,'Spécifique comptes'!$A:$G,IF(LEFT('2) BOB compta (completer-forcer'!F29,2)="11",4,IF(LEFT('2) BOB compta (completer-forcer'!F29,2)="12",5,IF(LEFT('2) BOB compta (completer-forcer'!F29,2)="13",6,IF(LEFT('2) BOB compta (completer-forcer'!F29,2)="15",7,"Erreur Compte")))),FALSE)))</f>
        <v>704100000</v>
      </c>
      <c r="I29" s="26" t="str">
        <f>IF(A29="","",IF(H29="70100000",'1) Import fichier Remi (coller)'!J29,'1) Import fichier Remi (coller)'!U29))</f>
        <v>+++003/7261/52239+++</v>
      </c>
      <c r="J29" s="26" t="str">
        <f>IF(A29="","",'1) Import fichier Remi (coller)'!U29)</f>
        <v>+++003/7261/52239+++</v>
      </c>
      <c r="K29" s="17">
        <f t="shared" si="1"/>
        <v>4082.0199999999995</v>
      </c>
      <c r="L29" t="str">
        <f t="shared" si="2"/>
        <v>V</v>
      </c>
      <c r="M29" s="14">
        <f>IF(A29="","",'1) Import fichier Remi (coller)'!S29)</f>
        <v>21</v>
      </c>
      <c r="N29" s="17">
        <f>IF($A29="","",IF(OR($A29="NCV",$A29="NC15"),-'1) Import fichier Remi (coller)'!R29,'1) Import fichier Remi (coller)'!R29))</f>
        <v>26.04</v>
      </c>
      <c r="O29" s="17">
        <f>IF($A29="","",IF(OR($A29="NCV",$A29="NC15"),-'1) Import fichier Remi (coller)'!T29,'1) Import fichier Remi (coller)'!T29))</f>
        <v>5.47</v>
      </c>
      <c r="R29" t="str">
        <f>IF($A29="","",IF(ISERROR(VLOOKUP(LEFT('1) Import fichier Remi (coller)'!$A29,9),'Concordance client liv et fact'!$A:$H,8,FALSE))=TRUE,VLOOKUP(LEFT('1) Import fichier Remi (coller)'!$A29,9)+0,'Clients R2'!$A:$CY,2,FALSE),VLOOKUP(VLOOKUP(LEFT('1) Import fichier Remi (coller)'!$A29,9),'Concordance client liv et fact'!$A:$H,7,FALSE)+0,'Clients R2'!$A:$CY,2,FALSE)))</f>
        <v xml:space="preserve">MEBF MECA SA           </v>
      </c>
      <c r="S29" t="str">
        <f>IF($A29="","",PROPER(IF(ISERROR(VLOOKUP(LEFT('1) Import fichier Remi (coller)'!$A29,9),'Concordance client liv et fact'!$A:$H,8,FALSE))=TRUE,VLOOKUP(LEFT('1) Import fichier Remi (coller)'!$A29,9)+0,'Clients R2'!$A:$CY,27,FALSE),VLOOKUP(VLOOKUP(LEFT('1) Import fichier Remi (coller)'!$A29,9),'Concordance client liv et fact'!$A:$H,7,FALSE)+0,'Clients R2'!$A:$CY,27,FALSE))))</f>
        <v xml:space="preserve">Rue Haute Marexhe, 176             </v>
      </c>
      <c r="T29" t="str">
        <f>IF($A29="","",LEFT(UPPER(IF(ISERROR(VLOOKUP(LEFT('1) Import fichier Remi (coller)'!$A29,9),'Concordance client liv et fact'!$A:$H,8,FALSE))=TRUE,VLOOKUP(LEFT('1) Import fichier Remi (coller)'!$A29,9)+0,'Clients R2'!$A:$CY,28,FALSE),VLOOKUP(VLOOKUP(LEFT('1) Import fichier Remi (coller)'!$A29,9),'Concordance client liv et fact'!$A:$H,7,FALSE)+0,'Clients R2'!$A:$CY,28,FALSE))),2)&amp;UPPER(IF(ISERROR(VLOOKUP(LEFT('1) Import fichier Remi (coller)'!$A29,9),'Concordance client liv et fact'!$A:$H,8,FALSE))=TRUE,VLOOKUP(LEFT('1) Import fichier Remi (coller)'!$A29,9)+0,'Clients R2'!$A:$CY,29,FALSE),VLOOKUP(VLOOKUP(LEFT('1) Import fichier Remi (coller)'!$A29,9),'Concordance client liv et fact'!$A:$H,7,FALSE)+0,'Clients R2'!$A:$CY,29,FALSE))))</f>
        <v>B 4040</v>
      </c>
      <c r="U29" t="str">
        <f>IF($A29="","",PROPER(IF(ISERROR(VLOOKUP(LEFT('1) Import fichier Remi (coller)'!$A29,9),'Concordance client liv et fact'!$A:$H,8,FALSE))=TRUE,VLOOKUP(LEFT('1) Import fichier Remi (coller)'!$A29,9)+0,'Clients R2'!$A:$CY,30,FALSE),VLOOKUP(VLOOKUP(LEFT('1) Import fichier Remi (coller)'!$A29,9),'Concordance client liv et fact'!$A:$H,7,FALSE)+0,'Clients R2'!$A:$CY,30,FALSE))))</f>
        <v xml:space="preserve">Herstal                       </v>
      </c>
      <c r="V29" t="str">
        <f>IF($A29="","",LEFT(UPPER(IF(ISERROR(VLOOKUP(LEFT('1) Import fichier Remi (coller)'!$A29,9),'Concordance client liv et fact'!$A:$H,8,FALSE))=TRUE,IF(VLOOKUP(LEFT('1) Import fichier Remi (coller)'!$A29,9)+0,'Clients R2'!$A:$CY,22,FALSE)=4,"NA",VLOOKUP(LEFT('1) Import fichier Remi (coller)'!$A29,9)+0,'Clients R2'!$A:$CY,3,FALSE)),IF(VLOOKUP(VLOOKUP(LEFT('1) Import fichier Remi (coller)'!$A29,9),'Concordance client liv et fact'!$A:$H,7,FALSE)+0,'Clients R2'!$A:$CY,22,FALSE)=4,"NA",VLOOKUP(VLOOKUP(LEFT('1) Import fichier Remi (coller)'!$A29,9),'Concordance client liv et fact'!$A:$H,7,FALSE)+0,'Clients R2'!$A:$CY,3,FALSE)))),2))</f>
        <v>BE</v>
      </c>
      <c r="W29" s="27"/>
      <c r="X29" s="27" t="str">
        <f>IF($A29="","",IF(ISERROR(VLOOKUP(LEFT('1) Import fichier Remi (coller)'!$A29,9),'Concordance client liv et fact'!$A:$H,8,FALSE))=TRUE,VLOOKUP(LEFT('1) Import fichier Remi (coller)'!$A29,9)+0,'Clients R2'!$A:$CY,102,FALSE),VLOOKUP(VLOOKUP(LEFT('1) Import fichier Remi (coller)'!$A29,9),'Concordance client liv et fact'!$A:$H,7,FALSE)+0,'Clients R2'!$A:$CY,102,FALSE)))</f>
        <v xml:space="preserve">invoice@mebf.be                         </v>
      </c>
      <c r="Y29" t="s">
        <v>8197</v>
      </c>
      <c r="Z29" t="str">
        <f>IF(A29="","",IF(OR(H29="705099999",H29="705001002"),VLOOKUP('1) Import fichier Remi (coller)'!J29,'Analytique personnel'!$A:$B,2,FALSE),""))</f>
        <v/>
      </c>
      <c r="AA29" t="str">
        <f>IF($A29="VE11","",IF(LEFT($H29,4)="7050","",IF('1) Import fichier Remi (coller)'!M29="","",'1) Import fichier Remi (coller)'!M29)))</f>
        <v/>
      </c>
      <c r="AB29" t="str">
        <f>IF($A29="VE11","",IF(LEFT($H29,4)="7050","",IF('1) Import fichier Remi (coller)'!N29="","",'1) Import fichier Remi (coller)'!N29)))</f>
        <v/>
      </c>
      <c r="AC29" t="str">
        <f>IF(A29="","",VLOOKUP(LEFT('1) Import fichier Remi (coller)'!A29,9)+0,'Concordance Client R2 BOB'!$B:$C,2,FALSE))</f>
        <v>METAUXEM</v>
      </c>
    </row>
    <row r="30" spans="1:29" ht="18.75" customHeight="1" x14ac:dyDescent="0.25">
      <c r="A30" t="str">
        <f>IF('1) Import fichier Remi (coller)'!D30="","",'1) Import fichier Remi (coller)'!D30)</f>
        <v>VE11</v>
      </c>
      <c r="B30">
        <f>IF(A30="","",YEAR('1) Import fichier Remi (coller)'!F30))</f>
        <v>2026</v>
      </c>
      <c r="C30">
        <f>IF(A30="","",MONTH('1) Import fichier Remi (coller)'!F30))</f>
        <v>9</v>
      </c>
      <c r="D30" s="1">
        <f>IF(A30="","",'1) Import fichier Remi (coller)'!F30)</f>
        <v>46281</v>
      </c>
      <c r="E30" s="1">
        <f>IF(A30="","",'1) Import fichier Remi (coller)'!G30)</f>
        <v>46281</v>
      </c>
      <c r="F30" t="str">
        <f>IF(A30="","",'1) Import fichier Remi (coller)'!E30)</f>
        <v>11261522</v>
      </c>
      <c r="G30" t="str">
        <f>IF(A30="","",IF(ISERROR(VLOOKUP(LEFT('1) Import fichier Remi (coller)'!A30,9),'Concordance client liv et fact'!$A:$H,8,FALSE))=TRUE,'1) Import fichier Remi (coller)'!B30,VLOOKUP(LEFT('1) Import fichier Remi (coller)'!A30,9),'Concordance client liv et fact'!$A:$H,8,FALSE)))</f>
        <v>METAUXEM</v>
      </c>
      <c r="H30" t="str">
        <f>IF(A30="","",IF(ISERROR(VLOOKUP('1) Import fichier Remi (coller)'!K30&amp;" - "&amp;'1) Import fichier Remi (coller)'!L30,'Spécifique comptes'!$A:$G,1,FALSE))=TRUE,'1) Import fichier Remi (coller)'!V30,VLOOKUP('1) Import fichier Remi (coller)'!K30&amp;" - "&amp;'1) Import fichier Remi (coller)'!L30,'Spécifique comptes'!$A:$G,IF(LEFT('2) BOB compta (completer-forcer'!F30,2)="11",4,IF(LEFT('2) BOB compta (completer-forcer'!F30,2)="12",5,IF(LEFT('2) BOB compta (completer-forcer'!F30,2)="13",6,IF(LEFT('2) BOB compta (completer-forcer'!F30,2)="15",7,"Erreur Compte")))),FALSE)))</f>
        <v>704100000</v>
      </c>
      <c r="I30" s="26" t="str">
        <f>IF(A30="","",IF(H30="70100000",'1) Import fichier Remi (coller)'!J30,'1) Import fichier Remi (coller)'!U30))</f>
        <v>+++003/7261/52239+++</v>
      </c>
      <c r="J30" s="26" t="str">
        <f>IF(A30="","",'1) Import fichier Remi (coller)'!U30)</f>
        <v>+++003/7261/52239+++</v>
      </c>
      <c r="K30" s="17">
        <f t="shared" si="1"/>
        <v>4082.0199999999995</v>
      </c>
      <c r="L30" t="str">
        <f t="shared" si="2"/>
        <v>V</v>
      </c>
      <c r="M30" s="14">
        <f>IF(A30="","",'1) Import fichier Remi (coller)'!S30)</f>
        <v>21</v>
      </c>
      <c r="N30" s="17">
        <f>IF($A30="","",IF(OR($A30="NCV",$A30="NC15"),-'1) Import fichier Remi (coller)'!R30,'1) Import fichier Remi (coller)'!R30))</f>
        <v>17.62</v>
      </c>
      <c r="O30" s="17">
        <f>IF($A30="","",IF(OR($A30="NCV",$A30="NC15"),-'1) Import fichier Remi (coller)'!T30,'1) Import fichier Remi (coller)'!T30))</f>
        <v>3.7</v>
      </c>
      <c r="R30" t="str">
        <f>IF($A30="","",IF(ISERROR(VLOOKUP(LEFT('1) Import fichier Remi (coller)'!$A30,9),'Concordance client liv et fact'!$A:$H,8,FALSE))=TRUE,VLOOKUP(LEFT('1) Import fichier Remi (coller)'!$A30,9)+0,'Clients R2'!$A:$CY,2,FALSE),VLOOKUP(VLOOKUP(LEFT('1) Import fichier Remi (coller)'!$A30,9),'Concordance client liv et fact'!$A:$H,7,FALSE)+0,'Clients R2'!$A:$CY,2,FALSE)))</f>
        <v xml:space="preserve">MEBF MECA SA           </v>
      </c>
      <c r="S30" t="str">
        <f>IF($A30="","",PROPER(IF(ISERROR(VLOOKUP(LEFT('1) Import fichier Remi (coller)'!$A30,9),'Concordance client liv et fact'!$A:$H,8,FALSE))=TRUE,VLOOKUP(LEFT('1) Import fichier Remi (coller)'!$A30,9)+0,'Clients R2'!$A:$CY,27,FALSE),VLOOKUP(VLOOKUP(LEFT('1) Import fichier Remi (coller)'!$A30,9),'Concordance client liv et fact'!$A:$H,7,FALSE)+0,'Clients R2'!$A:$CY,27,FALSE))))</f>
        <v xml:space="preserve">Rue Haute Marexhe, 176             </v>
      </c>
      <c r="T30" t="str">
        <f>IF($A30="","",LEFT(UPPER(IF(ISERROR(VLOOKUP(LEFT('1) Import fichier Remi (coller)'!$A30,9),'Concordance client liv et fact'!$A:$H,8,FALSE))=TRUE,VLOOKUP(LEFT('1) Import fichier Remi (coller)'!$A30,9)+0,'Clients R2'!$A:$CY,28,FALSE),VLOOKUP(VLOOKUP(LEFT('1) Import fichier Remi (coller)'!$A30,9),'Concordance client liv et fact'!$A:$H,7,FALSE)+0,'Clients R2'!$A:$CY,28,FALSE))),2)&amp;UPPER(IF(ISERROR(VLOOKUP(LEFT('1) Import fichier Remi (coller)'!$A30,9),'Concordance client liv et fact'!$A:$H,8,FALSE))=TRUE,VLOOKUP(LEFT('1) Import fichier Remi (coller)'!$A30,9)+0,'Clients R2'!$A:$CY,29,FALSE),VLOOKUP(VLOOKUP(LEFT('1) Import fichier Remi (coller)'!$A30,9),'Concordance client liv et fact'!$A:$H,7,FALSE)+0,'Clients R2'!$A:$CY,29,FALSE))))</f>
        <v>B 4040</v>
      </c>
      <c r="U30" t="str">
        <f>IF($A30="","",PROPER(IF(ISERROR(VLOOKUP(LEFT('1) Import fichier Remi (coller)'!$A30,9),'Concordance client liv et fact'!$A:$H,8,FALSE))=TRUE,VLOOKUP(LEFT('1) Import fichier Remi (coller)'!$A30,9)+0,'Clients R2'!$A:$CY,30,FALSE),VLOOKUP(VLOOKUP(LEFT('1) Import fichier Remi (coller)'!$A30,9),'Concordance client liv et fact'!$A:$H,7,FALSE)+0,'Clients R2'!$A:$CY,30,FALSE))))</f>
        <v xml:space="preserve">Herstal                       </v>
      </c>
      <c r="V30" t="str">
        <f>IF($A30="","",LEFT(UPPER(IF(ISERROR(VLOOKUP(LEFT('1) Import fichier Remi (coller)'!$A30,9),'Concordance client liv et fact'!$A:$H,8,FALSE))=TRUE,IF(VLOOKUP(LEFT('1) Import fichier Remi (coller)'!$A30,9)+0,'Clients R2'!$A:$CY,22,FALSE)=4,"NA",VLOOKUP(LEFT('1) Import fichier Remi (coller)'!$A30,9)+0,'Clients R2'!$A:$CY,3,FALSE)),IF(VLOOKUP(VLOOKUP(LEFT('1) Import fichier Remi (coller)'!$A30,9),'Concordance client liv et fact'!$A:$H,7,FALSE)+0,'Clients R2'!$A:$CY,22,FALSE)=4,"NA",VLOOKUP(VLOOKUP(LEFT('1) Import fichier Remi (coller)'!$A30,9),'Concordance client liv et fact'!$A:$H,7,FALSE)+0,'Clients R2'!$A:$CY,3,FALSE)))),2))</f>
        <v>BE</v>
      </c>
      <c r="W30" s="27"/>
      <c r="X30" s="27" t="str">
        <f>IF($A30="","",IF(ISERROR(VLOOKUP(LEFT('1) Import fichier Remi (coller)'!$A30,9),'Concordance client liv et fact'!$A:$H,8,FALSE))=TRUE,VLOOKUP(LEFT('1) Import fichier Remi (coller)'!$A30,9)+0,'Clients R2'!$A:$CY,102,FALSE),VLOOKUP(VLOOKUP(LEFT('1) Import fichier Remi (coller)'!$A30,9),'Concordance client liv et fact'!$A:$H,7,FALSE)+0,'Clients R2'!$A:$CY,102,FALSE)))</f>
        <v xml:space="preserve">invoice@mebf.be                         </v>
      </c>
      <c r="Y30" t="s">
        <v>8197</v>
      </c>
      <c r="Z30" t="str">
        <f>IF(A30="","",IF(OR(H30="705099999",H30="705001002"),VLOOKUP('1) Import fichier Remi (coller)'!J30,'Analytique personnel'!$A:$B,2,FALSE),""))</f>
        <v/>
      </c>
      <c r="AA30" t="str">
        <f>IF($A30="VE11","",IF(LEFT($H30,4)="7050","",IF('1) Import fichier Remi (coller)'!M30="","",'1) Import fichier Remi (coller)'!M30)))</f>
        <v/>
      </c>
      <c r="AB30" t="str">
        <f>IF($A30="VE11","",IF(LEFT($H30,4)="7050","",IF('1) Import fichier Remi (coller)'!N30="","",'1) Import fichier Remi (coller)'!N30)))</f>
        <v/>
      </c>
      <c r="AC30" t="str">
        <f>IF(A30="","",VLOOKUP(LEFT('1) Import fichier Remi (coller)'!A30,9)+0,'Concordance Client R2 BOB'!$B:$C,2,FALSE))</f>
        <v>METAUXEM</v>
      </c>
    </row>
    <row r="31" spans="1:29" ht="18.75" customHeight="1" x14ac:dyDescent="0.25">
      <c r="A31" t="str">
        <f>IF('1) Import fichier Remi (coller)'!D31="","",'1) Import fichier Remi (coller)'!D31)</f>
        <v>VE11</v>
      </c>
      <c r="B31">
        <f>IF(A31="","",YEAR('1) Import fichier Remi (coller)'!F31))</f>
        <v>2026</v>
      </c>
      <c r="C31">
        <f>IF(A31="","",MONTH('1) Import fichier Remi (coller)'!F31))</f>
        <v>9</v>
      </c>
      <c r="D31" s="1">
        <f>IF(A31="","",'1) Import fichier Remi (coller)'!F31)</f>
        <v>46281</v>
      </c>
      <c r="E31" s="1">
        <f>IF(A31="","",'1) Import fichier Remi (coller)'!G31)</f>
        <v>46281</v>
      </c>
      <c r="F31" t="str">
        <f>IF(A31="","",'1) Import fichier Remi (coller)'!E31)</f>
        <v>11261522</v>
      </c>
      <c r="G31" t="str">
        <f>IF(A31="","",IF(ISERROR(VLOOKUP(LEFT('1) Import fichier Remi (coller)'!A31,9),'Concordance client liv et fact'!$A:$H,8,FALSE))=TRUE,'1) Import fichier Remi (coller)'!B31,VLOOKUP(LEFT('1) Import fichier Remi (coller)'!A31,9),'Concordance client liv et fact'!$A:$H,8,FALSE)))</f>
        <v>METAUXEM</v>
      </c>
      <c r="H31" t="str">
        <f>IF(A31="","",IF(ISERROR(VLOOKUP('1) Import fichier Remi (coller)'!K31&amp;" - "&amp;'1) Import fichier Remi (coller)'!L31,'Spécifique comptes'!$A:$G,1,FALSE))=TRUE,'1) Import fichier Remi (coller)'!V31,VLOOKUP('1) Import fichier Remi (coller)'!K31&amp;" - "&amp;'1) Import fichier Remi (coller)'!L31,'Spécifique comptes'!$A:$G,IF(LEFT('2) BOB compta (completer-forcer'!F31,2)="11",4,IF(LEFT('2) BOB compta (completer-forcer'!F31,2)="12",5,IF(LEFT('2) BOB compta (completer-forcer'!F31,2)="13",6,IF(LEFT('2) BOB compta (completer-forcer'!F31,2)="15",7,"Erreur Compte")))),FALSE)))</f>
        <v>704100000</v>
      </c>
      <c r="I31" s="26" t="str">
        <f>IF(A31="","",IF(H31="70100000",'1) Import fichier Remi (coller)'!J31,'1) Import fichier Remi (coller)'!U31))</f>
        <v>+++003/7261/52239+++</v>
      </c>
      <c r="J31" s="26" t="str">
        <f>IF(A31="","",'1) Import fichier Remi (coller)'!U31)</f>
        <v>+++003/7261/52239+++</v>
      </c>
      <c r="K31" s="17">
        <f t="shared" si="1"/>
        <v>4082.0199999999995</v>
      </c>
      <c r="L31" t="str">
        <f t="shared" si="2"/>
        <v>V</v>
      </c>
      <c r="M31" s="14">
        <f>IF(A31="","",'1) Import fichier Remi (coller)'!S31)</f>
        <v>21</v>
      </c>
      <c r="N31" s="17">
        <f>IF($A31="","",IF(OR($A31="NCV",$A31="NC15"),-'1) Import fichier Remi (coller)'!R31,'1) Import fichier Remi (coller)'!R31))</f>
        <v>748.92</v>
      </c>
      <c r="O31" s="17">
        <f>IF($A31="","",IF(OR($A31="NCV",$A31="NC15"),-'1) Import fichier Remi (coller)'!T31,'1) Import fichier Remi (coller)'!T31))</f>
        <v>157.28</v>
      </c>
      <c r="R31" t="str">
        <f>IF($A31="","",IF(ISERROR(VLOOKUP(LEFT('1) Import fichier Remi (coller)'!$A31,9),'Concordance client liv et fact'!$A:$H,8,FALSE))=TRUE,VLOOKUP(LEFT('1) Import fichier Remi (coller)'!$A31,9)+0,'Clients R2'!$A:$CY,2,FALSE),VLOOKUP(VLOOKUP(LEFT('1) Import fichier Remi (coller)'!$A31,9),'Concordance client liv et fact'!$A:$H,7,FALSE)+0,'Clients R2'!$A:$CY,2,FALSE)))</f>
        <v xml:space="preserve">MEBF MECA SA           </v>
      </c>
      <c r="S31" t="str">
        <f>IF($A31="","",PROPER(IF(ISERROR(VLOOKUP(LEFT('1) Import fichier Remi (coller)'!$A31,9),'Concordance client liv et fact'!$A:$H,8,FALSE))=TRUE,VLOOKUP(LEFT('1) Import fichier Remi (coller)'!$A31,9)+0,'Clients R2'!$A:$CY,27,FALSE),VLOOKUP(VLOOKUP(LEFT('1) Import fichier Remi (coller)'!$A31,9),'Concordance client liv et fact'!$A:$H,7,FALSE)+0,'Clients R2'!$A:$CY,27,FALSE))))</f>
        <v xml:space="preserve">Rue Haute Marexhe, 176             </v>
      </c>
      <c r="T31" t="str">
        <f>IF($A31="","",LEFT(UPPER(IF(ISERROR(VLOOKUP(LEFT('1) Import fichier Remi (coller)'!$A31,9),'Concordance client liv et fact'!$A:$H,8,FALSE))=TRUE,VLOOKUP(LEFT('1) Import fichier Remi (coller)'!$A31,9)+0,'Clients R2'!$A:$CY,28,FALSE),VLOOKUP(VLOOKUP(LEFT('1) Import fichier Remi (coller)'!$A31,9),'Concordance client liv et fact'!$A:$H,7,FALSE)+0,'Clients R2'!$A:$CY,28,FALSE))),2)&amp;UPPER(IF(ISERROR(VLOOKUP(LEFT('1) Import fichier Remi (coller)'!$A31,9),'Concordance client liv et fact'!$A:$H,8,FALSE))=TRUE,VLOOKUP(LEFT('1) Import fichier Remi (coller)'!$A31,9)+0,'Clients R2'!$A:$CY,29,FALSE),VLOOKUP(VLOOKUP(LEFT('1) Import fichier Remi (coller)'!$A31,9),'Concordance client liv et fact'!$A:$H,7,FALSE)+0,'Clients R2'!$A:$CY,29,FALSE))))</f>
        <v>B 4040</v>
      </c>
      <c r="U31" t="str">
        <f>IF($A31="","",PROPER(IF(ISERROR(VLOOKUP(LEFT('1) Import fichier Remi (coller)'!$A31,9),'Concordance client liv et fact'!$A:$H,8,FALSE))=TRUE,VLOOKUP(LEFT('1) Import fichier Remi (coller)'!$A31,9)+0,'Clients R2'!$A:$CY,30,FALSE),VLOOKUP(VLOOKUP(LEFT('1) Import fichier Remi (coller)'!$A31,9),'Concordance client liv et fact'!$A:$H,7,FALSE)+0,'Clients R2'!$A:$CY,30,FALSE))))</f>
        <v xml:space="preserve">Herstal                       </v>
      </c>
      <c r="V31" t="str">
        <f>IF($A31="","",LEFT(UPPER(IF(ISERROR(VLOOKUP(LEFT('1) Import fichier Remi (coller)'!$A31,9),'Concordance client liv et fact'!$A:$H,8,FALSE))=TRUE,IF(VLOOKUP(LEFT('1) Import fichier Remi (coller)'!$A31,9)+0,'Clients R2'!$A:$CY,22,FALSE)=4,"NA",VLOOKUP(LEFT('1) Import fichier Remi (coller)'!$A31,9)+0,'Clients R2'!$A:$CY,3,FALSE)),IF(VLOOKUP(VLOOKUP(LEFT('1) Import fichier Remi (coller)'!$A31,9),'Concordance client liv et fact'!$A:$H,7,FALSE)+0,'Clients R2'!$A:$CY,22,FALSE)=4,"NA",VLOOKUP(VLOOKUP(LEFT('1) Import fichier Remi (coller)'!$A31,9),'Concordance client liv et fact'!$A:$H,7,FALSE)+0,'Clients R2'!$A:$CY,3,FALSE)))),2))</f>
        <v>BE</v>
      </c>
      <c r="W31" s="27"/>
      <c r="X31" s="27" t="str">
        <f>IF($A31="","",IF(ISERROR(VLOOKUP(LEFT('1) Import fichier Remi (coller)'!$A31,9),'Concordance client liv et fact'!$A:$H,8,FALSE))=TRUE,VLOOKUP(LEFT('1) Import fichier Remi (coller)'!$A31,9)+0,'Clients R2'!$A:$CY,102,FALSE),VLOOKUP(VLOOKUP(LEFT('1) Import fichier Remi (coller)'!$A31,9),'Concordance client liv et fact'!$A:$H,7,FALSE)+0,'Clients R2'!$A:$CY,102,FALSE)))</f>
        <v xml:space="preserve">invoice@mebf.be                         </v>
      </c>
      <c r="Y31" t="s">
        <v>8197</v>
      </c>
      <c r="Z31" t="str">
        <f>IF(A31="","",IF(OR(H31="705099999",H31="705001002"),VLOOKUP('1) Import fichier Remi (coller)'!J31,'Analytique personnel'!$A:$B,2,FALSE),""))</f>
        <v/>
      </c>
      <c r="AA31" t="str">
        <f>IF($A31="VE11","",IF(LEFT($H31,4)="7050","",IF('1) Import fichier Remi (coller)'!M31="","",'1) Import fichier Remi (coller)'!M31)))</f>
        <v/>
      </c>
      <c r="AB31" t="str">
        <f>IF($A31="VE11","",IF(LEFT($H31,4)="7050","",IF('1) Import fichier Remi (coller)'!N31="","",'1) Import fichier Remi (coller)'!N31)))</f>
        <v/>
      </c>
      <c r="AC31" t="str">
        <f>IF(A31="","",VLOOKUP(LEFT('1) Import fichier Remi (coller)'!A31,9)+0,'Concordance Client R2 BOB'!$B:$C,2,FALSE))</f>
        <v>METAUXEM</v>
      </c>
    </row>
    <row r="32" spans="1:29" ht="18.75" customHeight="1" x14ac:dyDescent="0.25">
      <c r="A32" t="str">
        <f>IF('1) Import fichier Remi (coller)'!D32="","",'1) Import fichier Remi (coller)'!D32)</f>
        <v>VE11</v>
      </c>
      <c r="B32">
        <f>IF(A32="","",YEAR('1) Import fichier Remi (coller)'!F32))</f>
        <v>2026</v>
      </c>
      <c r="C32">
        <f>IF(A32="","",MONTH('1) Import fichier Remi (coller)'!F32))</f>
        <v>9</v>
      </c>
      <c r="D32" s="1">
        <f>IF(A32="","",'1) Import fichier Remi (coller)'!F32)</f>
        <v>46281</v>
      </c>
      <c r="E32" s="1">
        <f>IF(A32="","",'1) Import fichier Remi (coller)'!G32)</f>
        <v>46281</v>
      </c>
      <c r="F32" t="str">
        <f>IF(A32="","",'1) Import fichier Remi (coller)'!E32)</f>
        <v>11261523</v>
      </c>
      <c r="G32" t="str">
        <f>IF(A32="","",IF(ISERROR(VLOOKUP(LEFT('1) Import fichier Remi (coller)'!A32,9),'Concordance client liv et fact'!$A:$H,8,FALSE))=TRUE,'1) Import fichier Remi (coller)'!B32,VLOOKUP(LEFT('1) Import fichier Remi (coller)'!A32,9),'Concordance client liv et fact'!$A:$H,8,FALSE)))</f>
        <v>CLINIQUEPO</v>
      </c>
      <c r="H32" t="str">
        <f>IF(A32="","",IF(ISERROR(VLOOKUP('1) Import fichier Remi (coller)'!K32&amp;" - "&amp;'1) Import fichier Remi (coller)'!L32,'Spécifique comptes'!$A:$G,1,FALSE))=TRUE,'1) Import fichier Remi (coller)'!V32,VLOOKUP('1) Import fichier Remi (coller)'!K32&amp;" - "&amp;'1) Import fichier Remi (coller)'!L32,'Spécifique comptes'!$A:$G,IF(LEFT('2) BOB compta (completer-forcer'!F32,2)="11",4,IF(LEFT('2) BOB compta (completer-forcer'!F32,2)="12",5,IF(LEFT('2) BOB compta (completer-forcer'!F32,2)="13",6,IF(LEFT('2) BOB compta (completer-forcer'!F32,2)="15",7,"Erreur Compte")))),FALSE)))</f>
        <v>705099999</v>
      </c>
      <c r="I32" s="26" t="str">
        <f>IF(A32="","",IF(H32="70100000",'1) Import fichier Remi (coller)'!J32,'1) Import fichier Remi (coller)'!U32))</f>
        <v>+++003/7261/52340+++</v>
      </c>
      <c r="J32" s="26" t="str">
        <f>IF(A32="","",'1) Import fichier Remi (coller)'!U32)</f>
        <v>+++003/7261/52340+++</v>
      </c>
      <c r="K32" s="17">
        <f t="shared" si="1"/>
        <v>28.740000000000002</v>
      </c>
      <c r="L32" t="str">
        <f t="shared" si="2"/>
        <v>V</v>
      </c>
      <c r="M32" s="14">
        <f>IF(A32="","",'1) Import fichier Remi (coller)'!S32)</f>
        <v>21</v>
      </c>
      <c r="N32" s="17">
        <f>IF($A32="","",IF(OR($A32="NCV",$A32="NC15"),-'1) Import fichier Remi (coller)'!R32,'1) Import fichier Remi (coller)'!R32))</f>
        <v>23.75</v>
      </c>
      <c r="O32" s="17">
        <f>IF($A32="","",IF(OR($A32="NCV",$A32="NC15"),-'1) Import fichier Remi (coller)'!T32,'1) Import fichier Remi (coller)'!T32))</f>
        <v>4.99</v>
      </c>
      <c r="R32" t="str">
        <f>IF($A32="","",IF(ISERROR(VLOOKUP(LEFT('1) Import fichier Remi (coller)'!$A32,9),'Concordance client liv et fact'!$A:$H,8,FALSE))=TRUE,VLOOKUP(LEFT('1) Import fichier Remi (coller)'!$A32,9)+0,'Clients R2'!$A:$CY,2,FALSE),VLOOKUP(VLOOKUP(LEFT('1) Import fichier Remi (coller)'!$A32,9),'Concordance client liv et fact'!$A:$H,7,FALSE)+0,'Clients R2'!$A:$CY,2,FALSE)))</f>
        <v xml:space="preserve">CL. DENT. CDPY         </v>
      </c>
      <c r="S32" t="str">
        <f>IF($A32="","",PROPER(IF(ISERROR(VLOOKUP(LEFT('1) Import fichier Remi (coller)'!$A32,9),'Concordance client liv et fact'!$A:$H,8,FALSE))=TRUE,VLOOKUP(LEFT('1) Import fichier Remi (coller)'!$A32,9)+0,'Clients R2'!$A:$CY,27,FALSE),VLOOKUP(VLOOKUP(LEFT('1) Import fichier Remi (coller)'!$A32,9),'Concordance client liv et fact'!$A:$H,7,FALSE)+0,'Clients R2'!$A:$CY,27,FALSE))))</f>
        <v xml:space="preserve">Boulevard Frere-Orban 12/11        </v>
      </c>
      <c r="T32" t="str">
        <f>IF($A32="","",LEFT(UPPER(IF(ISERROR(VLOOKUP(LEFT('1) Import fichier Remi (coller)'!$A32,9),'Concordance client liv et fact'!$A:$H,8,FALSE))=TRUE,VLOOKUP(LEFT('1) Import fichier Remi (coller)'!$A32,9)+0,'Clients R2'!$A:$CY,28,FALSE),VLOOKUP(VLOOKUP(LEFT('1) Import fichier Remi (coller)'!$A32,9),'Concordance client liv et fact'!$A:$H,7,FALSE)+0,'Clients R2'!$A:$CY,28,FALSE))),2)&amp;UPPER(IF(ISERROR(VLOOKUP(LEFT('1) Import fichier Remi (coller)'!$A32,9),'Concordance client liv et fact'!$A:$H,8,FALSE))=TRUE,VLOOKUP(LEFT('1) Import fichier Remi (coller)'!$A32,9)+0,'Clients R2'!$A:$CY,29,FALSE),VLOOKUP(VLOOKUP(LEFT('1) Import fichier Remi (coller)'!$A32,9),'Concordance client liv et fact'!$A:$H,7,FALSE)+0,'Clients R2'!$A:$CY,29,FALSE))))</f>
        <v>B 4000</v>
      </c>
      <c r="U32" t="str">
        <f>IF($A32="","",PROPER(IF(ISERROR(VLOOKUP(LEFT('1) Import fichier Remi (coller)'!$A32,9),'Concordance client liv et fact'!$A:$H,8,FALSE))=TRUE,VLOOKUP(LEFT('1) Import fichier Remi (coller)'!$A32,9)+0,'Clients R2'!$A:$CY,30,FALSE),VLOOKUP(VLOOKUP(LEFT('1) Import fichier Remi (coller)'!$A32,9),'Concordance client liv et fact'!$A:$H,7,FALSE)+0,'Clients R2'!$A:$CY,30,FALSE))))</f>
        <v xml:space="preserve">Liege                         </v>
      </c>
      <c r="V32" t="str">
        <f>IF($A32="","",LEFT(UPPER(IF(ISERROR(VLOOKUP(LEFT('1) Import fichier Remi (coller)'!$A32,9),'Concordance client liv et fact'!$A:$H,8,FALSE))=TRUE,IF(VLOOKUP(LEFT('1) Import fichier Remi (coller)'!$A32,9)+0,'Clients R2'!$A:$CY,22,FALSE)=4,"NA",VLOOKUP(LEFT('1) Import fichier Remi (coller)'!$A32,9)+0,'Clients R2'!$A:$CY,3,FALSE)),IF(VLOOKUP(VLOOKUP(LEFT('1) Import fichier Remi (coller)'!$A32,9),'Concordance client liv et fact'!$A:$H,7,FALSE)+0,'Clients R2'!$A:$CY,22,FALSE)=4,"NA",VLOOKUP(VLOOKUP(LEFT('1) Import fichier Remi (coller)'!$A32,9),'Concordance client liv et fact'!$A:$H,7,FALSE)+0,'Clients R2'!$A:$CY,3,FALSE)))),2))</f>
        <v>BE</v>
      </c>
      <c r="W32" s="27"/>
      <c r="X32" s="27" t="str">
        <f>IF($A32="","",IF(ISERROR(VLOOKUP(LEFT('1) Import fichier Remi (coller)'!$A32,9),'Concordance client liv et fact'!$A:$H,8,FALSE))=TRUE,VLOOKUP(LEFT('1) Import fichier Remi (coller)'!$A32,9)+0,'Clients R2'!$A:$CY,102,FALSE),VLOOKUP(VLOOKUP(LEFT('1) Import fichier Remi (coller)'!$A32,9),'Concordance client liv et fact'!$A:$H,7,FALSE)+0,'Clients R2'!$A:$CY,102,FALSE)))</f>
        <v xml:space="preserve">info@cdpy.be                            </v>
      </c>
      <c r="Y32" t="s">
        <v>8197</v>
      </c>
      <c r="Z32" t="str">
        <f>IF(A32="","",IF(OR(H32="705099999",H32="705001002"),VLOOKUP('1) Import fichier Remi (coller)'!J32,'Analytique personnel'!$A:$B,2,FALSE),""))</f>
        <v>GDUHOUX</v>
      </c>
      <c r="AA32" t="str">
        <f>IF($A32="VE11","",IF(LEFT($H32,4)="7050","",IF('1) Import fichier Remi (coller)'!M32="","",'1) Import fichier Remi (coller)'!M32)))</f>
        <v/>
      </c>
      <c r="AB32" t="str">
        <f>IF($A32="VE11","",IF(LEFT($H32,4)="7050","",IF('1) Import fichier Remi (coller)'!N32="","",'1) Import fichier Remi (coller)'!N32)))</f>
        <v/>
      </c>
      <c r="AC32" t="str">
        <f>IF(A32="","",VLOOKUP(LEFT('1) Import fichier Remi (coller)'!A32,9)+0,'Concordance Client R2 BOB'!$B:$C,2,FALSE))</f>
        <v>CLINIQUEPO</v>
      </c>
    </row>
    <row r="33" spans="1:29" ht="18.75" customHeight="1" x14ac:dyDescent="0.25">
      <c r="A33" t="str">
        <f>IF('1) Import fichier Remi (coller)'!D33="","",'1) Import fichier Remi (coller)'!D33)</f>
        <v>VE11</v>
      </c>
      <c r="B33">
        <f>IF(A33="","",YEAR('1) Import fichier Remi (coller)'!F33))</f>
        <v>2026</v>
      </c>
      <c r="C33">
        <f>IF(A33="","",MONTH('1) Import fichier Remi (coller)'!F33))</f>
        <v>9</v>
      </c>
      <c r="D33" s="1">
        <f>IF(A33="","",'1) Import fichier Remi (coller)'!F33)</f>
        <v>46281</v>
      </c>
      <c r="E33" s="1">
        <f>IF(A33="","",'1) Import fichier Remi (coller)'!G33)</f>
        <v>46281</v>
      </c>
      <c r="F33" t="str">
        <f>IF(A33="","",'1) Import fichier Remi (coller)'!E33)</f>
        <v>11261524</v>
      </c>
      <c r="G33" t="str">
        <f>IF(A33="","",IF(ISERROR(VLOOKUP(LEFT('1) Import fichier Remi (coller)'!A33,9),'Concordance client liv et fact'!$A:$H,8,FALSE))=TRUE,'1) Import fichier Remi (coller)'!B33,VLOOKUP(LEFT('1) Import fichier Remi (coller)'!A33,9),'Concordance client liv et fact'!$A:$H,8,FALSE)))</f>
        <v>VANGOITSEN</v>
      </c>
      <c r="H33" t="str">
        <f>IF(A33="","",IF(ISERROR(VLOOKUP('1) Import fichier Remi (coller)'!K33&amp;" - "&amp;'1) Import fichier Remi (coller)'!L33,'Spécifique comptes'!$A:$G,1,FALSE))=TRUE,'1) Import fichier Remi (coller)'!V33,VLOOKUP('1) Import fichier Remi (coller)'!K33&amp;" - "&amp;'1) Import fichier Remi (coller)'!L33,'Spécifique comptes'!$A:$G,IF(LEFT('2) BOB compta (completer-forcer'!F33,2)="11",4,IF(LEFT('2) BOB compta (completer-forcer'!F33,2)="12",5,IF(LEFT('2) BOB compta (completer-forcer'!F33,2)="13",6,IF(LEFT('2) BOB compta (completer-forcer'!F33,2)="15",7,"Erreur Compte")))),FALSE)))</f>
        <v>705099999</v>
      </c>
      <c r="I33" s="26" t="str">
        <f>IF(A33="","",IF(H33="70100000",'1) Import fichier Remi (coller)'!J33,'1) Import fichier Remi (coller)'!U33))</f>
        <v>+++003/7261/52441+++</v>
      </c>
      <c r="J33" s="26" t="str">
        <f>IF(A33="","",'1) Import fichier Remi (coller)'!U33)</f>
        <v>+++003/7261/52441+++</v>
      </c>
      <c r="K33" s="17">
        <f t="shared" si="1"/>
        <v>28.740000000000002</v>
      </c>
      <c r="L33" t="str">
        <f t="shared" si="2"/>
        <v>V</v>
      </c>
      <c r="M33" s="14">
        <f>IF(A33="","",'1) Import fichier Remi (coller)'!S33)</f>
        <v>21</v>
      </c>
      <c r="N33" s="17">
        <f>IF($A33="","",IF(OR($A33="NCV",$A33="NC15"),-'1) Import fichier Remi (coller)'!R33,'1) Import fichier Remi (coller)'!R33))</f>
        <v>23.75</v>
      </c>
      <c r="O33" s="17">
        <f>IF($A33="","",IF(OR($A33="NCV",$A33="NC15"),-'1) Import fichier Remi (coller)'!T33,'1) Import fichier Remi (coller)'!T33))</f>
        <v>4.99</v>
      </c>
      <c r="R33" t="str">
        <f>IF($A33="","",IF(ISERROR(VLOOKUP(LEFT('1) Import fichier Remi (coller)'!$A33,9),'Concordance client liv et fact'!$A:$H,8,FALSE))=TRUE,VLOOKUP(LEFT('1) Import fichier Remi (coller)'!$A33,9)+0,'Clients R2'!$A:$CY,2,FALSE),VLOOKUP(VLOOKUP(LEFT('1) Import fichier Remi (coller)'!$A33,9),'Concordance client liv et fact'!$A:$H,7,FALSE)+0,'Clients R2'!$A:$CY,2,FALSE)))</f>
        <v xml:space="preserve">TRANS. VGH             </v>
      </c>
      <c r="S33" t="str">
        <f>IF($A33="","",PROPER(IF(ISERROR(VLOOKUP(LEFT('1) Import fichier Remi (coller)'!$A33,9),'Concordance client liv et fact'!$A:$H,8,FALSE))=TRUE,VLOOKUP(LEFT('1) Import fichier Remi (coller)'!$A33,9)+0,'Clients R2'!$A:$CY,27,FALSE),VLOOKUP(VLOOKUP(LEFT('1) Import fichier Remi (coller)'!$A33,9),'Concordance client liv et fact'!$A:$H,7,FALSE)+0,'Clients R2'!$A:$CY,27,FALSE))))</f>
        <v xml:space="preserve">Rue De Coquiamont 19               </v>
      </c>
      <c r="T33" t="str">
        <f>IF($A33="","",LEFT(UPPER(IF(ISERROR(VLOOKUP(LEFT('1) Import fichier Remi (coller)'!$A33,9),'Concordance client liv et fact'!$A:$H,8,FALSE))=TRUE,VLOOKUP(LEFT('1) Import fichier Remi (coller)'!$A33,9)+0,'Clients R2'!$A:$CY,28,FALSE),VLOOKUP(VLOOKUP(LEFT('1) Import fichier Remi (coller)'!$A33,9),'Concordance client liv et fact'!$A:$H,7,FALSE)+0,'Clients R2'!$A:$CY,28,FALSE))),2)&amp;UPPER(IF(ISERROR(VLOOKUP(LEFT('1) Import fichier Remi (coller)'!$A33,9),'Concordance client liv et fact'!$A:$H,8,FALSE))=TRUE,VLOOKUP(LEFT('1) Import fichier Remi (coller)'!$A33,9)+0,'Clients R2'!$A:$CY,29,FALSE),VLOOKUP(VLOOKUP(LEFT('1) Import fichier Remi (coller)'!$A33,9),'Concordance client liv et fact'!$A:$H,7,FALSE)+0,'Clients R2'!$A:$CY,29,FALSE))))</f>
        <v>B 1360</v>
      </c>
      <c r="U33" t="str">
        <f>IF($A33="","",PROPER(IF(ISERROR(VLOOKUP(LEFT('1) Import fichier Remi (coller)'!$A33,9),'Concordance client liv et fact'!$A:$H,8,FALSE))=TRUE,VLOOKUP(LEFT('1) Import fichier Remi (coller)'!$A33,9)+0,'Clients R2'!$A:$CY,30,FALSE),VLOOKUP(VLOOKUP(LEFT('1) Import fichier Remi (coller)'!$A33,9),'Concordance client liv et fact'!$A:$H,7,FALSE)+0,'Clients R2'!$A:$CY,30,FALSE))))</f>
        <v xml:space="preserve">Thorembais-Les-Beguines       </v>
      </c>
      <c r="V33" t="str">
        <f>IF($A33="","",LEFT(UPPER(IF(ISERROR(VLOOKUP(LEFT('1) Import fichier Remi (coller)'!$A33,9),'Concordance client liv et fact'!$A:$H,8,FALSE))=TRUE,IF(VLOOKUP(LEFT('1) Import fichier Remi (coller)'!$A33,9)+0,'Clients R2'!$A:$CY,22,FALSE)=4,"NA",VLOOKUP(LEFT('1) Import fichier Remi (coller)'!$A33,9)+0,'Clients R2'!$A:$CY,3,FALSE)),IF(VLOOKUP(VLOOKUP(LEFT('1) Import fichier Remi (coller)'!$A33,9),'Concordance client liv et fact'!$A:$H,7,FALSE)+0,'Clients R2'!$A:$CY,22,FALSE)=4,"NA",VLOOKUP(VLOOKUP(LEFT('1) Import fichier Remi (coller)'!$A33,9),'Concordance client liv et fact'!$A:$H,7,FALSE)+0,'Clients R2'!$A:$CY,3,FALSE)))),2))</f>
        <v>BE</v>
      </c>
      <c r="W33" s="27"/>
      <c r="X33" s="27" t="str">
        <f>IF($A33="","",IF(ISERROR(VLOOKUP(LEFT('1) Import fichier Remi (coller)'!$A33,9),'Concordance client liv et fact'!$A:$H,8,FALSE))=TRUE,VLOOKUP(LEFT('1) Import fichier Remi (coller)'!$A33,9)+0,'Clients R2'!$A:$CY,102,FALSE),VLOOKUP(VLOOKUP(LEFT('1) Import fichier Remi (coller)'!$A33,9),'Concordance client liv et fact'!$A:$H,7,FALSE)+0,'Clients R2'!$A:$CY,102,FALSE)))</f>
        <v xml:space="preserve">christelle@transports-vgh.be            </v>
      </c>
      <c r="Y33" t="s">
        <v>8197</v>
      </c>
      <c r="Z33" t="str">
        <f>IF(A33="","",IF(OR(H33="705099999",H33="705001002"),VLOOKUP('1) Import fichier Remi (coller)'!J33,'Analytique personnel'!$A:$B,2,FALSE),""))</f>
        <v>GDUHOUX</v>
      </c>
      <c r="AA33" t="str">
        <f>IF($A33="VE11","",IF(LEFT($H33,4)="7050","",IF('1) Import fichier Remi (coller)'!M33="","",'1) Import fichier Remi (coller)'!M33)))</f>
        <v/>
      </c>
      <c r="AB33" t="str">
        <f>IF($A33="VE11","",IF(LEFT($H33,4)="7050","",IF('1) Import fichier Remi (coller)'!N33="","",'1) Import fichier Remi (coller)'!N33)))</f>
        <v/>
      </c>
      <c r="AC33" t="str">
        <f>IF(A33="","",VLOOKUP(LEFT('1) Import fichier Remi (coller)'!A33,9)+0,'Concordance Client R2 BOB'!$B:$C,2,FALSE))</f>
        <v>VANGOITSEN</v>
      </c>
    </row>
    <row r="34" spans="1:29" ht="18.75" customHeight="1" x14ac:dyDescent="0.25">
      <c r="A34" t="str">
        <f>IF('1) Import fichier Remi (coller)'!D34="","",'1) Import fichier Remi (coller)'!D34)</f>
        <v>VE11</v>
      </c>
      <c r="B34">
        <f>IF(A34="","",YEAR('1) Import fichier Remi (coller)'!F34))</f>
        <v>2026</v>
      </c>
      <c r="C34">
        <f>IF(A34="","",MONTH('1) Import fichier Remi (coller)'!F34))</f>
        <v>9</v>
      </c>
      <c r="D34" s="1">
        <f>IF(A34="","",'1) Import fichier Remi (coller)'!F34)</f>
        <v>46281</v>
      </c>
      <c r="E34" s="1">
        <f>IF(A34="","",'1) Import fichier Remi (coller)'!G34)</f>
        <v>46281</v>
      </c>
      <c r="F34" t="str">
        <f>IF(A34="","",'1) Import fichier Remi (coller)'!E34)</f>
        <v>11261525</v>
      </c>
      <c r="G34" t="str">
        <f>IF(A34="","",IF(ISERROR(VLOOKUP(LEFT('1) Import fichier Remi (coller)'!A34,9),'Concordance client liv et fact'!$A:$H,8,FALSE))=TRUE,'1) Import fichier Remi (coller)'!B34,VLOOKUP(LEFT('1) Import fichier Remi (coller)'!A34,9),'Concordance client liv et fact'!$A:$H,8,FALSE)))</f>
        <v>PRINCECARA</v>
      </c>
      <c r="H34" t="str">
        <f>IF(A34="","",IF(ISERROR(VLOOKUP('1) Import fichier Remi (coller)'!K34&amp;" - "&amp;'1) Import fichier Remi (coller)'!L34,'Spécifique comptes'!$A:$G,1,FALSE))=TRUE,'1) Import fichier Remi (coller)'!V34,VLOOKUP('1) Import fichier Remi (coller)'!K34&amp;" - "&amp;'1) Import fichier Remi (coller)'!L34,'Spécifique comptes'!$A:$G,IF(LEFT('2) BOB compta (completer-forcer'!F34,2)="11",4,IF(LEFT('2) BOB compta (completer-forcer'!F34,2)="12",5,IF(LEFT('2) BOB compta (completer-forcer'!F34,2)="13",6,IF(LEFT('2) BOB compta (completer-forcer'!F34,2)="15",7,"Erreur Compte")))),FALSE)))</f>
        <v>705099999</v>
      </c>
      <c r="I34" s="26" t="str">
        <f>IF(A34="","",IF(H34="70100000",'1) Import fichier Remi (coller)'!J34,'1) Import fichier Remi (coller)'!U34))</f>
        <v>+++003/7261/52542+++</v>
      </c>
      <c r="J34" s="26" t="str">
        <f>IF(A34="","",'1) Import fichier Remi (coller)'!U34)</f>
        <v>+++003/7261/52542+++</v>
      </c>
      <c r="K34" s="17">
        <f t="shared" si="1"/>
        <v>114.95</v>
      </c>
      <c r="L34" t="str">
        <f t="shared" si="2"/>
        <v>V</v>
      </c>
      <c r="M34" s="14">
        <f>IF(A34="","",'1) Import fichier Remi (coller)'!S34)</f>
        <v>21</v>
      </c>
      <c r="N34" s="17">
        <f>IF($A34="","",IF(OR($A34="NCV",$A34="NC15"),-'1) Import fichier Remi (coller)'!R34,'1) Import fichier Remi (coller)'!R34))</f>
        <v>95</v>
      </c>
      <c r="O34" s="17">
        <f>IF($A34="","",IF(OR($A34="NCV",$A34="NC15"),-'1) Import fichier Remi (coller)'!T34,'1) Import fichier Remi (coller)'!T34))</f>
        <v>19.95</v>
      </c>
      <c r="R34" t="str">
        <f>IF($A34="","",IF(ISERROR(VLOOKUP(LEFT('1) Import fichier Remi (coller)'!$A34,9),'Concordance client liv et fact'!$A:$H,8,FALSE))=TRUE,VLOOKUP(LEFT('1) Import fichier Remi (coller)'!$A34,9)+0,'Clients R2'!$A:$CY,2,FALSE),VLOOKUP(VLOOKUP(LEFT('1) Import fichier Remi (coller)'!$A34,9),'Concordance client liv et fact'!$A:$H,7,FALSE)+0,'Clients R2'!$A:$CY,2,FALSE)))</f>
        <v xml:space="preserve">PRINCE CARAVANING      </v>
      </c>
      <c r="S34" t="str">
        <f>IF($A34="","",PROPER(IF(ISERROR(VLOOKUP(LEFT('1) Import fichier Remi (coller)'!$A34,9),'Concordance client liv et fact'!$A:$H,8,FALSE))=TRUE,VLOOKUP(LEFT('1) Import fichier Remi (coller)'!$A34,9)+0,'Clients R2'!$A:$CY,27,FALSE),VLOOKUP(VLOOKUP(LEFT('1) Import fichier Remi (coller)'!$A34,9),'Concordance client liv et fact'!$A:$H,7,FALSE)+0,'Clients R2'!$A:$CY,27,FALSE))))</f>
        <v xml:space="preserve">Route De Couvin, 9                 </v>
      </c>
      <c r="T34" t="str">
        <f>IF($A34="","",LEFT(UPPER(IF(ISERROR(VLOOKUP(LEFT('1) Import fichier Remi (coller)'!$A34,9),'Concordance client liv et fact'!$A:$H,8,FALSE))=TRUE,VLOOKUP(LEFT('1) Import fichier Remi (coller)'!$A34,9)+0,'Clients R2'!$A:$CY,28,FALSE),VLOOKUP(VLOOKUP(LEFT('1) Import fichier Remi (coller)'!$A34,9),'Concordance client liv et fact'!$A:$H,7,FALSE)+0,'Clients R2'!$A:$CY,28,FALSE))),2)&amp;UPPER(IF(ISERROR(VLOOKUP(LEFT('1) Import fichier Remi (coller)'!$A34,9),'Concordance client liv et fact'!$A:$H,8,FALSE))=TRUE,VLOOKUP(LEFT('1) Import fichier Remi (coller)'!$A34,9)+0,'Clients R2'!$A:$CY,29,FALSE),VLOOKUP(VLOOKUP(LEFT('1) Import fichier Remi (coller)'!$A34,9),'Concordance client liv et fact'!$A:$H,7,FALSE)+0,'Clients R2'!$A:$CY,29,FALSE))))</f>
        <v>B 5651</v>
      </c>
      <c r="U34" t="str">
        <f>IF($A34="","",PROPER(IF(ISERROR(VLOOKUP(LEFT('1) Import fichier Remi (coller)'!$A34,9),'Concordance client liv et fact'!$A:$H,8,FALSE))=TRUE,VLOOKUP(LEFT('1) Import fichier Remi (coller)'!$A34,9)+0,'Clients R2'!$A:$CY,30,FALSE),VLOOKUP(VLOOKUP(LEFT('1) Import fichier Remi (coller)'!$A34,9),'Concordance client liv et fact'!$A:$H,7,FALSE)+0,'Clients R2'!$A:$CY,30,FALSE))))</f>
        <v xml:space="preserve">Walcourt                      </v>
      </c>
      <c r="V34" t="str">
        <f>IF($A34="","",LEFT(UPPER(IF(ISERROR(VLOOKUP(LEFT('1) Import fichier Remi (coller)'!$A34,9),'Concordance client liv et fact'!$A:$H,8,FALSE))=TRUE,IF(VLOOKUP(LEFT('1) Import fichier Remi (coller)'!$A34,9)+0,'Clients R2'!$A:$CY,22,FALSE)=4,"NA",VLOOKUP(LEFT('1) Import fichier Remi (coller)'!$A34,9)+0,'Clients R2'!$A:$CY,3,FALSE)),IF(VLOOKUP(VLOOKUP(LEFT('1) Import fichier Remi (coller)'!$A34,9),'Concordance client liv et fact'!$A:$H,7,FALSE)+0,'Clients R2'!$A:$CY,22,FALSE)=4,"NA",VLOOKUP(VLOOKUP(LEFT('1) Import fichier Remi (coller)'!$A34,9),'Concordance client liv et fact'!$A:$H,7,FALSE)+0,'Clients R2'!$A:$CY,3,FALSE)))),2))</f>
        <v>BE</v>
      </c>
      <c r="W34" s="27"/>
      <c r="X34" s="27" t="str">
        <f>IF($A34="","",IF(ISERROR(VLOOKUP(LEFT('1) Import fichier Remi (coller)'!$A34,9),'Concordance client liv et fact'!$A:$H,8,FALSE))=TRUE,VLOOKUP(LEFT('1) Import fichier Remi (coller)'!$A34,9)+0,'Clients R2'!$A:$CY,102,FALSE),VLOOKUP(VLOOKUP(LEFT('1) Import fichier Remi (coller)'!$A34,9),'Concordance client liv et fact'!$A:$H,7,FALSE)+0,'Clients R2'!$A:$CY,102,FALSE)))</f>
        <v xml:space="preserve">compta@princecaravaning.be              </v>
      </c>
      <c r="Y34" t="s">
        <v>8197</v>
      </c>
      <c r="Z34" t="str">
        <f>IF(A34="","",IF(OR(H34="705099999",H34="705001002"),VLOOKUP('1) Import fichier Remi (coller)'!J34,'Analytique personnel'!$A:$B,2,FALSE),""))</f>
        <v>BMELIN</v>
      </c>
      <c r="AA34" t="str">
        <f>IF($A34="VE11","",IF(LEFT($H34,4)="7050","",IF('1) Import fichier Remi (coller)'!M34="","",'1) Import fichier Remi (coller)'!M34)))</f>
        <v/>
      </c>
      <c r="AB34" t="str">
        <f>IF($A34="VE11","",IF(LEFT($H34,4)="7050","",IF('1) Import fichier Remi (coller)'!N34="","",'1) Import fichier Remi (coller)'!N34)))</f>
        <v/>
      </c>
      <c r="AC34" t="str">
        <f>IF(A34="","",VLOOKUP(LEFT('1) Import fichier Remi (coller)'!A34,9)+0,'Concordance Client R2 BOB'!$B:$C,2,FALSE))</f>
        <v>PRINCECARA</v>
      </c>
    </row>
    <row r="35" spans="1:29" ht="18.75" customHeight="1" x14ac:dyDescent="0.25">
      <c r="A35" t="str">
        <f>IF('1) Import fichier Remi (coller)'!D35="","",'1) Import fichier Remi (coller)'!D35)</f>
        <v>VE11</v>
      </c>
      <c r="B35">
        <f>IF(A35="","",YEAR('1) Import fichier Remi (coller)'!F35))</f>
        <v>2026</v>
      </c>
      <c r="C35">
        <f>IF(A35="","",MONTH('1) Import fichier Remi (coller)'!F35))</f>
        <v>9</v>
      </c>
      <c r="D35" s="1">
        <f>IF(A35="","",'1) Import fichier Remi (coller)'!F35)</f>
        <v>46281</v>
      </c>
      <c r="E35" s="1">
        <f>IF(A35="","",'1) Import fichier Remi (coller)'!G35)</f>
        <v>46281</v>
      </c>
      <c r="F35" t="str">
        <f>IF(A35="","",'1) Import fichier Remi (coller)'!E35)</f>
        <v>11261526</v>
      </c>
      <c r="G35" t="str">
        <f>IF(A35="","",IF(ISERROR(VLOOKUP(LEFT('1) Import fichier Remi (coller)'!A35,9),'Concordance client liv et fact'!$A:$H,8,FALSE))=TRUE,'1) Import fichier Remi (coller)'!B35,VLOOKUP(LEFT('1) Import fichier Remi (coller)'!A35,9),'Concordance client liv et fact'!$A:$H,8,FALSE)))</f>
        <v>LEODIUM</v>
      </c>
      <c r="H35" t="str">
        <f>IF(A35="","",IF(ISERROR(VLOOKUP('1) Import fichier Remi (coller)'!K35&amp;" - "&amp;'1) Import fichier Remi (coller)'!L35,'Spécifique comptes'!$A:$G,1,FALSE))=TRUE,'1) Import fichier Remi (coller)'!V35,VLOOKUP('1) Import fichier Remi (coller)'!K35&amp;" - "&amp;'1) Import fichier Remi (coller)'!L35,'Spécifique comptes'!$A:$G,IF(LEFT('2) BOB compta (completer-forcer'!F35,2)="11",4,IF(LEFT('2) BOB compta (completer-forcer'!F35,2)="12",5,IF(LEFT('2) BOB compta (completer-forcer'!F35,2)="13",6,IF(LEFT('2) BOB compta (completer-forcer'!F35,2)="15",7,"Erreur Compte")))),FALSE)))</f>
        <v>705099999</v>
      </c>
      <c r="I35" s="26" t="str">
        <f>IF(A35="","",IF(H35="70100000",'1) Import fichier Remi (coller)'!J35,'1) Import fichier Remi (coller)'!U35))</f>
        <v>+++003/7261/52643+++</v>
      </c>
      <c r="J35" s="26" t="str">
        <f>IF(A35="","",'1) Import fichier Remi (coller)'!U35)</f>
        <v>+++003/7261/52643+++</v>
      </c>
      <c r="K35" s="17">
        <f t="shared" si="1"/>
        <v>28.740000000000002</v>
      </c>
      <c r="L35" t="str">
        <f t="shared" si="2"/>
        <v>V</v>
      </c>
      <c r="M35" s="14">
        <f>IF(A35="","",'1) Import fichier Remi (coller)'!S35)</f>
        <v>21</v>
      </c>
      <c r="N35" s="17">
        <f>IF($A35="","",IF(OR($A35="NCV",$A35="NC15"),-'1) Import fichier Remi (coller)'!R35,'1) Import fichier Remi (coller)'!R35))</f>
        <v>23.75</v>
      </c>
      <c r="O35" s="17">
        <f>IF($A35="","",IF(OR($A35="NCV",$A35="NC15"),-'1) Import fichier Remi (coller)'!T35,'1) Import fichier Remi (coller)'!T35))</f>
        <v>4.99</v>
      </c>
      <c r="R35" t="str">
        <f>IF($A35="","",IF(ISERROR(VLOOKUP(LEFT('1) Import fichier Remi (coller)'!$A35,9),'Concordance client liv et fact'!$A:$H,8,FALSE))=TRUE,VLOOKUP(LEFT('1) Import fichier Remi (coller)'!$A35,9)+0,'Clients R2'!$A:$CY,2,FALSE),VLOOKUP(VLOOKUP(LEFT('1) Import fichier Remi (coller)'!$A35,9),'Concordance client liv et fact'!$A:$H,7,FALSE)+0,'Clients R2'!$A:$CY,2,FALSE)))</f>
        <v xml:space="preserve">LEODIUM AVOCATS SASPJ  </v>
      </c>
      <c r="S35" t="str">
        <f>IF($A35="","",PROPER(IF(ISERROR(VLOOKUP(LEFT('1) Import fichier Remi (coller)'!$A35,9),'Concordance client liv et fact'!$A:$H,8,FALSE))=TRUE,VLOOKUP(LEFT('1) Import fichier Remi (coller)'!$A35,9)+0,'Clients R2'!$A:$CY,27,FALSE),VLOOKUP(VLOOKUP(LEFT('1) Import fichier Remi (coller)'!$A35,9),'Concordance client liv et fact'!$A:$H,7,FALSE)+0,'Clients R2'!$A:$CY,27,FALSE))))</f>
        <v xml:space="preserve">Place De Bronckart 1               </v>
      </c>
      <c r="T35" t="str">
        <f>IF($A35="","",LEFT(UPPER(IF(ISERROR(VLOOKUP(LEFT('1) Import fichier Remi (coller)'!$A35,9),'Concordance client liv et fact'!$A:$H,8,FALSE))=TRUE,VLOOKUP(LEFT('1) Import fichier Remi (coller)'!$A35,9)+0,'Clients R2'!$A:$CY,28,FALSE),VLOOKUP(VLOOKUP(LEFT('1) Import fichier Remi (coller)'!$A35,9),'Concordance client liv et fact'!$A:$H,7,FALSE)+0,'Clients R2'!$A:$CY,28,FALSE))),2)&amp;UPPER(IF(ISERROR(VLOOKUP(LEFT('1) Import fichier Remi (coller)'!$A35,9),'Concordance client liv et fact'!$A:$H,8,FALSE))=TRUE,VLOOKUP(LEFT('1) Import fichier Remi (coller)'!$A35,9)+0,'Clients R2'!$A:$CY,29,FALSE),VLOOKUP(VLOOKUP(LEFT('1) Import fichier Remi (coller)'!$A35,9),'Concordance client liv et fact'!$A:$H,7,FALSE)+0,'Clients R2'!$A:$CY,29,FALSE))))</f>
        <v>B 4000</v>
      </c>
      <c r="U35" t="str">
        <f>IF($A35="","",PROPER(IF(ISERROR(VLOOKUP(LEFT('1) Import fichier Remi (coller)'!$A35,9),'Concordance client liv et fact'!$A:$H,8,FALSE))=TRUE,VLOOKUP(LEFT('1) Import fichier Remi (coller)'!$A35,9)+0,'Clients R2'!$A:$CY,30,FALSE),VLOOKUP(VLOOKUP(LEFT('1) Import fichier Remi (coller)'!$A35,9),'Concordance client liv et fact'!$A:$H,7,FALSE)+0,'Clients R2'!$A:$CY,30,FALSE))))</f>
        <v xml:space="preserve">Liege                         </v>
      </c>
      <c r="V35" t="str">
        <f>IF($A35="","",LEFT(UPPER(IF(ISERROR(VLOOKUP(LEFT('1) Import fichier Remi (coller)'!$A35,9),'Concordance client liv et fact'!$A:$H,8,FALSE))=TRUE,IF(VLOOKUP(LEFT('1) Import fichier Remi (coller)'!$A35,9)+0,'Clients R2'!$A:$CY,22,FALSE)=4,"NA",VLOOKUP(LEFT('1) Import fichier Remi (coller)'!$A35,9)+0,'Clients R2'!$A:$CY,3,FALSE)),IF(VLOOKUP(VLOOKUP(LEFT('1) Import fichier Remi (coller)'!$A35,9),'Concordance client liv et fact'!$A:$H,7,FALSE)+0,'Clients R2'!$A:$CY,22,FALSE)=4,"NA",VLOOKUP(VLOOKUP(LEFT('1) Import fichier Remi (coller)'!$A35,9),'Concordance client liv et fact'!$A:$H,7,FALSE)+0,'Clients R2'!$A:$CY,3,FALSE)))),2))</f>
        <v>BE</v>
      </c>
      <c r="W35" s="27"/>
      <c r="X35" s="27" t="str">
        <f>IF($A35="","",IF(ISERROR(VLOOKUP(LEFT('1) Import fichier Remi (coller)'!$A35,9),'Concordance client liv et fact'!$A:$H,8,FALSE))=TRUE,VLOOKUP(LEFT('1) Import fichier Remi (coller)'!$A35,9)+0,'Clients R2'!$A:$CY,102,FALSE),VLOOKUP(VLOOKUP(LEFT('1) Import fichier Remi (coller)'!$A35,9),'Concordance client liv et fact'!$A:$H,7,FALSE)+0,'Clients R2'!$A:$CY,102,FALSE)))</f>
        <v xml:space="preserve">l.leduc@cabinetleodium.be               </v>
      </c>
      <c r="Y35" t="s">
        <v>8197</v>
      </c>
      <c r="Z35" t="str">
        <f>IF(A35="","",IF(OR(H35="705099999",H35="705001002"),VLOOKUP('1) Import fichier Remi (coller)'!J35,'Analytique personnel'!$A:$B,2,FALSE),""))</f>
        <v>GDUHOUX</v>
      </c>
      <c r="AA35" t="str">
        <f>IF($A35="VE11","",IF(LEFT($H35,4)="7050","",IF('1) Import fichier Remi (coller)'!M35="","",'1) Import fichier Remi (coller)'!M35)))</f>
        <v/>
      </c>
      <c r="AB35" t="str">
        <f>IF($A35="VE11","",IF(LEFT($H35,4)="7050","",IF('1) Import fichier Remi (coller)'!N35="","",'1) Import fichier Remi (coller)'!N35)))</f>
        <v/>
      </c>
      <c r="AC35" t="str">
        <f>IF(A35="","",VLOOKUP(LEFT('1) Import fichier Remi (coller)'!A35,9)+0,'Concordance Client R2 BOB'!$B:$C,2,FALSE))</f>
        <v>LEODIUM</v>
      </c>
    </row>
    <row r="36" spans="1:29" ht="18.75" customHeight="1" x14ac:dyDescent="0.25">
      <c r="A36" t="str">
        <f>IF('1) Import fichier Remi (coller)'!D36="","",'1) Import fichier Remi (coller)'!D36)</f>
        <v>VE11</v>
      </c>
      <c r="B36">
        <f>IF(A36="","",YEAR('1) Import fichier Remi (coller)'!F36))</f>
        <v>2026</v>
      </c>
      <c r="C36">
        <f>IF(A36="","",MONTH('1) Import fichier Remi (coller)'!F36))</f>
        <v>9</v>
      </c>
      <c r="D36" s="1">
        <f>IF(A36="","",'1) Import fichier Remi (coller)'!F36)</f>
        <v>46281</v>
      </c>
      <c r="E36" s="1">
        <f>IF(A36="","",'1) Import fichier Remi (coller)'!G36)</f>
        <v>46281</v>
      </c>
      <c r="F36" t="str">
        <f>IF(A36="","",'1) Import fichier Remi (coller)'!E36)</f>
        <v>11261527</v>
      </c>
      <c r="G36" t="str">
        <f>IF(A36="","",IF(ISERROR(VLOOKUP(LEFT('1) Import fichier Remi (coller)'!A36,9),'Concordance client liv et fact'!$A:$H,8,FALSE))=TRUE,'1) Import fichier Remi (coller)'!B36,VLOOKUP(LEFT('1) Import fichier Remi (coller)'!A36,9),'Concordance client liv et fact'!$A:$H,8,FALSE)))</f>
        <v>SYNACO2</v>
      </c>
      <c r="H36" t="str">
        <f>IF(A36="","",IF(ISERROR(VLOOKUP('1) Import fichier Remi (coller)'!K36&amp;" - "&amp;'1) Import fichier Remi (coller)'!L36,'Spécifique comptes'!$A:$G,1,FALSE))=TRUE,'1) Import fichier Remi (coller)'!V36,VLOOKUP('1) Import fichier Remi (coller)'!K36&amp;" - "&amp;'1) Import fichier Remi (coller)'!L36,'Spécifique comptes'!$A:$G,IF(LEFT('2) BOB compta (completer-forcer'!F36,2)="11",4,IF(LEFT('2) BOB compta (completer-forcer'!F36,2)="12",5,IF(LEFT('2) BOB compta (completer-forcer'!F36,2)="13",6,IF(LEFT('2) BOB compta (completer-forcer'!F36,2)="15",7,"Erreur Compte")))),FALSE)))</f>
        <v>705099999</v>
      </c>
      <c r="I36" s="26" t="str">
        <f>IF(A36="","",IF(H36="70100000",'1) Import fichier Remi (coller)'!J36,'1) Import fichier Remi (coller)'!U36))</f>
        <v>+++003/7261/52744+++</v>
      </c>
      <c r="J36" s="26" t="str">
        <f>IF(A36="","",'1) Import fichier Remi (coller)'!U36)</f>
        <v>+++003/7261/52744+++</v>
      </c>
      <c r="K36" s="17">
        <f t="shared" si="1"/>
        <v>28.740000000000002</v>
      </c>
      <c r="L36" t="str">
        <f t="shared" si="2"/>
        <v>V</v>
      </c>
      <c r="M36" s="14">
        <f>IF(A36="","",'1) Import fichier Remi (coller)'!S36)</f>
        <v>21</v>
      </c>
      <c r="N36" s="17">
        <f>IF($A36="","",IF(OR($A36="NCV",$A36="NC15"),-'1) Import fichier Remi (coller)'!R36,'1) Import fichier Remi (coller)'!R36))</f>
        <v>23.75</v>
      </c>
      <c r="O36" s="17">
        <f>IF($A36="","",IF(OR($A36="NCV",$A36="NC15"),-'1) Import fichier Remi (coller)'!T36,'1) Import fichier Remi (coller)'!T36))</f>
        <v>4.99</v>
      </c>
      <c r="R36" t="str">
        <f>IF($A36="","",IF(ISERROR(VLOOKUP(LEFT('1) Import fichier Remi (coller)'!$A36,9),'Concordance client liv et fact'!$A:$H,8,FALSE))=TRUE,VLOOKUP(LEFT('1) Import fichier Remi (coller)'!$A36,9)+0,'Clients R2'!$A:$CY,2,FALSE),VLOOKUP(VLOOKUP(LEFT('1) Import fichier Remi (coller)'!$A36,9),'Concordance client liv et fact'!$A:$H,7,FALSE)+0,'Clients R2'!$A:$CY,2,FALSE)))</f>
        <v xml:space="preserve">SYNACO SA              </v>
      </c>
      <c r="S36" t="str">
        <f>IF($A36="","",PROPER(IF(ISERROR(VLOOKUP(LEFT('1) Import fichier Remi (coller)'!$A36,9),'Concordance client liv et fact'!$A:$H,8,FALSE))=TRUE,VLOOKUP(LEFT('1) Import fichier Remi (coller)'!$A36,9)+0,'Clients R2'!$A:$CY,27,FALSE),VLOOKUP(VLOOKUP(LEFT('1) Import fichier Remi (coller)'!$A36,9),'Concordance client liv et fact'!$A:$H,7,FALSE)+0,'Clients R2'!$A:$CY,27,FALSE))))</f>
        <v xml:space="preserve">Rue Des Technologies 2B            </v>
      </c>
      <c r="T36" t="str">
        <f>IF($A36="","",LEFT(UPPER(IF(ISERROR(VLOOKUP(LEFT('1) Import fichier Remi (coller)'!$A36,9),'Concordance client liv et fact'!$A:$H,8,FALSE))=TRUE,VLOOKUP(LEFT('1) Import fichier Remi (coller)'!$A36,9)+0,'Clients R2'!$A:$CY,28,FALSE),VLOOKUP(VLOOKUP(LEFT('1) Import fichier Remi (coller)'!$A36,9),'Concordance client liv et fact'!$A:$H,7,FALSE)+0,'Clients R2'!$A:$CY,28,FALSE))),2)&amp;UPPER(IF(ISERROR(VLOOKUP(LEFT('1) Import fichier Remi (coller)'!$A36,9),'Concordance client liv et fact'!$A:$H,8,FALSE))=TRUE,VLOOKUP(LEFT('1) Import fichier Remi (coller)'!$A36,9)+0,'Clients R2'!$A:$CY,29,FALSE),VLOOKUP(VLOOKUP(LEFT('1) Import fichier Remi (coller)'!$A36,9),'Concordance client liv et fact'!$A:$H,7,FALSE)+0,'Clients R2'!$A:$CY,29,FALSE))))</f>
        <v>B 4432</v>
      </c>
      <c r="U36" t="str">
        <f>IF($A36="","",PROPER(IF(ISERROR(VLOOKUP(LEFT('1) Import fichier Remi (coller)'!$A36,9),'Concordance client liv et fact'!$A:$H,8,FALSE))=TRUE,VLOOKUP(LEFT('1) Import fichier Remi (coller)'!$A36,9)+0,'Clients R2'!$A:$CY,30,FALSE),VLOOKUP(VLOOKUP(LEFT('1) Import fichier Remi (coller)'!$A36,9),'Concordance client liv et fact'!$A:$H,7,FALSE)+0,'Clients R2'!$A:$CY,30,FALSE))))</f>
        <v xml:space="preserve">Ans                           </v>
      </c>
      <c r="V36" t="str">
        <f>IF($A36="","",LEFT(UPPER(IF(ISERROR(VLOOKUP(LEFT('1) Import fichier Remi (coller)'!$A36,9),'Concordance client liv et fact'!$A:$H,8,FALSE))=TRUE,IF(VLOOKUP(LEFT('1) Import fichier Remi (coller)'!$A36,9)+0,'Clients R2'!$A:$CY,22,FALSE)=4,"NA",VLOOKUP(LEFT('1) Import fichier Remi (coller)'!$A36,9)+0,'Clients R2'!$A:$CY,3,FALSE)),IF(VLOOKUP(VLOOKUP(LEFT('1) Import fichier Remi (coller)'!$A36,9),'Concordance client liv et fact'!$A:$H,7,FALSE)+0,'Clients R2'!$A:$CY,22,FALSE)=4,"NA",VLOOKUP(VLOOKUP(LEFT('1) Import fichier Remi (coller)'!$A36,9),'Concordance client liv et fact'!$A:$H,7,FALSE)+0,'Clients R2'!$A:$CY,3,FALSE)))),2))</f>
        <v>BE</v>
      </c>
      <c r="W36" s="27"/>
      <c r="X36" s="27" t="str">
        <f>IF($A36="","",IF(ISERROR(VLOOKUP(LEFT('1) Import fichier Remi (coller)'!$A36,9),'Concordance client liv et fact'!$A:$H,8,FALSE))=TRUE,VLOOKUP(LEFT('1) Import fichier Remi (coller)'!$A36,9)+0,'Clients R2'!$A:$CY,102,FALSE),VLOOKUP(VLOOKUP(LEFT('1) Import fichier Remi (coller)'!$A36,9),'Concordance client liv et fact'!$A:$H,7,FALSE)+0,'Clients R2'!$A:$CY,102,FALSE)))</f>
        <v xml:space="preserve">admin@synaco.com                        </v>
      </c>
      <c r="Y36" t="s">
        <v>8197</v>
      </c>
      <c r="Z36" t="str">
        <f>IF(A36="","",IF(OR(H36="705099999",H36="705001002"),VLOOKUP('1) Import fichier Remi (coller)'!J36,'Analytique personnel'!$A:$B,2,FALSE),""))</f>
        <v>MFONTAINE</v>
      </c>
      <c r="AA36" t="str">
        <f>IF($A36="VE11","",IF(LEFT($H36,4)="7050","",IF('1) Import fichier Remi (coller)'!M36="","",'1) Import fichier Remi (coller)'!M36)))</f>
        <v/>
      </c>
      <c r="AB36" t="str">
        <f>IF($A36="VE11","",IF(LEFT($H36,4)="7050","",IF('1) Import fichier Remi (coller)'!N36="","",'1) Import fichier Remi (coller)'!N36)))</f>
        <v/>
      </c>
      <c r="AC36" t="str">
        <f>IF(A36="","",VLOOKUP(LEFT('1) Import fichier Remi (coller)'!A36,9)+0,'Concordance Client R2 BOB'!$B:$C,2,FALSE))</f>
        <v>SYNACO2</v>
      </c>
    </row>
    <row r="37" spans="1:29" ht="18.75" customHeight="1" x14ac:dyDescent="0.25">
      <c r="A37" t="str">
        <f>IF('1) Import fichier Remi (coller)'!D37="","",'1) Import fichier Remi (coller)'!D37)</f>
        <v>VE11</v>
      </c>
      <c r="B37">
        <f>IF(A37="","",YEAR('1) Import fichier Remi (coller)'!F37))</f>
        <v>2026</v>
      </c>
      <c r="C37">
        <f>IF(A37="","",MONTH('1) Import fichier Remi (coller)'!F37))</f>
        <v>9</v>
      </c>
      <c r="D37" s="1">
        <f>IF(A37="","",'1) Import fichier Remi (coller)'!F37)</f>
        <v>46281</v>
      </c>
      <c r="E37" s="1">
        <f>IF(A37="","",'1) Import fichier Remi (coller)'!G37)</f>
        <v>46281</v>
      </c>
      <c r="F37" t="str">
        <f>IF(A37="","",'1) Import fichier Remi (coller)'!E37)</f>
        <v>11261528</v>
      </c>
      <c r="G37" t="str">
        <f>IF(A37="","",IF(ISERROR(VLOOKUP(LEFT('1) Import fichier Remi (coller)'!A37,9),'Concordance client liv et fact'!$A:$H,8,FALSE))=TRUE,'1) Import fichier Remi (coller)'!B37,VLOOKUP(LEFT('1) Import fichier Remi (coller)'!A37,9),'Concordance client liv et fact'!$A:$H,8,FALSE)))</f>
        <v>DRYTEC</v>
      </c>
      <c r="H37" t="str">
        <f>IF(A37="","",IF(ISERROR(VLOOKUP('1) Import fichier Remi (coller)'!K37&amp;" - "&amp;'1) Import fichier Remi (coller)'!L37,'Spécifique comptes'!$A:$G,1,FALSE))=TRUE,'1) Import fichier Remi (coller)'!V37,VLOOKUP('1) Import fichier Remi (coller)'!K37&amp;" - "&amp;'1) Import fichier Remi (coller)'!L37,'Spécifique comptes'!$A:$G,IF(LEFT('2) BOB compta (completer-forcer'!F37,2)="11",4,IF(LEFT('2) BOB compta (completer-forcer'!F37,2)="12",5,IF(LEFT('2) BOB compta (completer-forcer'!F37,2)="13",6,IF(LEFT('2) BOB compta (completer-forcer'!F37,2)="15",7,"Erreur Compte")))),FALSE)))</f>
        <v>705099999</v>
      </c>
      <c r="I37" s="26" t="str">
        <f>IF(A37="","",IF(H37="70100000",'1) Import fichier Remi (coller)'!J37,'1) Import fichier Remi (coller)'!U37))</f>
        <v>+++003/7261/52845+++</v>
      </c>
      <c r="J37" s="26" t="str">
        <f>IF(A37="","",'1) Import fichier Remi (coller)'!U37)</f>
        <v>+++003/7261/52845+++</v>
      </c>
      <c r="K37" s="17">
        <f t="shared" si="1"/>
        <v>259.67</v>
      </c>
      <c r="L37" t="str">
        <f t="shared" si="2"/>
        <v>V</v>
      </c>
      <c r="M37" s="14">
        <f>IF(A37="","",'1) Import fichier Remi (coller)'!S37)</f>
        <v>21</v>
      </c>
      <c r="N37" s="17">
        <f>IF($A37="","",IF(OR($A37="NCV",$A37="NC15"),-'1) Import fichier Remi (coller)'!R37,'1) Import fichier Remi (coller)'!R37))</f>
        <v>150</v>
      </c>
      <c r="O37" s="17">
        <f>IF($A37="","",IF(OR($A37="NCV",$A37="NC15"),-'1) Import fichier Remi (coller)'!T37,'1) Import fichier Remi (coller)'!T37))</f>
        <v>31.5</v>
      </c>
      <c r="R37" t="str">
        <f>IF($A37="","",IF(ISERROR(VLOOKUP(LEFT('1) Import fichier Remi (coller)'!$A37,9),'Concordance client liv et fact'!$A:$H,8,FALSE))=TRUE,VLOOKUP(LEFT('1) Import fichier Remi (coller)'!$A37,9)+0,'Clients R2'!$A:$CY,2,FALSE),VLOOKUP(VLOOKUP(LEFT('1) Import fichier Remi (coller)'!$A37,9),'Concordance client liv et fact'!$A:$H,7,FALSE)+0,'Clients R2'!$A:$CY,2,FALSE)))</f>
        <v xml:space="preserve">DRYTEC SA              </v>
      </c>
      <c r="S37" t="str">
        <f>IF($A37="","",PROPER(IF(ISERROR(VLOOKUP(LEFT('1) Import fichier Remi (coller)'!$A37,9),'Concordance client liv et fact'!$A:$H,8,FALSE))=TRUE,VLOOKUP(LEFT('1) Import fichier Remi (coller)'!$A37,9)+0,'Clients R2'!$A:$CY,27,FALSE),VLOOKUP(VLOOKUP(LEFT('1) Import fichier Remi (coller)'!$A37,9),'Concordance client liv et fact'!$A:$H,7,FALSE)+0,'Clients R2'!$A:$CY,27,FALSE))))</f>
        <v xml:space="preserve">Rue De La Legende, 36              </v>
      </c>
      <c r="T37" t="str">
        <f>IF($A37="","",LEFT(UPPER(IF(ISERROR(VLOOKUP(LEFT('1) Import fichier Remi (coller)'!$A37,9),'Concordance client liv et fact'!$A:$H,8,FALSE))=TRUE,VLOOKUP(LEFT('1) Import fichier Remi (coller)'!$A37,9)+0,'Clients R2'!$A:$CY,28,FALSE),VLOOKUP(VLOOKUP(LEFT('1) Import fichier Remi (coller)'!$A37,9),'Concordance client liv et fact'!$A:$H,7,FALSE)+0,'Clients R2'!$A:$CY,28,FALSE))),2)&amp;UPPER(IF(ISERROR(VLOOKUP(LEFT('1) Import fichier Remi (coller)'!$A37,9),'Concordance client liv et fact'!$A:$H,8,FALSE))=TRUE,VLOOKUP(LEFT('1) Import fichier Remi (coller)'!$A37,9)+0,'Clients R2'!$A:$CY,29,FALSE),VLOOKUP(VLOOKUP(LEFT('1) Import fichier Remi (coller)'!$A37,9),'Concordance client liv et fact'!$A:$H,7,FALSE)+0,'Clients R2'!$A:$CY,29,FALSE))))</f>
        <v>B 4141</v>
      </c>
      <c r="U37" t="str">
        <f>IF($A37="","",PROPER(IF(ISERROR(VLOOKUP(LEFT('1) Import fichier Remi (coller)'!$A37,9),'Concordance client liv et fact'!$A:$H,8,FALSE))=TRUE,VLOOKUP(LEFT('1) Import fichier Remi (coller)'!$A37,9)+0,'Clients R2'!$A:$CY,30,FALSE),VLOOKUP(VLOOKUP(LEFT('1) Import fichier Remi (coller)'!$A37,9),'Concordance client liv et fact'!$A:$H,7,FALSE)+0,'Clients R2'!$A:$CY,30,FALSE))))</f>
        <v xml:space="preserve">Louveigne                     </v>
      </c>
      <c r="V37" t="str">
        <f>IF($A37="","",LEFT(UPPER(IF(ISERROR(VLOOKUP(LEFT('1) Import fichier Remi (coller)'!$A37,9),'Concordance client liv et fact'!$A:$H,8,FALSE))=TRUE,IF(VLOOKUP(LEFT('1) Import fichier Remi (coller)'!$A37,9)+0,'Clients R2'!$A:$CY,22,FALSE)=4,"NA",VLOOKUP(LEFT('1) Import fichier Remi (coller)'!$A37,9)+0,'Clients R2'!$A:$CY,3,FALSE)),IF(VLOOKUP(VLOOKUP(LEFT('1) Import fichier Remi (coller)'!$A37,9),'Concordance client liv et fact'!$A:$H,7,FALSE)+0,'Clients R2'!$A:$CY,22,FALSE)=4,"NA",VLOOKUP(VLOOKUP(LEFT('1) Import fichier Remi (coller)'!$A37,9),'Concordance client liv et fact'!$A:$H,7,FALSE)+0,'Clients R2'!$A:$CY,3,FALSE)))),2))</f>
        <v>BE</v>
      </c>
      <c r="W37" s="27"/>
      <c r="X37" s="27" t="str">
        <f>IF($A37="","",IF(ISERROR(VLOOKUP(LEFT('1) Import fichier Remi (coller)'!$A37,9),'Concordance client liv et fact'!$A:$H,8,FALSE))=TRUE,VLOOKUP(LEFT('1) Import fichier Remi (coller)'!$A37,9)+0,'Clients R2'!$A:$CY,102,FALSE),VLOOKUP(VLOOKUP(LEFT('1) Import fichier Remi (coller)'!$A37,9),'Concordance client liv et fact'!$A:$H,7,FALSE)+0,'Clients R2'!$A:$CY,102,FALSE)))</f>
        <v xml:space="preserve">accounting.drytec@mikropor.com          </v>
      </c>
      <c r="Y37" t="s">
        <v>8197</v>
      </c>
      <c r="Z37" t="str">
        <f>IF(A37="","",IF(OR(H37="705099999",H37="705001002"),VLOOKUP('1) Import fichier Remi (coller)'!J37,'Analytique personnel'!$A:$B,2,FALSE),""))</f>
        <v>MFONTAINE</v>
      </c>
      <c r="AA37" t="str">
        <f>IF($A37="VE11","",IF(LEFT($H37,4)="7050","",IF('1) Import fichier Remi (coller)'!M37="","",'1) Import fichier Remi (coller)'!M37)))</f>
        <v/>
      </c>
      <c r="AB37" t="str">
        <f>IF($A37="VE11","",IF(LEFT($H37,4)="7050","",IF('1) Import fichier Remi (coller)'!N37="","",'1) Import fichier Remi (coller)'!N37)))</f>
        <v/>
      </c>
      <c r="AC37" t="str">
        <f>IF(A37="","",VLOOKUP(LEFT('1) Import fichier Remi (coller)'!A37,9)+0,'Concordance Client R2 BOB'!$B:$C,2,FALSE))</f>
        <v>DRYTEC</v>
      </c>
    </row>
    <row r="38" spans="1:29" ht="18.75" customHeight="1" x14ac:dyDescent="0.25">
      <c r="A38" t="str">
        <f>IF('1) Import fichier Remi (coller)'!D38="","",'1) Import fichier Remi (coller)'!D38)</f>
        <v>VE11</v>
      </c>
      <c r="B38">
        <f>IF(A38="","",YEAR('1) Import fichier Remi (coller)'!F38))</f>
        <v>2026</v>
      </c>
      <c r="C38">
        <f>IF(A38="","",MONTH('1) Import fichier Remi (coller)'!F38))</f>
        <v>9</v>
      </c>
      <c r="D38" s="1">
        <f>IF(A38="","",'1) Import fichier Remi (coller)'!F38)</f>
        <v>46281</v>
      </c>
      <c r="E38" s="1">
        <f>IF(A38="","",'1) Import fichier Remi (coller)'!G38)</f>
        <v>46281</v>
      </c>
      <c r="F38" t="str">
        <f>IF(A38="","",'1) Import fichier Remi (coller)'!E38)</f>
        <v>11261528</v>
      </c>
      <c r="G38" t="str">
        <f>IF(A38="","",IF(ISERROR(VLOOKUP(LEFT('1) Import fichier Remi (coller)'!A38,9),'Concordance client liv et fact'!$A:$H,8,FALSE))=TRUE,'1) Import fichier Remi (coller)'!B38,VLOOKUP(LEFT('1) Import fichier Remi (coller)'!A38,9),'Concordance client liv et fact'!$A:$H,8,FALSE)))</f>
        <v>DRYTEC</v>
      </c>
      <c r="H38" t="str">
        <f>IF(A38="","",IF(ISERROR(VLOOKUP('1) Import fichier Remi (coller)'!K38&amp;" - "&amp;'1) Import fichier Remi (coller)'!L38,'Spécifique comptes'!$A:$G,1,FALSE))=TRUE,'1) Import fichier Remi (coller)'!V38,VLOOKUP('1) Import fichier Remi (coller)'!K38&amp;" - "&amp;'1) Import fichier Remi (coller)'!L38,'Spécifique comptes'!$A:$G,IF(LEFT('2) BOB compta (completer-forcer'!F38,2)="11",4,IF(LEFT('2) BOB compta (completer-forcer'!F38,2)="12",5,IF(LEFT('2) BOB compta (completer-forcer'!F38,2)="13",6,IF(LEFT('2) BOB compta (completer-forcer'!F38,2)="15",7,"Erreur Compte")))),FALSE)))</f>
        <v>705001002</v>
      </c>
      <c r="I38" s="26" t="str">
        <f>IF(A38="","",IF(H38="70100000",'1) Import fichier Remi (coller)'!J38,'1) Import fichier Remi (coller)'!U38))</f>
        <v>+++003/7261/52845+++</v>
      </c>
      <c r="J38" s="26" t="str">
        <f>IF(A38="","",'1) Import fichier Remi (coller)'!U38)</f>
        <v>+++003/7261/52845+++</v>
      </c>
      <c r="K38" s="17">
        <f t="shared" si="1"/>
        <v>259.67</v>
      </c>
      <c r="L38" t="str">
        <f t="shared" si="2"/>
        <v>V</v>
      </c>
      <c r="M38" s="14">
        <f>IF(A38="","",'1) Import fichier Remi (coller)'!S38)</f>
        <v>21</v>
      </c>
      <c r="N38" s="17">
        <f>IF($A38="","",IF(OR($A38="NCV",$A38="NC15"),-'1) Import fichier Remi (coller)'!R38,'1) Import fichier Remi (coller)'!R38))</f>
        <v>64.599999999999994</v>
      </c>
      <c r="O38" s="17">
        <f>IF($A38="","",IF(OR($A38="NCV",$A38="NC15"),-'1) Import fichier Remi (coller)'!T38,'1) Import fichier Remi (coller)'!T38))</f>
        <v>13.57</v>
      </c>
      <c r="R38" t="str">
        <f>IF($A38="","",IF(ISERROR(VLOOKUP(LEFT('1) Import fichier Remi (coller)'!$A38,9),'Concordance client liv et fact'!$A:$H,8,FALSE))=TRUE,VLOOKUP(LEFT('1) Import fichier Remi (coller)'!$A38,9)+0,'Clients R2'!$A:$CY,2,FALSE),VLOOKUP(VLOOKUP(LEFT('1) Import fichier Remi (coller)'!$A38,9),'Concordance client liv et fact'!$A:$H,7,FALSE)+0,'Clients R2'!$A:$CY,2,FALSE)))</f>
        <v xml:space="preserve">DRYTEC SA              </v>
      </c>
      <c r="S38" t="str">
        <f>IF($A38="","",PROPER(IF(ISERROR(VLOOKUP(LEFT('1) Import fichier Remi (coller)'!$A38,9),'Concordance client liv et fact'!$A:$H,8,FALSE))=TRUE,VLOOKUP(LEFT('1) Import fichier Remi (coller)'!$A38,9)+0,'Clients R2'!$A:$CY,27,FALSE),VLOOKUP(VLOOKUP(LEFT('1) Import fichier Remi (coller)'!$A38,9),'Concordance client liv et fact'!$A:$H,7,FALSE)+0,'Clients R2'!$A:$CY,27,FALSE))))</f>
        <v xml:space="preserve">Rue De La Legende, 36              </v>
      </c>
      <c r="T38" t="str">
        <f>IF($A38="","",LEFT(UPPER(IF(ISERROR(VLOOKUP(LEFT('1) Import fichier Remi (coller)'!$A38,9),'Concordance client liv et fact'!$A:$H,8,FALSE))=TRUE,VLOOKUP(LEFT('1) Import fichier Remi (coller)'!$A38,9)+0,'Clients R2'!$A:$CY,28,FALSE),VLOOKUP(VLOOKUP(LEFT('1) Import fichier Remi (coller)'!$A38,9),'Concordance client liv et fact'!$A:$H,7,FALSE)+0,'Clients R2'!$A:$CY,28,FALSE))),2)&amp;UPPER(IF(ISERROR(VLOOKUP(LEFT('1) Import fichier Remi (coller)'!$A38,9),'Concordance client liv et fact'!$A:$H,8,FALSE))=TRUE,VLOOKUP(LEFT('1) Import fichier Remi (coller)'!$A38,9)+0,'Clients R2'!$A:$CY,29,FALSE),VLOOKUP(VLOOKUP(LEFT('1) Import fichier Remi (coller)'!$A38,9),'Concordance client liv et fact'!$A:$H,7,FALSE)+0,'Clients R2'!$A:$CY,29,FALSE))))</f>
        <v>B 4141</v>
      </c>
      <c r="U38" t="str">
        <f>IF($A38="","",PROPER(IF(ISERROR(VLOOKUP(LEFT('1) Import fichier Remi (coller)'!$A38,9),'Concordance client liv et fact'!$A:$H,8,FALSE))=TRUE,VLOOKUP(LEFT('1) Import fichier Remi (coller)'!$A38,9)+0,'Clients R2'!$A:$CY,30,FALSE),VLOOKUP(VLOOKUP(LEFT('1) Import fichier Remi (coller)'!$A38,9),'Concordance client liv et fact'!$A:$H,7,FALSE)+0,'Clients R2'!$A:$CY,30,FALSE))))</f>
        <v xml:space="preserve">Louveigne                     </v>
      </c>
      <c r="V38" t="str">
        <f>IF($A38="","",LEFT(UPPER(IF(ISERROR(VLOOKUP(LEFT('1) Import fichier Remi (coller)'!$A38,9),'Concordance client liv et fact'!$A:$H,8,FALSE))=TRUE,IF(VLOOKUP(LEFT('1) Import fichier Remi (coller)'!$A38,9)+0,'Clients R2'!$A:$CY,22,FALSE)=4,"NA",VLOOKUP(LEFT('1) Import fichier Remi (coller)'!$A38,9)+0,'Clients R2'!$A:$CY,3,FALSE)),IF(VLOOKUP(VLOOKUP(LEFT('1) Import fichier Remi (coller)'!$A38,9),'Concordance client liv et fact'!$A:$H,7,FALSE)+0,'Clients R2'!$A:$CY,22,FALSE)=4,"NA",VLOOKUP(VLOOKUP(LEFT('1) Import fichier Remi (coller)'!$A38,9),'Concordance client liv et fact'!$A:$H,7,FALSE)+0,'Clients R2'!$A:$CY,3,FALSE)))),2))</f>
        <v>BE</v>
      </c>
      <c r="W38" s="27"/>
      <c r="X38" s="27" t="str">
        <f>IF($A38="","",IF(ISERROR(VLOOKUP(LEFT('1) Import fichier Remi (coller)'!$A38,9),'Concordance client liv et fact'!$A:$H,8,FALSE))=TRUE,VLOOKUP(LEFT('1) Import fichier Remi (coller)'!$A38,9)+0,'Clients R2'!$A:$CY,102,FALSE),VLOOKUP(VLOOKUP(LEFT('1) Import fichier Remi (coller)'!$A38,9),'Concordance client liv et fact'!$A:$H,7,FALSE)+0,'Clients R2'!$A:$CY,102,FALSE)))</f>
        <v xml:space="preserve">accounting.drytec@mikropor.com          </v>
      </c>
      <c r="Y38" t="s">
        <v>8197</v>
      </c>
      <c r="Z38" t="s">
        <v>464</v>
      </c>
      <c r="AA38" t="str">
        <f>IF($A38="VE11","",IF(LEFT($H38,4)="7050","",IF('1) Import fichier Remi (coller)'!M38="","",'1) Import fichier Remi (coller)'!M38)))</f>
        <v/>
      </c>
      <c r="AB38" t="str">
        <f>IF($A38="VE11","",IF(LEFT($H38,4)="7050","",IF('1) Import fichier Remi (coller)'!N38="","",'1) Import fichier Remi (coller)'!N38)))</f>
        <v/>
      </c>
      <c r="AC38" t="str">
        <f>IF(A38="","",VLOOKUP(LEFT('1) Import fichier Remi (coller)'!A38,9)+0,'Concordance Client R2 BOB'!$B:$C,2,FALSE))</f>
        <v>DRYTEC</v>
      </c>
    </row>
    <row r="39" spans="1:29" ht="18.75" customHeight="1" x14ac:dyDescent="0.25">
      <c r="A39" t="str">
        <f>IF('1) Import fichier Remi (coller)'!D39="","",'1) Import fichier Remi (coller)'!D39)</f>
        <v>VE11</v>
      </c>
      <c r="B39">
        <f>IF(A39="","",YEAR('1) Import fichier Remi (coller)'!F39))</f>
        <v>2026</v>
      </c>
      <c r="C39">
        <f>IF(A39="","",MONTH('1) Import fichier Remi (coller)'!F39))</f>
        <v>9</v>
      </c>
      <c r="D39" s="1">
        <f>IF(A39="","",'1) Import fichier Remi (coller)'!F39)</f>
        <v>46281</v>
      </c>
      <c r="E39" s="1">
        <f>IF(A39="","",'1) Import fichier Remi (coller)'!G39)</f>
        <v>46311</v>
      </c>
      <c r="F39" t="str">
        <f>IF(A39="","",'1) Import fichier Remi (coller)'!E39)</f>
        <v>11261529</v>
      </c>
      <c r="G39" t="str">
        <f>IF(A39="","",IF(ISERROR(VLOOKUP(LEFT('1) Import fichier Remi (coller)'!A39,9),'Concordance client liv et fact'!$A:$H,8,FALSE))=TRUE,'1) Import fichier Remi (coller)'!B39,VLOOKUP(LEFT('1) Import fichier Remi (coller)'!A39,9),'Concordance client liv et fact'!$A:$H,8,FALSE)))</f>
        <v>HOFMAN</v>
      </c>
      <c r="H39" t="str">
        <f>IF(A39="","",IF(ISERROR(VLOOKUP('1) Import fichier Remi (coller)'!K39&amp;" - "&amp;'1) Import fichier Remi (coller)'!L39,'Spécifique comptes'!$A:$G,1,FALSE))=TRUE,'1) Import fichier Remi (coller)'!V39,VLOOKUP('1) Import fichier Remi (coller)'!K39&amp;" - "&amp;'1) Import fichier Remi (coller)'!L39,'Spécifique comptes'!$A:$G,IF(LEFT('2) BOB compta (completer-forcer'!F39,2)="11",4,IF(LEFT('2) BOB compta (completer-forcer'!F39,2)="12",5,IF(LEFT('2) BOB compta (completer-forcer'!F39,2)="13",6,IF(LEFT('2) BOB compta (completer-forcer'!F39,2)="15",7,"Erreur Compte")))),FALSE)))</f>
        <v>705099999</v>
      </c>
      <c r="I39" s="26" t="str">
        <f>IF(A39="","",IF(H39="70100000",'1) Import fichier Remi (coller)'!J39,'1) Import fichier Remi (coller)'!U39))</f>
        <v>+++003/7261/52946+++</v>
      </c>
      <c r="J39" s="26" t="str">
        <f>IF(A39="","",'1) Import fichier Remi (coller)'!U39)</f>
        <v>+++003/7261/52946+++</v>
      </c>
      <c r="K39" s="17">
        <f t="shared" si="1"/>
        <v>28.740000000000002</v>
      </c>
      <c r="L39" t="str">
        <f t="shared" si="2"/>
        <v>V</v>
      </c>
      <c r="M39" s="14">
        <f>IF(A39="","",'1) Import fichier Remi (coller)'!S39)</f>
        <v>21</v>
      </c>
      <c r="N39" s="17">
        <f>IF($A39="","",IF(OR($A39="NCV",$A39="NC15"),-'1) Import fichier Remi (coller)'!R39,'1) Import fichier Remi (coller)'!R39))</f>
        <v>23.75</v>
      </c>
      <c r="O39" s="17">
        <f>IF($A39="","",IF(OR($A39="NCV",$A39="NC15"),-'1) Import fichier Remi (coller)'!T39,'1) Import fichier Remi (coller)'!T39))</f>
        <v>4.99</v>
      </c>
      <c r="R39" t="str">
        <f>IF($A39="","",IF(ISERROR(VLOOKUP(LEFT('1) Import fichier Remi (coller)'!$A39,9),'Concordance client liv et fact'!$A:$H,8,FALSE))=TRUE,VLOOKUP(LEFT('1) Import fichier Remi (coller)'!$A39,9)+0,'Clients R2'!$A:$CY,2,FALSE),VLOOKUP(VLOOKUP(LEFT('1) Import fichier Remi (coller)'!$A39,9),'Concordance client liv et fact'!$A:$H,7,FALSE)+0,'Clients R2'!$A:$CY,2,FALSE)))</f>
        <v xml:space="preserve">HOFMAN SA              </v>
      </c>
      <c r="S39" t="str">
        <f>IF($A39="","",PROPER(IF(ISERROR(VLOOKUP(LEFT('1) Import fichier Remi (coller)'!$A39,9),'Concordance client liv et fact'!$A:$H,8,FALSE))=TRUE,VLOOKUP(LEFT('1) Import fichier Remi (coller)'!$A39,9)+0,'Clients R2'!$A:$CY,27,FALSE),VLOOKUP(VLOOKUP(LEFT('1) Import fichier Remi (coller)'!$A39,9),'Concordance client liv et fact'!$A:$H,7,FALSE)+0,'Clients R2'!$A:$CY,27,FALSE))))</f>
        <v xml:space="preserve">Rue Des Waides 17                  </v>
      </c>
      <c r="T39" t="str">
        <f>IF($A39="","",LEFT(UPPER(IF(ISERROR(VLOOKUP(LEFT('1) Import fichier Remi (coller)'!$A39,9),'Concordance client liv et fact'!$A:$H,8,FALSE))=TRUE,VLOOKUP(LEFT('1) Import fichier Remi (coller)'!$A39,9)+0,'Clients R2'!$A:$CY,28,FALSE),VLOOKUP(VLOOKUP(LEFT('1) Import fichier Remi (coller)'!$A39,9),'Concordance client liv et fact'!$A:$H,7,FALSE)+0,'Clients R2'!$A:$CY,28,FALSE))),2)&amp;UPPER(IF(ISERROR(VLOOKUP(LEFT('1) Import fichier Remi (coller)'!$A39,9),'Concordance client liv et fact'!$A:$H,8,FALSE))=TRUE,VLOOKUP(LEFT('1) Import fichier Remi (coller)'!$A39,9)+0,'Clients R2'!$A:$CY,29,FALSE),VLOOKUP(VLOOKUP(LEFT('1) Import fichier Remi (coller)'!$A39,9),'Concordance client liv et fact'!$A:$H,7,FALSE)+0,'Clients R2'!$A:$CY,29,FALSE))))</f>
        <v>B 4890</v>
      </c>
      <c r="U39" t="str">
        <f>IF($A39="","",PROPER(IF(ISERROR(VLOOKUP(LEFT('1) Import fichier Remi (coller)'!$A39,9),'Concordance client liv et fact'!$A:$H,8,FALSE))=TRUE,VLOOKUP(LEFT('1) Import fichier Remi (coller)'!$A39,9)+0,'Clients R2'!$A:$CY,30,FALSE),VLOOKUP(VLOOKUP(LEFT('1) Import fichier Remi (coller)'!$A39,9),'Concordance client liv et fact'!$A:$H,7,FALSE)+0,'Clients R2'!$A:$CY,30,FALSE))))</f>
        <v xml:space="preserve">Thimister-Clermont            </v>
      </c>
      <c r="V39" t="str">
        <f>IF($A39="","",LEFT(UPPER(IF(ISERROR(VLOOKUP(LEFT('1) Import fichier Remi (coller)'!$A39,9),'Concordance client liv et fact'!$A:$H,8,FALSE))=TRUE,IF(VLOOKUP(LEFT('1) Import fichier Remi (coller)'!$A39,9)+0,'Clients R2'!$A:$CY,22,FALSE)=4,"NA",VLOOKUP(LEFT('1) Import fichier Remi (coller)'!$A39,9)+0,'Clients R2'!$A:$CY,3,FALSE)),IF(VLOOKUP(VLOOKUP(LEFT('1) Import fichier Remi (coller)'!$A39,9),'Concordance client liv et fact'!$A:$H,7,FALSE)+0,'Clients R2'!$A:$CY,22,FALSE)=4,"NA",VLOOKUP(VLOOKUP(LEFT('1) Import fichier Remi (coller)'!$A39,9),'Concordance client liv et fact'!$A:$H,7,FALSE)+0,'Clients R2'!$A:$CY,3,FALSE)))),2))</f>
        <v>BE</v>
      </c>
      <c r="W39" s="27"/>
      <c r="X39" s="27" t="str">
        <f>IF($A39="","",IF(ISERROR(VLOOKUP(LEFT('1) Import fichier Remi (coller)'!$A39,9),'Concordance client liv et fact'!$A:$H,8,FALSE))=TRUE,VLOOKUP(LEFT('1) Import fichier Remi (coller)'!$A39,9)+0,'Clients R2'!$A:$CY,102,FALSE),VLOOKUP(VLOOKUP(LEFT('1) Import fichier Remi (coller)'!$A39,9),'Concordance client liv et fact'!$A:$H,7,FALSE)+0,'Clients R2'!$A:$CY,102,FALSE)))</f>
        <v xml:space="preserve">info@hofman-signalisation.be            </v>
      </c>
      <c r="Y39" t="s">
        <v>8197</v>
      </c>
      <c r="Z39" t="str">
        <f>IF(A39="","",IF(OR(H39="705099999",H39="705001002"),VLOOKUP('1) Import fichier Remi (coller)'!J39,'Analytique personnel'!$A:$B,2,FALSE),""))</f>
        <v>GDUHOUX</v>
      </c>
      <c r="AA39" t="str">
        <f>IF($A39="VE11","",IF(LEFT($H39,4)="7050","",IF('1) Import fichier Remi (coller)'!M39="","",'1) Import fichier Remi (coller)'!M39)))</f>
        <v/>
      </c>
      <c r="AB39" t="str">
        <f>IF($A39="VE11","",IF(LEFT($H39,4)="7050","",IF('1) Import fichier Remi (coller)'!N39="","",'1) Import fichier Remi (coller)'!N39)))</f>
        <v/>
      </c>
      <c r="AC39" t="str">
        <f>IF(A39="","",VLOOKUP(LEFT('1) Import fichier Remi (coller)'!A39,9)+0,'Concordance Client R2 BOB'!$B:$C,2,FALSE))</f>
        <v>HOFMAN</v>
      </c>
    </row>
    <row r="40" spans="1:29" ht="18.75" customHeight="1" x14ac:dyDescent="0.25">
      <c r="A40" t="str">
        <f>IF('1) Import fichier Remi (coller)'!D40="","",'1) Import fichier Remi (coller)'!D40)</f>
        <v>VE11</v>
      </c>
      <c r="B40">
        <f>IF(A40="","",YEAR('1) Import fichier Remi (coller)'!F40))</f>
        <v>2026</v>
      </c>
      <c r="C40">
        <f>IF(A40="","",MONTH('1) Import fichier Remi (coller)'!F40))</f>
        <v>9</v>
      </c>
      <c r="D40" s="1">
        <f>IF(A40="","",'1) Import fichier Remi (coller)'!F40)</f>
        <v>46281</v>
      </c>
      <c r="E40" s="1">
        <f>IF(A40="","",'1) Import fichier Remi (coller)'!G40)</f>
        <v>46281</v>
      </c>
      <c r="F40" t="str">
        <f>IF(A40="","",'1) Import fichier Remi (coller)'!E40)</f>
        <v>11261530</v>
      </c>
      <c r="G40" t="str">
        <f>IF(A40="","",IF(ISERROR(VLOOKUP(LEFT('1) Import fichier Remi (coller)'!A40,9),'Concordance client liv et fact'!$A:$H,8,FALSE))=TRUE,'1) Import fichier Remi (coller)'!B40,VLOOKUP(LEFT('1) Import fichier Remi (coller)'!A40,9),'Concordance client liv et fact'!$A:$H,8,FALSE)))</f>
        <v>HOUBEN</v>
      </c>
      <c r="H40" t="str">
        <f>IF(A40="","",IF(ISERROR(VLOOKUP('1) Import fichier Remi (coller)'!K40&amp;" - "&amp;'1) Import fichier Remi (coller)'!L40,'Spécifique comptes'!$A:$G,1,FALSE))=TRUE,'1) Import fichier Remi (coller)'!V40,VLOOKUP('1) Import fichier Remi (coller)'!K40&amp;" - "&amp;'1) Import fichier Remi (coller)'!L40,'Spécifique comptes'!$A:$G,IF(LEFT('2) BOB compta (completer-forcer'!F40,2)="11",4,IF(LEFT('2) BOB compta (completer-forcer'!F40,2)="12",5,IF(LEFT('2) BOB compta (completer-forcer'!F40,2)="13",6,IF(LEFT('2) BOB compta (completer-forcer'!F40,2)="15",7,"Erreur Compte")))),FALSE)))</f>
        <v>705099999</v>
      </c>
      <c r="I40" s="26" t="str">
        <f>IF(A40="","",IF(H40="70100000",'1) Import fichier Remi (coller)'!J40,'1) Import fichier Remi (coller)'!U40))</f>
        <v>+++003/7261/53047+++</v>
      </c>
      <c r="J40" s="26" t="str">
        <f>IF(A40="","",'1) Import fichier Remi (coller)'!U40)</f>
        <v>+++003/7261/53047+++</v>
      </c>
      <c r="K40" s="17">
        <f t="shared" si="1"/>
        <v>30.25</v>
      </c>
      <c r="L40" t="str">
        <f t="shared" si="2"/>
        <v>V</v>
      </c>
      <c r="M40" s="14">
        <f>IF(A40="","",'1) Import fichier Remi (coller)'!S40)</f>
        <v>21</v>
      </c>
      <c r="N40" s="17">
        <f>IF($A40="","",IF(OR($A40="NCV",$A40="NC15"),-'1) Import fichier Remi (coller)'!R40,'1) Import fichier Remi (coller)'!R40))</f>
        <v>25</v>
      </c>
      <c r="O40" s="17">
        <f>IF($A40="","",IF(OR($A40="NCV",$A40="NC15"),-'1) Import fichier Remi (coller)'!T40,'1) Import fichier Remi (coller)'!T40))</f>
        <v>5.25</v>
      </c>
      <c r="R40" t="str">
        <f>IF($A40="","",IF(ISERROR(VLOOKUP(LEFT('1) Import fichier Remi (coller)'!$A40,9),'Concordance client liv et fact'!$A:$H,8,FALSE))=TRUE,VLOOKUP(LEFT('1) Import fichier Remi (coller)'!$A40,9)+0,'Clients R2'!$A:$CY,2,FALSE),VLOOKUP(VLOOKUP(LEFT('1) Import fichier Remi (coller)'!$A40,9),'Concordance client liv et fact'!$A:$H,7,FALSE)+0,'Clients R2'!$A:$CY,2,FALSE)))</f>
        <v xml:space="preserve">HOUBEN                 </v>
      </c>
      <c r="S40" t="str">
        <f>IF($A40="","",PROPER(IF(ISERROR(VLOOKUP(LEFT('1) Import fichier Remi (coller)'!$A40,9),'Concordance client liv et fact'!$A:$H,8,FALSE))=TRUE,VLOOKUP(LEFT('1) Import fichier Remi (coller)'!$A40,9)+0,'Clients R2'!$A:$CY,27,FALSE),VLOOKUP(VLOOKUP(LEFT('1) Import fichier Remi (coller)'!$A40,9),'Concordance client liv et fact'!$A:$H,7,FALSE)+0,'Clients R2'!$A:$CY,27,FALSE))))</f>
        <v xml:space="preserve">Rue Vinave 32                      </v>
      </c>
      <c r="T40" t="str">
        <f>IF($A40="","",LEFT(UPPER(IF(ISERROR(VLOOKUP(LEFT('1) Import fichier Remi (coller)'!$A40,9),'Concordance client liv et fact'!$A:$H,8,FALSE))=TRUE,VLOOKUP(LEFT('1) Import fichier Remi (coller)'!$A40,9)+0,'Clients R2'!$A:$CY,28,FALSE),VLOOKUP(VLOOKUP(LEFT('1) Import fichier Remi (coller)'!$A40,9),'Concordance client liv et fact'!$A:$H,7,FALSE)+0,'Clients R2'!$A:$CY,28,FALSE))),2)&amp;UPPER(IF(ISERROR(VLOOKUP(LEFT('1) Import fichier Remi (coller)'!$A40,9),'Concordance client liv et fact'!$A:$H,8,FALSE))=TRUE,VLOOKUP(LEFT('1) Import fichier Remi (coller)'!$A40,9)+0,'Clients R2'!$A:$CY,29,FALSE),VLOOKUP(VLOOKUP(LEFT('1) Import fichier Remi (coller)'!$A40,9),'Concordance client liv et fact'!$A:$H,7,FALSE)+0,'Clients R2'!$A:$CY,29,FALSE))))</f>
        <v>B 4030</v>
      </c>
      <c r="U40" t="str">
        <f>IF($A40="","",PROPER(IF(ISERROR(VLOOKUP(LEFT('1) Import fichier Remi (coller)'!$A40,9),'Concordance client liv et fact'!$A:$H,8,FALSE))=TRUE,VLOOKUP(LEFT('1) Import fichier Remi (coller)'!$A40,9)+0,'Clients R2'!$A:$CY,30,FALSE),VLOOKUP(VLOOKUP(LEFT('1) Import fichier Remi (coller)'!$A40,9),'Concordance client liv et fact'!$A:$H,7,FALSE)+0,'Clients R2'!$A:$CY,30,FALSE))))</f>
        <v xml:space="preserve">Grivegnee                     </v>
      </c>
      <c r="V40" t="str">
        <f>IF($A40="","",LEFT(UPPER(IF(ISERROR(VLOOKUP(LEFT('1) Import fichier Remi (coller)'!$A40,9),'Concordance client liv et fact'!$A:$H,8,FALSE))=TRUE,IF(VLOOKUP(LEFT('1) Import fichier Remi (coller)'!$A40,9)+0,'Clients R2'!$A:$CY,22,FALSE)=4,"NA",VLOOKUP(LEFT('1) Import fichier Remi (coller)'!$A40,9)+0,'Clients R2'!$A:$CY,3,FALSE)),IF(VLOOKUP(VLOOKUP(LEFT('1) Import fichier Remi (coller)'!$A40,9),'Concordance client liv et fact'!$A:$H,7,FALSE)+0,'Clients R2'!$A:$CY,22,FALSE)=4,"NA",VLOOKUP(VLOOKUP(LEFT('1) Import fichier Remi (coller)'!$A40,9),'Concordance client liv et fact'!$A:$H,7,FALSE)+0,'Clients R2'!$A:$CY,3,FALSE)))),2))</f>
        <v>BE</v>
      </c>
      <c r="W40" s="27"/>
      <c r="X40" s="27" t="str">
        <f>IF($A40="","",IF(ISERROR(VLOOKUP(LEFT('1) Import fichier Remi (coller)'!$A40,9),'Concordance client liv et fact'!$A:$H,8,FALSE))=TRUE,VLOOKUP(LEFT('1) Import fichier Remi (coller)'!$A40,9)+0,'Clients R2'!$A:$CY,102,FALSE),VLOOKUP(VLOOKUP(LEFT('1) Import fichier Remi (coller)'!$A40,9),'Concordance client liv et fact'!$A:$H,7,FALSE)+0,'Clients R2'!$A:$CY,102,FALSE)))</f>
        <v xml:space="preserve">marcel.houben@skynet.be                 </v>
      </c>
      <c r="Y40" t="s">
        <v>8197</v>
      </c>
      <c r="Z40" t="str">
        <f>IF(A40="","",IF(OR(H40="705099999",H40="705001002"),VLOOKUP('1) Import fichier Remi (coller)'!J40,'Analytique personnel'!$A:$B,2,FALSE),""))</f>
        <v>BMELIN</v>
      </c>
      <c r="AA40" t="str">
        <f>IF($A40="VE11","",IF(LEFT($H40,4)="7050","",IF('1) Import fichier Remi (coller)'!M40="","",'1) Import fichier Remi (coller)'!M40)))</f>
        <v/>
      </c>
      <c r="AB40" t="str">
        <f>IF($A40="VE11","",IF(LEFT($H40,4)="7050","",IF('1) Import fichier Remi (coller)'!N40="","",'1) Import fichier Remi (coller)'!N40)))</f>
        <v/>
      </c>
      <c r="AC40" t="str">
        <f>IF(A40="","",VLOOKUP(LEFT('1) Import fichier Remi (coller)'!A40,9)+0,'Concordance Client R2 BOB'!$B:$C,2,FALSE))</f>
        <v>HOUBEN</v>
      </c>
    </row>
    <row r="41" spans="1:29" ht="18.75" customHeight="1" x14ac:dyDescent="0.25">
      <c r="A41" t="str">
        <f>IF('1) Import fichier Remi (coller)'!D41="","",'1) Import fichier Remi (coller)'!D41)</f>
        <v>VE11</v>
      </c>
      <c r="B41">
        <f>IF(A41="","",YEAR('1) Import fichier Remi (coller)'!F41))</f>
        <v>2026</v>
      </c>
      <c r="C41">
        <f>IF(A41="","",MONTH('1) Import fichier Remi (coller)'!F41))</f>
        <v>9</v>
      </c>
      <c r="D41" s="1">
        <f>IF(A41="","",'1) Import fichier Remi (coller)'!F41)</f>
        <v>46281</v>
      </c>
      <c r="E41" s="1">
        <f>IF(A41="","",'1) Import fichier Remi (coller)'!G41)</f>
        <v>46281</v>
      </c>
      <c r="F41" t="str">
        <f>IF(A41="","",'1) Import fichier Remi (coller)'!E41)</f>
        <v>11261531</v>
      </c>
      <c r="G41" t="str">
        <f>IF(A41="","",IF(ISERROR(VLOOKUP(LEFT('1) Import fichier Remi (coller)'!A41,9),'Concordance client liv et fact'!$A:$H,8,FALSE))=TRUE,'1) Import fichier Remi (coller)'!B41,VLOOKUP(LEFT('1) Import fichier Remi (coller)'!A41,9),'Concordance client liv et fact'!$A:$H,8,FALSE)))</f>
        <v>MAREMERCKX</v>
      </c>
      <c r="H41" t="str">
        <f>IF(A41="","",IF(ISERROR(VLOOKUP('1) Import fichier Remi (coller)'!K41&amp;" - "&amp;'1) Import fichier Remi (coller)'!L41,'Spécifique comptes'!$A:$G,1,FALSE))=TRUE,'1) Import fichier Remi (coller)'!V41,VLOOKUP('1) Import fichier Remi (coller)'!K41&amp;" - "&amp;'1) Import fichier Remi (coller)'!L41,'Spécifique comptes'!$A:$G,IF(LEFT('2) BOB compta (completer-forcer'!F41,2)="11",4,IF(LEFT('2) BOB compta (completer-forcer'!F41,2)="12",5,IF(LEFT('2) BOB compta (completer-forcer'!F41,2)="13",6,IF(LEFT('2) BOB compta (completer-forcer'!F41,2)="15",7,"Erreur Compte")))),FALSE)))</f>
        <v>705099999</v>
      </c>
      <c r="I41" s="26" t="str">
        <f>IF(A41="","",IF(H41="70100000",'1) Import fichier Remi (coller)'!J41,'1) Import fichier Remi (coller)'!U41))</f>
        <v>+++003/7261/53148+++</v>
      </c>
      <c r="J41" s="26" t="str">
        <f>IF(A41="","",'1) Import fichier Remi (coller)'!U41)</f>
        <v>+++003/7261/53148+++</v>
      </c>
      <c r="K41" s="17">
        <f t="shared" si="1"/>
        <v>60.5</v>
      </c>
      <c r="L41" t="str">
        <f t="shared" si="2"/>
        <v>V</v>
      </c>
      <c r="M41" s="14">
        <f>IF(A41="","",'1) Import fichier Remi (coller)'!S41)</f>
        <v>21</v>
      </c>
      <c r="N41" s="17">
        <f>IF($A41="","",IF(OR($A41="NCV",$A41="NC15"),-'1) Import fichier Remi (coller)'!R41,'1) Import fichier Remi (coller)'!R41))</f>
        <v>50</v>
      </c>
      <c r="O41" s="17">
        <f>IF($A41="","",IF(OR($A41="NCV",$A41="NC15"),-'1) Import fichier Remi (coller)'!T41,'1) Import fichier Remi (coller)'!T41))</f>
        <v>10.5</v>
      </c>
      <c r="R41" t="str">
        <f>IF($A41="","",IF(ISERROR(VLOOKUP(LEFT('1) Import fichier Remi (coller)'!$A41,9),'Concordance client liv et fact'!$A:$H,8,FALSE))=TRUE,VLOOKUP(LEFT('1) Import fichier Remi (coller)'!$A41,9)+0,'Clients R2'!$A:$CY,2,FALSE),VLOOKUP(VLOOKUP(LEFT('1) Import fichier Remi (coller)'!$A41,9),'Concordance client liv et fact'!$A:$H,7,FALSE)+0,'Clients R2'!$A:$CY,2,FALSE)))</f>
        <v>MARECHAL ET MERCKX SPRL</v>
      </c>
      <c r="S41" t="str">
        <f>IF($A41="","",PROPER(IF(ISERROR(VLOOKUP(LEFT('1) Import fichier Remi (coller)'!$A41,9),'Concordance client liv et fact'!$A:$H,8,FALSE))=TRUE,VLOOKUP(LEFT('1) Import fichier Remi (coller)'!$A41,9)+0,'Clients R2'!$A:$CY,27,FALSE),VLOOKUP(VLOOKUP(LEFT('1) Import fichier Remi (coller)'!$A41,9),'Concordance client liv et fact'!$A:$H,7,FALSE)+0,'Clients R2'!$A:$CY,27,FALSE))))</f>
        <v xml:space="preserve">Rue Jules De Laminne 1             </v>
      </c>
      <c r="T41" t="str">
        <f>IF($A41="","",LEFT(UPPER(IF(ISERROR(VLOOKUP(LEFT('1) Import fichier Remi (coller)'!$A41,9),'Concordance client liv et fact'!$A:$H,8,FALSE))=TRUE,VLOOKUP(LEFT('1) Import fichier Remi (coller)'!$A41,9)+0,'Clients R2'!$A:$CY,28,FALSE),VLOOKUP(VLOOKUP(LEFT('1) Import fichier Remi (coller)'!$A41,9),'Concordance client liv et fact'!$A:$H,7,FALSE)+0,'Clients R2'!$A:$CY,28,FALSE))),2)&amp;UPPER(IF(ISERROR(VLOOKUP(LEFT('1) Import fichier Remi (coller)'!$A41,9),'Concordance client liv et fact'!$A:$H,8,FALSE))=TRUE,VLOOKUP(LEFT('1) Import fichier Remi (coller)'!$A41,9)+0,'Clients R2'!$A:$CY,29,FALSE),VLOOKUP(VLOOKUP(LEFT('1) Import fichier Remi (coller)'!$A41,9),'Concordance client liv et fact'!$A:$H,7,FALSE)+0,'Clients R2'!$A:$CY,29,FALSE))))</f>
        <v>B 4000</v>
      </c>
      <c r="U41" t="str">
        <f>IF($A41="","",PROPER(IF(ISERROR(VLOOKUP(LEFT('1) Import fichier Remi (coller)'!$A41,9),'Concordance client liv et fact'!$A:$H,8,FALSE))=TRUE,VLOOKUP(LEFT('1) Import fichier Remi (coller)'!$A41,9)+0,'Clients R2'!$A:$CY,30,FALSE),VLOOKUP(VLOOKUP(LEFT('1) Import fichier Remi (coller)'!$A41,9),'Concordance client liv et fact'!$A:$H,7,FALSE)+0,'Clients R2'!$A:$CY,30,FALSE))))</f>
        <v xml:space="preserve">Liege                         </v>
      </c>
      <c r="V41" t="str">
        <f>IF($A41="","",LEFT(UPPER(IF(ISERROR(VLOOKUP(LEFT('1) Import fichier Remi (coller)'!$A41,9),'Concordance client liv et fact'!$A:$H,8,FALSE))=TRUE,IF(VLOOKUP(LEFT('1) Import fichier Remi (coller)'!$A41,9)+0,'Clients R2'!$A:$CY,22,FALSE)=4,"NA",VLOOKUP(LEFT('1) Import fichier Remi (coller)'!$A41,9)+0,'Clients R2'!$A:$CY,3,FALSE)),IF(VLOOKUP(VLOOKUP(LEFT('1) Import fichier Remi (coller)'!$A41,9),'Concordance client liv et fact'!$A:$H,7,FALSE)+0,'Clients R2'!$A:$CY,22,FALSE)=4,"NA",VLOOKUP(VLOOKUP(LEFT('1) Import fichier Remi (coller)'!$A41,9),'Concordance client liv et fact'!$A:$H,7,FALSE)+0,'Clients R2'!$A:$CY,3,FALSE)))),2))</f>
        <v>BE</v>
      </c>
      <c r="W41" s="27"/>
      <c r="X41" s="27" t="str">
        <f>IF($A41="","",IF(ISERROR(VLOOKUP(LEFT('1) Import fichier Remi (coller)'!$A41,9),'Concordance client liv et fact'!$A:$H,8,FALSE))=TRUE,VLOOKUP(LEFT('1) Import fichier Remi (coller)'!$A41,9)+0,'Clients R2'!$A:$CY,102,FALSE),VLOOKUP(VLOOKUP(LEFT('1) Import fichier Remi (coller)'!$A41,9),'Concordance client liv et fact'!$A:$H,7,FALSE)+0,'Clients R2'!$A:$CY,102,FALSE)))</f>
        <v xml:space="preserve">marechal@marechal-wenric-vito.be        </v>
      </c>
      <c r="Y41" t="s">
        <v>8197</v>
      </c>
      <c r="Z41" t="str">
        <f>IF(A41="","",IF(OR(H41="705099999",H41="705001002"),VLOOKUP('1) Import fichier Remi (coller)'!J41,'Analytique personnel'!$A:$B,2,FALSE),""))</f>
        <v>MFONTAINE</v>
      </c>
      <c r="AA41" t="str">
        <f>IF($A41="VE11","",IF(LEFT($H41,4)="7050","",IF('1) Import fichier Remi (coller)'!M41="","",'1) Import fichier Remi (coller)'!M41)))</f>
        <v/>
      </c>
      <c r="AB41" t="str">
        <f>IF($A41="VE11","",IF(LEFT($H41,4)="7050","",IF('1) Import fichier Remi (coller)'!N41="","",'1) Import fichier Remi (coller)'!N41)))</f>
        <v/>
      </c>
      <c r="AC41" t="str">
        <f>IF(A41="","",VLOOKUP(LEFT('1) Import fichier Remi (coller)'!A41,9)+0,'Concordance Client R2 BOB'!$B:$C,2,FALSE))</f>
        <v>MAREMERCKX</v>
      </c>
    </row>
    <row r="42" spans="1:29" ht="18.75" customHeight="1" x14ac:dyDescent="0.25">
      <c r="A42" t="str">
        <f>IF('1) Import fichier Remi (coller)'!D42="","",'1) Import fichier Remi (coller)'!D42)</f>
        <v>VE11</v>
      </c>
      <c r="B42">
        <f>IF(A42="","",YEAR('1) Import fichier Remi (coller)'!F42))</f>
        <v>2026</v>
      </c>
      <c r="C42">
        <f>IF(A42="","",MONTH('1) Import fichier Remi (coller)'!F42))</f>
        <v>9</v>
      </c>
      <c r="D42" s="1">
        <f>IF(A42="","",'1) Import fichier Remi (coller)'!F42)</f>
        <v>46281</v>
      </c>
      <c r="E42" s="1">
        <f>IF(A42="","",'1) Import fichier Remi (coller)'!G42)</f>
        <v>46281</v>
      </c>
      <c r="F42" t="str">
        <f>IF(A42="","",'1) Import fichier Remi (coller)'!E42)</f>
        <v>11261532</v>
      </c>
      <c r="G42" t="str">
        <f>IF(A42="","",IF(ISERROR(VLOOKUP(LEFT('1) Import fichier Remi (coller)'!A42,9),'Concordance client liv et fact'!$A:$H,8,FALSE))=TRUE,'1) Import fichier Remi (coller)'!B42,VLOOKUP(LEFT('1) Import fichier Remi (coller)'!A42,9),'Concordance client liv et fact'!$A:$H,8,FALSE)))</f>
        <v>AXIOMESA</v>
      </c>
      <c r="H42" t="str">
        <f>IF(A42="","",IF(ISERROR(VLOOKUP('1) Import fichier Remi (coller)'!K42&amp;" - "&amp;'1) Import fichier Remi (coller)'!L42,'Spécifique comptes'!$A:$G,1,FALSE))=TRUE,'1) Import fichier Remi (coller)'!V42,VLOOKUP('1) Import fichier Remi (coller)'!K42&amp;" - "&amp;'1) Import fichier Remi (coller)'!L42,'Spécifique comptes'!$A:$G,IF(LEFT('2) BOB compta (completer-forcer'!F42,2)="11",4,IF(LEFT('2) BOB compta (completer-forcer'!F42,2)="12",5,IF(LEFT('2) BOB compta (completer-forcer'!F42,2)="13",6,IF(LEFT('2) BOB compta (completer-forcer'!F42,2)="15",7,"Erreur Compte")))),FALSE)))</f>
        <v>705099999</v>
      </c>
      <c r="I42" s="26" t="str">
        <f>IF(A42="","",IF(H42="70100000",'1) Import fichier Remi (coller)'!J42,'1) Import fichier Remi (coller)'!U42))</f>
        <v>+++003/7261/53249+++</v>
      </c>
      <c r="J42" s="26" t="str">
        <f>IF(A42="","",'1) Import fichier Remi (coller)'!U42)</f>
        <v>+++003/7261/53249+++</v>
      </c>
      <c r="K42" s="17">
        <f t="shared" si="1"/>
        <v>28.740000000000002</v>
      </c>
      <c r="L42" t="str">
        <f t="shared" si="2"/>
        <v>V</v>
      </c>
      <c r="M42" s="14">
        <f>IF(A42="","",'1) Import fichier Remi (coller)'!S42)</f>
        <v>21</v>
      </c>
      <c r="N42" s="17">
        <f>IF($A42="","",IF(OR($A42="NCV",$A42="NC15"),-'1) Import fichier Remi (coller)'!R42,'1) Import fichier Remi (coller)'!R42))</f>
        <v>23.75</v>
      </c>
      <c r="O42" s="17">
        <f>IF($A42="","",IF(OR($A42="NCV",$A42="NC15"),-'1) Import fichier Remi (coller)'!T42,'1) Import fichier Remi (coller)'!T42))</f>
        <v>4.99</v>
      </c>
      <c r="R42" t="str">
        <f>IF($A42="","",IF(ISERROR(VLOOKUP(LEFT('1) Import fichier Remi (coller)'!$A42,9),'Concordance client liv et fact'!$A:$H,8,FALSE))=TRUE,VLOOKUP(LEFT('1) Import fichier Remi (coller)'!$A42,9)+0,'Clients R2'!$A:$CY,2,FALSE),VLOOKUP(VLOOKUP(LEFT('1) Import fichier Remi (coller)'!$A42,9),'Concordance client liv et fact'!$A:$H,7,FALSE)+0,'Clients R2'!$A:$CY,2,FALSE)))</f>
        <v xml:space="preserve">KLEVER SRL             </v>
      </c>
      <c r="S42" t="str">
        <f>IF($A42="","",PROPER(IF(ISERROR(VLOOKUP(LEFT('1) Import fichier Remi (coller)'!$A42,9),'Concordance client liv et fact'!$A:$H,8,FALSE))=TRUE,VLOOKUP(LEFT('1) Import fichier Remi (coller)'!$A42,9)+0,'Clients R2'!$A:$CY,27,FALSE),VLOOKUP(VLOOKUP(LEFT('1) Import fichier Remi (coller)'!$A42,9),'Concordance client liv et fact'!$A:$H,7,FALSE)+0,'Clients R2'!$A:$CY,27,FALSE))))</f>
        <v xml:space="preserve">Avenue Du Parc 40                  </v>
      </c>
      <c r="T42" t="str">
        <f>IF($A42="","",LEFT(UPPER(IF(ISERROR(VLOOKUP(LEFT('1) Import fichier Remi (coller)'!$A42,9),'Concordance client liv et fact'!$A:$H,8,FALSE))=TRUE,VLOOKUP(LEFT('1) Import fichier Remi (coller)'!$A42,9)+0,'Clients R2'!$A:$CY,28,FALSE),VLOOKUP(VLOOKUP(LEFT('1) Import fichier Remi (coller)'!$A42,9),'Concordance client liv et fact'!$A:$H,7,FALSE)+0,'Clients R2'!$A:$CY,28,FALSE))),2)&amp;UPPER(IF(ISERROR(VLOOKUP(LEFT('1) Import fichier Remi (coller)'!$A42,9),'Concordance client liv et fact'!$A:$H,8,FALSE))=TRUE,VLOOKUP(LEFT('1) Import fichier Remi (coller)'!$A42,9)+0,'Clients R2'!$A:$CY,29,FALSE),VLOOKUP(VLOOKUP(LEFT('1) Import fichier Remi (coller)'!$A42,9),'Concordance client liv et fact'!$A:$H,7,FALSE)+0,'Clients R2'!$A:$CY,29,FALSE))))</f>
        <v>B 4650</v>
      </c>
      <c r="U42" t="str">
        <f>IF($A42="","",PROPER(IF(ISERROR(VLOOKUP(LEFT('1) Import fichier Remi (coller)'!$A42,9),'Concordance client liv et fact'!$A:$H,8,FALSE))=TRUE,VLOOKUP(LEFT('1) Import fichier Remi (coller)'!$A42,9)+0,'Clients R2'!$A:$CY,30,FALSE),VLOOKUP(VLOOKUP(LEFT('1) Import fichier Remi (coller)'!$A42,9),'Concordance client liv et fact'!$A:$H,7,FALSE)+0,'Clients R2'!$A:$CY,30,FALSE))))</f>
        <v xml:space="preserve">Herve                         </v>
      </c>
      <c r="V42" t="str">
        <f>IF($A42="","",LEFT(UPPER(IF(ISERROR(VLOOKUP(LEFT('1) Import fichier Remi (coller)'!$A42,9),'Concordance client liv et fact'!$A:$H,8,FALSE))=TRUE,IF(VLOOKUP(LEFT('1) Import fichier Remi (coller)'!$A42,9)+0,'Clients R2'!$A:$CY,22,FALSE)=4,"NA",VLOOKUP(LEFT('1) Import fichier Remi (coller)'!$A42,9)+0,'Clients R2'!$A:$CY,3,FALSE)),IF(VLOOKUP(VLOOKUP(LEFT('1) Import fichier Remi (coller)'!$A42,9),'Concordance client liv et fact'!$A:$H,7,FALSE)+0,'Clients R2'!$A:$CY,22,FALSE)=4,"NA",VLOOKUP(VLOOKUP(LEFT('1) Import fichier Remi (coller)'!$A42,9),'Concordance client liv et fact'!$A:$H,7,FALSE)+0,'Clients R2'!$A:$CY,3,FALSE)))),2))</f>
        <v>BE</v>
      </c>
      <c r="W42" s="27"/>
      <c r="X42" s="27" t="str">
        <f>IF($A42="","",IF(ISERROR(VLOOKUP(LEFT('1) Import fichier Remi (coller)'!$A42,9),'Concordance client liv et fact'!$A:$H,8,FALSE))=TRUE,VLOOKUP(LEFT('1) Import fichier Remi (coller)'!$A42,9)+0,'Clients R2'!$A:$CY,102,FALSE),VLOOKUP(VLOOKUP(LEFT('1) Import fichier Remi (coller)'!$A42,9),'Concordance client liv et fact'!$A:$H,7,FALSE)+0,'Clients R2'!$A:$CY,102,FALSE)))</f>
        <v xml:space="preserve">brice.reul@klever.be                    </v>
      </c>
      <c r="Y42" t="s">
        <v>8197</v>
      </c>
      <c r="Z42" t="str">
        <f>IF(A42="","",IF(OR(H42="705099999",H42="705001002"),VLOOKUP('1) Import fichier Remi (coller)'!J42,'Analytique personnel'!$A:$B,2,FALSE),""))</f>
        <v>GDUHOUX</v>
      </c>
      <c r="AA42" t="str">
        <f>IF($A42="VE11","",IF(LEFT($H42,4)="7050","",IF('1) Import fichier Remi (coller)'!M42="","",'1) Import fichier Remi (coller)'!M42)))</f>
        <v/>
      </c>
      <c r="AB42" t="str">
        <f>IF($A42="VE11","",IF(LEFT($H42,4)="7050","",IF('1) Import fichier Remi (coller)'!N42="","",'1) Import fichier Remi (coller)'!N42)))</f>
        <v/>
      </c>
      <c r="AC42" t="str">
        <f>IF(A42="","",VLOOKUP(LEFT('1) Import fichier Remi (coller)'!A42,9)+0,'Concordance Client R2 BOB'!$B:$C,2,FALSE))</f>
        <v>AXIOMESA</v>
      </c>
    </row>
    <row r="43" spans="1:29" ht="18.75" customHeight="1" x14ac:dyDescent="0.25">
      <c r="A43" t="str">
        <f>IF('1) Import fichier Remi (coller)'!D43="","",'1) Import fichier Remi (coller)'!D43)</f>
        <v>VE11</v>
      </c>
      <c r="B43">
        <f>IF(A43="","",YEAR('1) Import fichier Remi (coller)'!F43))</f>
        <v>2026</v>
      </c>
      <c r="C43">
        <f>IF(A43="","",MONTH('1) Import fichier Remi (coller)'!F43))</f>
        <v>9</v>
      </c>
      <c r="D43" s="1">
        <f>IF(A43="","",'1) Import fichier Remi (coller)'!F43)</f>
        <v>46281</v>
      </c>
      <c r="E43" s="1">
        <f>IF(A43="","",'1) Import fichier Remi (coller)'!G43)</f>
        <v>46281</v>
      </c>
      <c r="F43" t="str">
        <f>IF(A43="","",'1) Import fichier Remi (coller)'!E43)</f>
        <v>11261533</v>
      </c>
      <c r="G43" t="str">
        <f>IF(A43="","",IF(ISERROR(VLOOKUP(LEFT('1) Import fichier Remi (coller)'!A43,9),'Concordance client liv et fact'!$A:$H,8,FALSE))=TRUE,'1) Import fichier Remi (coller)'!B43,VLOOKUP(LEFT('1) Import fichier Remi (coller)'!A43,9),'Concordance client liv et fact'!$A:$H,8,FALSE)))</f>
        <v>DECUBECONS</v>
      </c>
      <c r="H43" t="str">
        <f>IF(A43="","",IF(ISERROR(VLOOKUP('1) Import fichier Remi (coller)'!K43&amp;" - "&amp;'1) Import fichier Remi (coller)'!L43,'Spécifique comptes'!$A:$G,1,FALSE))=TRUE,'1) Import fichier Remi (coller)'!V43,VLOOKUP('1) Import fichier Remi (coller)'!K43&amp;" - "&amp;'1) Import fichier Remi (coller)'!L43,'Spécifique comptes'!$A:$G,IF(LEFT('2) BOB compta (completer-forcer'!F43,2)="11",4,IF(LEFT('2) BOB compta (completer-forcer'!F43,2)="12",5,IF(LEFT('2) BOB compta (completer-forcer'!F43,2)="13",6,IF(LEFT('2) BOB compta (completer-forcer'!F43,2)="15",7,"Erreur Compte")))),FALSE)))</f>
        <v>705099999</v>
      </c>
      <c r="I43" s="26" t="str">
        <f>IF(A43="","",IF(H43="70100000",'1) Import fichier Remi (coller)'!J43,'1) Import fichier Remi (coller)'!U43))</f>
        <v>+++003/7261/53350+++</v>
      </c>
      <c r="J43" s="26" t="str">
        <f>IF(A43="","",'1) Import fichier Remi (coller)'!U43)</f>
        <v>+++003/7261/53350+++</v>
      </c>
      <c r="K43" s="17">
        <f t="shared" si="1"/>
        <v>28.740000000000002</v>
      </c>
      <c r="L43" t="str">
        <f t="shared" si="2"/>
        <v>V</v>
      </c>
      <c r="M43" s="14">
        <f>IF(A43="","",'1) Import fichier Remi (coller)'!S43)</f>
        <v>21</v>
      </c>
      <c r="N43" s="17">
        <f>IF($A43="","",IF(OR($A43="NCV",$A43="NC15"),-'1) Import fichier Remi (coller)'!R43,'1) Import fichier Remi (coller)'!R43))</f>
        <v>23.75</v>
      </c>
      <c r="O43" s="17">
        <f>IF($A43="","",IF(OR($A43="NCV",$A43="NC15"),-'1) Import fichier Remi (coller)'!T43,'1) Import fichier Remi (coller)'!T43))</f>
        <v>4.99</v>
      </c>
      <c r="R43" t="str">
        <f>IF($A43="","",IF(ISERROR(VLOOKUP(LEFT('1) Import fichier Remi (coller)'!$A43,9),'Concordance client liv et fact'!$A:$H,8,FALSE))=TRUE,VLOOKUP(LEFT('1) Import fichier Remi (coller)'!$A43,9)+0,'Clients R2'!$A:$CY,2,FALSE),VLOOKUP(VLOOKUP(LEFT('1) Import fichier Remi (coller)'!$A43,9),'Concordance client liv et fact'!$A:$H,7,FALSE)+0,'Clients R2'!$A:$CY,2,FALSE)))</f>
        <v xml:space="preserve">DECUBE CONSULT SRL     </v>
      </c>
      <c r="S43" t="str">
        <f>IF($A43="","",PROPER(IF(ISERROR(VLOOKUP(LEFT('1) Import fichier Remi (coller)'!$A43,9),'Concordance client liv et fact'!$A:$H,8,FALSE))=TRUE,VLOOKUP(LEFT('1) Import fichier Remi (coller)'!$A43,9)+0,'Clients R2'!$A:$CY,27,FALSE),VLOOKUP(VLOOKUP(LEFT('1) Import fichier Remi (coller)'!$A43,9),'Concordance client liv et fact'!$A:$H,7,FALSE)+0,'Clients R2'!$A:$CY,27,FALSE))))</f>
        <v xml:space="preserve">Quai Du Pont Canal (S-B) 3         </v>
      </c>
      <c r="T43" t="str">
        <f>IF($A43="","",LEFT(UPPER(IF(ISERROR(VLOOKUP(LEFT('1) Import fichier Remi (coller)'!$A43,9),'Concordance client liv et fact'!$A:$H,8,FALSE))=TRUE,VLOOKUP(LEFT('1) Import fichier Remi (coller)'!$A43,9)+0,'Clients R2'!$A:$CY,28,FALSE),VLOOKUP(VLOOKUP(LEFT('1) Import fichier Remi (coller)'!$A43,9),'Concordance client liv et fact'!$A:$H,7,FALSE)+0,'Clients R2'!$A:$CY,28,FALSE))),2)&amp;UPPER(IF(ISERROR(VLOOKUP(LEFT('1) Import fichier Remi (coller)'!$A43,9),'Concordance client liv et fact'!$A:$H,8,FALSE))=TRUE,VLOOKUP(LEFT('1) Import fichier Remi (coller)'!$A43,9)+0,'Clients R2'!$A:$CY,29,FALSE),VLOOKUP(VLOOKUP(LEFT('1) Import fichier Remi (coller)'!$A43,9),'Concordance client liv et fact'!$A:$H,7,FALSE)+0,'Clients R2'!$A:$CY,29,FALSE))))</f>
        <v>B 7110</v>
      </c>
      <c r="U43" t="str">
        <f>IF($A43="","",PROPER(IF(ISERROR(VLOOKUP(LEFT('1) Import fichier Remi (coller)'!$A43,9),'Concordance client liv et fact'!$A:$H,8,FALSE))=TRUE,VLOOKUP(LEFT('1) Import fichier Remi (coller)'!$A43,9)+0,'Clients R2'!$A:$CY,30,FALSE),VLOOKUP(VLOOKUP(LEFT('1) Import fichier Remi (coller)'!$A43,9),'Concordance client liv et fact'!$A:$H,7,FALSE)+0,'Clients R2'!$A:$CY,30,FALSE))))</f>
        <v xml:space="preserve">La Louviere                   </v>
      </c>
      <c r="V43" t="str">
        <f>IF($A43="","",LEFT(UPPER(IF(ISERROR(VLOOKUP(LEFT('1) Import fichier Remi (coller)'!$A43,9),'Concordance client liv et fact'!$A:$H,8,FALSE))=TRUE,IF(VLOOKUP(LEFT('1) Import fichier Remi (coller)'!$A43,9)+0,'Clients R2'!$A:$CY,22,FALSE)=4,"NA",VLOOKUP(LEFT('1) Import fichier Remi (coller)'!$A43,9)+0,'Clients R2'!$A:$CY,3,FALSE)),IF(VLOOKUP(VLOOKUP(LEFT('1) Import fichier Remi (coller)'!$A43,9),'Concordance client liv et fact'!$A:$H,7,FALSE)+0,'Clients R2'!$A:$CY,22,FALSE)=4,"NA",VLOOKUP(VLOOKUP(LEFT('1) Import fichier Remi (coller)'!$A43,9),'Concordance client liv et fact'!$A:$H,7,FALSE)+0,'Clients R2'!$A:$CY,3,FALSE)))),2))</f>
        <v>BE</v>
      </c>
      <c r="W43" s="27"/>
      <c r="X43" s="27" t="str">
        <f>IF($A43="","",IF(ISERROR(VLOOKUP(LEFT('1) Import fichier Remi (coller)'!$A43,9),'Concordance client liv et fact'!$A:$H,8,FALSE))=TRUE,VLOOKUP(LEFT('1) Import fichier Remi (coller)'!$A43,9)+0,'Clients R2'!$A:$CY,102,FALSE),VLOOKUP(VLOOKUP(LEFT('1) Import fichier Remi (coller)'!$A43,9),'Concordance client liv et fact'!$A:$H,7,FALSE)+0,'Clients R2'!$A:$CY,102,FALSE)))</f>
        <v xml:space="preserve">compta@decube.be                        </v>
      </c>
      <c r="Y43" t="s">
        <v>8197</v>
      </c>
      <c r="Z43" t="str">
        <f>IF(A43="","",IF(OR(H43="705099999",H43="705001002"),VLOOKUP('1) Import fichier Remi (coller)'!J43,'Analytique personnel'!$A:$B,2,FALSE),""))</f>
        <v>BMELIN</v>
      </c>
      <c r="AA43" t="str">
        <f>IF($A43="VE11","",IF(LEFT($H43,4)="7050","",IF('1) Import fichier Remi (coller)'!M43="","",'1) Import fichier Remi (coller)'!M43)))</f>
        <v/>
      </c>
      <c r="AB43" t="str">
        <f>IF($A43="VE11","",IF(LEFT($H43,4)="7050","",IF('1) Import fichier Remi (coller)'!N43="","",'1) Import fichier Remi (coller)'!N43)))</f>
        <v/>
      </c>
      <c r="AC43" t="str">
        <f>IF(A43="","",VLOOKUP(LEFT('1) Import fichier Remi (coller)'!A43,9)+0,'Concordance Client R2 BOB'!$B:$C,2,FALSE))</f>
        <v>DECUBECONS</v>
      </c>
    </row>
    <row r="44" spans="1:29" ht="18.75" customHeight="1" x14ac:dyDescent="0.25">
      <c r="A44" t="str">
        <f>IF('1) Import fichier Remi (coller)'!D44="","",'1) Import fichier Remi (coller)'!D44)</f>
        <v>VE11</v>
      </c>
      <c r="B44">
        <f>IF(A44="","",YEAR('1) Import fichier Remi (coller)'!F44))</f>
        <v>2026</v>
      </c>
      <c r="C44">
        <f>IF(A44="","",MONTH('1) Import fichier Remi (coller)'!F44))</f>
        <v>9</v>
      </c>
      <c r="D44" s="1">
        <f>IF(A44="","",'1) Import fichier Remi (coller)'!F44)</f>
        <v>46281</v>
      </c>
      <c r="E44" s="1">
        <f>IF(A44="","",'1) Import fichier Remi (coller)'!G44)</f>
        <v>46281</v>
      </c>
      <c r="F44" t="str">
        <f>IF(A44="","",'1) Import fichier Remi (coller)'!E44)</f>
        <v>11261534</v>
      </c>
      <c r="G44" t="str">
        <f>IF(A44="","",IF(ISERROR(VLOOKUP(LEFT('1) Import fichier Remi (coller)'!A44,9),'Concordance client liv et fact'!$A:$H,8,FALSE))=TRUE,'1) Import fichier Remi (coller)'!B44,VLOOKUP(LEFT('1) Import fichier Remi (coller)'!A44,9),'Concordance client liv et fact'!$A:$H,8,FALSE)))</f>
        <v>BELGIUMCOA</v>
      </c>
      <c r="H44" t="str">
        <f>IF(A44="","",IF(ISERROR(VLOOKUP('1) Import fichier Remi (coller)'!K44&amp;" - "&amp;'1) Import fichier Remi (coller)'!L44,'Spécifique comptes'!$A:$G,1,FALSE))=TRUE,'1) Import fichier Remi (coller)'!V44,VLOOKUP('1) Import fichier Remi (coller)'!K44&amp;" - "&amp;'1) Import fichier Remi (coller)'!L44,'Spécifique comptes'!$A:$G,IF(LEFT('2) BOB compta (completer-forcer'!F44,2)="11",4,IF(LEFT('2) BOB compta (completer-forcer'!F44,2)="12",5,IF(LEFT('2) BOB compta (completer-forcer'!F44,2)="13",6,IF(LEFT('2) BOB compta (completer-forcer'!F44,2)="15",7,"Erreur Compte")))),FALSE)))</f>
        <v>704100000</v>
      </c>
      <c r="I44" s="26" t="str">
        <f>IF(A44="","",IF(H44="70100000",'1) Import fichier Remi (coller)'!J44,'1) Import fichier Remi (coller)'!U44))</f>
        <v>+++003/7261/53451+++</v>
      </c>
      <c r="J44" s="26" t="str">
        <f>IF(A44="","",'1) Import fichier Remi (coller)'!U44)</f>
        <v>+++003/7261/53451+++</v>
      </c>
      <c r="K44" s="17">
        <f t="shared" si="1"/>
        <v>1617.36</v>
      </c>
      <c r="L44" t="str">
        <f t="shared" si="2"/>
        <v>V</v>
      </c>
      <c r="M44" s="14">
        <f>IF(A44="","",'1) Import fichier Remi (coller)'!S44)</f>
        <v>21</v>
      </c>
      <c r="N44" s="17">
        <f>IF($A44="","",IF(OR($A44="NCV",$A44="NC15"),-'1) Import fichier Remi (coller)'!R44,'1) Import fichier Remi (coller)'!R44))</f>
        <v>86.8</v>
      </c>
      <c r="O44" s="17">
        <f>IF($A44="","",IF(OR($A44="NCV",$A44="NC15"),-'1) Import fichier Remi (coller)'!T44,'1) Import fichier Remi (coller)'!T44))</f>
        <v>18.23</v>
      </c>
      <c r="R44" t="str">
        <f>IF($A44="","",IF(ISERROR(VLOOKUP(LEFT('1) Import fichier Remi (coller)'!$A44,9),'Concordance client liv et fact'!$A:$H,8,FALSE))=TRUE,VLOOKUP(LEFT('1) Import fichier Remi (coller)'!$A44,9)+0,'Clients R2'!$A:$CY,2,FALSE),VLOOKUP(VLOOKUP(LEFT('1) Import fichier Remi (coller)'!$A44,9),'Concordance client liv et fact'!$A:$H,7,FALSE)+0,'Clients R2'!$A:$CY,2,FALSE)))</f>
        <v xml:space="preserve">BELGIUM COATINGS SA    </v>
      </c>
      <c r="S44" t="str">
        <f>IF($A44="","",PROPER(IF(ISERROR(VLOOKUP(LEFT('1) Import fichier Remi (coller)'!$A44,9),'Concordance client liv et fact'!$A:$H,8,FALSE))=TRUE,VLOOKUP(LEFT('1) Import fichier Remi (coller)'!$A44,9)+0,'Clients R2'!$A:$CY,27,FALSE),VLOOKUP(VLOOKUP(LEFT('1) Import fichier Remi (coller)'!$A44,9),'Concordance client liv et fact'!$A:$H,7,FALSE)+0,'Clients R2'!$A:$CY,27,FALSE))))</f>
        <v xml:space="preserve">Rue Des Nouvelles Technologies 4   </v>
      </c>
      <c r="T44" t="str">
        <f>IF($A44="","",LEFT(UPPER(IF(ISERROR(VLOOKUP(LEFT('1) Import fichier Remi (coller)'!$A44,9),'Concordance client liv et fact'!$A:$H,8,FALSE))=TRUE,VLOOKUP(LEFT('1) Import fichier Remi (coller)'!$A44,9)+0,'Clients R2'!$A:$CY,28,FALSE),VLOOKUP(VLOOKUP(LEFT('1) Import fichier Remi (coller)'!$A44,9),'Concordance client liv et fact'!$A:$H,7,FALSE)+0,'Clients R2'!$A:$CY,28,FALSE))),2)&amp;UPPER(IF(ISERROR(VLOOKUP(LEFT('1) Import fichier Remi (coller)'!$A44,9),'Concordance client liv et fact'!$A:$H,8,FALSE))=TRUE,VLOOKUP(LEFT('1) Import fichier Remi (coller)'!$A44,9)+0,'Clients R2'!$A:$CY,29,FALSE),VLOOKUP(VLOOKUP(LEFT('1) Import fichier Remi (coller)'!$A44,9),'Concordance client liv et fact'!$A:$H,7,FALSE)+0,'Clients R2'!$A:$CY,29,FALSE))))</f>
        <v>B 4460</v>
      </c>
      <c r="U44" t="str">
        <f>IF($A44="","",PROPER(IF(ISERROR(VLOOKUP(LEFT('1) Import fichier Remi (coller)'!$A44,9),'Concordance client liv et fact'!$A:$H,8,FALSE))=TRUE,VLOOKUP(LEFT('1) Import fichier Remi (coller)'!$A44,9)+0,'Clients R2'!$A:$CY,30,FALSE),VLOOKUP(VLOOKUP(LEFT('1) Import fichier Remi (coller)'!$A44,9),'Concordance client liv et fact'!$A:$H,7,FALSE)+0,'Clients R2'!$A:$CY,30,FALSE))))</f>
        <v xml:space="preserve">Grace-Hollogne                </v>
      </c>
      <c r="V44" t="str">
        <f>IF($A44="","",LEFT(UPPER(IF(ISERROR(VLOOKUP(LEFT('1) Import fichier Remi (coller)'!$A44,9),'Concordance client liv et fact'!$A:$H,8,FALSE))=TRUE,IF(VLOOKUP(LEFT('1) Import fichier Remi (coller)'!$A44,9)+0,'Clients R2'!$A:$CY,22,FALSE)=4,"NA",VLOOKUP(LEFT('1) Import fichier Remi (coller)'!$A44,9)+0,'Clients R2'!$A:$CY,3,FALSE)),IF(VLOOKUP(VLOOKUP(LEFT('1) Import fichier Remi (coller)'!$A44,9),'Concordance client liv et fact'!$A:$H,7,FALSE)+0,'Clients R2'!$A:$CY,22,FALSE)=4,"NA",VLOOKUP(VLOOKUP(LEFT('1) Import fichier Remi (coller)'!$A44,9),'Concordance client liv et fact'!$A:$H,7,FALSE)+0,'Clients R2'!$A:$CY,3,FALSE)))),2))</f>
        <v>BE</v>
      </c>
      <c r="W44" s="27"/>
      <c r="X44" s="27" t="str">
        <f>IF($A44="","",IF(ISERROR(VLOOKUP(LEFT('1) Import fichier Remi (coller)'!$A44,9),'Concordance client liv et fact'!$A:$H,8,FALSE))=TRUE,VLOOKUP(LEFT('1) Import fichier Remi (coller)'!$A44,9)+0,'Clients R2'!$A:$CY,102,FALSE),VLOOKUP(VLOOKUP(LEFT('1) Import fichier Remi (coller)'!$A44,9),'Concordance client liv et fact'!$A:$H,7,FALSE)+0,'Clients R2'!$A:$CY,102,FALSE)))</f>
        <v xml:space="preserve">compta@decube.be                        </v>
      </c>
      <c r="Y44" t="s">
        <v>8197</v>
      </c>
      <c r="Z44" t="str">
        <f>IF(A44="","",IF(OR(H44="705099999",H44="705001002"),VLOOKUP('1) Import fichier Remi (coller)'!J44,'Analytique personnel'!$A:$B,2,FALSE),""))</f>
        <v/>
      </c>
      <c r="AA44" t="str">
        <f>IF($A44="VE11","",IF(LEFT($H44,4)="7050","",IF('1) Import fichier Remi (coller)'!M44="","",'1) Import fichier Remi (coller)'!M44)))</f>
        <v/>
      </c>
      <c r="AB44" t="str">
        <f>IF($A44="VE11","",IF(LEFT($H44,4)="7050","",IF('1) Import fichier Remi (coller)'!N44="","",'1) Import fichier Remi (coller)'!N44)))</f>
        <v/>
      </c>
      <c r="AC44" t="str">
        <f>IF(A44="","",VLOOKUP(LEFT('1) Import fichier Remi (coller)'!A44,9)+0,'Concordance Client R2 BOB'!$B:$C,2,FALSE))</f>
        <v>BELGIUMCOA</v>
      </c>
    </row>
    <row r="45" spans="1:29" ht="18.75" customHeight="1" x14ac:dyDescent="0.25">
      <c r="A45" t="str">
        <f>IF('1) Import fichier Remi (coller)'!D45="","",'1) Import fichier Remi (coller)'!D45)</f>
        <v>VE11</v>
      </c>
      <c r="B45">
        <f>IF(A45="","",YEAR('1) Import fichier Remi (coller)'!F45))</f>
        <v>2026</v>
      </c>
      <c r="C45">
        <f>IF(A45="","",MONTH('1) Import fichier Remi (coller)'!F45))</f>
        <v>9</v>
      </c>
      <c r="D45" s="1">
        <f>IF(A45="","",'1) Import fichier Remi (coller)'!F45)</f>
        <v>46281</v>
      </c>
      <c r="E45" s="1">
        <f>IF(A45="","",'1) Import fichier Remi (coller)'!G45)</f>
        <v>46281</v>
      </c>
      <c r="F45" t="str">
        <f>IF(A45="","",'1) Import fichier Remi (coller)'!E45)</f>
        <v>11261534</v>
      </c>
      <c r="G45" t="str">
        <f>IF(A45="","",IF(ISERROR(VLOOKUP(LEFT('1) Import fichier Remi (coller)'!A45,9),'Concordance client liv et fact'!$A:$H,8,FALSE))=TRUE,'1) Import fichier Remi (coller)'!B45,VLOOKUP(LEFT('1) Import fichier Remi (coller)'!A45,9),'Concordance client liv et fact'!$A:$H,8,FALSE)))</f>
        <v>BELGIUMCOA</v>
      </c>
      <c r="H45" t="str">
        <f>IF(A45="","",IF(ISERROR(VLOOKUP('1) Import fichier Remi (coller)'!K45&amp;" - "&amp;'1) Import fichier Remi (coller)'!L45,'Spécifique comptes'!$A:$G,1,FALSE))=TRUE,'1) Import fichier Remi (coller)'!V45,VLOOKUP('1) Import fichier Remi (coller)'!K45&amp;" - "&amp;'1) Import fichier Remi (coller)'!L45,'Spécifique comptes'!$A:$G,IF(LEFT('2) BOB compta (completer-forcer'!F45,2)="11",4,IF(LEFT('2) BOB compta (completer-forcer'!F45,2)="12",5,IF(LEFT('2) BOB compta (completer-forcer'!F45,2)="13",6,IF(LEFT('2) BOB compta (completer-forcer'!F45,2)="15",7,"Erreur Compte")))),FALSE)))</f>
        <v>704100000</v>
      </c>
      <c r="I45" s="26" t="str">
        <f>IF(A45="","",IF(H45="70100000",'1) Import fichier Remi (coller)'!J45,'1) Import fichier Remi (coller)'!U45))</f>
        <v>+++003/7261/53451+++</v>
      </c>
      <c r="J45" s="26" t="str">
        <f>IF(A45="","",'1) Import fichier Remi (coller)'!U45)</f>
        <v>+++003/7261/53451+++</v>
      </c>
      <c r="K45" s="17">
        <f t="shared" si="1"/>
        <v>1617.36</v>
      </c>
      <c r="L45" t="str">
        <f t="shared" si="2"/>
        <v>V</v>
      </c>
      <c r="M45" s="14">
        <f>IF(A45="","",'1) Import fichier Remi (coller)'!S45)</f>
        <v>21</v>
      </c>
      <c r="N45" s="17">
        <f>IF($A45="","",IF(OR($A45="NCV",$A45="NC15"),-'1) Import fichier Remi (coller)'!R45,'1) Import fichier Remi (coller)'!R45))</f>
        <v>1249.8599999999999</v>
      </c>
      <c r="O45" s="17">
        <f>IF($A45="","",IF(OR($A45="NCV",$A45="NC15"),-'1) Import fichier Remi (coller)'!T45,'1) Import fichier Remi (coller)'!T45))</f>
        <v>262.47000000000003</v>
      </c>
      <c r="R45" t="str">
        <f>IF($A45="","",IF(ISERROR(VLOOKUP(LEFT('1) Import fichier Remi (coller)'!$A45,9),'Concordance client liv et fact'!$A:$H,8,FALSE))=TRUE,VLOOKUP(LEFT('1) Import fichier Remi (coller)'!$A45,9)+0,'Clients R2'!$A:$CY,2,FALSE),VLOOKUP(VLOOKUP(LEFT('1) Import fichier Remi (coller)'!$A45,9),'Concordance client liv et fact'!$A:$H,7,FALSE)+0,'Clients R2'!$A:$CY,2,FALSE)))</f>
        <v xml:space="preserve">BELGIUM COATINGS SA    </v>
      </c>
      <c r="S45" t="str">
        <f>IF($A45="","",PROPER(IF(ISERROR(VLOOKUP(LEFT('1) Import fichier Remi (coller)'!$A45,9),'Concordance client liv et fact'!$A:$H,8,FALSE))=TRUE,VLOOKUP(LEFT('1) Import fichier Remi (coller)'!$A45,9)+0,'Clients R2'!$A:$CY,27,FALSE),VLOOKUP(VLOOKUP(LEFT('1) Import fichier Remi (coller)'!$A45,9),'Concordance client liv et fact'!$A:$H,7,FALSE)+0,'Clients R2'!$A:$CY,27,FALSE))))</f>
        <v xml:space="preserve">Rue Des Nouvelles Technologies 4   </v>
      </c>
      <c r="T45" t="str">
        <f>IF($A45="","",LEFT(UPPER(IF(ISERROR(VLOOKUP(LEFT('1) Import fichier Remi (coller)'!$A45,9),'Concordance client liv et fact'!$A:$H,8,FALSE))=TRUE,VLOOKUP(LEFT('1) Import fichier Remi (coller)'!$A45,9)+0,'Clients R2'!$A:$CY,28,FALSE),VLOOKUP(VLOOKUP(LEFT('1) Import fichier Remi (coller)'!$A45,9),'Concordance client liv et fact'!$A:$H,7,FALSE)+0,'Clients R2'!$A:$CY,28,FALSE))),2)&amp;UPPER(IF(ISERROR(VLOOKUP(LEFT('1) Import fichier Remi (coller)'!$A45,9),'Concordance client liv et fact'!$A:$H,8,FALSE))=TRUE,VLOOKUP(LEFT('1) Import fichier Remi (coller)'!$A45,9)+0,'Clients R2'!$A:$CY,29,FALSE),VLOOKUP(VLOOKUP(LEFT('1) Import fichier Remi (coller)'!$A45,9),'Concordance client liv et fact'!$A:$H,7,FALSE)+0,'Clients R2'!$A:$CY,29,FALSE))))</f>
        <v>B 4460</v>
      </c>
      <c r="U45" t="str">
        <f>IF($A45="","",PROPER(IF(ISERROR(VLOOKUP(LEFT('1) Import fichier Remi (coller)'!$A45,9),'Concordance client liv et fact'!$A:$H,8,FALSE))=TRUE,VLOOKUP(LEFT('1) Import fichier Remi (coller)'!$A45,9)+0,'Clients R2'!$A:$CY,30,FALSE),VLOOKUP(VLOOKUP(LEFT('1) Import fichier Remi (coller)'!$A45,9),'Concordance client liv et fact'!$A:$H,7,FALSE)+0,'Clients R2'!$A:$CY,30,FALSE))))</f>
        <v xml:space="preserve">Grace-Hollogne                </v>
      </c>
      <c r="V45" t="str">
        <f>IF($A45="","",LEFT(UPPER(IF(ISERROR(VLOOKUP(LEFT('1) Import fichier Remi (coller)'!$A45,9),'Concordance client liv et fact'!$A:$H,8,FALSE))=TRUE,IF(VLOOKUP(LEFT('1) Import fichier Remi (coller)'!$A45,9)+0,'Clients R2'!$A:$CY,22,FALSE)=4,"NA",VLOOKUP(LEFT('1) Import fichier Remi (coller)'!$A45,9)+0,'Clients R2'!$A:$CY,3,FALSE)),IF(VLOOKUP(VLOOKUP(LEFT('1) Import fichier Remi (coller)'!$A45,9),'Concordance client liv et fact'!$A:$H,7,FALSE)+0,'Clients R2'!$A:$CY,22,FALSE)=4,"NA",VLOOKUP(VLOOKUP(LEFT('1) Import fichier Remi (coller)'!$A45,9),'Concordance client liv et fact'!$A:$H,7,FALSE)+0,'Clients R2'!$A:$CY,3,FALSE)))),2))</f>
        <v>BE</v>
      </c>
      <c r="W45" s="27"/>
      <c r="X45" s="27" t="str">
        <f>IF($A45="","",IF(ISERROR(VLOOKUP(LEFT('1) Import fichier Remi (coller)'!$A45,9),'Concordance client liv et fact'!$A:$H,8,FALSE))=TRUE,VLOOKUP(LEFT('1) Import fichier Remi (coller)'!$A45,9)+0,'Clients R2'!$A:$CY,102,FALSE),VLOOKUP(VLOOKUP(LEFT('1) Import fichier Remi (coller)'!$A45,9),'Concordance client liv et fact'!$A:$H,7,FALSE)+0,'Clients R2'!$A:$CY,102,FALSE)))</f>
        <v xml:space="preserve">compta@decube.be                        </v>
      </c>
      <c r="Y45" t="s">
        <v>8197</v>
      </c>
      <c r="Z45" t="str">
        <f>IF(A45="","",IF(OR(H45="705099999",H45="705001002"),VLOOKUP('1) Import fichier Remi (coller)'!J45,'Analytique personnel'!$A:$B,2,FALSE),""))</f>
        <v/>
      </c>
      <c r="AA45" t="str">
        <f>IF($A45="VE11","",IF(LEFT($H45,4)="7050","",IF('1) Import fichier Remi (coller)'!M45="","",'1) Import fichier Remi (coller)'!M45)))</f>
        <v/>
      </c>
      <c r="AB45" t="str">
        <f>IF($A45="VE11","",IF(LEFT($H45,4)="7050","",IF('1) Import fichier Remi (coller)'!N45="","",'1) Import fichier Remi (coller)'!N45)))</f>
        <v/>
      </c>
      <c r="AC45" t="str">
        <f>IF(A45="","",VLOOKUP(LEFT('1) Import fichier Remi (coller)'!A45,9)+0,'Concordance Client R2 BOB'!$B:$C,2,FALSE))</f>
        <v>BELGIUMCOA</v>
      </c>
    </row>
    <row r="46" spans="1:29" ht="18.75" customHeight="1" x14ac:dyDescent="0.25">
      <c r="A46" t="str">
        <f>IF('1) Import fichier Remi (coller)'!D46="","",'1) Import fichier Remi (coller)'!D46)</f>
        <v>VE11</v>
      </c>
      <c r="B46">
        <f>IF(A46="","",YEAR('1) Import fichier Remi (coller)'!F46))</f>
        <v>2026</v>
      </c>
      <c r="C46">
        <f>IF(A46="","",MONTH('1) Import fichier Remi (coller)'!F46))</f>
        <v>9</v>
      </c>
      <c r="D46" s="1">
        <f>IF(A46="","",'1) Import fichier Remi (coller)'!F46)</f>
        <v>46281</v>
      </c>
      <c r="E46" s="1">
        <f>IF(A46="","",'1) Import fichier Remi (coller)'!G46)</f>
        <v>46281</v>
      </c>
      <c r="F46" t="str">
        <f>IF(A46="","",'1) Import fichier Remi (coller)'!E46)</f>
        <v>11261535</v>
      </c>
      <c r="G46" t="str">
        <f>IF(A46="","",IF(ISERROR(VLOOKUP(LEFT('1) Import fichier Remi (coller)'!A46,9),'Concordance client liv et fact'!$A:$H,8,FALSE))=TRUE,'1) Import fichier Remi (coller)'!B46,VLOOKUP(LEFT('1) Import fichier Remi (coller)'!A46,9),'Concordance client liv et fact'!$A:$H,8,FALSE)))</f>
        <v>LIBRAMANAG</v>
      </c>
      <c r="H46" t="str">
        <f>IF(A46="","",IF(ISERROR(VLOOKUP('1) Import fichier Remi (coller)'!K46&amp;" - "&amp;'1) Import fichier Remi (coller)'!L46,'Spécifique comptes'!$A:$G,1,FALSE))=TRUE,'1) Import fichier Remi (coller)'!V46,VLOOKUP('1) Import fichier Remi (coller)'!K46&amp;" - "&amp;'1) Import fichier Remi (coller)'!L46,'Spécifique comptes'!$A:$G,IF(LEFT('2) BOB compta (completer-forcer'!F46,2)="11",4,IF(LEFT('2) BOB compta (completer-forcer'!F46,2)="12",5,IF(LEFT('2) BOB compta (completer-forcer'!F46,2)="13",6,IF(LEFT('2) BOB compta (completer-forcer'!F46,2)="15",7,"Erreur Compte")))),FALSE)))</f>
        <v>705099999</v>
      </c>
      <c r="I46" s="26" t="str">
        <f>IF(A46="","",IF(H46="70100000",'1) Import fichier Remi (coller)'!J46,'1) Import fichier Remi (coller)'!U46))</f>
        <v>+++003/7261/53552+++</v>
      </c>
      <c r="J46" s="26" t="str">
        <f>IF(A46="","",'1) Import fichier Remi (coller)'!U46)</f>
        <v>+++003/7261/53552+++</v>
      </c>
      <c r="K46" s="17">
        <f t="shared" si="1"/>
        <v>28.740000000000002</v>
      </c>
      <c r="L46" t="str">
        <f t="shared" si="2"/>
        <v>V</v>
      </c>
      <c r="M46" s="14">
        <f>IF(A46="","",'1) Import fichier Remi (coller)'!S46)</f>
        <v>21</v>
      </c>
      <c r="N46" s="17">
        <f>IF($A46="","",IF(OR($A46="NCV",$A46="NC15"),-'1) Import fichier Remi (coller)'!R46,'1) Import fichier Remi (coller)'!R46))</f>
        <v>23.75</v>
      </c>
      <c r="O46" s="17">
        <f>IF($A46="","",IF(OR($A46="NCV",$A46="NC15"),-'1) Import fichier Remi (coller)'!T46,'1) Import fichier Remi (coller)'!T46))</f>
        <v>4.99</v>
      </c>
      <c r="R46" t="str">
        <f>IF($A46="","",IF(ISERROR(VLOOKUP(LEFT('1) Import fichier Remi (coller)'!$A46,9),'Concordance client liv et fact'!$A:$H,8,FALSE))=TRUE,VLOOKUP(LEFT('1) Import fichier Remi (coller)'!$A46,9)+0,'Clients R2'!$A:$CY,2,FALSE),VLOOKUP(VLOOKUP(LEFT('1) Import fichier Remi (coller)'!$A46,9),'Concordance client liv et fact'!$A:$H,7,FALSE)+0,'Clients R2'!$A:$CY,2,FALSE)))</f>
        <v xml:space="preserve">LIBRA MANAGEMENT       </v>
      </c>
      <c r="S46" t="str">
        <f>IF($A46="","",PROPER(IF(ISERROR(VLOOKUP(LEFT('1) Import fichier Remi (coller)'!$A46,9),'Concordance client liv et fact'!$A:$H,8,FALSE))=TRUE,VLOOKUP(LEFT('1) Import fichier Remi (coller)'!$A46,9)+0,'Clients R2'!$A:$CY,27,FALSE),VLOOKUP(VLOOKUP(LEFT('1) Import fichier Remi (coller)'!$A46,9),'Concordance client liv et fact'!$A:$H,7,FALSE)+0,'Clients R2'!$A:$CY,27,FALSE))))</f>
        <v xml:space="preserve">Rue Des Anglais 6A                 </v>
      </c>
      <c r="T46" t="str">
        <f>IF($A46="","",LEFT(UPPER(IF(ISERROR(VLOOKUP(LEFT('1) Import fichier Remi (coller)'!$A46,9),'Concordance client liv et fact'!$A:$H,8,FALSE))=TRUE,VLOOKUP(LEFT('1) Import fichier Remi (coller)'!$A46,9)+0,'Clients R2'!$A:$CY,28,FALSE),VLOOKUP(VLOOKUP(LEFT('1) Import fichier Remi (coller)'!$A46,9),'Concordance client liv et fact'!$A:$H,7,FALSE)+0,'Clients R2'!$A:$CY,28,FALSE))),2)&amp;UPPER(IF(ISERROR(VLOOKUP(LEFT('1) Import fichier Remi (coller)'!$A46,9),'Concordance client liv et fact'!$A:$H,8,FALSE))=TRUE,VLOOKUP(LEFT('1) Import fichier Remi (coller)'!$A46,9)+0,'Clients R2'!$A:$CY,29,FALSE),VLOOKUP(VLOOKUP(LEFT('1) Import fichier Remi (coller)'!$A46,9),'Concordance client liv et fact'!$A:$H,7,FALSE)+0,'Clients R2'!$A:$CY,29,FALSE))))</f>
        <v>B 4430</v>
      </c>
      <c r="U46" t="str">
        <f>IF($A46="","",PROPER(IF(ISERROR(VLOOKUP(LEFT('1) Import fichier Remi (coller)'!$A46,9),'Concordance client liv et fact'!$A:$H,8,FALSE))=TRUE,VLOOKUP(LEFT('1) Import fichier Remi (coller)'!$A46,9)+0,'Clients R2'!$A:$CY,30,FALSE),VLOOKUP(VLOOKUP(LEFT('1) Import fichier Remi (coller)'!$A46,9),'Concordance client liv et fact'!$A:$H,7,FALSE)+0,'Clients R2'!$A:$CY,30,FALSE))))</f>
        <v xml:space="preserve">Ans                           </v>
      </c>
      <c r="V46" t="str">
        <f>IF($A46="","",LEFT(UPPER(IF(ISERROR(VLOOKUP(LEFT('1) Import fichier Remi (coller)'!$A46,9),'Concordance client liv et fact'!$A:$H,8,FALSE))=TRUE,IF(VLOOKUP(LEFT('1) Import fichier Remi (coller)'!$A46,9)+0,'Clients R2'!$A:$CY,22,FALSE)=4,"NA",VLOOKUP(LEFT('1) Import fichier Remi (coller)'!$A46,9)+0,'Clients R2'!$A:$CY,3,FALSE)),IF(VLOOKUP(VLOOKUP(LEFT('1) Import fichier Remi (coller)'!$A46,9),'Concordance client liv et fact'!$A:$H,7,FALSE)+0,'Clients R2'!$A:$CY,22,FALSE)=4,"NA",VLOOKUP(VLOOKUP(LEFT('1) Import fichier Remi (coller)'!$A46,9),'Concordance client liv et fact'!$A:$H,7,FALSE)+0,'Clients R2'!$A:$CY,3,FALSE)))),2))</f>
        <v>BE</v>
      </c>
      <c r="W46" s="27"/>
      <c r="X46" s="27" t="str">
        <f>IF($A46="","",IF(ISERROR(VLOOKUP(LEFT('1) Import fichier Remi (coller)'!$A46,9),'Concordance client liv et fact'!$A:$H,8,FALSE))=TRUE,VLOOKUP(LEFT('1) Import fichier Remi (coller)'!$A46,9)+0,'Clients R2'!$A:$CY,102,FALSE),VLOOKUP(VLOOKUP(LEFT('1) Import fichier Remi (coller)'!$A46,9),'Concordance client liv et fact'!$A:$H,7,FALSE)+0,'Clients R2'!$A:$CY,102,FALSE)))</f>
        <v xml:space="preserve">compta@libra.be                         </v>
      </c>
      <c r="Y46" t="s">
        <v>8197</v>
      </c>
      <c r="Z46" t="str">
        <f>IF(A46="","",IF(OR(H46="705099999",H46="705001002"),VLOOKUP('1) Import fichier Remi (coller)'!J46,'Analytique personnel'!$A:$B,2,FALSE),""))</f>
        <v>MFONTAINE</v>
      </c>
      <c r="AA46" t="str">
        <f>IF($A46="VE11","",IF(LEFT($H46,4)="7050","",IF('1) Import fichier Remi (coller)'!M46="","",'1) Import fichier Remi (coller)'!M46)))</f>
        <v/>
      </c>
      <c r="AB46" t="str">
        <f>IF($A46="VE11","",IF(LEFT($H46,4)="7050","",IF('1) Import fichier Remi (coller)'!N46="","",'1) Import fichier Remi (coller)'!N46)))</f>
        <v/>
      </c>
      <c r="AC46" t="str">
        <f>IF(A46="","",VLOOKUP(LEFT('1) Import fichier Remi (coller)'!A46,9)+0,'Concordance Client R2 BOB'!$B:$C,2,FALSE))</f>
        <v>LIBRAMANAG</v>
      </c>
    </row>
    <row r="47" spans="1:29" ht="18.75" customHeight="1" x14ac:dyDescent="0.25">
      <c r="A47" t="str">
        <f>IF('1) Import fichier Remi (coller)'!D47="","",'1) Import fichier Remi (coller)'!D47)</f>
        <v>VE11</v>
      </c>
      <c r="B47">
        <f>IF(A47="","",YEAR('1) Import fichier Remi (coller)'!F47))</f>
        <v>2026</v>
      </c>
      <c r="C47">
        <f>IF(A47="","",MONTH('1) Import fichier Remi (coller)'!F47))</f>
        <v>9</v>
      </c>
      <c r="D47" s="1">
        <f>IF(A47="","",'1) Import fichier Remi (coller)'!F47)</f>
        <v>46281</v>
      </c>
      <c r="E47" s="1">
        <f>IF(A47="","",'1) Import fichier Remi (coller)'!G47)</f>
        <v>46311</v>
      </c>
      <c r="F47" t="str">
        <f>IF(A47="","",'1) Import fichier Remi (coller)'!E47)</f>
        <v>11261536</v>
      </c>
      <c r="G47" t="str">
        <f>IF(A47="","",IF(ISERROR(VLOOKUP(LEFT('1) Import fichier Remi (coller)'!A47,9),'Concordance client liv et fact'!$A:$H,8,FALSE))=TRUE,'1) Import fichier Remi (coller)'!B47,VLOOKUP(LEFT('1) Import fichier Remi (coller)'!A47,9),'Concordance client liv et fact'!$A:$H,8,FALSE)))</f>
        <v>SOMVILLEAT</v>
      </c>
      <c r="H47" t="str">
        <f>IF(A47="","",IF(ISERROR(VLOOKUP('1) Import fichier Remi (coller)'!K47&amp;" - "&amp;'1) Import fichier Remi (coller)'!L47,'Spécifique comptes'!$A:$G,1,FALSE))=TRUE,'1) Import fichier Remi (coller)'!V47,VLOOKUP('1) Import fichier Remi (coller)'!K47&amp;" - "&amp;'1) Import fichier Remi (coller)'!L47,'Spécifique comptes'!$A:$G,IF(LEFT('2) BOB compta (completer-forcer'!F47,2)="11",4,IF(LEFT('2) BOB compta (completer-forcer'!F47,2)="12",5,IF(LEFT('2) BOB compta (completer-forcer'!F47,2)="13",6,IF(LEFT('2) BOB compta (completer-forcer'!F47,2)="15",7,"Erreur Compte")))),FALSE)))</f>
        <v>705099999</v>
      </c>
      <c r="I47" s="26" t="str">
        <f>IF(A47="","",IF(H47="70100000",'1) Import fichier Remi (coller)'!J47,'1) Import fichier Remi (coller)'!U47))</f>
        <v>+++003/7261/53653+++</v>
      </c>
      <c r="J47" s="26" t="str">
        <f>IF(A47="","",'1) Import fichier Remi (coller)'!U47)</f>
        <v>+++003/7261/53653+++</v>
      </c>
      <c r="K47" s="17">
        <f t="shared" si="1"/>
        <v>28.740000000000002</v>
      </c>
      <c r="L47" t="str">
        <f t="shared" si="2"/>
        <v>V</v>
      </c>
      <c r="M47" s="14">
        <f>IF(A47="","",'1) Import fichier Remi (coller)'!S47)</f>
        <v>21</v>
      </c>
      <c r="N47" s="17">
        <f>IF($A47="","",IF(OR($A47="NCV",$A47="NC15"),-'1) Import fichier Remi (coller)'!R47,'1) Import fichier Remi (coller)'!R47))</f>
        <v>23.75</v>
      </c>
      <c r="O47" s="17">
        <f>IF($A47="","",IF(OR($A47="NCV",$A47="NC15"),-'1) Import fichier Remi (coller)'!T47,'1) Import fichier Remi (coller)'!T47))</f>
        <v>4.99</v>
      </c>
      <c r="R47" t="str">
        <f>IF($A47="","",IF(ISERROR(VLOOKUP(LEFT('1) Import fichier Remi (coller)'!$A47,9),'Concordance client liv et fact'!$A:$H,8,FALSE))=TRUE,VLOOKUP(LEFT('1) Import fichier Remi (coller)'!$A47,9)+0,'Clients R2'!$A:$CY,2,FALSE),VLOOKUP(VLOOKUP(LEFT('1) Import fichier Remi (coller)'!$A47,9),'Concordance client liv et fact'!$A:$H,7,FALSE)+0,'Clients R2'!$A:$CY,2,FALSE)))</f>
        <v xml:space="preserve">ATELIERS SOMVILLE SA   </v>
      </c>
      <c r="S47" t="str">
        <f>IF($A47="","",PROPER(IF(ISERROR(VLOOKUP(LEFT('1) Import fichier Remi (coller)'!$A47,9),'Concordance client liv et fact'!$A:$H,8,FALSE))=TRUE,VLOOKUP(LEFT('1) Import fichier Remi (coller)'!$A47,9)+0,'Clients R2'!$A:$CY,27,FALSE),VLOOKUP(VLOOKUP(LEFT('1) Import fichier Remi (coller)'!$A47,9),'Concordance client liv et fact'!$A:$H,7,FALSE)+0,'Clients R2'!$A:$CY,27,FALSE))))</f>
        <v xml:space="preserve">190 Rue Du Centre                  </v>
      </c>
      <c r="T47" t="str">
        <f>IF($A47="","",LEFT(UPPER(IF(ISERROR(VLOOKUP(LEFT('1) Import fichier Remi (coller)'!$A47,9),'Concordance client liv et fact'!$A:$H,8,FALSE))=TRUE,VLOOKUP(LEFT('1) Import fichier Remi (coller)'!$A47,9)+0,'Clients R2'!$A:$CY,28,FALSE),VLOOKUP(VLOOKUP(LEFT('1) Import fichier Remi (coller)'!$A47,9),'Concordance client liv et fact'!$A:$H,7,FALSE)+0,'Clients R2'!$A:$CY,28,FALSE))),2)&amp;UPPER(IF(ISERROR(VLOOKUP(LEFT('1) Import fichier Remi (coller)'!$A47,9),'Concordance client liv et fact'!$A:$H,8,FALSE))=TRUE,VLOOKUP(LEFT('1) Import fichier Remi (coller)'!$A47,9)+0,'Clients R2'!$A:$CY,29,FALSE),VLOOKUP(VLOOKUP(LEFT('1) Import fichier Remi (coller)'!$A47,9),'Concordance client liv et fact'!$A:$H,7,FALSE)+0,'Clients R2'!$A:$CY,29,FALSE))))</f>
        <v>B 6250</v>
      </c>
      <c r="U47" t="str">
        <f>IF($A47="","",PROPER(IF(ISERROR(VLOOKUP(LEFT('1) Import fichier Remi (coller)'!$A47,9),'Concordance client liv et fact'!$A:$H,8,FALSE))=TRUE,VLOOKUP(LEFT('1) Import fichier Remi (coller)'!$A47,9)+0,'Clients R2'!$A:$CY,30,FALSE),VLOOKUP(VLOOKUP(LEFT('1) Import fichier Remi (coller)'!$A47,9),'Concordance client liv et fact'!$A:$H,7,FALSE)+0,'Clients R2'!$A:$CY,30,FALSE))))</f>
        <v xml:space="preserve">Aiseau-Presles                </v>
      </c>
      <c r="V47" t="str">
        <f>IF($A47="","",LEFT(UPPER(IF(ISERROR(VLOOKUP(LEFT('1) Import fichier Remi (coller)'!$A47,9),'Concordance client liv et fact'!$A:$H,8,FALSE))=TRUE,IF(VLOOKUP(LEFT('1) Import fichier Remi (coller)'!$A47,9)+0,'Clients R2'!$A:$CY,22,FALSE)=4,"NA",VLOOKUP(LEFT('1) Import fichier Remi (coller)'!$A47,9)+0,'Clients R2'!$A:$CY,3,FALSE)),IF(VLOOKUP(VLOOKUP(LEFT('1) Import fichier Remi (coller)'!$A47,9),'Concordance client liv et fact'!$A:$H,7,FALSE)+0,'Clients R2'!$A:$CY,22,FALSE)=4,"NA",VLOOKUP(VLOOKUP(LEFT('1) Import fichier Remi (coller)'!$A47,9),'Concordance client liv et fact'!$A:$H,7,FALSE)+0,'Clients R2'!$A:$CY,3,FALSE)))),2))</f>
        <v>BE</v>
      </c>
      <c r="W47" s="27"/>
      <c r="X47" s="27" t="str">
        <f>IF($A47="","",IF(ISERROR(VLOOKUP(LEFT('1) Import fichier Remi (coller)'!$A47,9),'Concordance client liv et fact'!$A:$H,8,FALSE))=TRUE,VLOOKUP(LEFT('1) Import fichier Remi (coller)'!$A47,9)+0,'Clients R2'!$A:$CY,102,FALSE),VLOOKUP(VLOOKUP(LEFT('1) Import fichier Remi (coller)'!$A47,9),'Concordance client liv et fact'!$A:$H,7,FALSE)+0,'Clients R2'!$A:$CY,102,FALSE)))</f>
        <v xml:space="preserve">g.lebrun@ateliers-somville.be           </v>
      </c>
      <c r="Y47" t="s">
        <v>8197</v>
      </c>
      <c r="Z47" t="str">
        <f>IF(A47="","",IF(OR(H47="705099999",H47="705001002"),VLOOKUP('1) Import fichier Remi (coller)'!J47,'Analytique personnel'!$A:$B,2,FALSE),""))</f>
        <v>MFONTAINE</v>
      </c>
      <c r="AA47" t="str">
        <f>IF($A47="VE11","",IF(LEFT($H47,4)="7050","",IF('1) Import fichier Remi (coller)'!M47="","",'1) Import fichier Remi (coller)'!M47)))</f>
        <v/>
      </c>
      <c r="AB47" t="str">
        <f>IF($A47="VE11","",IF(LEFT($H47,4)="7050","",IF('1) Import fichier Remi (coller)'!N47="","",'1) Import fichier Remi (coller)'!N47)))</f>
        <v/>
      </c>
      <c r="AC47" t="str">
        <f>IF(A47="","",VLOOKUP(LEFT('1) Import fichier Remi (coller)'!A47,9)+0,'Concordance Client R2 BOB'!$B:$C,2,FALSE))</f>
        <v>SOMVILLEAT</v>
      </c>
    </row>
    <row r="48" spans="1:29" ht="18.75" customHeight="1" x14ac:dyDescent="0.25">
      <c r="A48" t="str">
        <f>IF('1) Import fichier Remi (coller)'!D48="","",'1) Import fichier Remi (coller)'!D48)</f>
        <v>VE11</v>
      </c>
      <c r="B48">
        <f>IF(A48="","",YEAR('1) Import fichier Remi (coller)'!F48))</f>
        <v>2026</v>
      </c>
      <c r="C48">
        <f>IF(A48="","",MONTH('1) Import fichier Remi (coller)'!F48))</f>
        <v>9</v>
      </c>
      <c r="D48" s="1">
        <f>IF(A48="","",'1) Import fichier Remi (coller)'!F48)</f>
        <v>46281</v>
      </c>
      <c r="E48" s="1">
        <f>IF(A48="","",'1) Import fichier Remi (coller)'!G48)</f>
        <v>46281</v>
      </c>
      <c r="F48" t="str">
        <f>IF(A48="","",'1) Import fichier Remi (coller)'!E48)</f>
        <v>11261537</v>
      </c>
      <c r="G48" t="str">
        <f>IF(A48="","",IF(ISERROR(VLOOKUP(LEFT('1) Import fichier Remi (coller)'!A48,9),'Concordance client liv et fact'!$A:$H,8,FALSE))=TRUE,'1) Import fichier Remi (coller)'!B48,VLOOKUP(LEFT('1) Import fichier Remi (coller)'!A48,9),'Concordance client liv et fact'!$A:$H,8,FALSE)))</f>
        <v>IBDSOLUTI</v>
      </c>
      <c r="H48" t="str">
        <f>IF(A48="","",IF(ISERROR(VLOOKUP('1) Import fichier Remi (coller)'!K48&amp;" - "&amp;'1) Import fichier Remi (coller)'!L48,'Spécifique comptes'!$A:$G,1,FALSE))=TRUE,'1) Import fichier Remi (coller)'!V48,VLOOKUP('1) Import fichier Remi (coller)'!K48&amp;" - "&amp;'1) Import fichier Remi (coller)'!L48,'Spécifique comptes'!$A:$G,IF(LEFT('2) BOB compta (completer-forcer'!F48,2)="11",4,IF(LEFT('2) BOB compta (completer-forcer'!F48,2)="12",5,IF(LEFT('2) BOB compta (completer-forcer'!F48,2)="13",6,IF(LEFT('2) BOB compta (completer-forcer'!F48,2)="15",7,"Erreur Compte")))),FALSE)))</f>
        <v>705099999</v>
      </c>
      <c r="I48" s="26" t="str">
        <f>IF(A48="","",IF(H48="70100000",'1) Import fichier Remi (coller)'!J48,'1) Import fichier Remi (coller)'!U48))</f>
        <v>+++003/7261/53754+++</v>
      </c>
      <c r="J48" s="26" t="str">
        <f>IF(A48="","",'1) Import fichier Remi (coller)'!U48)</f>
        <v>+++003/7261/53754+++</v>
      </c>
      <c r="K48" s="17">
        <f t="shared" si="1"/>
        <v>86.210000000000008</v>
      </c>
      <c r="L48" t="str">
        <f t="shared" si="2"/>
        <v>V</v>
      </c>
      <c r="M48" s="14">
        <f>IF(A48="","",'1) Import fichier Remi (coller)'!S48)</f>
        <v>21</v>
      </c>
      <c r="N48" s="17">
        <f>IF($A48="","",IF(OR($A48="NCV",$A48="NC15"),-'1) Import fichier Remi (coller)'!R48,'1) Import fichier Remi (coller)'!R48))</f>
        <v>23.75</v>
      </c>
      <c r="O48" s="17">
        <f>IF($A48="","",IF(OR($A48="NCV",$A48="NC15"),-'1) Import fichier Remi (coller)'!T48,'1) Import fichier Remi (coller)'!T48))</f>
        <v>4.99</v>
      </c>
      <c r="R48" t="str">
        <f>IF($A48="","",IF(ISERROR(VLOOKUP(LEFT('1) Import fichier Remi (coller)'!$A48,9),'Concordance client liv et fact'!$A:$H,8,FALSE))=TRUE,VLOOKUP(LEFT('1) Import fichier Remi (coller)'!$A48,9)+0,'Clients R2'!$A:$CY,2,FALSE),VLOOKUP(VLOOKUP(LEFT('1) Import fichier Remi (coller)'!$A48,9),'Concordance client liv et fact'!$A:$H,7,FALSE)+0,'Clients R2'!$A:$CY,2,FALSE)))</f>
        <v xml:space="preserve">IBD SOLUTIONS SRL      </v>
      </c>
      <c r="S48" t="str">
        <f>IF($A48="","",PROPER(IF(ISERROR(VLOOKUP(LEFT('1) Import fichier Remi (coller)'!$A48,9),'Concordance client liv et fact'!$A:$H,8,FALSE))=TRUE,VLOOKUP(LEFT('1) Import fichier Remi (coller)'!$A48,9)+0,'Clients R2'!$A:$CY,27,FALSE),VLOOKUP(VLOOKUP(LEFT('1) Import fichier Remi (coller)'!$A48,9),'Concordance client liv et fact'!$A:$H,7,FALSE)+0,'Clients R2'!$A:$CY,27,FALSE))))</f>
        <v xml:space="preserve">Rue Hors-Chateau 33/A              </v>
      </c>
      <c r="T48" t="str">
        <f>IF($A48="","",LEFT(UPPER(IF(ISERROR(VLOOKUP(LEFT('1) Import fichier Remi (coller)'!$A48,9),'Concordance client liv et fact'!$A:$H,8,FALSE))=TRUE,VLOOKUP(LEFT('1) Import fichier Remi (coller)'!$A48,9)+0,'Clients R2'!$A:$CY,28,FALSE),VLOOKUP(VLOOKUP(LEFT('1) Import fichier Remi (coller)'!$A48,9),'Concordance client liv et fact'!$A:$H,7,FALSE)+0,'Clients R2'!$A:$CY,28,FALSE))),2)&amp;UPPER(IF(ISERROR(VLOOKUP(LEFT('1) Import fichier Remi (coller)'!$A48,9),'Concordance client liv et fact'!$A:$H,8,FALSE))=TRUE,VLOOKUP(LEFT('1) Import fichier Remi (coller)'!$A48,9)+0,'Clients R2'!$A:$CY,29,FALSE),VLOOKUP(VLOOKUP(LEFT('1) Import fichier Remi (coller)'!$A48,9),'Concordance client liv et fact'!$A:$H,7,FALSE)+0,'Clients R2'!$A:$CY,29,FALSE))))</f>
        <v>B 4000</v>
      </c>
      <c r="U48" t="str">
        <f>IF($A48="","",PROPER(IF(ISERROR(VLOOKUP(LEFT('1) Import fichier Remi (coller)'!$A48,9),'Concordance client liv et fact'!$A:$H,8,FALSE))=TRUE,VLOOKUP(LEFT('1) Import fichier Remi (coller)'!$A48,9)+0,'Clients R2'!$A:$CY,30,FALSE),VLOOKUP(VLOOKUP(LEFT('1) Import fichier Remi (coller)'!$A48,9),'Concordance client liv et fact'!$A:$H,7,FALSE)+0,'Clients R2'!$A:$CY,30,FALSE))))</f>
        <v xml:space="preserve">Liege                         </v>
      </c>
      <c r="V48" t="str">
        <f>IF($A48="","",LEFT(UPPER(IF(ISERROR(VLOOKUP(LEFT('1) Import fichier Remi (coller)'!$A48,9),'Concordance client liv et fact'!$A:$H,8,FALSE))=TRUE,IF(VLOOKUP(LEFT('1) Import fichier Remi (coller)'!$A48,9)+0,'Clients R2'!$A:$CY,22,FALSE)=4,"NA",VLOOKUP(LEFT('1) Import fichier Remi (coller)'!$A48,9)+0,'Clients R2'!$A:$CY,3,FALSE)),IF(VLOOKUP(VLOOKUP(LEFT('1) Import fichier Remi (coller)'!$A48,9),'Concordance client liv et fact'!$A:$H,7,FALSE)+0,'Clients R2'!$A:$CY,22,FALSE)=4,"NA",VLOOKUP(VLOOKUP(LEFT('1) Import fichier Remi (coller)'!$A48,9),'Concordance client liv et fact'!$A:$H,7,FALSE)+0,'Clients R2'!$A:$CY,3,FALSE)))),2))</f>
        <v>BE</v>
      </c>
      <c r="W48" s="27"/>
      <c r="X48" s="27" t="str">
        <f>IF($A48="","",IF(ISERROR(VLOOKUP(LEFT('1) Import fichier Remi (coller)'!$A48,9),'Concordance client liv et fact'!$A:$H,8,FALSE))=TRUE,VLOOKUP(LEFT('1) Import fichier Remi (coller)'!$A48,9)+0,'Clients R2'!$A:$CY,102,FALSE),VLOOKUP(VLOOKUP(LEFT('1) Import fichier Remi (coller)'!$A48,9),'Concordance client liv et fact'!$A:$H,7,FALSE)+0,'Clients R2'!$A:$CY,102,FALSE)))</f>
        <v xml:space="preserve">finance@ibdsolutions.eu                 </v>
      </c>
      <c r="Y48" t="s">
        <v>8197</v>
      </c>
      <c r="Z48" t="str">
        <f>IF(A48="","",IF(OR(H48="705099999",H48="705001002"),VLOOKUP('1) Import fichier Remi (coller)'!J48,'Analytique personnel'!$A:$B,2,FALSE),""))</f>
        <v>BMELIN</v>
      </c>
      <c r="AA48" t="str">
        <f>IF($A48="VE11","",IF(LEFT($H48,4)="7050","",IF('1) Import fichier Remi (coller)'!M48="","",'1) Import fichier Remi (coller)'!M48)))</f>
        <v/>
      </c>
      <c r="AB48" t="str">
        <f>IF($A48="VE11","",IF(LEFT($H48,4)="7050","",IF('1) Import fichier Remi (coller)'!N48="","",'1) Import fichier Remi (coller)'!N48)))</f>
        <v/>
      </c>
      <c r="AC48" t="str">
        <f>IF(A48="","",VLOOKUP(LEFT('1) Import fichier Remi (coller)'!A48,9)+0,'Concordance Client R2 BOB'!$B:$C,2,FALSE))</f>
        <v>IBDSOLUTI</v>
      </c>
    </row>
    <row r="49" spans="1:29" ht="18.75" customHeight="1" x14ac:dyDescent="0.25">
      <c r="A49" t="str">
        <f>IF('1) Import fichier Remi (coller)'!D49="","",'1) Import fichier Remi (coller)'!D49)</f>
        <v>VE11</v>
      </c>
      <c r="B49">
        <f>IF(A49="","",YEAR('1) Import fichier Remi (coller)'!F49))</f>
        <v>2026</v>
      </c>
      <c r="C49">
        <f>IF(A49="","",MONTH('1) Import fichier Remi (coller)'!F49))</f>
        <v>9</v>
      </c>
      <c r="D49" s="1">
        <f>IF(A49="","",'1) Import fichier Remi (coller)'!F49)</f>
        <v>46281</v>
      </c>
      <c r="E49" s="1">
        <f>IF(A49="","",'1) Import fichier Remi (coller)'!G49)</f>
        <v>46281</v>
      </c>
      <c r="F49" t="str">
        <f>IF(A49="","",'1) Import fichier Remi (coller)'!E49)</f>
        <v>11261537</v>
      </c>
      <c r="G49" t="str">
        <f>IF(A49="","",IF(ISERROR(VLOOKUP(LEFT('1) Import fichier Remi (coller)'!A49,9),'Concordance client liv et fact'!$A:$H,8,FALSE))=TRUE,'1) Import fichier Remi (coller)'!B49,VLOOKUP(LEFT('1) Import fichier Remi (coller)'!A49,9),'Concordance client liv et fact'!$A:$H,8,FALSE)))</f>
        <v>IBDSOLUTI</v>
      </c>
      <c r="H49" t="str">
        <f>IF(A49="","",IF(ISERROR(VLOOKUP('1) Import fichier Remi (coller)'!K49&amp;" - "&amp;'1) Import fichier Remi (coller)'!L49,'Spécifique comptes'!$A:$G,1,FALSE))=TRUE,'1) Import fichier Remi (coller)'!V49,VLOOKUP('1) Import fichier Remi (coller)'!K49&amp;" - "&amp;'1) Import fichier Remi (coller)'!L49,'Spécifique comptes'!$A:$G,IF(LEFT('2) BOB compta (completer-forcer'!F49,2)="11",4,IF(LEFT('2) BOB compta (completer-forcer'!F49,2)="12",5,IF(LEFT('2) BOB compta (completer-forcer'!F49,2)="13",6,IF(LEFT('2) BOB compta (completer-forcer'!F49,2)="15",7,"Erreur Compte")))),FALSE)))</f>
        <v>705099999</v>
      </c>
      <c r="I49" s="26" t="str">
        <f>IF(A49="","",IF(H49="70100000",'1) Import fichier Remi (coller)'!J49,'1) Import fichier Remi (coller)'!U49))</f>
        <v>+++003/7261/53754+++</v>
      </c>
      <c r="J49" s="26" t="str">
        <f>IF(A49="","",'1) Import fichier Remi (coller)'!U49)</f>
        <v>+++003/7261/53754+++</v>
      </c>
      <c r="K49" s="17">
        <f t="shared" si="1"/>
        <v>86.210000000000008</v>
      </c>
      <c r="L49" t="str">
        <f t="shared" si="2"/>
        <v>V</v>
      </c>
      <c r="M49" s="14">
        <f>IF(A49="","",'1) Import fichier Remi (coller)'!S49)</f>
        <v>21</v>
      </c>
      <c r="N49" s="17">
        <f>IF($A49="","",IF(OR($A49="NCV",$A49="NC15"),-'1) Import fichier Remi (coller)'!R49,'1) Import fichier Remi (coller)'!R49))</f>
        <v>23.75</v>
      </c>
      <c r="O49" s="17">
        <f>IF($A49="","",IF(OR($A49="NCV",$A49="NC15"),-'1) Import fichier Remi (coller)'!T49,'1) Import fichier Remi (coller)'!T49))</f>
        <v>4.99</v>
      </c>
      <c r="R49" t="str">
        <f>IF($A49="","",IF(ISERROR(VLOOKUP(LEFT('1) Import fichier Remi (coller)'!$A49,9),'Concordance client liv et fact'!$A:$H,8,FALSE))=TRUE,VLOOKUP(LEFT('1) Import fichier Remi (coller)'!$A49,9)+0,'Clients R2'!$A:$CY,2,FALSE),VLOOKUP(VLOOKUP(LEFT('1) Import fichier Remi (coller)'!$A49,9),'Concordance client liv et fact'!$A:$H,7,FALSE)+0,'Clients R2'!$A:$CY,2,FALSE)))</f>
        <v xml:space="preserve">IBD SOLUTIONS SRL      </v>
      </c>
      <c r="S49" t="str">
        <f>IF($A49="","",PROPER(IF(ISERROR(VLOOKUP(LEFT('1) Import fichier Remi (coller)'!$A49,9),'Concordance client liv et fact'!$A:$H,8,FALSE))=TRUE,VLOOKUP(LEFT('1) Import fichier Remi (coller)'!$A49,9)+0,'Clients R2'!$A:$CY,27,FALSE),VLOOKUP(VLOOKUP(LEFT('1) Import fichier Remi (coller)'!$A49,9),'Concordance client liv et fact'!$A:$H,7,FALSE)+0,'Clients R2'!$A:$CY,27,FALSE))))</f>
        <v xml:space="preserve">Rue Hors-Chateau 33/A              </v>
      </c>
      <c r="T49" t="str">
        <f>IF($A49="","",LEFT(UPPER(IF(ISERROR(VLOOKUP(LEFT('1) Import fichier Remi (coller)'!$A49,9),'Concordance client liv et fact'!$A:$H,8,FALSE))=TRUE,VLOOKUP(LEFT('1) Import fichier Remi (coller)'!$A49,9)+0,'Clients R2'!$A:$CY,28,FALSE),VLOOKUP(VLOOKUP(LEFT('1) Import fichier Remi (coller)'!$A49,9),'Concordance client liv et fact'!$A:$H,7,FALSE)+0,'Clients R2'!$A:$CY,28,FALSE))),2)&amp;UPPER(IF(ISERROR(VLOOKUP(LEFT('1) Import fichier Remi (coller)'!$A49,9),'Concordance client liv et fact'!$A:$H,8,FALSE))=TRUE,VLOOKUP(LEFT('1) Import fichier Remi (coller)'!$A49,9)+0,'Clients R2'!$A:$CY,29,FALSE),VLOOKUP(VLOOKUP(LEFT('1) Import fichier Remi (coller)'!$A49,9),'Concordance client liv et fact'!$A:$H,7,FALSE)+0,'Clients R2'!$A:$CY,29,FALSE))))</f>
        <v>B 4000</v>
      </c>
      <c r="U49" t="str">
        <f>IF($A49="","",PROPER(IF(ISERROR(VLOOKUP(LEFT('1) Import fichier Remi (coller)'!$A49,9),'Concordance client liv et fact'!$A:$H,8,FALSE))=TRUE,VLOOKUP(LEFT('1) Import fichier Remi (coller)'!$A49,9)+0,'Clients R2'!$A:$CY,30,FALSE),VLOOKUP(VLOOKUP(LEFT('1) Import fichier Remi (coller)'!$A49,9),'Concordance client liv et fact'!$A:$H,7,FALSE)+0,'Clients R2'!$A:$CY,30,FALSE))))</f>
        <v xml:space="preserve">Liege                         </v>
      </c>
      <c r="V49" t="str">
        <f>IF($A49="","",LEFT(UPPER(IF(ISERROR(VLOOKUP(LEFT('1) Import fichier Remi (coller)'!$A49,9),'Concordance client liv et fact'!$A:$H,8,FALSE))=TRUE,IF(VLOOKUP(LEFT('1) Import fichier Remi (coller)'!$A49,9)+0,'Clients R2'!$A:$CY,22,FALSE)=4,"NA",VLOOKUP(LEFT('1) Import fichier Remi (coller)'!$A49,9)+0,'Clients R2'!$A:$CY,3,FALSE)),IF(VLOOKUP(VLOOKUP(LEFT('1) Import fichier Remi (coller)'!$A49,9),'Concordance client liv et fact'!$A:$H,7,FALSE)+0,'Clients R2'!$A:$CY,22,FALSE)=4,"NA",VLOOKUP(VLOOKUP(LEFT('1) Import fichier Remi (coller)'!$A49,9),'Concordance client liv et fact'!$A:$H,7,FALSE)+0,'Clients R2'!$A:$CY,3,FALSE)))),2))</f>
        <v>BE</v>
      </c>
      <c r="W49" s="27"/>
      <c r="X49" s="27" t="str">
        <f>IF($A49="","",IF(ISERROR(VLOOKUP(LEFT('1) Import fichier Remi (coller)'!$A49,9),'Concordance client liv et fact'!$A:$H,8,FALSE))=TRUE,VLOOKUP(LEFT('1) Import fichier Remi (coller)'!$A49,9)+0,'Clients R2'!$A:$CY,102,FALSE),VLOOKUP(VLOOKUP(LEFT('1) Import fichier Remi (coller)'!$A49,9),'Concordance client liv et fact'!$A:$H,7,FALSE)+0,'Clients R2'!$A:$CY,102,FALSE)))</f>
        <v xml:space="preserve">finance@ibdsolutions.eu                 </v>
      </c>
      <c r="Y49" t="s">
        <v>8197</v>
      </c>
      <c r="Z49" t="str">
        <f>IF(A49="","",IF(OR(H49="705099999",H49="705001002"),VLOOKUP('1) Import fichier Remi (coller)'!J49,'Analytique personnel'!$A:$B,2,FALSE),""))</f>
        <v>GDUHOUX</v>
      </c>
      <c r="AA49" t="str">
        <f>IF($A49="VE11","",IF(LEFT($H49,4)="7050","",IF('1) Import fichier Remi (coller)'!M49="","",'1) Import fichier Remi (coller)'!M49)))</f>
        <v/>
      </c>
      <c r="AB49" t="str">
        <f>IF($A49="VE11","",IF(LEFT($H49,4)="7050","",IF('1) Import fichier Remi (coller)'!N49="","",'1) Import fichier Remi (coller)'!N49)))</f>
        <v/>
      </c>
      <c r="AC49" t="str">
        <f>IF(A49="","",VLOOKUP(LEFT('1) Import fichier Remi (coller)'!A49,9)+0,'Concordance Client R2 BOB'!$B:$C,2,FALSE))</f>
        <v>IBDSOLUTI</v>
      </c>
    </row>
    <row r="50" spans="1:29" ht="18.75" customHeight="1" x14ac:dyDescent="0.25">
      <c r="A50" t="str">
        <f>IF('1) Import fichier Remi (coller)'!D50="","",'1) Import fichier Remi (coller)'!D50)</f>
        <v>VE11</v>
      </c>
      <c r="B50">
        <f>IF(A50="","",YEAR('1) Import fichier Remi (coller)'!F50))</f>
        <v>2026</v>
      </c>
      <c r="C50">
        <f>IF(A50="","",MONTH('1) Import fichier Remi (coller)'!F50))</f>
        <v>9</v>
      </c>
      <c r="D50" s="1">
        <f>IF(A50="","",'1) Import fichier Remi (coller)'!F50)</f>
        <v>46281</v>
      </c>
      <c r="E50" s="1">
        <f>IF(A50="","",'1) Import fichier Remi (coller)'!G50)</f>
        <v>46281</v>
      </c>
      <c r="F50" t="str">
        <f>IF(A50="","",'1) Import fichier Remi (coller)'!E50)</f>
        <v>11261537</v>
      </c>
      <c r="G50" t="str">
        <f>IF(A50="","",IF(ISERROR(VLOOKUP(LEFT('1) Import fichier Remi (coller)'!A50,9),'Concordance client liv et fact'!$A:$H,8,FALSE))=TRUE,'1) Import fichier Remi (coller)'!B50,VLOOKUP(LEFT('1) Import fichier Remi (coller)'!A50,9),'Concordance client liv et fact'!$A:$H,8,FALSE)))</f>
        <v>IBDSOLUTI</v>
      </c>
      <c r="H50" t="str">
        <f>IF(A50="","",IF(ISERROR(VLOOKUP('1) Import fichier Remi (coller)'!K50&amp;" - "&amp;'1) Import fichier Remi (coller)'!L50,'Spécifique comptes'!$A:$G,1,FALSE))=TRUE,'1) Import fichier Remi (coller)'!V50,VLOOKUP('1) Import fichier Remi (coller)'!K50&amp;" - "&amp;'1) Import fichier Remi (coller)'!L50,'Spécifique comptes'!$A:$G,IF(LEFT('2) BOB compta (completer-forcer'!F50,2)="11",4,IF(LEFT('2) BOB compta (completer-forcer'!F50,2)="12",5,IF(LEFT('2) BOB compta (completer-forcer'!F50,2)="13",6,IF(LEFT('2) BOB compta (completer-forcer'!F50,2)="15",7,"Erreur Compte")))),FALSE)))</f>
        <v>705099999</v>
      </c>
      <c r="I50" s="26" t="str">
        <f>IF(A50="","",IF(H50="70100000",'1) Import fichier Remi (coller)'!J50,'1) Import fichier Remi (coller)'!U50))</f>
        <v>+++003/7261/53754+++</v>
      </c>
      <c r="J50" s="26" t="str">
        <f>IF(A50="","",'1) Import fichier Remi (coller)'!U50)</f>
        <v>+++003/7261/53754+++</v>
      </c>
      <c r="K50" s="17">
        <f t="shared" si="1"/>
        <v>86.210000000000008</v>
      </c>
      <c r="L50" t="str">
        <f t="shared" si="2"/>
        <v>V</v>
      </c>
      <c r="M50" s="14">
        <f>IF(A50="","",'1) Import fichier Remi (coller)'!S50)</f>
        <v>21</v>
      </c>
      <c r="N50" s="17">
        <f>IF($A50="","",IF(OR($A50="NCV",$A50="NC15"),-'1) Import fichier Remi (coller)'!R50,'1) Import fichier Remi (coller)'!R50))</f>
        <v>23.75</v>
      </c>
      <c r="O50" s="17">
        <f>IF($A50="","",IF(OR($A50="NCV",$A50="NC15"),-'1) Import fichier Remi (coller)'!T50,'1) Import fichier Remi (coller)'!T50))</f>
        <v>4.9800000000000004</v>
      </c>
      <c r="R50" t="str">
        <f>IF($A50="","",IF(ISERROR(VLOOKUP(LEFT('1) Import fichier Remi (coller)'!$A50,9),'Concordance client liv et fact'!$A:$H,8,FALSE))=TRUE,VLOOKUP(LEFT('1) Import fichier Remi (coller)'!$A50,9)+0,'Clients R2'!$A:$CY,2,FALSE),VLOOKUP(VLOOKUP(LEFT('1) Import fichier Remi (coller)'!$A50,9),'Concordance client liv et fact'!$A:$H,7,FALSE)+0,'Clients R2'!$A:$CY,2,FALSE)))</f>
        <v xml:space="preserve">IBD SOLUTIONS SRL      </v>
      </c>
      <c r="S50" t="str">
        <f>IF($A50="","",PROPER(IF(ISERROR(VLOOKUP(LEFT('1) Import fichier Remi (coller)'!$A50,9),'Concordance client liv et fact'!$A:$H,8,FALSE))=TRUE,VLOOKUP(LEFT('1) Import fichier Remi (coller)'!$A50,9)+0,'Clients R2'!$A:$CY,27,FALSE),VLOOKUP(VLOOKUP(LEFT('1) Import fichier Remi (coller)'!$A50,9),'Concordance client liv et fact'!$A:$H,7,FALSE)+0,'Clients R2'!$A:$CY,27,FALSE))))</f>
        <v xml:space="preserve">Rue Hors-Chateau 33/A              </v>
      </c>
      <c r="T50" t="str">
        <f>IF($A50="","",LEFT(UPPER(IF(ISERROR(VLOOKUP(LEFT('1) Import fichier Remi (coller)'!$A50,9),'Concordance client liv et fact'!$A:$H,8,FALSE))=TRUE,VLOOKUP(LEFT('1) Import fichier Remi (coller)'!$A50,9)+0,'Clients R2'!$A:$CY,28,FALSE),VLOOKUP(VLOOKUP(LEFT('1) Import fichier Remi (coller)'!$A50,9),'Concordance client liv et fact'!$A:$H,7,FALSE)+0,'Clients R2'!$A:$CY,28,FALSE))),2)&amp;UPPER(IF(ISERROR(VLOOKUP(LEFT('1) Import fichier Remi (coller)'!$A50,9),'Concordance client liv et fact'!$A:$H,8,FALSE))=TRUE,VLOOKUP(LEFT('1) Import fichier Remi (coller)'!$A50,9)+0,'Clients R2'!$A:$CY,29,FALSE),VLOOKUP(VLOOKUP(LEFT('1) Import fichier Remi (coller)'!$A50,9),'Concordance client liv et fact'!$A:$H,7,FALSE)+0,'Clients R2'!$A:$CY,29,FALSE))))</f>
        <v>B 4000</v>
      </c>
      <c r="U50" t="str">
        <f>IF($A50="","",PROPER(IF(ISERROR(VLOOKUP(LEFT('1) Import fichier Remi (coller)'!$A50,9),'Concordance client liv et fact'!$A:$H,8,FALSE))=TRUE,VLOOKUP(LEFT('1) Import fichier Remi (coller)'!$A50,9)+0,'Clients R2'!$A:$CY,30,FALSE),VLOOKUP(VLOOKUP(LEFT('1) Import fichier Remi (coller)'!$A50,9),'Concordance client liv et fact'!$A:$H,7,FALSE)+0,'Clients R2'!$A:$CY,30,FALSE))))</f>
        <v xml:space="preserve">Liege                         </v>
      </c>
      <c r="V50" t="str">
        <f>IF($A50="","",LEFT(UPPER(IF(ISERROR(VLOOKUP(LEFT('1) Import fichier Remi (coller)'!$A50,9),'Concordance client liv et fact'!$A:$H,8,FALSE))=TRUE,IF(VLOOKUP(LEFT('1) Import fichier Remi (coller)'!$A50,9)+0,'Clients R2'!$A:$CY,22,FALSE)=4,"NA",VLOOKUP(LEFT('1) Import fichier Remi (coller)'!$A50,9)+0,'Clients R2'!$A:$CY,3,FALSE)),IF(VLOOKUP(VLOOKUP(LEFT('1) Import fichier Remi (coller)'!$A50,9),'Concordance client liv et fact'!$A:$H,7,FALSE)+0,'Clients R2'!$A:$CY,22,FALSE)=4,"NA",VLOOKUP(VLOOKUP(LEFT('1) Import fichier Remi (coller)'!$A50,9),'Concordance client liv et fact'!$A:$H,7,FALSE)+0,'Clients R2'!$A:$CY,3,FALSE)))),2))</f>
        <v>BE</v>
      </c>
      <c r="W50" s="27"/>
      <c r="X50" s="27" t="str">
        <f>IF($A50="","",IF(ISERROR(VLOOKUP(LEFT('1) Import fichier Remi (coller)'!$A50,9),'Concordance client liv et fact'!$A:$H,8,FALSE))=TRUE,VLOOKUP(LEFT('1) Import fichier Remi (coller)'!$A50,9)+0,'Clients R2'!$A:$CY,102,FALSE),VLOOKUP(VLOOKUP(LEFT('1) Import fichier Remi (coller)'!$A50,9),'Concordance client liv et fact'!$A:$H,7,FALSE)+0,'Clients R2'!$A:$CY,102,FALSE)))</f>
        <v xml:space="preserve">finance@ibdsolutions.eu                 </v>
      </c>
      <c r="Y50" t="s">
        <v>8197</v>
      </c>
      <c r="Z50" t="str">
        <f>IF(A50="","",IF(OR(H50="705099999",H50="705001002"),VLOOKUP('1) Import fichier Remi (coller)'!J50,'Analytique personnel'!$A:$B,2,FALSE),""))</f>
        <v>BMELIN</v>
      </c>
      <c r="AA50" t="str">
        <f>IF($A50="VE11","",IF(LEFT($H50,4)="7050","",IF('1) Import fichier Remi (coller)'!M50="","",'1) Import fichier Remi (coller)'!M50)))</f>
        <v/>
      </c>
      <c r="AB50" t="str">
        <f>IF($A50="VE11","",IF(LEFT($H50,4)="7050","",IF('1) Import fichier Remi (coller)'!N50="","",'1) Import fichier Remi (coller)'!N50)))</f>
        <v/>
      </c>
      <c r="AC50" t="str">
        <f>IF(A50="","",VLOOKUP(LEFT('1) Import fichier Remi (coller)'!A50,9)+0,'Concordance Client R2 BOB'!$B:$C,2,FALSE))</f>
        <v>IBDSOLUTI</v>
      </c>
    </row>
    <row r="51" spans="1:29" ht="18.75" customHeight="1" x14ac:dyDescent="0.25">
      <c r="A51" t="str">
        <f>IF('1) Import fichier Remi (coller)'!D51="","",'1) Import fichier Remi (coller)'!D51)</f>
        <v>VE11</v>
      </c>
      <c r="B51">
        <f>IF(A51="","",YEAR('1) Import fichier Remi (coller)'!F51))</f>
        <v>2026</v>
      </c>
      <c r="C51">
        <f>IF(A51="","",MONTH('1) Import fichier Remi (coller)'!F51))</f>
        <v>9</v>
      </c>
      <c r="D51" s="1">
        <f>IF(A51="","",'1) Import fichier Remi (coller)'!F51)</f>
        <v>46281</v>
      </c>
      <c r="E51" s="1">
        <f>IF(A51="","",'1) Import fichier Remi (coller)'!G51)</f>
        <v>46281</v>
      </c>
      <c r="F51" t="str">
        <f>IF(A51="","",'1) Import fichier Remi (coller)'!E51)</f>
        <v>11261538</v>
      </c>
      <c r="G51" t="str">
        <f>IF(A51="","",IF(ISERROR(VLOOKUP(LEFT('1) Import fichier Remi (coller)'!A51,9),'Concordance client liv et fact'!$A:$H,8,FALSE))=TRUE,'1) Import fichier Remi (coller)'!B51,VLOOKUP(LEFT('1) Import fichier Remi (coller)'!A51,9),'Concordance client liv et fact'!$A:$H,8,FALSE)))</f>
        <v>MARCCV11QY</v>
      </c>
      <c r="H51" t="str">
        <f>IF(A51="","",IF(ISERROR(VLOOKUP('1) Import fichier Remi (coller)'!K51&amp;" - "&amp;'1) Import fichier Remi (coller)'!L51,'Spécifique comptes'!$A:$G,1,FALSE))=TRUE,'1) Import fichier Remi (coller)'!V51,VLOOKUP('1) Import fichier Remi (coller)'!K51&amp;" - "&amp;'1) Import fichier Remi (coller)'!L51,'Spécifique comptes'!$A:$G,IF(LEFT('2) BOB compta (completer-forcer'!F51,2)="11",4,IF(LEFT('2) BOB compta (completer-forcer'!F51,2)="12",5,IF(LEFT('2) BOB compta (completer-forcer'!F51,2)="13",6,IF(LEFT('2) BOB compta (completer-forcer'!F51,2)="15",7,"Erreur Compte")))),FALSE)))</f>
        <v>705099999</v>
      </c>
      <c r="I51" s="26" t="str">
        <f>IF(A51="","",IF(H51="70100000",'1) Import fichier Remi (coller)'!J51,'1) Import fichier Remi (coller)'!U51))</f>
        <v>+++003/7261/53855+++</v>
      </c>
      <c r="J51" s="26" t="str">
        <f>IF(A51="","",'1) Import fichier Remi (coller)'!U51)</f>
        <v>+++003/7261/53855+++</v>
      </c>
      <c r="K51" s="17">
        <f t="shared" si="1"/>
        <v>28.740000000000002</v>
      </c>
      <c r="L51" t="str">
        <f t="shared" si="2"/>
        <v>V</v>
      </c>
      <c r="M51" s="14">
        <f>IF(A51="","",'1) Import fichier Remi (coller)'!S51)</f>
        <v>21</v>
      </c>
      <c r="N51" s="17">
        <f>IF($A51="","",IF(OR($A51="NCV",$A51="NC15"),-'1) Import fichier Remi (coller)'!R51,'1) Import fichier Remi (coller)'!R51))</f>
        <v>23.75</v>
      </c>
      <c r="O51" s="17">
        <f>IF($A51="","",IF(OR($A51="NCV",$A51="NC15"),-'1) Import fichier Remi (coller)'!T51,'1) Import fichier Remi (coller)'!T51))</f>
        <v>4.99</v>
      </c>
      <c r="R51" t="str">
        <f>IF($A51="","",IF(ISERROR(VLOOKUP(LEFT('1) Import fichier Remi (coller)'!$A51,9),'Concordance client liv et fact'!$A:$H,8,FALSE))=TRUE,VLOOKUP(LEFT('1) Import fichier Remi (coller)'!$A51,9)+0,'Clients R2'!$A:$CY,2,FALSE),VLOOKUP(VLOOKUP(LEFT('1) Import fichier Remi (coller)'!$A51,9),'Concordance client liv et fact'!$A:$H,7,FALSE)+0,'Clients R2'!$A:$CY,2,FALSE)))</f>
        <v>MARCOURT RAPHAELLE</v>
      </c>
      <c r="S51" t="str">
        <f>IF($A51="","",PROPER(IF(ISERROR(VLOOKUP(LEFT('1) Import fichier Remi (coller)'!$A51,9),'Concordance client liv et fact'!$A:$H,8,FALSE))=TRUE,VLOOKUP(LEFT('1) Import fichier Remi (coller)'!$A51,9)+0,'Clients R2'!$A:$CY,27,FALSE),VLOOKUP(VLOOKUP(LEFT('1) Import fichier Remi (coller)'!$A51,9),'Concordance client liv et fact'!$A:$H,7,FALSE)+0,'Clients R2'!$A:$CY,27,FALSE))))</f>
        <v>Avenue Blonden 54/51</v>
      </c>
      <c r="T51" t="str">
        <f>IF($A51="","",LEFT(UPPER(IF(ISERROR(VLOOKUP(LEFT('1) Import fichier Remi (coller)'!$A51,9),'Concordance client liv et fact'!$A:$H,8,FALSE))=TRUE,VLOOKUP(LEFT('1) Import fichier Remi (coller)'!$A51,9)+0,'Clients R2'!$A:$CY,28,FALSE),VLOOKUP(VLOOKUP(LEFT('1) Import fichier Remi (coller)'!$A51,9),'Concordance client liv et fact'!$A:$H,7,FALSE)+0,'Clients R2'!$A:$CY,28,FALSE))),2)&amp;UPPER(IF(ISERROR(VLOOKUP(LEFT('1) Import fichier Remi (coller)'!$A51,9),'Concordance client liv et fact'!$A:$H,8,FALSE))=TRUE,VLOOKUP(LEFT('1) Import fichier Remi (coller)'!$A51,9)+0,'Clients R2'!$A:$CY,29,FALSE),VLOOKUP(VLOOKUP(LEFT('1) Import fichier Remi (coller)'!$A51,9),'Concordance client liv et fact'!$A:$H,7,FALSE)+0,'Clients R2'!$A:$CY,29,FALSE))))</f>
        <v>B 4000</v>
      </c>
      <c r="U51" t="str">
        <f>IF($A51="","",PROPER(IF(ISERROR(VLOOKUP(LEFT('1) Import fichier Remi (coller)'!$A51,9),'Concordance client liv et fact'!$A:$H,8,FALSE))=TRUE,VLOOKUP(LEFT('1) Import fichier Remi (coller)'!$A51,9)+0,'Clients R2'!$A:$CY,30,FALSE),VLOOKUP(VLOOKUP(LEFT('1) Import fichier Remi (coller)'!$A51,9),'Concordance client liv et fact'!$A:$H,7,FALSE)+0,'Clients R2'!$A:$CY,30,FALSE))))</f>
        <v xml:space="preserve">Liege                         </v>
      </c>
      <c r="V51" t="str">
        <f>IF($A51="","",LEFT(UPPER(IF(ISERROR(VLOOKUP(LEFT('1) Import fichier Remi (coller)'!$A51,9),'Concordance client liv et fact'!$A:$H,8,FALSE))=TRUE,IF(VLOOKUP(LEFT('1) Import fichier Remi (coller)'!$A51,9)+0,'Clients R2'!$A:$CY,22,FALSE)=4,"NA",VLOOKUP(LEFT('1) Import fichier Remi (coller)'!$A51,9)+0,'Clients R2'!$A:$CY,3,FALSE)),IF(VLOOKUP(VLOOKUP(LEFT('1) Import fichier Remi (coller)'!$A51,9),'Concordance client liv et fact'!$A:$H,7,FALSE)+0,'Clients R2'!$A:$CY,22,FALSE)=4,"NA",VLOOKUP(VLOOKUP(LEFT('1) Import fichier Remi (coller)'!$A51,9),'Concordance client liv et fact'!$A:$H,7,FALSE)+0,'Clients R2'!$A:$CY,3,FALSE)))),2))</f>
        <v>BE</v>
      </c>
      <c r="W51" s="27"/>
      <c r="X51" s="27">
        <f>IF($A51="","",IF(ISERROR(VLOOKUP(LEFT('1) Import fichier Remi (coller)'!$A51,9),'Concordance client liv et fact'!$A:$H,8,FALSE))=TRUE,VLOOKUP(LEFT('1) Import fichier Remi (coller)'!$A51,9)+0,'Clients R2'!$A:$CY,102,FALSE),VLOOKUP(VLOOKUP(LEFT('1) Import fichier Remi (coller)'!$A51,9),'Concordance client liv et fact'!$A:$H,7,FALSE)+0,'Clients R2'!$A:$CY,102,FALSE)))</f>
        <v>0</v>
      </c>
      <c r="Y51" t="s">
        <v>8197</v>
      </c>
      <c r="Z51" t="str">
        <f>IF(A51="","",IF(OR(H51="705099999",H51="705001002"),VLOOKUP('1) Import fichier Remi (coller)'!J51,'Analytique personnel'!$A:$B,2,FALSE),""))</f>
        <v>GDUHOUX</v>
      </c>
      <c r="AA51" t="str">
        <f>IF($A51="VE11","",IF(LEFT($H51,4)="7050","",IF('1) Import fichier Remi (coller)'!M51="","",'1) Import fichier Remi (coller)'!M51)))</f>
        <v/>
      </c>
      <c r="AB51" t="str">
        <f>IF($A51="VE11","",IF(LEFT($H51,4)="7050","",IF('1) Import fichier Remi (coller)'!N51="","",'1) Import fichier Remi (coller)'!N51)))</f>
        <v/>
      </c>
      <c r="AC51" t="str">
        <f>IF(A51="","",VLOOKUP(LEFT('1) Import fichier Remi (coller)'!A51,9)+0,'Concordance Client R2 BOB'!$B:$C,2,FALSE))</f>
        <v>MARCCV11QY</v>
      </c>
    </row>
  </sheetData>
  <autoFilter ref="A1:AC51" xr:uid="{00000000-0001-0000-0000-000000000000}"/>
  <phoneticPr fontId="7" type="noConversion"/>
  <conditionalFormatting sqref="Z1:Z1048576">
    <cfRule type="expression" dxfId="3" priority="16">
      <formula>"aaa - MODIF MANUELLE"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operator="containsText" id="{7A77B9D3-A517-4E85-88BF-AD075A09874F}">
            <xm:f>NOT(ISERROR(SEARCH('Analytique personnel'!C$2,Z1)))</xm:f>
            <xm:f>'Analytique personnel'!C$2</xm:f>
            <x14:dxf>
              <font>
                <color rgb="FF9C0006"/>
              </font>
            </x14:dxf>
          </x14:cfRule>
          <x14:cfRule type="containsText" priority="15" operator="containsText" id="{4A685CE1-FFF6-4484-8847-E54EE16DCB25}">
            <xm:f>NOT(ISERROR(SEARCH('Analytique personnel'!$B$3,Z1)))</xm:f>
            <xm:f>'Analytique personnel'!$B$3</xm:f>
            <x14:dxf>
              <font>
                <color rgb="FF9C0006"/>
              </font>
            </x14:dxf>
          </x14:cfRule>
          <xm:sqref>Z1:Z1048576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608C-CD9E-4029-B5CD-501C0DCBA75F}">
  <sheetPr>
    <tabColor rgb="FFFF0000"/>
  </sheetPr>
  <dimension ref="A1:AC774"/>
  <sheetViews>
    <sheetView workbookViewId="0">
      <pane ySplit="1" topLeftCell="A4" activePane="bottomLeft" state="frozen"/>
      <selection pane="bottomLeft" activeCell="B4" sqref="B4"/>
    </sheetView>
  </sheetViews>
  <sheetFormatPr baseColWidth="10" defaultColWidth="8.85546875" defaultRowHeight="15" x14ac:dyDescent="0.25"/>
  <cols>
    <col min="1" max="1" width="9.7109375" bestFit="1" customWidth="1"/>
    <col min="2" max="2" width="9.140625" bestFit="1" customWidth="1"/>
    <col min="3" max="3" width="7.7109375" bestFit="1" customWidth="1"/>
    <col min="4" max="4" width="14.140625" style="1" bestFit="1" customWidth="1"/>
    <col min="5" max="5" width="11.5703125" style="1" bestFit="1" customWidth="1"/>
    <col min="6" max="6" width="9" bestFit="1" customWidth="1"/>
    <col min="7" max="7" width="13.42578125" bestFit="1" customWidth="1"/>
    <col min="8" max="8" width="10.42578125" bestFit="1" customWidth="1"/>
    <col min="9" max="10" width="20.85546875" bestFit="1" customWidth="1"/>
    <col min="11" max="11" width="12.28515625" style="14" bestFit="1" customWidth="1"/>
    <col min="12" max="12" width="6.85546875" bestFit="1" customWidth="1"/>
    <col min="13" max="13" width="7.42578125" style="14" bestFit="1" customWidth="1"/>
    <col min="14" max="14" width="12.42578125" style="14" bestFit="1" customWidth="1"/>
    <col min="15" max="15" width="11.140625" style="14" bestFit="1" customWidth="1"/>
    <col min="16" max="16" width="9.28515625" bestFit="1" customWidth="1"/>
    <col min="17" max="17" width="8.28515625" bestFit="1" customWidth="1"/>
    <col min="18" max="18" width="25.7109375" bestFit="1" customWidth="1"/>
    <col min="19" max="19" width="33.5703125" bestFit="1" customWidth="1"/>
    <col min="20" max="20" width="13.7109375" bestFit="1" customWidth="1"/>
    <col min="21" max="21" width="27.28515625" bestFit="1" customWidth="1"/>
    <col min="22" max="22" width="11.140625" bestFit="1" customWidth="1"/>
    <col min="23" max="23" width="10.5703125" bestFit="1" customWidth="1"/>
    <col min="24" max="24" width="38.85546875" bestFit="1" customWidth="1"/>
    <col min="25" max="25" width="15.28515625" bestFit="1" customWidth="1"/>
    <col min="26" max="26" width="13.7109375" bestFit="1" customWidth="1"/>
    <col min="27" max="27" width="14.42578125" bestFit="1" customWidth="1"/>
    <col min="28" max="28" width="14" bestFit="1" customWidth="1"/>
    <col min="29" max="29" width="13.42578125" bestFit="1" customWidth="1"/>
  </cols>
  <sheetData>
    <row r="1" spans="1:29" s="2" customFormat="1" ht="14.25" customHeight="1" x14ac:dyDescent="0.25">
      <c r="A1" s="8" t="s">
        <v>0</v>
      </c>
      <c r="B1" s="8" t="s">
        <v>1</v>
      </c>
      <c r="C1" s="8" t="s">
        <v>2</v>
      </c>
      <c r="D1" s="10" t="s">
        <v>3</v>
      </c>
      <c r="E1" s="10" t="s">
        <v>4</v>
      </c>
      <c r="F1" s="8" t="s">
        <v>5</v>
      </c>
      <c r="G1" s="37" t="s">
        <v>452</v>
      </c>
      <c r="H1" s="8" t="s">
        <v>6</v>
      </c>
      <c r="I1" s="8" t="s">
        <v>7</v>
      </c>
      <c r="J1" s="8" t="s">
        <v>8</v>
      </c>
      <c r="K1" s="16" t="s">
        <v>9</v>
      </c>
      <c r="L1" s="8" t="s">
        <v>10</v>
      </c>
      <c r="M1" s="18" t="s">
        <v>11</v>
      </c>
      <c r="N1" s="18" t="s">
        <v>12</v>
      </c>
      <c r="O1" s="18" t="s">
        <v>13</v>
      </c>
      <c r="P1" s="8" t="s">
        <v>14</v>
      </c>
      <c r="Q1" s="8" t="s">
        <v>152</v>
      </c>
      <c r="R1" s="11" t="s">
        <v>15</v>
      </c>
      <c r="S1" s="11" t="s">
        <v>157</v>
      </c>
      <c r="T1" s="11" t="s">
        <v>153</v>
      </c>
      <c r="U1" s="11" t="s">
        <v>154</v>
      </c>
      <c r="V1" s="8" t="s">
        <v>16</v>
      </c>
      <c r="W1" s="11" t="s">
        <v>17</v>
      </c>
      <c r="X1" s="11" t="s">
        <v>8194</v>
      </c>
      <c r="Y1" s="8" t="s">
        <v>156</v>
      </c>
      <c r="Z1" s="37" t="s">
        <v>18</v>
      </c>
      <c r="AA1" s="37" t="s">
        <v>19</v>
      </c>
      <c r="AB1" s="37" t="s">
        <v>20</v>
      </c>
      <c r="AC1" s="37" t="s">
        <v>21</v>
      </c>
    </row>
    <row r="2" spans="1:29" ht="18.75" customHeight="1" x14ac:dyDescent="0.25">
      <c r="A2" t="str">
        <f>IF('1) Import fichier Remi (coller)'!D2="","",'1) Import fichier Remi (coller)'!D2)</f>
        <v>NCV</v>
      </c>
      <c r="B2">
        <f>IF(A2="","",YEAR('1) Import fichier Remi (coller)'!F2))</f>
        <v>2026</v>
      </c>
      <c r="C2">
        <f>IF(A2="","",MONTH('1) Import fichier Remi (coller)'!F2))</f>
        <v>9</v>
      </c>
      <c r="D2" s="1">
        <f>IF(A2="","",'1) Import fichier Remi (coller)'!F2)</f>
        <v>46281</v>
      </c>
      <c r="E2" s="1">
        <f>IF(A2="","",'1) Import fichier Remi (coller)'!G2)</f>
        <v>46281</v>
      </c>
      <c r="F2" t="str">
        <f>IF(A2="","",'1) Import fichier Remi (coller)'!E2)</f>
        <v>12260077</v>
      </c>
      <c r="G2" t="str">
        <f>IF(A2="","",IF(ISERROR(VLOOKUP(LEFT('1) Import fichier Remi (coller)'!A2,9),'Concordance client liv et fact'!$A:$H,8,FALSE))=TRUE,'1) Import fichier Remi (coller)'!B2,VLOOKUP(LEFT('1) Import fichier Remi (coller)'!A2,9),'Concordance client liv et fact'!$A:$H,8,FALSE)))</f>
        <v>JPSFINANCI</v>
      </c>
      <c r="H2" t="str">
        <f>IF(A2="","",IF(ISERROR(VLOOKUP('1) Import fichier Remi (coller)'!K2&amp;" - "&amp;'1) Import fichier Remi (coller)'!L2,'Spécifique comptes'!$A:$G,1,FALSE))=TRUE,'1) Import fichier Remi (coller)'!V2,VLOOKUP('1) Import fichier Remi (coller)'!K2&amp;" - "&amp;'1) Import fichier Remi (coller)'!L2,'Spécifique comptes'!$A:$G,IF(LEFT('2) BOB compta (completer-forcer'!F2,2)="11",4,IF(LEFT('2) BOB compta (completer-forcer'!F2,2)="12",5,IF(LEFT('2) BOB compta (completer-forcer'!F2,2)="13",6,IF(LEFT('2) BOB compta (completer-forcer'!F2,2)="15",7,"Erreur Compte")))),FALSE)))</f>
        <v>705099999</v>
      </c>
      <c r="I2" s="26" t="str">
        <f>IF(A2="","",IF(H2="70100000",'1) Import fichier Remi (coller)'!J2,'1) Import fichier Remi (coller)'!U2))</f>
        <v>+++003/8260/07776+++</v>
      </c>
      <c r="J2" s="26" t="str">
        <f>IF(A2="","",'1) Import fichier Remi (coller)'!U2)</f>
        <v>+++003/8260/07776+++</v>
      </c>
      <c r="K2" s="17">
        <f>IF(A2="","",SUMIFS(N:N,A:A,A2,F:F,F2)+SUMIFS(O:O,A:A,A2,F:F,F2))</f>
        <v>28.740000000000002</v>
      </c>
      <c r="L2" t="str">
        <f t="shared" ref="L2:L51" si="0">IF(A2="","",IF(LEFT(T2,1)="B","V","PRT"))</f>
        <v>V</v>
      </c>
      <c r="M2" s="14">
        <f>IF(A2="","",'1) Import fichier Remi (coller)'!S2)</f>
        <v>21</v>
      </c>
      <c r="N2" s="17">
        <f>IF($A2="","",IF(OR($A2="NCV",$A2="NC15"),-'1) Import fichier Remi (coller)'!R2,'1) Import fichier Remi (coller)'!R2))</f>
        <v>23.75</v>
      </c>
      <c r="O2" s="17">
        <f>IF($A2="","",IF(OR($A2="NCV",$A2="NC15"),-'1) Import fichier Remi (coller)'!T2,'1) Import fichier Remi (coller)'!T2))</f>
        <v>4.99</v>
      </c>
      <c r="R2" t="str">
        <f>IF($A2="","",IF(ISERROR(VLOOKUP(LEFT('1) Import fichier Remi (coller)'!$A2,9),'Concordance client liv et fact'!$A:$H,8,FALSE))=TRUE,VLOOKUP(LEFT('1) Import fichier Remi (coller)'!$A2,9)+0,'Clients R2'!$A:$CY,2,FALSE),VLOOKUP(VLOOKUP(LEFT('1) Import fichier Remi (coller)'!$A2,9),'Concordance client liv et fact'!$A:$H,7,FALSE)+0,'Clients R2'!$A:$CY,2,FALSE)))</f>
        <v xml:space="preserve">JPS FINANCIAL SRL      </v>
      </c>
      <c r="S2" t="str">
        <f>IF($A2="","",PROPER(IF(ISERROR(VLOOKUP(LEFT('1) Import fichier Remi (coller)'!$A2,9),'Concordance client liv et fact'!$A:$H,8,FALSE))=TRUE,VLOOKUP(LEFT('1) Import fichier Remi (coller)'!$A2,9)+0,'Clients R2'!$A:$CY,27,FALSE),VLOOKUP(VLOOKUP(LEFT('1) Import fichier Remi (coller)'!$A2,9),'Concordance client liv et fact'!$A:$H,7,FALSE)+0,'Clients R2'!$A:$CY,27,FALSE))))</f>
        <v xml:space="preserve">Rue De Mont 213                    </v>
      </c>
      <c r="T2" t="str">
        <f>IF($A2="","",LEFT(UPPER(IF(ISERROR(VLOOKUP(LEFT('1) Import fichier Remi (coller)'!$A2,9),'Concordance client liv et fact'!$A:$H,8,FALSE))=TRUE,VLOOKUP(LEFT('1) Import fichier Remi (coller)'!$A2,9)+0,'Clients R2'!$A:$CY,28,FALSE),VLOOKUP(VLOOKUP(LEFT('1) Import fichier Remi (coller)'!$A2,9),'Concordance client liv et fact'!$A:$H,7,FALSE)+0,'Clients R2'!$A:$CY,28,FALSE))),2)&amp;UPPER(IF(ISERROR(VLOOKUP(LEFT('1) Import fichier Remi (coller)'!$A2,9),'Concordance client liv et fact'!$A:$H,8,FALSE))=TRUE,VLOOKUP(LEFT('1) Import fichier Remi (coller)'!$A2,9)+0,'Clients R2'!$A:$CY,29,FALSE),VLOOKUP(VLOOKUP(LEFT('1) Import fichier Remi (coller)'!$A2,9),'Concordance client liv et fact'!$A:$H,7,FALSE)+0,'Clients R2'!$A:$CY,29,FALSE))))</f>
        <v>B 4820</v>
      </c>
      <c r="U2" t="str">
        <f>IF($A2="","",PROPER(IF(ISERROR(VLOOKUP(LEFT('1) Import fichier Remi (coller)'!$A2,9),'Concordance client liv et fact'!$A:$H,8,FALSE))=TRUE,VLOOKUP(LEFT('1) Import fichier Remi (coller)'!$A2,9)+0,'Clients R2'!$A:$CY,30,FALSE),VLOOKUP(VLOOKUP(LEFT('1) Import fichier Remi (coller)'!$A2,9),'Concordance client liv et fact'!$A:$H,7,FALSE)+0,'Clients R2'!$A:$CY,30,FALSE))))</f>
        <v xml:space="preserve">Dison                         </v>
      </c>
      <c r="V2" t="str">
        <f>IF($A2="","",LEFT(UPPER(IF(ISERROR(VLOOKUP(LEFT('1) Import fichier Remi (coller)'!$A2,9),'Concordance client liv et fact'!$A:$H,8,FALSE))=TRUE,IF(VLOOKUP(LEFT('1) Import fichier Remi (coller)'!$A2,9)+0,'Clients R2'!$A:$CY,22,FALSE)=4,"NA",VLOOKUP(LEFT('1) Import fichier Remi (coller)'!$A2,9)+0,'Clients R2'!$A:$CY,3,FALSE)),IF(VLOOKUP(VLOOKUP(LEFT('1) Import fichier Remi (coller)'!$A2,9),'Concordance client liv et fact'!$A:$H,7,FALSE)+0,'Clients R2'!$A:$CY,22,FALSE)=4,"NA",VLOOKUP(VLOOKUP(LEFT('1) Import fichier Remi (coller)'!$A2,9),'Concordance client liv et fact'!$A:$H,7,FALSE)+0,'Clients R2'!$A:$CY,3,FALSE)))),2))</f>
        <v>BE</v>
      </c>
      <c r="W2" s="27"/>
      <c r="X2" s="27" t="str">
        <f>IF($A2="","",IF(ISERROR(VLOOKUP(LEFT('1) Import fichier Remi (coller)'!$A2,9),'Concordance client liv et fact'!$A:$H,8,FALSE))=TRUE,VLOOKUP(LEFT('1) Import fichier Remi (coller)'!$A2,9)+0,'Clients R2'!$A:$CY,102,FALSE),VLOOKUP(VLOOKUP(LEFT('1) Import fichier Remi (coller)'!$A2,9),'Concordance client liv et fact'!$A:$H,7,FALSE)+0,'Clients R2'!$A:$CY,102,FALSE)))</f>
        <v xml:space="preserve">jpierresch@voo.be                       </v>
      </c>
      <c r="Y2" t="str">
        <f>IF(A2="","",VLOOKUP(A2,'Libellés PDF'!$A$2:$B$5,2,FALSE)&amp;F2&amp;".PDF")</f>
        <v>CC12260077.PDF</v>
      </c>
      <c r="Z2" t="str">
        <f>IF(A2="","",IF(OR(H2="705099999",H2="705001002"),VLOOKUP('1) Import fichier Remi (coller)'!J2,'Analytique personnel'!$A:$B,2,FALSE),""))</f>
        <v>LLHOMME</v>
      </c>
      <c r="AA2" t="str">
        <f>IF($A2="VE11","",IF(LEFT($H2,4)="7050","",IF('1) Import fichier Remi (coller)'!M2="","",'1) Import fichier Remi (coller)'!M2)))</f>
        <v/>
      </c>
      <c r="AB2" t="str">
        <f>IF($A2="VE11","",IF(LEFT($H2,4)="7050","",IF('1) Import fichier Remi (coller)'!N2="","",'1) Import fichier Remi (coller)'!N2)))</f>
        <v/>
      </c>
      <c r="AC2" t="str">
        <f>IF(A2="","",VLOOKUP(LEFT('1) Import fichier Remi (coller)'!A2,9)+0,'Concordance Client R2 BOB'!$B:$C,2,FALSE))</f>
        <v>JPSFINANCI</v>
      </c>
    </row>
    <row r="3" spans="1:29" ht="18.75" customHeight="1" x14ac:dyDescent="0.25">
      <c r="A3" t="str">
        <f>IF('1) Import fichier Remi (coller)'!D3="","",'1) Import fichier Remi (coller)'!D3)</f>
        <v>NCV</v>
      </c>
      <c r="B3">
        <f>IF(A3="","",YEAR('1) Import fichier Remi (coller)'!F3))</f>
        <v>2026</v>
      </c>
      <c r="C3">
        <f>IF(A3="","",MONTH('1) Import fichier Remi (coller)'!F3))</f>
        <v>9</v>
      </c>
      <c r="D3" s="1">
        <f>IF(A3="","",'1) Import fichier Remi (coller)'!F3)</f>
        <v>46281</v>
      </c>
      <c r="E3" s="1">
        <f>IF(A3="","",'1) Import fichier Remi (coller)'!G3)</f>
        <v>46281</v>
      </c>
      <c r="F3" t="str">
        <f>IF(A3="","",'1) Import fichier Remi (coller)'!E3)</f>
        <v>12260078</v>
      </c>
      <c r="G3" t="str">
        <f>IF(A3="","",IF(ISERROR(VLOOKUP(LEFT('1) Import fichier Remi (coller)'!A3,9),'Concordance client liv et fact'!$A:$H,8,FALSE))=TRUE,'1) Import fichier Remi (coller)'!B3,VLOOKUP(LEFT('1) Import fichier Remi (coller)'!A3,9),'Concordance client liv et fact'!$A:$H,8,FALSE)))</f>
        <v>IVZINC</v>
      </c>
      <c r="H3" t="str">
        <f>IF(A3="","",IF(ISERROR(VLOOKUP('1) Import fichier Remi (coller)'!K3&amp;" - "&amp;'1) Import fichier Remi (coller)'!L3,'Spécifique comptes'!$A:$G,1,FALSE))=TRUE,'1) Import fichier Remi (coller)'!V3,VLOOKUP('1) Import fichier Remi (coller)'!K3&amp;" - "&amp;'1) Import fichier Remi (coller)'!L3,'Spécifique comptes'!$A:$G,IF(LEFT('2) BOB compta (completer-forcer'!F3,2)="11",4,IF(LEFT('2) BOB compta (completer-forcer'!F3,2)="12",5,IF(LEFT('2) BOB compta (completer-forcer'!F3,2)="13",6,IF(LEFT('2) BOB compta (completer-forcer'!F3,2)="15",7,"Erreur Compte")))),FALSE)))</f>
        <v>705099999</v>
      </c>
      <c r="I3" s="26" t="str">
        <f>IF(A3="","",IF(H3="70100000",'1) Import fichier Remi (coller)'!J3,'1) Import fichier Remi (coller)'!U3))</f>
        <v>+++003/8260/07877+++</v>
      </c>
      <c r="J3" s="26" t="str">
        <f>IF(A3="","",'1) Import fichier Remi (coller)'!U3)</f>
        <v>+++003/8260/07877+++</v>
      </c>
      <c r="K3" s="17">
        <f t="shared" ref="K3:K51" si="1">IF(A3="","",SUMIFS(N:N,A:A,A3,F:F,F3)+SUMIFS(O:O,A:A,A3,F:F,F3))</f>
        <v>28.740000000000002</v>
      </c>
      <c r="L3" t="str">
        <f t="shared" si="0"/>
        <v>V</v>
      </c>
      <c r="M3" s="14">
        <f>IF(A3="","",'1) Import fichier Remi (coller)'!S3)</f>
        <v>21</v>
      </c>
      <c r="N3" s="17">
        <f>IF($A3="","",IF(OR($A3="NCV",$A3="NC15"),-'1) Import fichier Remi (coller)'!R3,'1) Import fichier Remi (coller)'!R3))</f>
        <v>23.75</v>
      </c>
      <c r="O3" s="17">
        <f>IF($A3="","",IF(OR($A3="NCV",$A3="NC15"),-'1) Import fichier Remi (coller)'!T3,'1) Import fichier Remi (coller)'!T3))</f>
        <v>4.99</v>
      </c>
      <c r="R3" t="str">
        <f>IF($A3="","",IF(ISERROR(VLOOKUP(LEFT('1) Import fichier Remi (coller)'!$A3,9),'Concordance client liv et fact'!$A:$H,8,FALSE))=TRUE,VLOOKUP(LEFT('1) Import fichier Remi (coller)'!$A3,9)+0,'Clients R2'!$A:$CY,2,FALSE),VLOOKUP(VLOOKUP(LEFT('1) Import fichier Remi (coller)'!$A3,9),'Concordance client liv et fact'!$A:$H,7,FALSE)+0,'Clients R2'!$A:$CY,2,FALSE)))</f>
        <v xml:space="preserve">IV ZINC SRL            </v>
      </c>
      <c r="S3" t="str">
        <f>IF($A3="","",PROPER(IF(ISERROR(VLOOKUP(LEFT('1) Import fichier Remi (coller)'!$A3,9),'Concordance client liv et fact'!$A:$H,8,FALSE))=TRUE,VLOOKUP(LEFT('1) Import fichier Remi (coller)'!$A3,9)+0,'Clients R2'!$A:$CY,27,FALSE),VLOOKUP(VLOOKUP(LEFT('1) Import fichier Remi (coller)'!$A3,9),'Concordance client liv et fact'!$A:$H,7,FALSE)+0,'Clients R2'!$A:$CY,27,FALSE))))</f>
        <v xml:space="preserve">Rue De L'Eperonnerie 21            </v>
      </c>
      <c r="T3" t="str">
        <f>IF($A3="","",LEFT(UPPER(IF(ISERROR(VLOOKUP(LEFT('1) Import fichier Remi (coller)'!$A3,9),'Concordance client liv et fact'!$A:$H,8,FALSE))=TRUE,VLOOKUP(LEFT('1) Import fichier Remi (coller)'!$A3,9)+0,'Clients R2'!$A:$CY,28,FALSE),VLOOKUP(VLOOKUP(LEFT('1) Import fichier Remi (coller)'!$A3,9),'Concordance client liv et fact'!$A:$H,7,FALSE)+0,'Clients R2'!$A:$CY,28,FALSE))),2)&amp;UPPER(IF(ISERROR(VLOOKUP(LEFT('1) Import fichier Remi (coller)'!$A3,9),'Concordance client liv et fact'!$A:$H,8,FALSE))=TRUE,VLOOKUP(LEFT('1) Import fichier Remi (coller)'!$A3,9)+0,'Clients R2'!$A:$CY,29,FALSE),VLOOKUP(VLOOKUP(LEFT('1) Import fichier Remi (coller)'!$A3,9),'Concordance client liv et fact'!$A:$H,7,FALSE)+0,'Clients R2'!$A:$CY,29,FALSE))))</f>
        <v>B 4081</v>
      </c>
      <c r="U3" t="str">
        <f>IF($A3="","",PROPER(IF(ISERROR(VLOOKUP(LEFT('1) Import fichier Remi (coller)'!$A3,9),'Concordance client liv et fact'!$A:$H,8,FALSE))=TRUE,VLOOKUP(LEFT('1) Import fichier Remi (coller)'!$A3,9)+0,'Clients R2'!$A:$CY,30,FALSE),VLOOKUP(VLOOKUP(LEFT('1) Import fichier Remi (coller)'!$A3,9),'Concordance client liv et fact'!$A:$H,7,FALSE)+0,'Clients R2'!$A:$CY,30,FALSE))))</f>
        <v xml:space="preserve">Milmort                       </v>
      </c>
      <c r="V3" t="str">
        <f>IF($A3="","",LEFT(UPPER(IF(ISERROR(VLOOKUP(LEFT('1) Import fichier Remi (coller)'!$A3,9),'Concordance client liv et fact'!$A:$H,8,FALSE))=TRUE,IF(VLOOKUP(LEFT('1) Import fichier Remi (coller)'!$A3,9)+0,'Clients R2'!$A:$CY,22,FALSE)=4,"NA",VLOOKUP(LEFT('1) Import fichier Remi (coller)'!$A3,9)+0,'Clients R2'!$A:$CY,3,FALSE)),IF(VLOOKUP(VLOOKUP(LEFT('1) Import fichier Remi (coller)'!$A3,9),'Concordance client liv et fact'!$A:$H,7,FALSE)+0,'Clients R2'!$A:$CY,22,FALSE)=4,"NA",VLOOKUP(VLOOKUP(LEFT('1) Import fichier Remi (coller)'!$A3,9),'Concordance client liv et fact'!$A:$H,7,FALSE)+0,'Clients R2'!$A:$CY,3,FALSE)))),2))</f>
        <v>BE</v>
      </c>
      <c r="W3" s="27"/>
      <c r="X3" s="27" t="str">
        <f>IF($A3="","",IF(ISERROR(VLOOKUP(LEFT('1) Import fichier Remi (coller)'!$A3,9),'Concordance client liv et fact'!$A:$H,8,FALSE))=TRUE,VLOOKUP(LEFT('1) Import fichier Remi (coller)'!$A3,9)+0,'Clients R2'!$A:$CY,102,FALSE),VLOOKUP(VLOOKUP(LEFT('1) Import fichier Remi (coller)'!$A3,9),'Concordance client liv et fact'!$A:$H,7,FALSE)+0,'Clients R2'!$A:$CY,102,FALSE)))</f>
        <v xml:space="preserve">comptabilite.sabanigroup@gmail.com      </v>
      </c>
      <c r="Y3" t="str">
        <f>IF(A3="","",VLOOKUP(A3,'Libellés PDF'!$A$2:$B$5,2,FALSE)&amp;F3&amp;".PDF")</f>
        <v>CC12260078.PDF</v>
      </c>
      <c r="Z3" t="str">
        <f>IF(A3="","",IF(OR(H3="705099999",H3="705001002"),VLOOKUP('1) Import fichier Remi (coller)'!J3,'Analytique personnel'!$A:$B,2,FALSE),""))</f>
        <v>LLHOMME</v>
      </c>
      <c r="AA3" t="str">
        <f>IF($A3="VE11","",IF(LEFT($H3,4)="7050","",IF('1) Import fichier Remi (coller)'!M3="","",'1) Import fichier Remi (coller)'!M3)))</f>
        <v/>
      </c>
      <c r="AB3" t="str">
        <f>IF($A3="VE11","",IF(LEFT($H3,4)="7050","",IF('1) Import fichier Remi (coller)'!N3="","",'1) Import fichier Remi (coller)'!N3)))</f>
        <v/>
      </c>
      <c r="AC3" t="str">
        <f>IF(A3="","",VLOOKUP(LEFT('1) Import fichier Remi (coller)'!A3,9)+0,'Concordance Client R2 BOB'!$B:$C,2,FALSE))</f>
        <v>IVZINC</v>
      </c>
    </row>
    <row r="4" spans="1:29" ht="18.75" customHeight="1" x14ac:dyDescent="0.25">
      <c r="A4" t="str">
        <f>IF('1) Import fichier Remi (coller)'!D4="","",'1) Import fichier Remi (coller)'!D4)</f>
        <v>VE11</v>
      </c>
      <c r="B4">
        <f>IF(A4="","",YEAR('1) Import fichier Remi (coller)'!F4))</f>
        <v>2026</v>
      </c>
      <c r="C4">
        <f>IF(A4="","",MONTH('1) Import fichier Remi (coller)'!F4))</f>
        <v>9</v>
      </c>
      <c r="D4" s="1">
        <f>IF(A4="","",'1) Import fichier Remi (coller)'!F4)</f>
        <v>46281</v>
      </c>
      <c r="E4" s="1">
        <f>IF(A4="","",'1) Import fichier Remi (coller)'!G4)</f>
        <v>46281</v>
      </c>
      <c r="F4" t="str">
        <f>IF(A4="","",'1) Import fichier Remi (coller)'!E4)</f>
        <v>11261511</v>
      </c>
      <c r="G4" t="str">
        <f>IF(A4="","",IF(ISERROR(VLOOKUP(LEFT('1) Import fichier Remi (coller)'!A4,9),'Concordance client liv et fact'!$A:$H,8,FALSE))=TRUE,'1) Import fichier Remi (coller)'!B4,VLOOKUP(LEFT('1) Import fichier Remi (coller)'!A4,9),'Concordance client liv et fact'!$A:$H,8,FALSE)))</f>
        <v>IBS</v>
      </c>
      <c r="H4" t="str">
        <f>IF(A4="","",IF(ISERROR(VLOOKUP('1) Import fichier Remi (coller)'!K4&amp;" - "&amp;'1) Import fichier Remi (coller)'!L4,'Spécifique comptes'!$A:$G,1,FALSE))=TRUE,'1) Import fichier Remi (coller)'!V4,VLOOKUP('1) Import fichier Remi (coller)'!K4&amp;" - "&amp;'1) Import fichier Remi (coller)'!L4,'Spécifique comptes'!$A:$G,IF(LEFT('2) BOB compta (completer-forcer'!F4,2)="11",4,IF(LEFT('2) BOB compta (completer-forcer'!F4,2)="12",5,IF(LEFT('2) BOB compta (completer-forcer'!F4,2)="13",6,IF(LEFT('2) BOB compta (completer-forcer'!F4,2)="15",7,"Erreur Compte")))),FALSE)))</f>
        <v xml:space="preserve">705002000 </v>
      </c>
      <c r="I4" s="26" t="str">
        <f>IF(A4="","",IF(H4="70100000",'1) Import fichier Remi (coller)'!J4,'1) Import fichier Remi (coller)'!U4))</f>
        <v>+++003/7261/51128+++</v>
      </c>
      <c r="J4" s="26" t="str">
        <f>IF(A4="","",'1) Import fichier Remi (coller)'!U4)</f>
        <v>+++003/7261/51128+++</v>
      </c>
      <c r="K4" s="17">
        <f t="shared" si="1"/>
        <v>152.46</v>
      </c>
      <c r="L4" t="str">
        <f t="shared" si="0"/>
        <v>V</v>
      </c>
      <c r="M4" s="14">
        <f>IF(A4="","",'1) Import fichier Remi (coller)'!S4)</f>
        <v>21</v>
      </c>
      <c r="N4" s="17">
        <f>IF($A4="","",IF(OR($A4="NCV",$A4="NC15"),-'1) Import fichier Remi (coller)'!R4,'1) Import fichier Remi (coller)'!R4))</f>
        <v>18</v>
      </c>
      <c r="O4" s="17">
        <f>IF($A4="","",IF(OR($A4="NCV",$A4="NC15"),-'1) Import fichier Remi (coller)'!T4,'1) Import fichier Remi (coller)'!T4))</f>
        <v>3.78</v>
      </c>
      <c r="R4" t="str">
        <f>IF($A4="","",IF(ISERROR(VLOOKUP(LEFT('1) Import fichier Remi (coller)'!$A4,9),'Concordance client liv et fact'!$A:$H,8,FALSE))=TRUE,VLOOKUP(LEFT('1) Import fichier Remi (coller)'!$A4,9)+0,'Clients R2'!$A:$CY,2,FALSE),VLOOKUP(VLOOKUP(LEFT('1) Import fichier Remi (coller)'!$A4,9),'Concordance client liv et fact'!$A:$H,7,FALSE)+0,'Clients R2'!$A:$CY,2,FALSE)))</f>
        <v xml:space="preserve">IBGRAF BUSINESS SOL.   </v>
      </c>
      <c r="S4" t="str">
        <f>IF($A4="","",PROPER(IF(ISERROR(VLOOKUP(LEFT('1) Import fichier Remi (coller)'!$A4,9),'Concordance client liv et fact'!$A:$H,8,FALSE))=TRUE,VLOOKUP(LEFT('1) Import fichier Remi (coller)'!$A4,9)+0,'Clients R2'!$A:$CY,27,FALSE),VLOOKUP(VLOOKUP(LEFT('1) Import fichier Remi (coller)'!$A4,9),'Concordance client liv et fact'!$A:$H,7,FALSE)+0,'Clients R2'!$A:$CY,27,FALSE))))</f>
        <v xml:space="preserve">Rue D'Abhooz, 27                   </v>
      </c>
      <c r="T4" t="str">
        <f>IF($A4="","",LEFT(UPPER(IF(ISERROR(VLOOKUP(LEFT('1) Import fichier Remi (coller)'!$A4,9),'Concordance client liv et fact'!$A:$H,8,FALSE))=TRUE,VLOOKUP(LEFT('1) Import fichier Remi (coller)'!$A4,9)+0,'Clients R2'!$A:$CY,28,FALSE),VLOOKUP(VLOOKUP(LEFT('1) Import fichier Remi (coller)'!$A4,9),'Concordance client liv et fact'!$A:$H,7,FALSE)+0,'Clients R2'!$A:$CY,28,FALSE))),2)&amp;UPPER(IF(ISERROR(VLOOKUP(LEFT('1) Import fichier Remi (coller)'!$A4,9),'Concordance client liv et fact'!$A:$H,8,FALSE))=TRUE,VLOOKUP(LEFT('1) Import fichier Remi (coller)'!$A4,9)+0,'Clients R2'!$A:$CY,29,FALSE),VLOOKUP(VLOOKUP(LEFT('1) Import fichier Remi (coller)'!$A4,9),'Concordance client liv et fact'!$A:$H,7,FALSE)+0,'Clients R2'!$A:$CY,29,FALSE))))</f>
        <v>B 4040</v>
      </c>
      <c r="U4" t="str">
        <f>IF($A4="","",PROPER(IF(ISERROR(VLOOKUP(LEFT('1) Import fichier Remi (coller)'!$A4,9),'Concordance client liv et fact'!$A:$H,8,FALSE))=TRUE,VLOOKUP(LEFT('1) Import fichier Remi (coller)'!$A4,9)+0,'Clients R2'!$A:$CY,30,FALSE),VLOOKUP(VLOOKUP(LEFT('1) Import fichier Remi (coller)'!$A4,9),'Concordance client liv et fact'!$A:$H,7,FALSE)+0,'Clients R2'!$A:$CY,30,FALSE))))</f>
        <v xml:space="preserve">Herstal                       </v>
      </c>
      <c r="V4" t="str">
        <f>IF($A4="","",LEFT(UPPER(IF(ISERROR(VLOOKUP(LEFT('1) Import fichier Remi (coller)'!$A4,9),'Concordance client liv et fact'!$A:$H,8,FALSE))=TRUE,IF(VLOOKUP(LEFT('1) Import fichier Remi (coller)'!$A4,9)+0,'Clients R2'!$A:$CY,22,FALSE)=4,"NA",VLOOKUP(LEFT('1) Import fichier Remi (coller)'!$A4,9)+0,'Clients R2'!$A:$CY,3,FALSE)),IF(VLOOKUP(VLOOKUP(LEFT('1) Import fichier Remi (coller)'!$A4,9),'Concordance client liv et fact'!$A:$H,7,FALSE)+0,'Clients R2'!$A:$CY,22,FALSE)=4,"NA",VLOOKUP(VLOOKUP(LEFT('1) Import fichier Remi (coller)'!$A4,9),'Concordance client liv et fact'!$A:$H,7,FALSE)+0,'Clients R2'!$A:$CY,3,FALSE)))),2))</f>
        <v>BE</v>
      </c>
      <c r="W4" s="27"/>
      <c r="X4" s="27" t="str">
        <f>IF($A4="","",IF(ISERROR(VLOOKUP(LEFT('1) Import fichier Remi (coller)'!$A4,9),'Concordance client liv et fact'!$A:$H,8,FALSE))=TRUE,VLOOKUP(LEFT('1) Import fichier Remi (coller)'!$A4,9)+0,'Clients R2'!$A:$CY,102,FALSE),VLOOKUP(VLOOKUP(LEFT('1) Import fichier Remi (coller)'!$A4,9),'Concordance client liv et fact'!$A:$H,7,FALSE)+0,'Clients R2'!$A:$CY,102,FALSE)))</f>
        <v xml:space="preserve">compta.ibs@ibgraf.com                   </v>
      </c>
      <c r="Y4" t="str">
        <f>IF(A4="","",VLOOKUP(A4,'Libellés PDF'!$A$2:$B$5,2,FALSE)&amp;F4&amp;".PDF")</f>
        <v>CF11261511.PDF</v>
      </c>
      <c r="Z4" t="s">
        <v>467</v>
      </c>
      <c r="AA4" t="str">
        <f>IF($A4="VE11","",IF(LEFT($H4,4)="7050","",IF('1) Import fichier Remi (coller)'!M4="","",'1) Import fichier Remi (coller)'!M4)))</f>
        <v/>
      </c>
      <c r="AB4" t="str">
        <f>IF($A4="VE11","",IF(LEFT($H4,4)="7050","",IF('1) Import fichier Remi (coller)'!N4="","",'1) Import fichier Remi (coller)'!N4)))</f>
        <v/>
      </c>
      <c r="AC4" t="str">
        <f>IF(A4="","",VLOOKUP(LEFT('1) Import fichier Remi (coller)'!A4,9)+0,'Concordance Client R2 BOB'!$B:$C,2,FALSE))</f>
        <v>IBS</v>
      </c>
    </row>
    <row r="5" spans="1:29" ht="18.75" customHeight="1" x14ac:dyDescent="0.25">
      <c r="A5" t="str">
        <f>IF('1) Import fichier Remi (coller)'!D5="","",'1) Import fichier Remi (coller)'!D5)</f>
        <v>VE11</v>
      </c>
      <c r="B5">
        <f>IF(A5="","",YEAR('1) Import fichier Remi (coller)'!F5))</f>
        <v>2026</v>
      </c>
      <c r="C5">
        <f>IF(A5="","",MONTH('1) Import fichier Remi (coller)'!F5))</f>
        <v>9</v>
      </c>
      <c r="D5" s="1">
        <f>IF(A5="","",'1) Import fichier Remi (coller)'!F5)</f>
        <v>46281</v>
      </c>
      <c r="E5" s="1">
        <f>IF(A5="","",'1) Import fichier Remi (coller)'!G5)</f>
        <v>46281</v>
      </c>
      <c r="F5" t="str">
        <f>IF(A5="","",'1) Import fichier Remi (coller)'!E5)</f>
        <v>11261511</v>
      </c>
      <c r="G5" t="str">
        <f>IF(A5="","",IF(ISERROR(VLOOKUP(LEFT('1) Import fichier Remi (coller)'!A5,9),'Concordance client liv et fact'!$A:$H,8,FALSE))=TRUE,'1) Import fichier Remi (coller)'!B5,VLOOKUP(LEFT('1) Import fichier Remi (coller)'!A5,9),'Concordance client liv et fact'!$A:$H,8,FALSE)))</f>
        <v>IBS</v>
      </c>
      <c r="H5" t="str">
        <f>IF(A5="","",IF(ISERROR(VLOOKUP('1) Import fichier Remi (coller)'!K5&amp;" - "&amp;'1) Import fichier Remi (coller)'!L5,'Spécifique comptes'!$A:$G,1,FALSE))=TRUE,'1) Import fichier Remi (coller)'!V5,VLOOKUP('1) Import fichier Remi (coller)'!K5&amp;" - "&amp;'1) Import fichier Remi (coller)'!L5,'Spécifique comptes'!$A:$G,IF(LEFT('2) BOB compta (completer-forcer'!F5,2)="11",4,IF(LEFT('2) BOB compta (completer-forcer'!F5,2)="12",5,IF(LEFT('2) BOB compta (completer-forcer'!F5,2)="13",6,IF(LEFT('2) BOB compta (completer-forcer'!F5,2)="15",7,"Erreur Compte")))),FALSE)))</f>
        <v xml:space="preserve">705002000 </v>
      </c>
      <c r="I5" s="26" t="str">
        <f>IF(A5="","",IF(H5="70100000",'1) Import fichier Remi (coller)'!J5,'1) Import fichier Remi (coller)'!U5))</f>
        <v>+++003/7261/51128+++</v>
      </c>
      <c r="J5" s="26" t="str">
        <f>IF(A5="","",'1) Import fichier Remi (coller)'!U5)</f>
        <v>+++003/7261/51128+++</v>
      </c>
      <c r="K5" s="17">
        <f t="shared" si="1"/>
        <v>152.46</v>
      </c>
      <c r="L5" t="str">
        <f t="shared" si="0"/>
        <v>V</v>
      </c>
      <c r="M5" s="14">
        <f>IF(A5="","",'1) Import fichier Remi (coller)'!S5)</f>
        <v>21</v>
      </c>
      <c r="N5" s="17">
        <f>IF($A5="","",IF(OR($A5="NCV",$A5="NC15"),-'1) Import fichier Remi (coller)'!R5,'1) Import fichier Remi (coller)'!R5))</f>
        <v>72</v>
      </c>
      <c r="O5" s="17">
        <f>IF($A5="","",IF(OR($A5="NCV",$A5="NC15"),-'1) Import fichier Remi (coller)'!T5,'1) Import fichier Remi (coller)'!T5))</f>
        <v>15.12</v>
      </c>
      <c r="R5" t="str">
        <f>IF($A5="","",IF(ISERROR(VLOOKUP(LEFT('1) Import fichier Remi (coller)'!$A5,9),'Concordance client liv et fact'!$A:$H,8,FALSE))=TRUE,VLOOKUP(LEFT('1) Import fichier Remi (coller)'!$A5,9)+0,'Clients R2'!$A:$CY,2,FALSE),VLOOKUP(VLOOKUP(LEFT('1) Import fichier Remi (coller)'!$A5,9),'Concordance client liv et fact'!$A:$H,7,FALSE)+0,'Clients R2'!$A:$CY,2,FALSE)))</f>
        <v xml:space="preserve">IBGRAF BUSINESS SOL.   </v>
      </c>
      <c r="S5" t="str">
        <f>IF($A5="","",PROPER(IF(ISERROR(VLOOKUP(LEFT('1) Import fichier Remi (coller)'!$A5,9),'Concordance client liv et fact'!$A:$H,8,FALSE))=TRUE,VLOOKUP(LEFT('1) Import fichier Remi (coller)'!$A5,9)+0,'Clients R2'!$A:$CY,27,FALSE),VLOOKUP(VLOOKUP(LEFT('1) Import fichier Remi (coller)'!$A5,9),'Concordance client liv et fact'!$A:$H,7,FALSE)+0,'Clients R2'!$A:$CY,27,FALSE))))</f>
        <v xml:space="preserve">Rue D'Abhooz, 27                   </v>
      </c>
      <c r="T5" t="str">
        <f>IF($A5="","",LEFT(UPPER(IF(ISERROR(VLOOKUP(LEFT('1) Import fichier Remi (coller)'!$A5,9),'Concordance client liv et fact'!$A:$H,8,FALSE))=TRUE,VLOOKUP(LEFT('1) Import fichier Remi (coller)'!$A5,9)+0,'Clients R2'!$A:$CY,28,FALSE),VLOOKUP(VLOOKUP(LEFT('1) Import fichier Remi (coller)'!$A5,9),'Concordance client liv et fact'!$A:$H,7,FALSE)+0,'Clients R2'!$A:$CY,28,FALSE))),2)&amp;UPPER(IF(ISERROR(VLOOKUP(LEFT('1) Import fichier Remi (coller)'!$A5,9),'Concordance client liv et fact'!$A:$H,8,FALSE))=TRUE,VLOOKUP(LEFT('1) Import fichier Remi (coller)'!$A5,9)+0,'Clients R2'!$A:$CY,29,FALSE),VLOOKUP(VLOOKUP(LEFT('1) Import fichier Remi (coller)'!$A5,9),'Concordance client liv et fact'!$A:$H,7,FALSE)+0,'Clients R2'!$A:$CY,29,FALSE))))</f>
        <v>B 4040</v>
      </c>
      <c r="U5" t="str">
        <f>IF($A5="","",PROPER(IF(ISERROR(VLOOKUP(LEFT('1) Import fichier Remi (coller)'!$A5,9),'Concordance client liv et fact'!$A:$H,8,FALSE))=TRUE,VLOOKUP(LEFT('1) Import fichier Remi (coller)'!$A5,9)+0,'Clients R2'!$A:$CY,30,FALSE),VLOOKUP(VLOOKUP(LEFT('1) Import fichier Remi (coller)'!$A5,9),'Concordance client liv et fact'!$A:$H,7,FALSE)+0,'Clients R2'!$A:$CY,30,FALSE))))</f>
        <v xml:space="preserve">Herstal                       </v>
      </c>
      <c r="V5" t="str">
        <f>IF($A5="","",LEFT(UPPER(IF(ISERROR(VLOOKUP(LEFT('1) Import fichier Remi (coller)'!$A5,9),'Concordance client liv et fact'!$A:$H,8,FALSE))=TRUE,IF(VLOOKUP(LEFT('1) Import fichier Remi (coller)'!$A5,9)+0,'Clients R2'!$A:$CY,22,FALSE)=4,"NA",VLOOKUP(LEFT('1) Import fichier Remi (coller)'!$A5,9)+0,'Clients R2'!$A:$CY,3,FALSE)),IF(VLOOKUP(VLOOKUP(LEFT('1) Import fichier Remi (coller)'!$A5,9),'Concordance client liv et fact'!$A:$H,7,FALSE)+0,'Clients R2'!$A:$CY,22,FALSE)=4,"NA",VLOOKUP(VLOOKUP(LEFT('1) Import fichier Remi (coller)'!$A5,9),'Concordance client liv et fact'!$A:$H,7,FALSE)+0,'Clients R2'!$A:$CY,3,FALSE)))),2))</f>
        <v>BE</v>
      </c>
      <c r="W5" s="27"/>
      <c r="X5" s="27" t="str">
        <f>IF($A5="","",IF(ISERROR(VLOOKUP(LEFT('1) Import fichier Remi (coller)'!$A5,9),'Concordance client liv et fact'!$A:$H,8,FALSE))=TRUE,VLOOKUP(LEFT('1) Import fichier Remi (coller)'!$A5,9)+0,'Clients R2'!$A:$CY,102,FALSE),VLOOKUP(VLOOKUP(LEFT('1) Import fichier Remi (coller)'!$A5,9),'Concordance client liv et fact'!$A:$H,7,FALSE)+0,'Clients R2'!$A:$CY,102,FALSE)))</f>
        <v xml:space="preserve">compta.ibs@ibgraf.com                   </v>
      </c>
      <c r="Y5" t="str">
        <f>IF(A5="","",VLOOKUP(A5,'Libellés PDF'!$A$2:$B$5,2,FALSE)&amp;F5&amp;".PDF")</f>
        <v>CF11261511.PDF</v>
      </c>
      <c r="Z5" t="s">
        <v>467</v>
      </c>
      <c r="AA5" t="str">
        <f>IF($A5="VE11","",IF(LEFT($H5,4)="7050","",IF('1) Import fichier Remi (coller)'!M5="","",'1) Import fichier Remi (coller)'!M5)))</f>
        <v/>
      </c>
      <c r="AB5" t="str">
        <f>IF($A5="VE11","",IF(LEFT($H5,4)="7050","",IF('1) Import fichier Remi (coller)'!N5="","",'1) Import fichier Remi (coller)'!N5)))</f>
        <v/>
      </c>
      <c r="AC5" t="str">
        <f>IF(A5="","",VLOOKUP(LEFT('1) Import fichier Remi (coller)'!A5,9)+0,'Concordance Client R2 BOB'!$B:$C,2,FALSE))</f>
        <v>IBS</v>
      </c>
    </row>
    <row r="6" spans="1:29" ht="18.75" customHeight="1" x14ac:dyDescent="0.25">
      <c r="A6" t="str">
        <f>IF('1) Import fichier Remi (coller)'!D6="","",'1) Import fichier Remi (coller)'!D6)</f>
        <v>VE11</v>
      </c>
      <c r="B6">
        <f>IF(A6="","",YEAR('1) Import fichier Remi (coller)'!F6))</f>
        <v>2026</v>
      </c>
      <c r="C6">
        <f>IF(A6="","",MONTH('1) Import fichier Remi (coller)'!F6))</f>
        <v>9</v>
      </c>
      <c r="D6" s="1">
        <f>IF(A6="","",'1) Import fichier Remi (coller)'!F6)</f>
        <v>46281</v>
      </c>
      <c r="E6" s="1">
        <f>IF(A6="","",'1) Import fichier Remi (coller)'!G6)</f>
        <v>46281</v>
      </c>
      <c r="F6" t="str">
        <f>IF(A6="","",'1) Import fichier Remi (coller)'!E6)</f>
        <v>11261511</v>
      </c>
      <c r="G6" t="str">
        <f>IF(A6="","",IF(ISERROR(VLOOKUP(LEFT('1) Import fichier Remi (coller)'!A6,9),'Concordance client liv et fact'!$A:$H,8,FALSE))=TRUE,'1) Import fichier Remi (coller)'!B6,VLOOKUP(LEFT('1) Import fichier Remi (coller)'!A6,9),'Concordance client liv et fact'!$A:$H,8,FALSE)))</f>
        <v>IBS</v>
      </c>
      <c r="H6" t="str">
        <f>IF(A6="","",IF(ISERROR(VLOOKUP('1) Import fichier Remi (coller)'!K6&amp;" - "&amp;'1) Import fichier Remi (coller)'!L6,'Spécifique comptes'!$A:$G,1,FALSE))=TRUE,'1) Import fichier Remi (coller)'!V6,VLOOKUP('1) Import fichier Remi (coller)'!K6&amp;" - "&amp;'1) Import fichier Remi (coller)'!L6,'Spécifique comptes'!$A:$G,IF(LEFT('2) BOB compta (completer-forcer'!F6,2)="11",4,IF(LEFT('2) BOB compta (completer-forcer'!F6,2)="12",5,IF(LEFT('2) BOB compta (completer-forcer'!F6,2)="13",6,IF(LEFT('2) BOB compta (completer-forcer'!F6,2)="15",7,"Erreur Compte")))),FALSE)))</f>
        <v xml:space="preserve">705002000 </v>
      </c>
      <c r="I6" s="26" t="str">
        <f>IF(A6="","",IF(H6="70100000",'1) Import fichier Remi (coller)'!J6,'1) Import fichier Remi (coller)'!U6))</f>
        <v>+++003/7261/51128+++</v>
      </c>
      <c r="J6" s="26" t="str">
        <f>IF(A6="","",'1) Import fichier Remi (coller)'!U6)</f>
        <v>+++003/7261/51128+++</v>
      </c>
      <c r="K6" s="17">
        <f t="shared" si="1"/>
        <v>152.46</v>
      </c>
      <c r="L6" t="str">
        <f t="shared" si="0"/>
        <v>V</v>
      </c>
      <c r="M6" s="14">
        <f>IF(A6="","",'1) Import fichier Remi (coller)'!S6)</f>
        <v>21</v>
      </c>
      <c r="N6" s="17">
        <f>IF($A6="","",IF(OR($A6="NCV",$A6="NC15"),-'1) Import fichier Remi (coller)'!R6,'1) Import fichier Remi (coller)'!R6))</f>
        <v>18</v>
      </c>
      <c r="O6" s="17">
        <f>IF($A6="","",IF(OR($A6="NCV",$A6="NC15"),-'1) Import fichier Remi (coller)'!T6,'1) Import fichier Remi (coller)'!T6))</f>
        <v>3.78</v>
      </c>
      <c r="R6" t="str">
        <f>IF($A6="","",IF(ISERROR(VLOOKUP(LEFT('1) Import fichier Remi (coller)'!$A6,9),'Concordance client liv et fact'!$A:$H,8,FALSE))=TRUE,VLOOKUP(LEFT('1) Import fichier Remi (coller)'!$A6,9)+0,'Clients R2'!$A:$CY,2,FALSE),VLOOKUP(VLOOKUP(LEFT('1) Import fichier Remi (coller)'!$A6,9),'Concordance client liv et fact'!$A:$H,7,FALSE)+0,'Clients R2'!$A:$CY,2,FALSE)))</f>
        <v xml:space="preserve">IBGRAF BUSINESS SOL.   </v>
      </c>
      <c r="S6" t="str">
        <f>IF($A6="","",PROPER(IF(ISERROR(VLOOKUP(LEFT('1) Import fichier Remi (coller)'!$A6,9),'Concordance client liv et fact'!$A:$H,8,FALSE))=TRUE,VLOOKUP(LEFT('1) Import fichier Remi (coller)'!$A6,9)+0,'Clients R2'!$A:$CY,27,FALSE),VLOOKUP(VLOOKUP(LEFT('1) Import fichier Remi (coller)'!$A6,9),'Concordance client liv et fact'!$A:$H,7,FALSE)+0,'Clients R2'!$A:$CY,27,FALSE))))</f>
        <v xml:space="preserve">Rue D'Abhooz, 27                   </v>
      </c>
      <c r="T6" t="str">
        <f>IF($A6="","",LEFT(UPPER(IF(ISERROR(VLOOKUP(LEFT('1) Import fichier Remi (coller)'!$A6,9),'Concordance client liv et fact'!$A:$H,8,FALSE))=TRUE,VLOOKUP(LEFT('1) Import fichier Remi (coller)'!$A6,9)+0,'Clients R2'!$A:$CY,28,FALSE),VLOOKUP(VLOOKUP(LEFT('1) Import fichier Remi (coller)'!$A6,9),'Concordance client liv et fact'!$A:$H,7,FALSE)+0,'Clients R2'!$A:$CY,28,FALSE))),2)&amp;UPPER(IF(ISERROR(VLOOKUP(LEFT('1) Import fichier Remi (coller)'!$A6,9),'Concordance client liv et fact'!$A:$H,8,FALSE))=TRUE,VLOOKUP(LEFT('1) Import fichier Remi (coller)'!$A6,9)+0,'Clients R2'!$A:$CY,29,FALSE),VLOOKUP(VLOOKUP(LEFT('1) Import fichier Remi (coller)'!$A6,9),'Concordance client liv et fact'!$A:$H,7,FALSE)+0,'Clients R2'!$A:$CY,29,FALSE))))</f>
        <v>B 4040</v>
      </c>
      <c r="U6" t="str">
        <f>IF($A6="","",PROPER(IF(ISERROR(VLOOKUP(LEFT('1) Import fichier Remi (coller)'!$A6,9),'Concordance client liv et fact'!$A:$H,8,FALSE))=TRUE,VLOOKUP(LEFT('1) Import fichier Remi (coller)'!$A6,9)+0,'Clients R2'!$A:$CY,30,FALSE),VLOOKUP(VLOOKUP(LEFT('1) Import fichier Remi (coller)'!$A6,9),'Concordance client liv et fact'!$A:$H,7,FALSE)+0,'Clients R2'!$A:$CY,30,FALSE))))</f>
        <v xml:space="preserve">Herstal                       </v>
      </c>
      <c r="V6" t="str">
        <f>IF($A6="","",LEFT(UPPER(IF(ISERROR(VLOOKUP(LEFT('1) Import fichier Remi (coller)'!$A6,9),'Concordance client liv et fact'!$A:$H,8,FALSE))=TRUE,IF(VLOOKUP(LEFT('1) Import fichier Remi (coller)'!$A6,9)+0,'Clients R2'!$A:$CY,22,FALSE)=4,"NA",VLOOKUP(LEFT('1) Import fichier Remi (coller)'!$A6,9)+0,'Clients R2'!$A:$CY,3,FALSE)),IF(VLOOKUP(VLOOKUP(LEFT('1) Import fichier Remi (coller)'!$A6,9),'Concordance client liv et fact'!$A:$H,7,FALSE)+0,'Clients R2'!$A:$CY,22,FALSE)=4,"NA",VLOOKUP(VLOOKUP(LEFT('1) Import fichier Remi (coller)'!$A6,9),'Concordance client liv et fact'!$A:$H,7,FALSE)+0,'Clients R2'!$A:$CY,3,FALSE)))),2))</f>
        <v>BE</v>
      </c>
      <c r="W6" s="27"/>
      <c r="X6" s="27" t="str">
        <f>IF($A6="","",IF(ISERROR(VLOOKUP(LEFT('1) Import fichier Remi (coller)'!$A6,9),'Concordance client liv et fact'!$A:$H,8,FALSE))=TRUE,VLOOKUP(LEFT('1) Import fichier Remi (coller)'!$A6,9)+0,'Clients R2'!$A:$CY,102,FALSE),VLOOKUP(VLOOKUP(LEFT('1) Import fichier Remi (coller)'!$A6,9),'Concordance client liv et fact'!$A:$H,7,FALSE)+0,'Clients R2'!$A:$CY,102,FALSE)))</f>
        <v xml:space="preserve">compta.ibs@ibgraf.com                   </v>
      </c>
      <c r="Y6" t="str">
        <f>IF(A6="","",VLOOKUP(A6,'Libellés PDF'!$A$2:$B$5,2,FALSE)&amp;F6&amp;".PDF")</f>
        <v>CF11261511.PDF</v>
      </c>
      <c r="Z6" t="s">
        <v>7752</v>
      </c>
      <c r="AA6" t="str">
        <f>IF($A6="VE11","",IF(LEFT($H6,4)="7050","",IF('1) Import fichier Remi (coller)'!M6="","",'1) Import fichier Remi (coller)'!M6)))</f>
        <v/>
      </c>
      <c r="AB6" t="str">
        <f>IF($A6="VE11","",IF(LEFT($H6,4)="7050","",IF('1) Import fichier Remi (coller)'!N6="","",'1) Import fichier Remi (coller)'!N6)))</f>
        <v/>
      </c>
      <c r="AC6" t="str">
        <f>IF(A6="","",VLOOKUP(LEFT('1) Import fichier Remi (coller)'!A6,9)+0,'Concordance Client R2 BOB'!$B:$C,2,FALSE))</f>
        <v>IBS</v>
      </c>
    </row>
    <row r="7" spans="1:29" ht="18.75" customHeight="1" x14ac:dyDescent="0.25">
      <c r="A7" t="str">
        <f>IF('1) Import fichier Remi (coller)'!D7="","",'1) Import fichier Remi (coller)'!D7)</f>
        <v>VE11</v>
      </c>
      <c r="B7">
        <f>IF(A7="","",YEAR('1) Import fichier Remi (coller)'!F7))</f>
        <v>2026</v>
      </c>
      <c r="C7">
        <f>IF(A7="","",MONTH('1) Import fichier Remi (coller)'!F7))</f>
        <v>9</v>
      </c>
      <c r="D7" s="1">
        <f>IF(A7="","",'1) Import fichier Remi (coller)'!F7)</f>
        <v>46281</v>
      </c>
      <c r="E7" s="1">
        <f>IF(A7="","",'1) Import fichier Remi (coller)'!G7)</f>
        <v>46281</v>
      </c>
      <c r="F7" t="str">
        <f>IF(A7="","",'1) Import fichier Remi (coller)'!E7)</f>
        <v>11261511</v>
      </c>
      <c r="G7" t="str">
        <f>IF(A7="","",IF(ISERROR(VLOOKUP(LEFT('1) Import fichier Remi (coller)'!A7,9),'Concordance client liv et fact'!$A:$H,8,FALSE))=TRUE,'1) Import fichier Remi (coller)'!B7,VLOOKUP(LEFT('1) Import fichier Remi (coller)'!A7,9),'Concordance client liv et fact'!$A:$H,8,FALSE)))</f>
        <v>IBS</v>
      </c>
      <c r="H7" t="str">
        <f>IF(A7="","",IF(ISERROR(VLOOKUP('1) Import fichier Remi (coller)'!K7&amp;" - "&amp;'1) Import fichier Remi (coller)'!L7,'Spécifique comptes'!$A:$G,1,FALSE))=TRUE,'1) Import fichier Remi (coller)'!V7,VLOOKUP('1) Import fichier Remi (coller)'!K7&amp;" - "&amp;'1) Import fichier Remi (coller)'!L7,'Spécifique comptes'!$A:$G,IF(LEFT('2) BOB compta (completer-forcer'!F7,2)="11",4,IF(LEFT('2) BOB compta (completer-forcer'!F7,2)="12",5,IF(LEFT('2) BOB compta (completer-forcer'!F7,2)="13",6,IF(LEFT('2) BOB compta (completer-forcer'!F7,2)="15",7,"Erreur Compte")))),FALSE)))</f>
        <v xml:space="preserve">705002000 </v>
      </c>
      <c r="I7" s="26" t="str">
        <f>IF(A7="","",IF(H7="70100000",'1) Import fichier Remi (coller)'!J7,'1) Import fichier Remi (coller)'!U7))</f>
        <v>+++003/7261/51128+++</v>
      </c>
      <c r="J7" s="26" t="str">
        <f>IF(A7="","",'1) Import fichier Remi (coller)'!U7)</f>
        <v>+++003/7261/51128+++</v>
      </c>
      <c r="K7" s="17">
        <f t="shared" si="1"/>
        <v>152.46</v>
      </c>
      <c r="L7" t="str">
        <f t="shared" si="0"/>
        <v>V</v>
      </c>
      <c r="M7" s="14">
        <f>IF(A7="","",'1) Import fichier Remi (coller)'!S7)</f>
        <v>21</v>
      </c>
      <c r="N7" s="17">
        <f>IF($A7="","",IF(OR($A7="NCV",$A7="NC15"),-'1) Import fichier Remi (coller)'!R7,'1) Import fichier Remi (coller)'!R7))</f>
        <v>18</v>
      </c>
      <c r="O7" s="17">
        <f>IF($A7="","",IF(OR($A7="NCV",$A7="NC15"),-'1) Import fichier Remi (coller)'!T7,'1) Import fichier Remi (coller)'!T7))</f>
        <v>3.78</v>
      </c>
      <c r="R7" t="str">
        <f>IF($A7="","",IF(ISERROR(VLOOKUP(LEFT('1) Import fichier Remi (coller)'!$A7,9),'Concordance client liv et fact'!$A:$H,8,FALSE))=TRUE,VLOOKUP(LEFT('1) Import fichier Remi (coller)'!$A7,9)+0,'Clients R2'!$A:$CY,2,FALSE),VLOOKUP(VLOOKUP(LEFT('1) Import fichier Remi (coller)'!$A7,9),'Concordance client liv et fact'!$A:$H,7,FALSE)+0,'Clients R2'!$A:$CY,2,FALSE)))</f>
        <v xml:space="preserve">IBGRAF BUSINESS SOL.   </v>
      </c>
      <c r="S7" t="str">
        <f>IF($A7="","",PROPER(IF(ISERROR(VLOOKUP(LEFT('1) Import fichier Remi (coller)'!$A7,9),'Concordance client liv et fact'!$A:$H,8,FALSE))=TRUE,VLOOKUP(LEFT('1) Import fichier Remi (coller)'!$A7,9)+0,'Clients R2'!$A:$CY,27,FALSE),VLOOKUP(VLOOKUP(LEFT('1) Import fichier Remi (coller)'!$A7,9),'Concordance client liv et fact'!$A:$H,7,FALSE)+0,'Clients R2'!$A:$CY,27,FALSE))))</f>
        <v xml:space="preserve">Rue D'Abhooz, 27                   </v>
      </c>
      <c r="T7" t="str">
        <f>IF($A7="","",LEFT(UPPER(IF(ISERROR(VLOOKUP(LEFT('1) Import fichier Remi (coller)'!$A7,9),'Concordance client liv et fact'!$A:$H,8,FALSE))=TRUE,VLOOKUP(LEFT('1) Import fichier Remi (coller)'!$A7,9)+0,'Clients R2'!$A:$CY,28,FALSE),VLOOKUP(VLOOKUP(LEFT('1) Import fichier Remi (coller)'!$A7,9),'Concordance client liv et fact'!$A:$H,7,FALSE)+0,'Clients R2'!$A:$CY,28,FALSE))),2)&amp;UPPER(IF(ISERROR(VLOOKUP(LEFT('1) Import fichier Remi (coller)'!$A7,9),'Concordance client liv et fact'!$A:$H,8,FALSE))=TRUE,VLOOKUP(LEFT('1) Import fichier Remi (coller)'!$A7,9)+0,'Clients R2'!$A:$CY,29,FALSE),VLOOKUP(VLOOKUP(LEFT('1) Import fichier Remi (coller)'!$A7,9),'Concordance client liv et fact'!$A:$H,7,FALSE)+0,'Clients R2'!$A:$CY,29,FALSE))))</f>
        <v>B 4040</v>
      </c>
      <c r="U7" t="str">
        <f>IF($A7="","",PROPER(IF(ISERROR(VLOOKUP(LEFT('1) Import fichier Remi (coller)'!$A7,9),'Concordance client liv et fact'!$A:$H,8,FALSE))=TRUE,VLOOKUP(LEFT('1) Import fichier Remi (coller)'!$A7,9)+0,'Clients R2'!$A:$CY,30,FALSE),VLOOKUP(VLOOKUP(LEFT('1) Import fichier Remi (coller)'!$A7,9),'Concordance client liv et fact'!$A:$H,7,FALSE)+0,'Clients R2'!$A:$CY,30,FALSE))))</f>
        <v xml:space="preserve">Herstal                       </v>
      </c>
      <c r="V7" t="str">
        <f>IF($A7="","",LEFT(UPPER(IF(ISERROR(VLOOKUP(LEFT('1) Import fichier Remi (coller)'!$A7,9),'Concordance client liv et fact'!$A:$H,8,FALSE))=TRUE,IF(VLOOKUP(LEFT('1) Import fichier Remi (coller)'!$A7,9)+0,'Clients R2'!$A:$CY,22,FALSE)=4,"NA",VLOOKUP(LEFT('1) Import fichier Remi (coller)'!$A7,9)+0,'Clients R2'!$A:$CY,3,FALSE)),IF(VLOOKUP(VLOOKUP(LEFT('1) Import fichier Remi (coller)'!$A7,9),'Concordance client liv et fact'!$A:$H,7,FALSE)+0,'Clients R2'!$A:$CY,22,FALSE)=4,"NA",VLOOKUP(VLOOKUP(LEFT('1) Import fichier Remi (coller)'!$A7,9),'Concordance client liv et fact'!$A:$H,7,FALSE)+0,'Clients R2'!$A:$CY,3,FALSE)))),2))</f>
        <v>BE</v>
      </c>
      <c r="W7" s="27"/>
      <c r="X7" s="27" t="str">
        <f>IF($A7="","",IF(ISERROR(VLOOKUP(LEFT('1) Import fichier Remi (coller)'!$A7,9),'Concordance client liv et fact'!$A:$H,8,FALSE))=TRUE,VLOOKUP(LEFT('1) Import fichier Remi (coller)'!$A7,9)+0,'Clients R2'!$A:$CY,102,FALSE),VLOOKUP(VLOOKUP(LEFT('1) Import fichier Remi (coller)'!$A7,9),'Concordance client liv et fact'!$A:$H,7,FALSE)+0,'Clients R2'!$A:$CY,102,FALSE)))</f>
        <v xml:space="preserve">compta.ibs@ibgraf.com                   </v>
      </c>
      <c r="Y7" t="str">
        <f>IF(A7="","",VLOOKUP(A7,'Libellés PDF'!$A$2:$B$5,2,FALSE)&amp;F7&amp;".PDF")</f>
        <v>CF11261511.PDF</v>
      </c>
      <c r="Z7" t="s">
        <v>7752</v>
      </c>
      <c r="AA7" t="str">
        <f>IF($A7="VE11","",IF(LEFT($H7,4)="7050","",IF('1) Import fichier Remi (coller)'!M7="","",'1) Import fichier Remi (coller)'!M7)))</f>
        <v/>
      </c>
      <c r="AB7" t="str">
        <f>IF($A7="VE11","",IF(LEFT($H7,4)="7050","",IF('1) Import fichier Remi (coller)'!N7="","",'1) Import fichier Remi (coller)'!N7)))</f>
        <v/>
      </c>
      <c r="AC7" t="str">
        <f>IF(A7="","",VLOOKUP(LEFT('1) Import fichier Remi (coller)'!A7,9)+0,'Concordance Client R2 BOB'!$B:$C,2,FALSE))</f>
        <v>IBS</v>
      </c>
    </row>
    <row r="8" spans="1:29" ht="18.75" customHeight="1" x14ac:dyDescent="0.25">
      <c r="A8" t="str">
        <f>IF('1) Import fichier Remi (coller)'!D8="","",'1) Import fichier Remi (coller)'!D8)</f>
        <v>VE11</v>
      </c>
      <c r="B8">
        <f>IF(A8="","",YEAR('1) Import fichier Remi (coller)'!F8))</f>
        <v>2026</v>
      </c>
      <c r="C8">
        <f>IF(A8="","",MONTH('1) Import fichier Remi (coller)'!F8))</f>
        <v>9</v>
      </c>
      <c r="D8" s="1">
        <f>IF(A8="","",'1) Import fichier Remi (coller)'!F8)</f>
        <v>46281</v>
      </c>
      <c r="E8" s="1">
        <f>IF(A8="","",'1) Import fichier Remi (coller)'!G8)</f>
        <v>46281</v>
      </c>
      <c r="F8" t="str">
        <f>IF(A8="","",'1) Import fichier Remi (coller)'!E8)</f>
        <v>11261512</v>
      </c>
      <c r="G8" t="str">
        <f>IF(A8="","",IF(ISERROR(VLOOKUP(LEFT('1) Import fichier Remi (coller)'!A8,9),'Concordance client liv et fact'!$A:$H,8,FALSE))=TRUE,'1) Import fichier Remi (coller)'!B8,VLOOKUP(LEFT('1) Import fichier Remi (coller)'!A8,9),'Concordance client liv et fact'!$A:$H,8,FALSE)))</f>
        <v>CBFISC</v>
      </c>
      <c r="H8" t="str">
        <f>IF(A8="","",IF(ISERROR(VLOOKUP('1) Import fichier Remi (coller)'!K8&amp;" - "&amp;'1) Import fichier Remi (coller)'!L8,'Spécifique comptes'!$A:$G,1,FALSE))=TRUE,'1) Import fichier Remi (coller)'!V8,VLOOKUP('1) Import fichier Remi (coller)'!K8&amp;" - "&amp;'1) Import fichier Remi (coller)'!L8,'Spécifique comptes'!$A:$G,IF(LEFT('2) BOB compta (completer-forcer'!F8,2)="11",4,IF(LEFT('2) BOB compta (completer-forcer'!F8,2)="12",5,IF(LEFT('2) BOB compta (completer-forcer'!F8,2)="13",6,IF(LEFT('2) BOB compta (completer-forcer'!F8,2)="15",7,"Erreur Compte")))),FALSE)))</f>
        <v>705099999</v>
      </c>
      <c r="I8" s="26" t="str">
        <f>IF(A8="","",IF(H8="70100000",'1) Import fichier Remi (coller)'!J8,'1) Import fichier Remi (coller)'!U8))</f>
        <v>+++003/7261/51229+++</v>
      </c>
      <c r="J8" s="26" t="str">
        <f>IF(A8="","",'1) Import fichier Remi (coller)'!U8)</f>
        <v>+++003/7261/51229+++</v>
      </c>
      <c r="K8" s="17">
        <f t="shared" si="1"/>
        <v>28.740000000000002</v>
      </c>
      <c r="L8" t="str">
        <f t="shared" si="0"/>
        <v>V</v>
      </c>
      <c r="M8" s="14">
        <f>IF(A8="","",'1) Import fichier Remi (coller)'!S8)</f>
        <v>21</v>
      </c>
      <c r="N8" s="17">
        <f>IF($A8="","",IF(OR($A8="NCV",$A8="NC15"),-'1) Import fichier Remi (coller)'!R8,'1) Import fichier Remi (coller)'!R8))</f>
        <v>23.75</v>
      </c>
      <c r="O8" s="17">
        <f>IF($A8="","",IF(OR($A8="NCV",$A8="NC15"),-'1) Import fichier Remi (coller)'!T8,'1) Import fichier Remi (coller)'!T8))</f>
        <v>4.99</v>
      </c>
      <c r="R8" t="str">
        <f>IF($A8="","",IF(ISERROR(VLOOKUP(LEFT('1) Import fichier Remi (coller)'!$A8,9),'Concordance client liv et fact'!$A:$H,8,FALSE))=TRUE,VLOOKUP(LEFT('1) Import fichier Remi (coller)'!$A8,9)+0,'Clients R2'!$A:$CY,2,FALSE),VLOOKUP(VLOOKUP(LEFT('1) Import fichier Remi (coller)'!$A8,9),'Concordance client liv et fact'!$A:$H,7,FALSE)+0,'Clients R2'!$A:$CY,2,FALSE)))</f>
        <v xml:space="preserve">CB FISC                </v>
      </c>
      <c r="S8" t="str">
        <f>IF($A8="","",PROPER(IF(ISERROR(VLOOKUP(LEFT('1) Import fichier Remi (coller)'!$A8,9),'Concordance client liv et fact'!$A:$H,8,FALSE))=TRUE,VLOOKUP(LEFT('1) Import fichier Remi (coller)'!$A8,9)+0,'Clients R2'!$A:$CY,27,FALSE),VLOOKUP(VLOOKUP(LEFT('1) Import fichier Remi (coller)'!$A8,9),'Concordance client liv et fact'!$A:$H,7,FALSE)+0,'Clients R2'!$A:$CY,27,FALSE))))</f>
        <v xml:space="preserve">Rue Affnay, 13                     </v>
      </c>
      <c r="T8" t="str">
        <f>IF($A8="","",LEFT(UPPER(IF(ISERROR(VLOOKUP(LEFT('1) Import fichier Remi (coller)'!$A8,9),'Concordance client liv et fact'!$A:$H,8,FALSE))=TRUE,VLOOKUP(LEFT('1) Import fichier Remi (coller)'!$A8,9)+0,'Clients R2'!$A:$CY,28,FALSE),VLOOKUP(VLOOKUP(LEFT('1) Import fichier Remi (coller)'!$A8,9),'Concordance client liv et fact'!$A:$H,7,FALSE)+0,'Clients R2'!$A:$CY,28,FALSE))),2)&amp;UPPER(IF(ISERROR(VLOOKUP(LEFT('1) Import fichier Remi (coller)'!$A8,9),'Concordance client liv et fact'!$A:$H,8,FALSE))=TRUE,VLOOKUP(LEFT('1) Import fichier Remi (coller)'!$A8,9)+0,'Clients R2'!$A:$CY,29,FALSE),VLOOKUP(VLOOKUP(LEFT('1) Import fichier Remi (coller)'!$A8,9),'Concordance client liv et fact'!$A:$H,7,FALSE)+0,'Clients R2'!$A:$CY,29,FALSE))))</f>
        <v>B 4608</v>
      </c>
      <c r="U8" t="str">
        <f>IF($A8="","",PROPER(IF(ISERROR(VLOOKUP(LEFT('1) Import fichier Remi (coller)'!$A8,9),'Concordance client liv et fact'!$A:$H,8,FALSE))=TRUE,VLOOKUP(LEFT('1) Import fichier Remi (coller)'!$A8,9)+0,'Clients R2'!$A:$CY,30,FALSE),VLOOKUP(VLOOKUP(LEFT('1) Import fichier Remi (coller)'!$A8,9),'Concordance client liv et fact'!$A:$H,7,FALSE)+0,'Clients R2'!$A:$CY,30,FALSE))))</f>
        <v xml:space="preserve">Dalhem (Neufchateau)          </v>
      </c>
      <c r="V8" t="str">
        <f>IF($A8="","",LEFT(UPPER(IF(ISERROR(VLOOKUP(LEFT('1) Import fichier Remi (coller)'!$A8,9),'Concordance client liv et fact'!$A:$H,8,FALSE))=TRUE,IF(VLOOKUP(LEFT('1) Import fichier Remi (coller)'!$A8,9)+0,'Clients R2'!$A:$CY,22,FALSE)=4,"NA",VLOOKUP(LEFT('1) Import fichier Remi (coller)'!$A8,9)+0,'Clients R2'!$A:$CY,3,FALSE)),IF(VLOOKUP(VLOOKUP(LEFT('1) Import fichier Remi (coller)'!$A8,9),'Concordance client liv et fact'!$A:$H,7,FALSE)+0,'Clients R2'!$A:$CY,22,FALSE)=4,"NA",VLOOKUP(VLOOKUP(LEFT('1) Import fichier Remi (coller)'!$A8,9),'Concordance client liv et fact'!$A:$H,7,FALSE)+0,'Clients R2'!$A:$CY,3,FALSE)))),2))</f>
        <v>BE</v>
      </c>
      <c r="W8" s="27"/>
      <c r="X8" s="27" t="str">
        <f>IF($A8="","",IF(ISERROR(VLOOKUP(LEFT('1) Import fichier Remi (coller)'!$A8,9),'Concordance client liv et fact'!$A:$H,8,FALSE))=TRUE,VLOOKUP(LEFT('1) Import fichier Remi (coller)'!$A8,9)+0,'Clients R2'!$A:$CY,102,FALSE),VLOOKUP(VLOOKUP(LEFT('1) Import fichier Remi (coller)'!$A8,9),'Concordance client liv et fact'!$A:$H,7,FALSE)+0,'Clients R2'!$A:$CY,102,FALSE)))</f>
        <v xml:space="preserve">info@cbfisc.be                          </v>
      </c>
      <c r="Y8" t="str">
        <f>IF(A8="","",VLOOKUP(A8,'Libellés PDF'!$A$2:$B$5,2,FALSE)&amp;F8&amp;".PDF")</f>
        <v>CF11261512.PDF</v>
      </c>
      <c r="Z8" t="str">
        <f>IF(A8="","",IF(OR(H8="705099999",H8="705001002"),VLOOKUP('1) Import fichier Remi (coller)'!J8,'Analytique personnel'!$A:$B,2,FALSE),""))</f>
        <v>GDUHOUX</v>
      </c>
      <c r="AA8" t="str">
        <f>IF($A8="VE11","",IF(LEFT($H8,4)="7050","",IF('1) Import fichier Remi (coller)'!M8="","",'1) Import fichier Remi (coller)'!M8)))</f>
        <v/>
      </c>
      <c r="AB8" t="str">
        <f>IF($A8="VE11","",IF(LEFT($H8,4)="7050","",IF('1) Import fichier Remi (coller)'!N8="","",'1) Import fichier Remi (coller)'!N8)))</f>
        <v/>
      </c>
      <c r="AC8" t="str">
        <f>IF(A8="","",VLOOKUP(LEFT('1) Import fichier Remi (coller)'!A8,9)+0,'Concordance Client R2 BOB'!$B:$C,2,FALSE))</f>
        <v>CBFISC</v>
      </c>
    </row>
    <row r="9" spans="1:29" ht="18.75" customHeight="1" x14ac:dyDescent="0.25">
      <c r="A9" t="str">
        <f>IF('1) Import fichier Remi (coller)'!D9="","",'1) Import fichier Remi (coller)'!D9)</f>
        <v>VE11</v>
      </c>
      <c r="B9">
        <f>IF(A9="","",YEAR('1) Import fichier Remi (coller)'!F9))</f>
        <v>2026</v>
      </c>
      <c r="C9">
        <f>IF(A9="","",MONTH('1) Import fichier Remi (coller)'!F9))</f>
        <v>9</v>
      </c>
      <c r="D9" s="1">
        <f>IF(A9="","",'1) Import fichier Remi (coller)'!F9)</f>
        <v>46281</v>
      </c>
      <c r="E9" s="1">
        <f>IF(A9="","",'1) Import fichier Remi (coller)'!G9)</f>
        <v>46311</v>
      </c>
      <c r="F9" t="str">
        <f>IF(A9="","",'1) Import fichier Remi (coller)'!E9)</f>
        <v>11261513</v>
      </c>
      <c r="G9" t="str">
        <f>IF(A9="","",IF(ISERROR(VLOOKUP(LEFT('1) Import fichier Remi (coller)'!A9,9),'Concordance client liv et fact'!$A:$H,8,FALSE))=TRUE,'1) Import fichier Remi (coller)'!B9,VLOOKUP(LEFT('1) Import fichier Remi (coller)'!A9,9),'Concordance client liv et fact'!$A:$H,8,FALSE)))</f>
        <v>COUTREZSA</v>
      </c>
      <c r="H9" t="str">
        <f>IF(A9="","",IF(ISERROR(VLOOKUP('1) Import fichier Remi (coller)'!K9&amp;" - "&amp;'1) Import fichier Remi (coller)'!L9,'Spécifique comptes'!$A:$G,1,FALSE))=TRUE,'1) Import fichier Remi (coller)'!V9,VLOOKUP('1) Import fichier Remi (coller)'!K9&amp;" - "&amp;'1) Import fichier Remi (coller)'!L9,'Spécifique comptes'!$A:$G,IF(LEFT('2) BOB compta (completer-forcer'!F9,2)="11",4,IF(LEFT('2) BOB compta (completer-forcer'!F9,2)="12",5,IF(LEFT('2) BOB compta (completer-forcer'!F9,2)="13",6,IF(LEFT('2) BOB compta (completer-forcer'!F9,2)="15",7,"Erreur Compte")))),FALSE)))</f>
        <v>705099999</v>
      </c>
      <c r="I9" s="26" t="str">
        <f>IF(A9="","",IF(H9="70100000",'1) Import fichier Remi (coller)'!J9,'1) Import fichier Remi (coller)'!U9))</f>
        <v>+++003/7261/51330+++</v>
      </c>
      <c r="J9" s="26" t="str">
        <f>IF(A9="","",'1) Import fichier Remi (coller)'!U9)</f>
        <v>+++003/7261/51330+++</v>
      </c>
      <c r="K9" s="17">
        <f t="shared" si="1"/>
        <v>114.95</v>
      </c>
      <c r="L9" t="str">
        <f t="shared" si="0"/>
        <v>V</v>
      </c>
      <c r="M9" s="14">
        <f>IF(A9="","",'1) Import fichier Remi (coller)'!S9)</f>
        <v>21</v>
      </c>
      <c r="N9" s="17">
        <f>IF($A9="","",IF(OR($A9="NCV",$A9="NC15"),-'1) Import fichier Remi (coller)'!R9,'1) Import fichier Remi (coller)'!R9))</f>
        <v>95</v>
      </c>
      <c r="O9" s="17">
        <f>IF($A9="","",IF(OR($A9="NCV",$A9="NC15"),-'1) Import fichier Remi (coller)'!T9,'1) Import fichier Remi (coller)'!T9))</f>
        <v>19.95</v>
      </c>
      <c r="R9" t="str">
        <f>IF($A9="","",IF(ISERROR(VLOOKUP(LEFT('1) Import fichier Remi (coller)'!$A9,9),'Concordance client liv et fact'!$A:$H,8,FALSE))=TRUE,VLOOKUP(LEFT('1) Import fichier Remi (coller)'!$A9,9)+0,'Clients R2'!$A:$CY,2,FALSE),VLOOKUP(VLOOKUP(LEFT('1) Import fichier Remi (coller)'!$A9,9),'Concordance client liv et fact'!$A:$H,7,FALSE)+0,'Clients R2'!$A:$CY,2,FALSE)))</f>
        <v xml:space="preserve">ETS COUTREZ ET CIE SA  </v>
      </c>
      <c r="S9" t="str">
        <f>IF($A9="","",PROPER(IF(ISERROR(VLOOKUP(LEFT('1) Import fichier Remi (coller)'!$A9,9),'Concordance client liv et fact'!$A:$H,8,FALSE))=TRUE,VLOOKUP(LEFT('1) Import fichier Remi (coller)'!$A9,9)+0,'Clients R2'!$A:$CY,27,FALSE),VLOOKUP(VLOOKUP(LEFT('1) Import fichier Remi (coller)'!$A9,9),'Concordance client liv et fact'!$A:$H,7,FALSE)+0,'Clients R2'!$A:$CY,27,FALSE))))</f>
        <v xml:space="preserve">Rue Louis Bleriot, 1               </v>
      </c>
      <c r="T9" t="str">
        <f>IF($A9="","",LEFT(UPPER(IF(ISERROR(VLOOKUP(LEFT('1) Import fichier Remi (coller)'!$A9,9),'Concordance client liv et fact'!$A:$H,8,FALSE))=TRUE,VLOOKUP(LEFT('1) Import fichier Remi (coller)'!$A9,9)+0,'Clients R2'!$A:$CY,28,FALSE),VLOOKUP(VLOOKUP(LEFT('1) Import fichier Remi (coller)'!$A9,9),'Concordance client liv et fact'!$A:$H,7,FALSE)+0,'Clients R2'!$A:$CY,28,FALSE))),2)&amp;UPPER(IF(ISERROR(VLOOKUP(LEFT('1) Import fichier Remi (coller)'!$A9,9),'Concordance client liv et fact'!$A:$H,8,FALSE))=TRUE,VLOOKUP(LEFT('1) Import fichier Remi (coller)'!$A9,9)+0,'Clients R2'!$A:$CY,29,FALSE),VLOOKUP(VLOOKUP(LEFT('1) Import fichier Remi (coller)'!$A9,9),'Concordance client liv et fact'!$A:$H,7,FALSE)+0,'Clients R2'!$A:$CY,29,FALSE))))</f>
        <v>B 4460</v>
      </c>
      <c r="U9" t="str">
        <f>IF($A9="","",PROPER(IF(ISERROR(VLOOKUP(LEFT('1) Import fichier Remi (coller)'!$A9,9),'Concordance client liv et fact'!$A:$H,8,FALSE))=TRUE,VLOOKUP(LEFT('1) Import fichier Remi (coller)'!$A9,9)+0,'Clients R2'!$A:$CY,30,FALSE),VLOOKUP(VLOOKUP(LEFT('1) Import fichier Remi (coller)'!$A9,9),'Concordance client liv et fact'!$A:$H,7,FALSE)+0,'Clients R2'!$A:$CY,30,FALSE))))</f>
        <v xml:space="preserve">Grace Hollogne                </v>
      </c>
      <c r="V9" t="str">
        <f>IF($A9="","",LEFT(UPPER(IF(ISERROR(VLOOKUP(LEFT('1) Import fichier Remi (coller)'!$A9,9),'Concordance client liv et fact'!$A:$H,8,FALSE))=TRUE,IF(VLOOKUP(LEFT('1) Import fichier Remi (coller)'!$A9,9)+0,'Clients R2'!$A:$CY,22,FALSE)=4,"NA",VLOOKUP(LEFT('1) Import fichier Remi (coller)'!$A9,9)+0,'Clients R2'!$A:$CY,3,FALSE)),IF(VLOOKUP(VLOOKUP(LEFT('1) Import fichier Remi (coller)'!$A9,9),'Concordance client liv et fact'!$A:$H,7,FALSE)+0,'Clients R2'!$A:$CY,22,FALSE)=4,"NA",VLOOKUP(VLOOKUP(LEFT('1) Import fichier Remi (coller)'!$A9,9),'Concordance client liv et fact'!$A:$H,7,FALSE)+0,'Clients R2'!$A:$CY,3,FALSE)))),2))</f>
        <v>BE</v>
      </c>
      <c r="W9" s="27"/>
      <c r="X9" s="27" t="str">
        <f>IF($A9="","",IF(ISERROR(VLOOKUP(LEFT('1) Import fichier Remi (coller)'!$A9,9),'Concordance client liv et fact'!$A:$H,8,FALSE))=TRUE,VLOOKUP(LEFT('1) Import fichier Remi (coller)'!$A9,9)+0,'Clients R2'!$A:$CY,102,FALSE),VLOOKUP(VLOOKUP(LEFT('1) Import fichier Remi (coller)'!$A9,9),'Concordance client liv et fact'!$A:$H,7,FALSE)+0,'Clients R2'!$A:$CY,102,FALSE)))</f>
        <v xml:space="preserve">invoicing@coutrez.be                    </v>
      </c>
      <c r="Y9" t="str">
        <f>IF(A9="","",VLOOKUP(A9,'Libellés PDF'!$A$2:$B$5,2,FALSE)&amp;F9&amp;".PDF")</f>
        <v>CF11261513.PDF</v>
      </c>
      <c r="Z9" t="str">
        <f>IF(A9="","",IF(OR(H9="705099999",H9="705001002"),VLOOKUP('1) Import fichier Remi (coller)'!J9,'Analytique personnel'!$A:$B,2,FALSE),""))</f>
        <v>BMELIN</v>
      </c>
      <c r="AA9" t="str">
        <f>IF($A9="VE11","",IF(LEFT($H9,4)="7050","",IF('1) Import fichier Remi (coller)'!M9="","",'1) Import fichier Remi (coller)'!M9)))</f>
        <v/>
      </c>
      <c r="AB9" t="str">
        <f>IF($A9="VE11","",IF(LEFT($H9,4)="7050","",IF('1) Import fichier Remi (coller)'!N9="","",'1) Import fichier Remi (coller)'!N9)))</f>
        <v/>
      </c>
      <c r="AC9" t="str">
        <f>IF(A9="","",VLOOKUP(LEFT('1) Import fichier Remi (coller)'!A9,9)+0,'Concordance Client R2 BOB'!$B:$C,2,FALSE))</f>
        <v>COUTREZSA</v>
      </c>
    </row>
    <row r="10" spans="1:29" ht="18.75" customHeight="1" x14ac:dyDescent="0.25">
      <c r="A10" t="str">
        <f>IF('1) Import fichier Remi (coller)'!D10="","",'1) Import fichier Remi (coller)'!D10)</f>
        <v>VE11</v>
      </c>
      <c r="B10">
        <f>IF(A10="","",YEAR('1) Import fichier Remi (coller)'!F10))</f>
        <v>2026</v>
      </c>
      <c r="C10">
        <f>IF(A10="","",MONTH('1) Import fichier Remi (coller)'!F10))</f>
        <v>9</v>
      </c>
      <c r="D10" s="1">
        <f>IF(A10="","",'1) Import fichier Remi (coller)'!F10)</f>
        <v>46281</v>
      </c>
      <c r="E10" s="1">
        <f>IF(A10="","",'1) Import fichier Remi (coller)'!G10)</f>
        <v>46281</v>
      </c>
      <c r="F10" t="str">
        <f>IF(A10="","",'1) Import fichier Remi (coller)'!E10)</f>
        <v>11261514</v>
      </c>
      <c r="G10" t="str">
        <f>IF(A10="","",IF(ISERROR(VLOOKUP(LEFT('1) Import fichier Remi (coller)'!A10,9),'Concordance client liv et fact'!$A:$H,8,FALSE))=TRUE,'1) Import fichier Remi (coller)'!B10,VLOOKUP(LEFT('1) Import fichier Remi (coller)'!A10,9),'Concordance client liv et fact'!$A:$H,8,FALSE)))</f>
        <v>DEL003</v>
      </c>
      <c r="H10" t="str">
        <f>IF(A10="","",IF(ISERROR(VLOOKUP('1) Import fichier Remi (coller)'!K10&amp;" - "&amp;'1) Import fichier Remi (coller)'!L10,'Spécifique comptes'!$A:$G,1,FALSE))=TRUE,'1) Import fichier Remi (coller)'!V10,VLOOKUP('1) Import fichier Remi (coller)'!K10&amp;" - "&amp;'1) Import fichier Remi (coller)'!L10,'Spécifique comptes'!$A:$G,IF(LEFT('2) BOB compta (completer-forcer'!F10,2)="11",4,IF(LEFT('2) BOB compta (completer-forcer'!F10,2)="12",5,IF(LEFT('2) BOB compta (completer-forcer'!F10,2)="13",6,IF(LEFT('2) BOB compta (completer-forcer'!F10,2)="15",7,"Erreur Compte")))),FALSE)))</f>
        <v>705099999</v>
      </c>
      <c r="I10" s="26" t="str">
        <f>IF(A10="","",IF(H10="70100000",'1) Import fichier Remi (coller)'!J10,'1) Import fichier Remi (coller)'!U10))</f>
        <v>+++003/7261/51431+++</v>
      </c>
      <c r="J10" s="26" t="str">
        <f>IF(A10="","",'1) Import fichier Remi (coller)'!U10)</f>
        <v>+++003/7261/51431+++</v>
      </c>
      <c r="K10" s="17">
        <f t="shared" si="1"/>
        <v>205.46</v>
      </c>
      <c r="L10" t="str">
        <f t="shared" si="0"/>
        <v>V</v>
      </c>
      <c r="M10" s="14">
        <f>IF(A10="","",'1) Import fichier Remi (coller)'!S10)</f>
        <v>21</v>
      </c>
      <c r="N10" s="17">
        <f>IF($A10="","",IF(OR($A10="NCV",$A10="NC15"),-'1) Import fichier Remi (coller)'!R10,'1) Import fichier Remi (coller)'!R10))</f>
        <v>47.5</v>
      </c>
      <c r="O10" s="17">
        <f>IF($A10="","",IF(OR($A10="NCV",$A10="NC15"),-'1) Import fichier Remi (coller)'!T10,'1) Import fichier Remi (coller)'!T10))</f>
        <v>9.98</v>
      </c>
      <c r="R10" t="str">
        <f>IF($A10="","",IF(ISERROR(VLOOKUP(LEFT('1) Import fichier Remi (coller)'!$A10,9),'Concordance client liv et fact'!$A:$H,8,FALSE))=TRUE,VLOOKUP(LEFT('1) Import fichier Remi (coller)'!$A10,9)+0,'Clients R2'!$A:$CY,2,FALSE),VLOOKUP(VLOOKUP(LEFT('1) Import fichier Remi (coller)'!$A10,9),'Concordance client liv et fact'!$A:$H,7,FALSE)+0,'Clients R2'!$A:$CY,2,FALSE)))</f>
        <v xml:space="preserve">DELHEZ COMBUSTIBLES    </v>
      </c>
      <c r="S10" t="str">
        <f>IF($A10="","",PROPER(IF(ISERROR(VLOOKUP(LEFT('1) Import fichier Remi (coller)'!$A10,9),'Concordance client liv et fact'!$A:$H,8,FALSE))=TRUE,VLOOKUP(LEFT('1) Import fichier Remi (coller)'!$A10,9)+0,'Clients R2'!$A:$CY,27,FALSE),VLOOKUP(VLOOKUP(LEFT('1) Import fichier Remi (coller)'!$A10,9),'Concordance client liv et fact'!$A:$H,7,FALSE)+0,'Clients R2'!$A:$CY,27,FALSE))))</f>
        <v xml:space="preserve">Route Du Chateau, 4                </v>
      </c>
      <c r="T10" t="str">
        <f>IF($A10="","",LEFT(UPPER(IF(ISERROR(VLOOKUP(LEFT('1) Import fichier Remi (coller)'!$A10,9),'Concordance client liv et fact'!$A:$H,8,FALSE))=TRUE,VLOOKUP(LEFT('1) Import fichier Remi (coller)'!$A10,9)+0,'Clients R2'!$A:$CY,28,FALSE),VLOOKUP(VLOOKUP(LEFT('1) Import fichier Remi (coller)'!$A10,9),'Concordance client liv et fact'!$A:$H,7,FALSE)+0,'Clients R2'!$A:$CY,28,FALSE))),2)&amp;UPPER(IF(ISERROR(VLOOKUP(LEFT('1) Import fichier Remi (coller)'!$A10,9),'Concordance client liv et fact'!$A:$H,8,FALSE))=TRUE,VLOOKUP(LEFT('1) Import fichier Remi (coller)'!$A10,9)+0,'Clients R2'!$A:$CY,29,FALSE),VLOOKUP(VLOOKUP(LEFT('1) Import fichier Remi (coller)'!$A10,9),'Concordance client liv et fact'!$A:$H,7,FALSE)+0,'Clients R2'!$A:$CY,29,FALSE))))</f>
        <v>B 4877</v>
      </c>
      <c r="U10" t="str">
        <f>IF($A10="","",PROPER(IF(ISERROR(VLOOKUP(LEFT('1) Import fichier Remi (coller)'!$A10,9),'Concordance client liv et fact'!$A:$H,8,FALSE))=TRUE,VLOOKUP(LEFT('1) Import fichier Remi (coller)'!$A10,9)+0,'Clients R2'!$A:$CY,30,FALSE),VLOOKUP(VLOOKUP(LEFT('1) Import fichier Remi (coller)'!$A10,9),'Concordance client liv et fact'!$A:$H,7,FALSE)+0,'Clients R2'!$A:$CY,30,FALSE))))</f>
        <v xml:space="preserve">Olne                          </v>
      </c>
      <c r="V10" t="str">
        <f>IF($A10="","",LEFT(UPPER(IF(ISERROR(VLOOKUP(LEFT('1) Import fichier Remi (coller)'!$A10,9),'Concordance client liv et fact'!$A:$H,8,FALSE))=TRUE,IF(VLOOKUP(LEFT('1) Import fichier Remi (coller)'!$A10,9)+0,'Clients R2'!$A:$CY,22,FALSE)=4,"NA",VLOOKUP(LEFT('1) Import fichier Remi (coller)'!$A10,9)+0,'Clients R2'!$A:$CY,3,FALSE)),IF(VLOOKUP(VLOOKUP(LEFT('1) Import fichier Remi (coller)'!$A10,9),'Concordance client liv et fact'!$A:$H,7,FALSE)+0,'Clients R2'!$A:$CY,22,FALSE)=4,"NA",VLOOKUP(VLOOKUP(LEFT('1) Import fichier Remi (coller)'!$A10,9),'Concordance client liv et fact'!$A:$H,7,FALSE)+0,'Clients R2'!$A:$CY,3,FALSE)))),2))</f>
        <v>BE</v>
      </c>
      <c r="W10" s="27"/>
      <c r="X10" s="27" t="str">
        <f>IF($A10="","",IF(ISERROR(VLOOKUP(LEFT('1) Import fichier Remi (coller)'!$A10,9),'Concordance client liv et fact'!$A:$H,8,FALSE))=TRUE,VLOOKUP(LEFT('1) Import fichier Remi (coller)'!$A10,9)+0,'Clients R2'!$A:$CY,102,FALSE),VLOOKUP(VLOOKUP(LEFT('1) Import fichier Remi (coller)'!$A10,9),'Concordance client liv et fact'!$A:$H,7,FALSE)+0,'Clients R2'!$A:$CY,102,FALSE)))</f>
        <v xml:space="preserve">info@delhez-combustibles.be             </v>
      </c>
      <c r="Y10" t="str">
        <f>IF(A10="","",VLOOKUP(A10,'Libellés PDF'!$A$2:$B$5,2,FALSE)&amp;F10&amp;".PDF")</f>
        <v>CF11261514.PDF</v>
      </c>
      <c r="Z10" t="str">
        <f>IF(A10="","",IF(OR(H10="705099999",H10="705001002"),VLOOKUP('1) Import fichier Remi (coller)'!J10,'Analytique personnel'!$A:$B,2,FALSE),""))</f>
        <v>MFONTAINE</v>
      </c>
      <c r="AA10" t="str">
        <f>IF($A10="VE11","",IF(LEFT($H10,4)="7050","",IF('1) Import fichier Remi (coller)'!M10="","",'1) Import fichier Remi (coller)'!M10)))</f>
        <v/>
      </c>
      <c r="AB10" t="str">
        <f>IF($A10="VE11","",IF(LEFT($H10,4)="7050","",IF('1) Import fichier Remi (coller)'!N10="","",'1) Import fichier Remi (coller)'!N10)))</f>
        <v/>
      </c>
      <c r="AC10" t="str">
        <f>IF(A10="","",VLOOKUP(LEFT('1) Import fichier Remi (coller)'!A10,9)+0,'Concordance Client R2 BOB'!$B:$C,2,FALSE))</f>
        <v>DEL003</v>
      </c>
    </row>
    <row r="11" spans="1:29" ht="18.75" customHeight="1" x14ac:dyDescent="0.25">
      <c r="A11" t="str">
        <f>IF('1) Import fichier Remi (coller)'!D11="","",'1) Import fichier Remi (coller)'!D11)</f>
        <v>VE11</v>
      </c>
      <c r="B11">
        <f>IF(A11="","",YEAR('1) Import fichier Remi (coller)'!F11))</f>
        <v>2026</v>
      </c>
      <c r="C11">
        <f>IF(A11="","",MONTH('1) Import fichier Remi (coller)'!F11))</f>
        <v>9</v>
      </c>
      <c r="D11" s="1">
        <f>IF(A11="","",'1) Import fichier Remi (coller)'!F11)</f>
        <v>46281</v>
      </c>
      <c r="E11" s="1">
        <f>IF(A11="","",'1) Import fichier Remi (coller)'!G11)</f>
        <v>46281</v>
      </c>
      <c r="F11" t="str">
        <f>IF(A11="","",'1) Import fichier Remi (coller)'!E11)</f>
        <v>11261514</v>
      </c>
      <c r="G11" t="str">
        <f>IF(A11="","",IF(ISERROR(VLOOKUP(LEFT('1) Import fichier Remi (coller)'!A11,9),'Concordance client liv et fact'!$A:$H,8,FALSE))=TRUE,'1) Import fichier Remi (coller)'!B11,VLOOKUP(LEFT('1) Import fichier Remi (coller)'!A11,9),'Concordance client liv et fact'!$A:$H,8,FALSE)))</f>
        <v>DEL003</v>
      </c>
      <c r="H11" t="str">
        <f>IF(A11="","",IF(ISERROR(VLOOKUP('1) Import fichier Remi (coller)'!K11&amp;" - "&amp;'1) Import fichier Remi (coller)'!L11,'Spécifique comptes'!$A:$G,1,FALSE))=TRUE,'1) Import fichier Remi (coller)'!V11,VLOOKUP('1) Import fichier Remi (coller)'!K11&amp;" - "&amp;'1) Import fichier Remi (coller)'!L11,'Spécifique comptes'!$A:$G,IF(LEFT('2) BOB compta (completer-forcer'!F11,2)="11",4,IF(LEFT('2) BOB compta (completer-forcer'!F11,2)="12",5,IF(LEFT('2) BOB compta (completer-forcer'!F11,2)="13",6,IF(LEFT('2) BOB compta (completer-forcer'!F11,2)="15",7,"Erreur Compte")))),FALSE)))</f>
        <v>705099999</v>
      </c>
      <c r="I11" s="26" t="str">
        <f>IF(A11="","",IF(H11="70100000",'1) Import fichier Remi (coller)'!J11,'1) Import fichier Remi (coller)'!U11))</f>
        <v>+++003/7261/51431+++</v>
      </c>
      <c r="J11" s="26" t="str">
        <f>IF(A11="","",'1) Import fichier Remi (coller)'!U11)</f>
        <v>+++003/7261/51431+++</v>
      </c>
      <c r="K11" s="17">
        <f t="shared" si="1"/>
        <v>205.46</v>
      </c>
      <c r="L11" t="str">
        <f t="shared" si="0"/>
        <v>V</v>
      </c>
      <c r="M11" s="14">
        <f>IF(A11="","",'1) Import fichier Remi (coller)'!S11)</f>
        <v>21</v>
      </c>
      <c r="N11" s="17">
        <f>IF($A11="","",IF(OR($A11="NCV",$A11="NC15"),-'1) Import fichier Remi (coller)'!R11,'1) Import fichier Remi (coller)'!R11))</f>
        <v>47.5</v>
      </c>
      <c r="O11" s="17">
        <f>IF($A11="","",IF(OR($A11="NCV",$A11="NC15"),-'1) Import fichier Remi (coller)'!T11,'1) Import fichier Remi (coller)'!T11))</f>
        <v>9.98</v>
      </c>
      <c r="R11" t="str">
        <f>IF($A11="","",IF(ISERROR(VLOOKUP(LEFT('1) Import fichier Remi (coller)'!$A11,9),'Concordance client liv et fact'!$A:$H,8,FALSE))=TRUE,VLOOKUP(LEFT('1) Import fichier Remi (coller)'!$A11,9)+0,'Clients R2'!$A:$CY,2,FALSE),VLOOKUP(VLOOKUP(LEFT('1) Import fichier Remi (coller)'!$A11,9),'Concordance client liv et fact'!$A:$H,7,FALSE)+0,'Clients R2'!$A:$CY,2,FALSE)))</f>
        <v xml:space="preserve">DELHEZ COMBUSTIBLES    </v>
      </c>
      <c r="S11" t="str">
        <f>IF($A11="","",PROPER(IF(ISERROR(VLOOKUP(LEFT('1) Import fichier Remi (coller)'!$A11,9),'Concordance client liv et fact'!$A:$H,8,FALSE))=TRUE,VLOOKUP(LEFT('1) Import fichier Remi (coller)'!$A11,9)+0,'Clients R2'!$A:$CY,27,FALSE),VLOOKUP(VLOOKUP(LEFT('1) Import fichier Remi (coller)'!$A11,9),'Concordance client liv et fact'!$A:$H,7,FALSE)+0,'Clients R2'!$A:$CY,27,FALSE))))</f>
        <v xml:space="preserve">Route Du Chateau, 4                </v>
      </c>
      <c r="T11" t="str">
        <f>IF($A11="","",LEFT(UPPER(IF(ISERROR(VLOOKUP(LEFT('1) Import fichier Remi (coller)'!$A11,9),'Concordance client liv et fact'!$A:$H,8,FALSE))=TRUE,VLOOKUP(LEFT('1) Import fichier Remi (coller)'!$A11,9)+0,'Clients R2'!$A:$CY,28,FALSE),VLOOKUP(VLOOKUP(LEFT('1) Import fichier Remi (coller)'!$A11,9),'Concordance client liv et fact'!$A:$H,7,FALSE)+0,'Clients R2'!$A:$CY,28,FALSE))),2)&amp;UPPER(IF(ISERROR(VLOOKUP(LEFT('1) Import fichier Remi (coller)'!$A11,9),'Concordance client liv et fact'!$A:$H,8,FALSE))=TRUE,VLOOKUP(LEFT('1) Import fichier Remi (coller)'!$A11,9)+0,'Clients R2'!$A:$CY,29,FALSE),VLOOKUP(VLOOKUP(LEFT('1) Import fichier Remi (coller)'!$A11,9),'Concordance client liv et fact'!$A:$H,7,FALSE)+0,'Clients R2'!$A:$CY,29,FALSE))))</f>
        <v>B 4877</v>
      </c>
      <c r="U11" t="str">
        <f>IF($A11="","",PROPER(IF(ISERROR(VLOOKUP(LEFT('1) Import fichier Remi (coller)'!$A11,9),'Concordance client liv et fact'!$A:$H,8,FALSE))=TRUE,VLOOKUP(LEFT('1) Import fichier Remi (coller)'!$A11,9)+0,'Clients R2'!$A:$CY,30,FALSE),VLOOKUP(VLOOKUP(LEFT('1) Import fichier Remi (coller)'!$A11,9),'Concordance client liv et fact'!$A:$H,7,FALSE)+0,'Clients R2'!$A:$CY,30,FALSE))))</f>
        <v xml:space="preserve">Olne                          </v>
      </c>
      <c r="V11" t="str">
        <f>IF($A11="","",LEFT(UPPER(IF(ISERROR(VLOOKUP(LEFT('1) Import fichier Remi (coller)'!$A11,9),'Concordance client liv et fact'!$A:$H,8,FALSE))=TRUE,IF(VLOOKUP(LEFT('1) Import fichier Remi (coller)'!$A11,9)+0,'Clients R2'!$A:$CY,22,FALSE)=4,"NA",VLOOKUP(LEFT('1) Import fichier Remi (coller)'!$A11,9)+0,'Clients R2'!$A:$CY,3,FALSE)),IF(VLOOKUP(VLOOKUP(LEFT('1) Import fichier Remi (coller)'!$A11,9),'Concordance client liv et fact'!$A:$H,7,FALSE)+0,'Clients R2'!$A:$CY,22,FALSE)=4,"NA",VLOOKUP(VLOOKUP(LEFT('1) Import fichier Remi (coller)'!$A11,9),'Concordance client liv et fact'!$A:$H,7,FALSE)+0,'Clients R2'!$A:$CY,3,FALSE)))),2))</f>
        <v>BE</v>
      </c>
      <c r="W11" s="27"/>
      <c r="X11" s="27" t="str">
        <f>IF($A11="","",IF(ISERROR(VLOOKUP(LEFT('1) Import fichier Remi (coller)'!$A11,9),'Concordance client liv et fact'!$A:$H,8,FALSE))=TRUE,VLOOKUP(LEFT('1) Import fichier Remi (coller)'!$A11,9)+0,'Clients R2'!$A:$CY,102,FALSE),VLOOKUP(VLOOKUP(LEFT('1) Import fichier Remi (coller)'!$A11,9),'Concordance client liv et fact'!$A:$H,7,FALSE)+0,'Clients R2'!$A:$CY,102,FALSE)))</f>
        <v xml:space="preserve">info@delhez-combustibles.be             </v>
      </c>
      <c r="Y11" t="str">
        <f>IF(A11="","",VLOOKUP(A11,'Libellés PDF'!$A$2:$B$5,2,FALSE)&amp;F11&amp;".PDF")</f>
        <v>CF11261514.PDF</v>
      </c>
      <c r="Z11" t="str">
        <f>IF(A11="","",IF(OR(H11="705099999",H11="705001002"),VLOOKUP('1) Import fichier Remi (coller)'!J11,'Analytique personnel'!$A:$B,2,FALSE),""))</f>
        <v>GDUHOUX</v>
      </c>
      <c r="AA11" t="str">
        <f>IF($A11="VE11","",IF(LEFT($H11,4)="7050","",IF('1) Import fichier Remi (coller)'!M11="","",'1) Import fichier Remi (coller)'!M11)))</f>
        <v/>
      </c>
      <c r="AB11" t="str">
        <f>IF($A11="VE11","",IF(LEFT($H11,4)="7050","",IF('1) Import fichier Remi (coller)'!N11="","",'1) Import fichier Remi (coller)'!N11)))</f>
        <v/>
      </c>
      <c r="AC11" t="str">
        <f>IF(A11="","",VLOOKUP(LEFT('1) Import fichier Remi (coller)'!A11,9)+0,'Concordance Client R2 BOB'!$B:$C,2,FALSE))</f>
        <v>DEL003</v>
      </c>
    </row>
    <row r="12" spans="1:29" ht="18.75" customHeight="1" x14ac:dyDescent="0.25">
      <c r="A12" t="str">
        <f>IF('1) Import fichier Remi (coller)'!D12="","",'1) Import fichier Remi (coller)'!D12)</f>
        <v>VE11</v>
      </c>
      <c r="B12">
        <f>IF(A12="","",YEAR('1) Import fichier Remi (coller)'!F12))</f>
        <v>2026</v>
      </c>
      <c r="C12">
        <f>IF(A12="","",MONTH('1) Import fichier Remi (coller)'!F12))</f>
        <v>9</v>
      </c>
      <c r="D12" s="1">
        <f>IF(A12="","",'1) Import fichier Remi (coller)'!F12)</f>
        <v>46281</v>
      </c>
      <c r="E12" s="1">
        <f>IF(A12="","",'1) Import fichier Remi (coller)'!G12)</f>
        <v>46281</v>
      </c>
      <c r="F12" t="str">
        <f>IF(A12="","",'1) Import fichier Remi (coller)'!E12)</f>
        <v>11261514</v>
      </c>
      <c r="G12" t="str">
        <f>IF(A12="","",IF(ISERROR(VLOOKUP(LEFT('1) Import fichier Remi (coller)'!A12,9),'Concordance client liv et fact'!$A:$H,8,FALSE))=TRUE,'1) Import fichier Remi (coller)'!B12,VLOOKUP(LEFT('1) Import fichier Remi (coller)'!A12,9),'Concordance client liv et fact'!$A:$H,8,FALSE)))</f>
        <v>DEL003</v>
      </c>
      <c r="H12" t="str">
        <f>IF(A12="","",IF(ISERROR(VLOOKUP('1) Import fichier Remi (coller)'!K12&amp;" - "&amp;'1) Import fichier Remi (coller)'!L12,'Spécifique comptes'!$A:$G,1,FALSE))=TRUE,'1) Import fichier Remi (coller)'!V12,VLOOKUP('1) Import fichier Remi (coller)'!K12&amp;" - "&amp;'1) Import fichier Remi (coller)'!L12,'Spécifique comptes'!$A:$G,IF(LEFT('2) BOB compta (completer-forcer'!F12,2)="11",4,IF(LEFT('2) BOB compta (completer-forcer'!F12,2)="12",5,IF(LEFT('2) BOB compta (completer-forcer'!F12,2)="13",6,IF(LEFT('2) BOB compta (completer-forcer'!F12,2)="15",7,"Erreur Compte")))),FALSE)))</f>
        <v>705001002</v>
      </c>
      <c r="I12" s="26" t="str">
        <f>IF(A12="","",IF(H12="70100000",'1) Import fichier Remi (coller)'!J12,'1) Import fichier Remi (coller)'!U12))</f>
        <v>+++003/7261/51431+++</v>
      </c>
      <c r="J12" s="26" t="str">
        <f>IF(A12="","",'1) Import fichier Remi (coller)'!U12)</f>
        <v>+++003/7261/51431+++</v>
      </c>
      <c r="K12" s="17">
        <f t="shared" si="1"/>
        <v>205.46</v>
      </c>
      <c r="L12" t="str">
        <f t="shared" si="0"/>
        <v>V</v>
      </c>
      <c r="M12" s="14">
        <f>IF(A12="","",'1) Import fichier Remi (coller)'!S12)</f>
        <v>21</v>
      </c>
      <c r="N12" s="17">
        <f>IF($A12="","",IF(OR($A12="NCV",$A12="NC15"),-'1) Import fichier Remi (coller)'!R12,'1) Import fichier Remi (coller)'!R12))</f>
        <v>74.8</v>
      </c>
      <c r="O12" s="17">
        <f>IF($A12="","",IF(OR($A12="NCV",$A12="NC15"),-'1) Import fichier Remi (coller)'!T12,'1) Import fichier Remi (coller)'!T12))</f>
        <v>15.7</v>
      </c>
      <c r="R12" t="str">
        <f>IF($A12="","",IF(ISERROR(VLOOKUP(LEFT('1) Import fichier Remi (coller)'!$A12,9),'Concordance client liv et fact'!$A:$H,8,FALSE))=TRUE,VLOOKUP(LEFT('1) Import fichier Remi (coller)'!$A12,9)+0,'Clients R2'!$A:$CY,2,FALSE),VLOOKUP(VLOOKUP(LEFT('1) Import fichier Remi (coller)'!$A12,9),'Concordance client liv et fact'!$A:$H,7,FALSE)+0,'Clients R2'!$A:$CY,2,FALSE)))</f>
        <v xml:space="preserve">DELHEZ COMBUSTIBLES    </v>
      </c>
      <c r="S12" t="str">
        <f>IF($A12="","",PROPER(IF(ISERROR(VLOOKUP(LEFT('1) Import fichier Remi (coller)'!$A12,9),'Concordance client liv et fact'!$A:$H,8,FALSE))=TRUE,VLOOKUP(LEFT('1) Import fichier Remi (coller)'!$A12,9)+0,'Clients R2'!$A:$CY,27,FALSE),VLOOKUP(VLOOKUP(LEFT('1) Import fichier Remi (coller)'!$A12,9),'Concordance client liv et fact'!$A:$H,7,FALSE)+0,'Clients R2'!$A:$CY,27,FALSE))))</f>
        <v xml:space="preserve">Route Du Chateau, 4                </v>
      </c>
      <c r="T12" t="str">
        <f>IF($A12="","",LEFT(UPPER(IF(ISERROR(VLOOKUP(LEFT('1) Import fichier Remi (coller)'!$A12,9),'Concordance client liv et fact'!$A:$H,8,FALSE))=TRUE,VLOOKUP(LEFT('1) Import fichier Remi (coller)'!$A12,9)+0,'Clients R2'!$A:$CY,28,FALSE),VLOOKUP(VLOOKUP(LEFT('1) Import fichier Remi (coller)'!$A12,9),'Concordance client liv et fact'!$A:$H,7,FALSE)+0,'Clients R2'!$A:$CY,28,FALSE))),2)&amp;UPPER(IF(ISERROR(VLOOKUP(LEFT('1) Import fichier Remi (coller)'!$A12,9),'Concordance client liv et fact'!$A:$H,8,FALSE))=TRUE,VLOOKUP(LEFT('1) Import fichier Remi (coller)'!$A12,9)+0,'Clients R2'!$A:$CY,29,FALSE),VLOOKUP(VLOOKUP(LEFT('1) Import fichier Remi (coller)'!$A12,9),'Concordance client liv et fact'!$A:$H,7,FALSE)+0,'Clients R2'!$A:$CY,29,FALSE))))</f>
        <v>B 4877</v>
      </c>
      <c r="U12" t="str">
        <f>IF($A12="","",PROPER(IF(ISERROR(VLOOKUP(LEFT('1) Import fichier Remi (coller)'!$A12,9),'Concordance client liv et fact'!$A:$H,8,FALSE))=TRUE,VLOOKUP(LEFT('1) Import fichier Remi (coller)'!$A12,9)+0,'Clients R2'!$A:$CY,30,FALSE),VLOOKUP(VLOOKUP(LEFT('1) Import fichier Remi (coller)'!$A12,9),'Concordance client liv et fact'!$A:$H,7,FALSE)+0,'Clients R2'!$A:$CY,30,FALSE))))</f>
        <v xml:space="preserve">Olne                          </v>
      </c>
      <c r="V12" t="str">
        <f>IF($A12="","",LEFT(UPPER(IF(ISERROR(VLOOKUP(LEFT('1) Import fichier Remi (coller)'!$A12,9),'Concordance client liv et fact'!$A:$H,8,FALSE))=TRUE,IF(VLOOKUP(LEFT('1) Import fichier Remi (coller)'!$A12,9)+0,'Clients R2'!$A:$CY,22,FALSE)=4,"NA",VLOOKUP(LEFT('1) Import fichier Remi (coller)'!$A12,9)+0,'Clients R2'!$A:$CY,3,FALSE)),IF(VLOOKUP(VLOOKUP(LEFT('1) Import fichier Remi (coller)'!$A12,9),'Concordance client liv et fact'!$A:$H,7,FALSE)+0,'Clients R2'!$A:$CY,22,FALSE)=4,"NA",VLOOKUP(VLOOKUP(LEFT('1) Import fichier Remi (coller)'!$A12,9),'Concordance client liv et fact'!$A:$H,7,FALSE)+0,'Clients R2'!$A:$CY,3,FALSE)))),2))</f>
        <v>BE</v>
      </c>
      <c r="W12" s="27"/>
      <c r="X12" s="27" t="str">
        <f>IF($A12="","",IF(ISERROR(VLOOKUP(LEFT('1) Import fichier Remi (coller)'!$A12,9),'Concordance client liv et fact'!$A:$H,8,FALSE))=TRUE,VLOOKUP(LEFT('1) Import fichier Remi (coller)'!$A12,9)+0,'Clients R2'!$A:$CY,102,FALSE),VLOOKUP(VLOOKUP(LEFT('1) Import fichier Remi (coller)'!$A12,9),'Concordance client liv et fact'!$A:$H,7,FALSE)+0,'Clients R2'!$A:$CY,102,FALSE)))</f>
        <v xml:space="preserve">info@delhez-combustibles.be             </v>
      </c>
      <c r="Y12" t="str">
        <f>IF(A12="","",VLOOKUP(A12,'Libellés PDF'!$A$2:$B$5,2,FALSE)&amp;F12&amp;".PDF")</f>
        <v>CF11261514.PDF</v>
      </c>
      <c r="Z12" t="s">
        <v>7752</v>
      </c>
      <c r="AA12" t="str">
        <f>IF($A12="VE11","",IF(LEFT($H12,4)="7050","",IF('1) Import fichier Remi (coller)'!M12="","",'1) Import fichier Remi (coller)'!M12)))</f>
        <v/>
      </c>
      <c r="AB12" t="str">
        <f>IF($A12="VE11","",IF(LEFT($H12,4)="7050","",IF('1) Import fichier Remi (coller)'!N12="","",'1) Import fichier Remi (coller)'!N12)))</f>
        <v/>
      </c>
      <c r="AC12" t="str">
        <f>IF(A12="","",VLOOKUP(LEFT('1) Import fichier Remi (coller)'!A12,9)+0,'Concordance Client R2 BOB'!$B:$C,2,FALSE))</f>
        <v>DEL003</v>
      </c>
    </row>
    <row r="13" spans="1:29" ht="18.75" customHeight="1" x14ac:dyDescent="0.25">
      <c r="A13" t="str">
        <f>IF('1) Import fichier Remi (coller)'!D13="","",'1) Import fichier Remi (coller)'!D13)</f>
        <v>VE11</v>
      </c>
      <c r="B13">
        <f>IF(A13="","",YEAR('1) Import fichier Remi (coller)'!F13))</f>
        <v>2026</v>
      </c>
      <c r="C13">
        <f>IF(A13="","",MONTH('1) Import fichier Remi (coller)'!F13))</f>
        <v>9</v>
      </c>
      <c r="D13" s="1">
        <f>IF(A13="","",'1) Import fichier Remi (coller)'!F13)</f>
        <v>46281</v>
      </c>
      <c r="E13" s="1">
        <f>IF(A13="","",'1) Import fichier Remi (coller)'!G13)</f>
        <v>46281</v>
      </c>
      <c r="F13" t="str">
        <f>IF(A13="","",'1) Import fichier Remi (coller)'!E13)</f>
        <v>11261515</v>
      </c>
      <c r="G13" t="str">
        <f>IF(A13="","",IF(ISERROR(VLOOKUP(LEFT('1) Import fichier Remi (coller)'!A13,9),'Concordance client liv et fact'!$A:$H,8,FALSE))=TRUE,'1) Import fichier Remi (coller)'!B13,VLOOKUP(LEFT('1) Import fichier Remi (coller)'!A13,9),'Concordance client liv et fact'!$A:$H,8,FALSE)))</f>
        <v>EUROBOIS</v>
      </c>
      <c r="H13" t="str">
        <f>IF(A13="","",IF(ISERROR(VLOOKUP('1) Import fichier Remi (coller)'!K13&amp;" - "&amp;'1) Import fichier Remi (coller)'!L13,'Spécifique comptes'!$A:$G,1,FALSE))=TRUE,'1) Import fichier Remi (coller)'!V13,VLOOKUP('1) Import fichier Remi (coller)'!K13&amp;" - "&amp;'1) Import fichier Remi (coller)'!L13,'Spécifique comptes'!$A:$G,IF(LEFT('2) BOB compta (completer-forcer'!F13,2)="11",4,IF(LEFT('2) BOB compta (completer-forcer'!F13,2)="12",5,IF(LEFT('2) BOB compta (completer-forcer'!F13,2)="13",6,IF(LEFT('2) BOB compta (completer-forcer'!F13,2)="15",7,"Erreur Compte")))),FALSE)))</f>
        <v>705099999</v>
      </c>
      <c r="I13" s="26" t="str">
        <f>IF(A13="","",IF(H13="70100000",'1) Import fichier Remi (coller)'!J13,'1) Import fichier Remi (coller)'!U13))</f>
        <v>+++003/7261/51532+++</v>
      </c>
      <c r="J13" s="26" t="str">
        <f>IF(A13="","",'1) Import fichier Remi (coller)'!U13)</f>
        <v>+++003/7261/51532+++</v>
      </c>
      <c r="K13" s="17">
        <f t="shared" si="1"/>
        <v>28.740000000000002</v>
      </c>
      <c r="L13" t="str">
        <f t="shared" si="0"/>
        <v>V</v>
      </c>
      <c r="M13" s="14">
        <f>IF(A13="","",'1) Import fichier Remi (coller)'!S13)</f>
        <v>21</v>
      </c>
      <c r="N13" s="17">
        <f>IF($A13="","",IF(OR($A13="NCV",$A13="NC15"),-'1) Import fichier Remi (coller)'!R13,'1) Import fichier Remi (coller)'!R13))</f>
        <v>23.75</v>
      </c>
      <c r="O13" s="17">
        <f>IF($A13="","",IF(OR($A13="NCV",$A13="NC15"),-'1) Import fichier Remi (coller)'!T13,'1) Import fichier Remi (coller)'!T13))</f>
        <v>4.99</v>
      </c>
      <c r="R13" t="str">
        <f>IF($A13="","",IF(ISERROR(VLOOKUP(LEFT('1) Import fichier Remi (coller)'!$A13,9),'Concordance client liv et fact'!$A:$H,8,FALSE))=TRUE,VLOOKUP(LEFT('1) Import fichier Remi (coller)'!$A13,9)+0,'Clients R2'!$A:$CY,2,FALSE),VLOOKUP(VLOOKUP(LEFT('1) Import fichier Remi (coller)'!$A13,9),'Concordance client liv et fact'!$A:$H,7,FALSE)+0,'Clients R2'!$A:$CY,2,FALSE)))</f>
        <v xml:space="preserve">EUROBOIS SA            </v>
      </c>
      <c r="S13" t="str">
        <f>IF($A13="","",PROPER(IF(ISERROR(VLOOKUP(LEFT('1) Import fichier Remi (coller)'!$A13,9),'Concordance client liv et fact'!$A:$H,8,FALSE))=TRUE,VLOOKUP(LEFT('1) Import fichier Remi (coller)'!$A13,9)+0,'Clients R2'!$A:$CY,27,FALSE),VLOOKUP(VLOOKUP(LEFT('1) Import fichier Remi (coller)'!$A13,9),'Concordance client liv et fact'!$A:$H,7,FALSE)+0,'Clients R2'!$A:$CY,27,FALSE))))</f>
        <v xml:space="preserve">Prolongement Rue De L'Abbaye 30    </v>
      </c>
      <c r="T13" t="str">
        <f>IF($A13="","",LEFT(UPPER(IF(ISERROR(VLOOKUP(LEFT('1) Import fichier Remi (coller)'!$A13,9),'Concordance client liv et fact'!$A:$H,8,FALSE))=TRUE,VLOOKUP(LEFT('1) Import fichier Remi (coller)'!$A13,9)+0,'Clients R2'!$A:$CY,28,FALSE),VLOOKUP(VLOOKUP(LEFT('1) Import fichier Remi (coller)'!$A13,9),'Concordance client liv et fact'!$A:$H,7,FALSE)+0,'Clients R2'!$A:$CY,28,FALSE))),2)&amp;UPPER(IF(ISERROR(VLOOKUP(LEFT('1) Import fichier Remi (coller)'!$A13,9),'Concordance client liv et fact'!$A:$H,8,FALSE))=TRUE,VLOOKUP(LEFT('1) Import fichier Remi (coller)'!$A13,9)+0,'Clients R2'!$A:$CY,29,FALSE),VLOOKUP(VLOOKUP(LEFT('1) Import fichier Remi (coller)'!$A13,9),'Concordance client liv et fact'!$A:$H,7,FALSE)+0,'Clients R2'!$A:$CY,29,FALSE))))</f>
        <v>B 4040</v>
      </c>
      <c r="U13" t="str">
        <f>IF($A13="","",PROPER(IF(ISERROR(VLOOKUP(LEFT('1) Import fichier Remi (coller)'!$A13,9),'Concordance client liv et fact'!$A:$H,8,FALSE))=TRUE,VLOOKUP(LEFT('1) Import fichier Remi (coller)'!$A13,9)+0,'Clients R2'!$A:$CY,30,FALSE),VLOOKUP(VLOOKUP(LEFT('1) Import fichier Remi (coller)'!$A13,9),'Concordance client liv et fact'!$A:$H,7,FALSE)+0,'Clients R2'!$A:$CY,30,FALSE))))</f>
        <v xml:space="preserve">Herstal                       </v>
      </c>
      <c r="V13" t="str">
        <f>IF($A13="","",LEFT(UPPER(IF(ISERROR(VLOOKUP(LEFT('1) Import fichier Remi (coller)'!$A13,9),'Concordance client liv et fact'!$A:$H,8,FALSE))=TRUE,IF(VLOOKUP(LEFT('1) Import fichier Remi (coller)'!$A13,9)+0,'Clients R2'!$A:$CY,22,FALSE)=4,"NA",VLOOKUP(LEFT('1) Import fichier Remi (coller)'!$A13,9)+0,'Clients R2'!$A:$CY,3,FALSE)),IF(VLOOKUP(VLOOKUP(LEFT('1) Import fichier Remi (coller)'!$A13,9),'Concordance client liv et fact'!$A:$H,7,FALSE)+0,'Clients R2'!$A:$CY,22,FALSE)=4,"NA",VLOOKUP(VLOOKUP(LEFT('1) Import fichier Remi (coller)'!$A13,9),'Concordance client liv et fact'!$A:$H,7,FALSE)+0,'Clients R2'!$A:$CY,3,FALSE)))),2))</f>
        <v>BE</v>
      </c>
      <c r="W13" s="27"/>
      <c r="X13" s="27" t="str">
        <f>IF($A13="","",IF(ISERROR(VLOOKUP(LEFT('1) Import fichier Remi (coller)'!$A13,9),'Concordance client liv et fact'!$A:$H,8,FALSE))=TRUE,VLOOKUP(LEFT('1) Import fichier Remi (coller)'!$A13,9)+0,'Clients R2'!$A:$CY,102,FALSE),VLOOKUP(VLOOKUP(LEFT('1) Import fichier Remi (coller)'!$A13,9),'Concordance client liv et fact'!$A:$H,7,FALSE)+0,'Clients R2'!$A:$CY,102,FALSE)))</f>
        <v xml:space="preserve">eurobois@skynet.be                      </v>
      </c>
      <c r="Y13" t="str">
        <f>IF(A13="","",VLOOKUP(A13,'Libellés PDF'!$A$2:$B$5,2,FALSE)&amp;F13&amp;".PDF")</f>
        <v>CF11261515.PDF</v>
      </c>
      <c r="Z13" t="str">
        <f>IF(A13="","",IF(OR(H13="705099999",H13="705001002"),VLOOKUP('1) Import fichier Remi (coller)'!J13,'Analytique personnel'!$A:$B,2,FALSE),""))</f>
        <v>GDUHOUX</v>
      </c>
      <c r="AA13" t="str">
        <f>IF($A13="VE11","",IF(LEFT($H13,4)="7050","",IF('1) Import fichier Remi (coller)'!M13="","",'1) Import fichier Remi (coller)'!M13)))</f>
        <v/>
      </c>
      <c r="AB13" t="str">
        <f>IF($A13="VE11","",IF(LEFT($H13,4)="7050","",IF('1) Import fichier Remi (coller)'!N13="","",'1) Import fichier Remi (coller)'!N13)))</f>
        <v/>
      </c>
      <c r="AC13" t="str">
        <f>IF(A13="","",VLOOKUP(LEFT('1) Import fichier Remi (coller)'!A13,9)+0,'Concordance Client R2 BOB'!$B:$C,2,FALSE))</f>
        <v>EUROBOIS</v>
      </c>
    </row>
    <row r="14" spans="1:29" ht="18.75" customHeight="1" x14ac:dyDescent="0.25">
      <c r="A14" t="str">
        <f>IF('1) Import fichier Remi (coller)'!D14="","",'1) Import fichier Remi (coller)'!D14)</f>
        <v>VE11</v>
      </c>
      <c r="B14">
        <f>IF(A14="","",YEAR('1) Import fichier Remi (coller)'!F14))</f>
        <v>2026</v>
      </c>
      <c r="C14">
        <f>IF(A14="","",MONTH('1) Import fichier Remi (coller)'!F14))</f>
        <v>9</v>
      </c>
      <c r="D14" s="1">
        <f>IF(A14="","",'1) Import fichier Remi (coller)'!F14)</f>
        <v>46281</v>
      </c>
      <c r="E14" s="1">
        <f>IF(A14="","",'1) Import fichier Remi (coller)'!G14)</f>
        <v>46311</v>
      </c>
      <c r="F14" t="str">
        <f>IF(A14="","",'1) Import fichier Remi (coller)'!E14)</f>
        <v>11261516</v>
      </c>
      <c r="G14" t="str">
        <f>IF(A14="","",IF(ISERROR(VLOOKUP(LEFT('1) Import fichier Remi (coller)'!A14,9),'Concordance client liv et fact'!$A:$H,8,FALSE))=TRUE,'1) Import fichier Remi (coller)'!B14,VLOOKUP(LEFT('1) Import fichier Remi (coller)'!A14,9),'Concordance client liv et fact'!$A:$H,8,FALSE)))</f>
        <v>UPI000</v>
      </c>
      <c r="H14">
        <f>IF(A14="","",IF(ISERROR(VLOOKUP('1) Import fichier Remi (coller)'!K14&amp;" - "&amp;'1) Import fichier Remi (coller)'!L14,'Spécifique comptes'!$A:$G,1,FALSE))=TRUE,'1) Import fichier Remi (coller)'!V14,VLOOKUP('1) Import fichier Remi (coller)'!K14&amp;" - "&amp;'1) Import fichier Remi (coller)'!L14,'Spécifique comptes'!$A:$G,IF(LEFT('2) BOB compta (completer-forcer'!F14,2)="11",4,IF(LEFT('2) BOB compta (completer-forcer'!F14,2)="12",5,IF(LEFT('2) BOB compta (completer-forcer'!F14,2)="13",6,IF(LEFT('2) BOB compta (completer-forcer'!F14,2)="15",7,"Erreur Compte")))),FALSE)))</f>
        <v>704119000</v>
      </c>
      <c r="I14" s="26" t="str">
        <f>IF(A14="","",IF(H14="70100000",'1) Import fichier Remi (coller)'!J14,'1) Import fichier Remi (coller)'!U14))</f>
        <v>+++003/7261/51633+++</v>
      </c>
      <c r="J14" s="26" t="str">
        <f>IF(A14="","",'1) Import fichier Remi (coller)'!U14)</f>
        <v>+++003/7261/51633+++</v>
      </c>
      <c r="K14" s="17">
        <f t="shared" si="1"/>
        <v>72.599999999999994</v>
      </c>
      <c r="L14" t="str">
        <f t="shared" si="0"/>
        <v>V</v>
      </c>
      <c r="M14" s="14">
        <f>IF(A14="","",'1) Import fichier Remi (coller)'!S14)</f>
        <v>21</v>
      </c>
      <c r="N14" s="17">
        <f>IF($A14="","",IF(OR($A14="NCV",$A14="NC15"),-'1) Import fichier Remi (coller)'!R14,'1) Import fichier Remi (coller)'!R14))</f>
        <v>60</v>
      </c>
      <c r="O14" s="17">
        <f>IF($A14="","",IF(OR($A14="NCV",$A14="NC15"),-'1) Import fichier Remi (coller)'!T14,'1) Import fichier Remi (coller)'!T14))</f>
        <v>12.6</v>
      </c>
      <c r="R14" t="str">
        <f>IF($A14="","",IF(ISERROR(VLOOKUP(LEFT('1) Import fichier Remi (coller)'!$A14,9),'Concordance client liv et fact'!$A:$H,8,FALSE))=TRUE,VLOOKUP(LEFT('1) Import fichier Remi (coller)'!$A14,9)+0,'Clients R2'!$A:$CY,2,FALSE),VLOOKUP(VLOOKUP(LEFT('1) Import fichier Remi (coller)'!$A14,9),'Concordance client liv et fact'!$A:$H,7,FALSE)+0,'Clients R2'!$A:$CY,2,FALSE)))</f>
        <v xml:space="preserve">UPIGNAC SA             </v>
      </c>
      <c r="S14" t="str">
        <f>IF($A14="","",PROPER(IF(ISERROR(VLOOKUP(LEFT('1) Import fichier Remi (coller)'!$A14,9),'Concordance client liv et fact'!$A:$H,8,FALSE))=TRUE,VLOOKUP(LEFT('1) Import fichier Remi (coller)'!$A14,9)+0,'Clients R2'!$A:$CY,27,FALSE),VLOOKUP(VLOOKUP(LEFT('1) Import fichier Remi (coller)'!$A14,9),'Concordance client liv et fact'!$A:$H,7,FALSE)+0,'Clients R2'!$A:$CY,27,FALSE))))</f>
        <v xml:space="preserve">Rue De Frise 97                    </v>
      </c>
      <c r="T14" t="str">
        <f>IF($A14="","",LEFT(UPPER(IF(ISERROR(VLOOKUP(LEFT('1) Import fichier Remi (coller)'!$A14,9),'Concordance client liv et fact'!$A:$H,8,FALSE))=TRUE,VLOOKUP(LEFT('1) Import fichier Remi (coller)'!$A14,9)+0,'Clients R2'!$A:$CY,28,FALSE),VLOOKUP(VLOOKUP(LEFT('1) Import fichier Remi (coller)'!$A14,9),'Concordance client liv et fact'!$A:$H,7,FALSE)+0,'Clients R2'!$A:$CY,28,FALSE))),2)&amp;UPPER(IF(ISERROR(VLOOKUP(LEFT('1) Import fichier Remi (coller)'!$A14,9),'Concordance client liv et fact'!$A:$H,8,FALSE))=TRUE,VLOOKUP(LEFT('1) Import fichier Remi (coller)'!$A14,9)+0,'Clients R2'!$A:$CY,29,FALSE),VLOOKUP(VLOOKUP(LEFT('1) Import fichier Remi (coller)'!$A14,9),'Concordance client liv et fact'!$A:$H,7,FALSE)+0,'Clients R2'!$A:$CY,29,FALSE))))</f>
        <v>B 5310</v>
      </c>
      <c r="U14" t="str">
        <f>IF($A14="","",PROPER(IF(ISERROR(VLOOKUP(LEFT('1) Import fichier Remi (coller)'!$A14,9),'Concordance client liv et fact'!$A:$H,8,FALSE))=TRUE,VLOOKUP(LEFT('1) Import fichier Remi (coller)'!$A14,9)+0,'Clients R2'!$A:$CY,30,FALSE),VLOOKUP(VLOOKUP(LEFT('1) Import fichier Remi (coller)'!$A14,9),'Concordance client liv et fact'!$A:$H,7,FALSE)+0,'Clients R2'!$A:$CY,30,FALSE))))</f>
        <v xml:space="preserve">Upigny                        </v>
      </c>
      <c r="V14" t="str">
        <f>IF($A14="","",LEFT(UPPER(IF(ISERROR(VLOOKUP(LEFT('1) Import fichier Remi (coller)'!$A14,9),'Concordance client liv et fact'!$A:$H,8,FALSE))=TRUE,IF(VLOOKUP(LEFT('1) Import fichier Remi (coller)'!$A14,9)+0,'Clients R2'!$A:$CY,22,FALSE)=4,"NA",VLOOKUP(LEFT('1) Import fichier Remi (coller)'!$A14,9)+0,'Clients R2'!$A:$CY,3,FALSE)),IF(VLOOKUP(VLOOKUP(LEFT('1) Import fichier Remi (coller)'!$A14,9),'Concordance client liv et fact'!$A:$H,7,FALSE)+0,'Clients R2'!$A:$CY,22,FALSE)=4,"NA",VLOOKUP(VLOOKUP(LEFT('1) Import fichier Remi (coller)'!$A14,9),'Concordance client liv et fact'!$A:$H,7,FALSE)+0,'Clients R2'!$A:$CY,3,FALSE)))),2))</f>
        <v>BE</v>
      </c>
      <c r="W14" s="27"/>
      <c r="X14" s="27" t="str">
        <f>IF($A14="","",IF(ISERROR(VLOOKUP(LEFT('1) Import fichier Remi (coller)'!$A14,9),'Concordance client liv et fact'!$A:$H,8,FALSE))=TRUE,VLOOKUP(LEFT('1) Import fichier Remi (coller)'!$A14,9)+0,'Clients R2'!$A:$CY,102,FALSE),VLOOKUP(VLOOKUP(LEFT('1) Import fichier Remi (coller)'!$A14,9),'Concordance client liv et fact'!$A:$H,7,FALSE)+0,'Clients R2'!$A:$CY,102,FALSE)))</f>
        <v xml:space="preserve">ap@upignac.be                           </v>
      </c>
      <c r="Y14" t="str">
        <f>IF(A14="","",VLOOKUP(A14,'Libellés PDF'!$A$2:$B$5,2,FALSE)&amp;F14&amp;".PDF")</f>
        <v>CF11261516.PDF</v>
      </c>
      <c r="Z14" t="str">
        <f>IF(A14="","",IF(OR(H14="705099999",H14="705001002"),VLOOKUP('1) Import fichier Remi (coller)'!J14,'Analytique personnel'!$A:$B,2,FALSE),""))</f>
        <v/>
      </c>
      <c r="AA14" t="str">
        <f>IF($A14="VE11","",IF(LEFT($H14,4)="7050","",IF('1) Import fichier Remi (coller)'!M14="","",'1) Import fichier Remi (coller)'!M14)))</f>
        <v/>
      </c>
      <c r="AB14" t="str">
        <f>IF($A14="VE11","",IF(LEFT($H14,4)="7050","",IF('1) Import fichier Remi (coller)'!N14="","",'1) Import fichier Remi (coller)'!N14)))</f>
        <v/>
      </c>
      <c r="AC14" t="str">
        <f>IF(A14="","",VLOOKUP(LEFT('1) Import fichier Remi (coller)'!A14,9)+0,'Concordance Client R2 BOB'!$B:$C,2,FALSE))</f>
        <v>UPI000</v>
      </c>
    </row>
    <row r="15" spans="1:29" ht="18.75" customHeight="1" x14ac:dyDescent="0.25">
      <c r="A15" t="str">
        <f>IF('1) Import fichier Remi (coller)'!D15="","",'1) Import fichier Remi (coller)'!D15)</f>
        <v>VE11</v>
      </c>
      <c r="B15">
        <f>IF(A15="","",YEAR('1) Import fichier Remi (coller)'!F15))</f>
        <v>2026</v>
      </c>
      <c r="C15">
        <f>IF(A15="","",MONTH('1) Import fichier Remi (coller)'!F15))</f>
        <v>9</v>
      </c>
      <c r="D15" s="1">
        <f>IF(A15="","",'1) Import fichier Remi (coller)'!F15)</f>
        <v>46281</v>
      </c>
      <c r="E15" s="1">
        <f>IF(A15="","",'1) Import fichier Remi (coller)'!G15)</f>
        <v>46281</v>
      </c>
      <c r="F15" t="str">
        <f>IF(A15="","",'1) Import fichier Remi (coller)'!E15)</f>
        <v>11261517</v>
      </c>
      <c r="G15" t="str">
        <f>IF(A15="","",IF(ISERROR(VLOOKUP(LEFT('1) Import fichier Remi (coller)'!A15,9),'Concordance client liv et fact'!$A:$H,8,FALSE))=TRUE,'1) Import fichier Remi (coller)'!B15,VLOOKUP(LEFT('1) Import fichier Remi (coller)'!A15,9),'Concordance client liv et fact'!$A:$H,8,FALSE)))</f>
        <v>COFIDENA</v>
      </c>
      <c r="H15" t="str">
        <f>IF(A15="","",IF(ISERROR(VLOOKUP('1) Import fichier Remi (coller)'!K15&amp;" - "&amp;'1) Import fichier Remi (coller)'!L15,'Spécifique comptes'!$A:$G,1,FALSE))=TRUE,'1) Import fichier Remi (coller)'!V15,VLOOKUP('1) Import fichier Remi (coller)'!K15&amp;" - "&amp;'1) Import fichier Remi (coller)'!L15,'Spécifique comptes'!$A:$G,IF(LEFT('2) BOB compta (completer-forcer'!F15,2)="11",4,IF(LEFT('2) BOB compta (completer-forcer'!F15,2)="12",5,IF(LEFT('2) BOB compta (completer-forcer'!F15,2)="13",6,IF(LEFT('2) BOB compta (completer-forcer'!F15,2)="15",7,"Erreur Compte")))),FALSE)))</f>
        <v>705099999</v>
      </c>
      <c r="I15" s="26" t="str">
        <f>IF(A15="","",IF(H15="70100000",'1) Import fichier Remi (coller)'!J15,'1) Import fichier Remi (coller)'!U15))</f>
        <v>+++003/7261/51734+++</v>
      </c>
      <c r="J15" s="26" t="str">
        <f>IF(A15="","",'1) Import fichier Remi (coller)'!U15)</f>
        <v>+++003/7261/51734+++</v>
      </c>
      <c r="K15" s="17">
        <f t="shared" si="1"/>
        <v>86.210000000000008</v>
      </c>
      <c r="L15" t="str">
        <f t="shared" si="0"/>
        <v>V</v>
      </c>
      <c r="M15" s="14">
        <f>IF(A15="","",'1) Import fichier Remi (coller)'!S15)</f>
        <v>21</v>
      </c>
      <c r="N15" s="17">
        <f>IF($A15="","",IF(OR($A15="NCV",$A15="NC15"),-'1) Import fichier Remi (coller)'!R15,'1) Import fichier Remi (coller)'!R15))</f>
        <v>23.75</v>
      </c>
      <c r="O15" s="17">
        <f>IF($A15="","",IF(OR($A15="NCV",$A15="NC15"),-'1) Import fichier Remi (coller)'!T15,'1) Import fichier Remi (coller)'!T15))</f>
        <v>4.99</v>
      </c>
      <c r="R15" t="str">
        <f>IF($A15="","",IF(ISERROR(VLOOKUP(LEFT('1) Import fichier Remi (coller)'!$A15,9),'Concordance client liv et fact'!$A:$H,8,FALSE))=TRUE,VLOOKUP(LEFT('1) Import fichier Remi (coller)'!$A15,9)+0,'Clients R2'!$A:$CY,2,FALSE),VLOOKUP(VLOOKUP(LEFT('1) Import fichier Remi (coller)'!$A15,9),'Concordance client liv et fact'!$A:$H,7,FALSE)+0,'Clients R2'!$A:$CY,2,FALSE)))</f>
        <v xml:space="preserve">COFIDENA SPRL          </v>
      </c>
      <c r="S15" t="str">
        <f>IF($A15="","",PROPER(IF(ISERROR(VLOOKUP(LEFT('1) Import fichier Remi (coller)'!$A15,9),'Concordance client liv et fact'!$A:$H,8,FALSE))=TRUE,VLOOKUP(LEFT('1) Import fichier Remi (coller)'!$A15,9)+0,'Clients R2'!$A:$CY,27,FALSE),VLOOKUP(VLOOKUP(LEFT('1) Import fichier Remi (coller)'!$A15,9),'Concordance client liv et fact'!$A:$H,7,FALSE)+0,'Clients R2'!$A:$CY,27,FALSE))))</f>
        <v xml:space="preserve">Allee Des Mesanges, 3              </v>
      </c>
      <c r="T15" t="str">
        <f>IF($A15="","",LEFT(UPPER(IF(ISERROR(VLOOKUP(LEFT('1) Import fichier Remi (coller)'!$A15,9),'Concordance client liv et fact'!$A:$H,8,FALSE))=TRUE,VLOOKUP(LEFT('1) Import fichier Remi (coller)'!$A15,9)+0,'Clients R2'!$A:$CY,28,FALSE),VLOOKUP(VLOOKUP(LEFT('1) Import fichier Remi (coller)'!$A15,9),'Concordance client liv et fact'!$A:$H,7,FALSE)+0,'Clients R2'!$A:$CY,28,FALSE))),2)&amp;UPPER(IF(ISERROR(VLOOKUP(LEFT('1) Import fichier Remi (coller)'!$A15,9),'Concordance client liv et fact'!$A:$H,8,FALSE))=TRUE,VLOOKUP(LEFT('1) Import fichier Remi (coller)'!$A15,9)+0,'Clients R2'!$A:$CY,29,FALSE),VLOOKUP(VLOOKUP(LEFT('1) Import fichier Remi (coller)'!$A15,9),'Concordance client liv et fact'!$A:$H,7,FALSE)+0,'Clients R2'!$A:$CY,29,FALSE))))</f>
        <v>B 4600</v>
      </c>
      <c r="U15" t="str">
        <f>IF($A15="","",PROPER(IF(ISERROR(VLOOKUP(LEFT('1) Import fichier Remi (coller)'!$A15,9),'Concordance client liv et fact'!$A:$H,8,FALSE))=TRUE,VLOOKUP(LEFT('1) Import fichier Remi (coller)'!$A15,9)+0,'Clients R2'!$A:$CY,30,FALSE),VLOOKUP(VLOOKUP(LEFT('1) Import fichier Remi (coller)'!$A15,9),'Concordance client liv et fact'!$A:$H,7,FALSE)+0,'Clients R2'!$A:$CY,30,FALSE))))</f>
        <v xml:space="preserve">Vise                          </v>
      </c>
      <c r="V15" t="str">
        <f>IF($A15="","",LEFT(UPPER(IF(ISERROR(VLOOKUP(LEFT('1) Import fichier Remi (coller)'!$A15,9),'Concordance client liv et fact'!$A:$H,8,FALSE))=TRUE,IF(VLOOKUP(LEFT('1) Import fichier Remi (coller)'!$A15,9)+0,'Clients R2'!$A:$CY,22,FALSE)=4,"NA",VLOOKUP(LEFT('1) Import fichier Remi (coller)'!$A15,9)+0,'Clients R2'!$A:$CY,3,FALSE)),IF(VLOOKUP(VLOOKUP(LEFT('1) Import fichier Remi (coller)'!$A15,9),'Concordance client liv et fact'!$A:$H,7,FALSE)+0,'Clients R2'!$A:$CY,22,FALSE)=4,"NA",VLOOKUP(VLOOKUP(LEFT('1) Import fichier Remi (coller)'!$A15,9),'Concordance client liv et fact'!$A:$H,7,FALSE)+0,'Clients R2'!$A:$CY,3,FALSE)))),2))</f>
        <v>BE</v>
      </c>
      <c r="W15" s="27"/>
      <c r="X15" s="27" t="str">
        <f>IF($A15="","",IF(ISERROR(VLOOKUP(LEFT('1) Import fichier Remi (coller)'!$A15,9),'Concordance client liv et fact'!$A:$H,8,FALSE))=TRUE,VLOOKUP(LEFT('1) Import fichier Remi (coller)'!$A15,9)+0,'Clients R2'!$A:$CY,102,FALSE),VLOOKUP(VLOOKUP(LEFT('1) Import fichier Remi (coller)'!$A15,9),'Concordance client liv et fact'!$A:$H,7,FALSE)+0,'Clients R2'!$A:$CY,102,FALSE)))</f>
        <v xml:space="preserve">cofidena@skynet.be                      </v>
      </c>
      <c r="Y15" t="str">
        <f>IF(A15="","",VLOOKUP(A15,'Libellés PDF'!$A$2:$B$5,2,FALSE)&amp;F15&amp;".PDF")</f>
        <v>CF11261517.PDF</v>
      </c>
      <c r="Z15" t="str">
        <f>IF(A15="","",IF(OR(H15="705099999",H15="705001002"),VLOOKUP('1) Import fichier Remi (coller)'!J15,'Analytique personnel'!$A:$B,2,FALSE),""))</f>
        <v>GDUHOUX</v>
      </c>
      <c r="AA15" t="str">
        <f>IF($A15="VE11","",IF(LEFT($H15,4)="7050","",IF('1) Import fichier Remi (coller)'!M15="","",'1) Import fichier Remi (coller)'!M15)))</f>
        <v/>
      </c>
      <c r="AB15" t="str">
        <f>IF($A15="VE11","",IF(LEFT($H15,4)="7050","",IF('1) Import fichier Remi (coller)'!N15="","",'1) Import fichier Remi (coller)'!N15)))</f>
        <v/>
      </c>
      <c r="AC15" t="str">
        <f>IF(A15="","",VLOOKUP(LEFT('1) Import fichier Remi (coller)'!A15,9)+0,'Concordance Client R2 BOB'!$B:$C,2,FALSE))</f>
        <v>COFIDENA</v>
      </c>
    </row>
    <row r="16" spans="1:29" ht="18.75" customHeight="1" x14ac:dyDescent="0.25">
      <c r="A16" t="str">
        <f>IF('1) Import fichier Remi (coller)'!D16="","",'1) Import fichier Remi (coller)'!D16)</f>
        <v>VE11</v>
      </c>
      <c r="B16">
        <f>IF(A16="","",YEAR('1) Import fichier Remi (coller)'!F16))</f>
        <v>2026</v>
      </c>
      <c r="C16">
        <f>IF(A16="","",MONTH('1) Import fichier Remi (coller)'!F16))</f>
        <v>9</v>
      </c>
      <c r="D16" s="1">
        <f>IF(A16="","",'1) Import fichier Remi (coller)'!F16)</f>
        <v>46281</v>
      </c>
      <c r="E16" s="1">
        <f>IF(A16="","",'1) Import fichier Remi (coller)'!G16)</f>
        <v>46281</v>
      </c>
      <c r="F16" t="str">
        <f>IF(A16="","",'1) Import fichier Remi (coller)'!E16)</f>
        <v>11261517</v>
      </c>
      <c r="G16" t="str">
        <f>IF(A16="","",IF(ISERROR(VLOOKUP(LEFT('1) Import fichier Remi (coller)'!A16,9),'Concordance client liv et fact'!$A:$H,8,FALSE))=TRUE,'1) Import fichier Remi (coller)'!B16,VLOOKUP(LEFT('1) Import fichier Remi (coller)'!A16,9),'Concordance client liv et fact'!$A:$H,8,FALSE)))</f>
        <v>COFIDENA</v>
      </c>
      <c r="H16" t="str">
        <f>IF(A16="","",IF(ISERROR(VLOOKUP('1) Import fichier Remi (coller)'!K16&amp;" - "&amp;'1) Import fichier Remi (coller)'!L16,'Spécifique comptes'!$A:$G,1,FALSE))=TRUE,'1) Import fichier Remi (coller)'!V16,VLOOKUP('1) Import fichier Remi (coller)'!K16&amp;" - "&amp;'1) Import fichier Remi (coller)'!L16,'Spécifique comptes'!$A:$G,IF(LEFT('2) BOB compta (completer-forcer'!F16,2)="11",4,IF(LEFT('2) BOB compta (completer-forcer'!F16,2)="12",5,IF(LEFT('2) BOB compta (completer-forcer'!F16,2)="13",6,IF(LEFT('2) BOB compta (completer-forcer'!F16,2)="15",7,"Erreur Compte")))),FALSE)))</f>
        <v>705099999</v>
      </c>
      <c r="I16" s="26" t="str">
        <f>IF(A16="","",IF(H16="70100000",'1) Import fichier Remi (coller)'!J16,'1) Import fichier Remi (coller)'!U16))</f>
        <v>+++003/7261/51734+++</v>
      </c>
      <c r="J16" s="26" t="str">
        <f>IF(A16="","",'1) Import fichier Remi (coller)'!U16)</f>
        <v>+++003/7261/51734+++</v>
      </c>
      <c r="K16" s="17">
        <f t="shared" si="1"/>
        <v>86.210000000000008</v>
      </c>
      <c r="L16" t="str">
        <f t="shared" si="0"/>
        <v>V</v>
      </c>
      <c r="M16" s="14">
        <f>IF(A16="","",'1) Import fichier Remi (coller)'!S16)</f>
        <v>21</v>
      </c>
      <c r="N16" s="17">
        <f>IF($A16="","",IF(OR($A16="NCV",$A16="NC15"),-'1) Import fichier Remi (coller)'!R16,'1) Import fichier Remi (coller)'!R16))</f>
        <v>47.5</v>
      </c>
      <c r="O16" s="17">
        <f>IF($A16="","",IF(OR($A16="NCV",$A16="NC15"),-'1) Import fichier Remi (coller)'!T16,'1) Import fichier Remi (coller)'!T16))</f>
        <v>9.9700000000000006</v>
      </c>
      <c r="R16" t="str">
        <f>IF($A16="","",IF(ISERROR(VLOOKUP(LEFT('1) Import fichier Remi (coller)'!$A16,9),'Concordance client liv et fact'!$A:$H,8,FALSE))=TRUE,VLOOKUP(LEFT('1) Import fichier Remi (coller)'!$A16,9)+0,'Clients R2'!$A:$CY,2,FALSE),VLOOKUP(VLOOKUP(LEFT('1) Import fichier Remi (coller)'!$A16,9),'Concordance client liv et fact'!$A:$H,7,FALSE)+0,'Clients R2'!$A:$CY,2,FALSE)))</f>
        <v xml:space="preserve">COFIDENA SPRL          </v>
      </c>
      <c r="S16" t="str">
        <f>IF($A16="","",PROPER(IF(ISERROR(VLOOKUP(LEFT('1) Import fichier Remi (coller)'!$A16,9),'Concordance client liv et fact'!$A:$H,8,FALSE))=TRUE,VLOOKUP(LEFT('1) Import fichier Remi (coller)'!$A16,9)+0,'Clients R2'!$A:$CY,27,FALSE),VLOOKUP(VLOOKUP(LEFT('1) Import fichier Remi (coller)'!$A16,9),'Concordance client liv et fact'!$A:$H,7,FALSE)+0,'Clients R2'!$A:$CY,27,FALSE))))</f>
        <v xml:space="preserve">Allee Des Mesanges, 3              </v>
      </c>
      <c r="T16" t="str">
        <f>IF($A16="","",LEFT(UPPER(IF(ISERROR(VLOOKUP(LEFT('1) Import fichier Remi (coller)'!$A16,9),'Concordance client liv et fact'!$A:$H,8,FALSE))=TRUE,VLOOKUP(LEFT('1) Import fichier Remi (coller)'!$A16,9)+0,'Clients R2'!$A:$CY,28,FALSE),VLOOKUP(VLOOKUP(LEFT('1) Import fichier Remi (coller)'!$A16,9),'Concordance client liv et fact'!$A:$H,7,FALSE)+0,'Clients R2'!$A:$CY,28,FALSE))),2)&amp;UPPER(IF(ISERROR(VLOOKUP(LEFT('1) Import fichier Remi (coller)'!$A16,9),'Concordance client liv et fact'!$A:$H,8,FALSE))=TRUE,VLOOKUP(LEFT('1) Import fichier Remi (coller)'!$A16,9)+0,'Clients R2'!$A:$CY,29,FALSE),VLOOKUP(VLOOKUP(LEFT('1) Import fichier Remi (coller)'!$A16,9),'Concordance client liv et fact'!$A:$H,7,FALSE)+0,'Clients R2'!$A:$CY,29,FALSE))))</f>
        <v>B 4600</v>
      </c>
      <c r="U16" t="str">
        <f>IF($A16="","",PROPER(IF(ISERROR(VLOOKUP(LEFT('1) Import fichier Remi (coller)'!$A16,9),'Concordance client liv et fact'!$A:$H,8,FALSE))=TRUE,VLOOKUP(LEFT('1) Import fichier Remi (coller)'!$A16,9)+0,'Clients R2'!$A:$CY,30,FALSE),VLOOKUP(VLOOKUP(LEFT('1) Import fichier Remi (coller)'!$A16,9),'Concordance client liv et fact'!$A:$H,7,FALSE)+0,'Clients R2'!$A:$CY,30,FALSE))))</f>
        <v xml:space="preserve">Vise                          </v>
      </c>
      <c r="V16" t="str">
        <f>IF($A16="","",LEFT(UPPER(IF(ISERROR(VLOOKUP(LEFT('1) Import fichier Remi (coller)'!$A16,9),'Concordance client liv et fact'!$A:$H,8,FALSE))=TRUE,IF(VLOOKUP(LEFT('1) Import fichier Remi (coller)'!$A16,9)+0,'Clients R2'!$A:$CY,22,FALSE)=4,"NA",VLOOKUP(LEFT('1) Import fichier Remi (coller)'!$A16,9)+0,'Clients R2'!$A:$CY,3,FALSE)),IF(VLOOKUP(VLOOKUP(LEFT('1) Import fichier Remi (coller)'!$A16,9),'Concordance client liv et fact'!$A:$H,7,FALSE)+0,'Clients R2'!$A:$CY,22,FALSE)=4,"NA",VLOOKUP(VLOOKUP(LEFT('1) Import fichier Remi (coller)'!$A16,9),'Concordance client liv et fact'!$A:$H,7,FALSE)+0,'Clients R2'!$A:$CY,3,FALSE)))),2))</f>
        <v>BE</v>
      </c>
      <c r="W16" s="27"/>
      <c r="X16" s="27" t="str">
        <f>IF($A16="","",IF(ISERROR(VLOOKUP(LEFT('1) Import fichier Remi (coller)'!$A16,9),'Concordance client liv et fact'!$A:$H,8,FALSE))=TRUE,VLOOKUP(LEFT('1) Import fichier Remi (coller)'!$A16,9)+0,'Clients R2'!$A:$CY,102,FALSE),VLOOKUP(VLOOKUP(LEFT('1) Import fichier Remi (coller)'!$A16,9),'Concordance client liv et fact'!$A:$H,7,FALSE)+0,'Clients R2'!$A:$CY,102,FALSE)))</f>
        <v xml:space="preserve">cofidena@skynet.be                      </v>
      </c>
      <c r="Y16" t="str">
        <f>IF(A16="","",VLOOKUP(A16,'Libellés PDF'!$A$2:$B$5,2,FALSE)&amp;F16&amp;".PDF")</f>
        <v>CF11261517.PDF</v>
      </c>
      <c r="Z16" t="str">
        <f>IF(A16="","",IF(OR(H16="705099999",H16="705001002"),VLOOKUP('1) Import fichier Remi (coller)'!J16,'Analytique personnel'!$A:$B,2,FALSE),""))</f>
        <v>GDUHOUX</v>
      </c>
      <c r="AA16" t="str">
        <f>IF($A16="VE11","",IF(LEFT($H16,4)="7050","",IF('1) Import fichier Remi (coller)'!M16="","",'1) Import fichier Remi (coller)'!M16)))</f>
        <v/>
      </c>
      <c r="AB16" t="str">
        <f>IF($A16="VE11","",IF(LEFT($H16,4)="7050","",IF('1) Import fichier Remi (coller)'!N16="","",'1) Import fichier Remi (coller)'!N16)))</f>
        <v/>
      </c>
      <c r="AC16" t="str">
        <f>IF(A16="","",VLOOKUP(LEFT('1) Import fichier Remi (coller)'!A16,9)+0,'Concordance Client R2 BOB'!$B:$C,2,FALSE))</f>
        <v>COFIDENA</v>
      </c>
    </row>
    <row r="17" spans="1:29" ht="18.75" customHeight="1" x14ac:dyDescent="0.25">
      <c r="A17" t="str">
        <f>IF('1) Import fichier Remi (coller)'!D17="","",'1) Import fichier Remi (coller)'!D17)</f>
        <v>VE11</v>
      </c>
      <c r="B17">
        <f>IF(A17="","",YEAR('1) Import fichier Remi (coller)'!F17))</f>
        <v>2026</v>
      </c>
      <c r="C17">
        <f>IF(A17="","",MONTH('1) Import fichier Remi (coller)'!F17))</f>
        <v>9</v>
      </c>
      <c r="D17" s="1">
        <f>IF(A17="","",'1) Import fichier Remi (coller)'!F17)</f>
        <v>46281</v>
      </c>
      <c r="E17" s="1">
        <f>IF(A17="","",'1) Import fichier Remi (coller)'!G17)</f>
        <v>46281</v>
      </c>
      <c r="F17" t="str">
        <f>IF(A17="","",'1) Import fichier Remi (coller)'!E17)</f>
        <v>11261518</v>
      </c>
      <c r="G17" t="str">
        <f>IF(A17="","",IF(ISERROR(VLOOKUP(LEFT('1) Import fichier Remi (coller)'!A17,9),'Concordance client liv et fact'!$A:$H,8,FALSE))=TRUE,'1) Import fichier Remi (coller)'!B17,VLOOKUP(LEFT('1) Import fichier Remi (coller)'!A17,9),'Concordance client liv et fact'!$A:$H,8,FALSE)))</f>
        <v>HMC</v>
      </c>
      <c r="H17" t="str">
        <f>IF(A17="","",IF(ISERROR(VLOOKUP('1) Import fichier Remi (coller)'!K17&amp;" - "&amp;'1) Import fichier Remi (coller)'!L17,'Spécifique comptes'!$A:$G,1,FALSE))=TRUE,'1) Import fichier Remi (coller)'!V17,VLOOKUP('1) Import fichier Remi (coller)'!K17&amp;" - "&amp;'1) Import fichier Remi (coller)'!L17,'Spécifique comptes'!$A:$G,IF(LEFT('2) BOB compta (completer-forcer'!F17,2)="11",4,IF(LEFT('2) BOB compta (completer-forcer'!F17,2)="12",5,IF(LEFT('2) BOB compta (completer-forcer'!F17,2)="13",6,IF(LEFT('2) BOB compta (completer-forcer'!F17,2)="15",7,"Erreur Compte")))),FALSE)))</f>
        <v>705099999</v>
      </c>
      <c r="I17" s="26" t="str">
        <f>IF(A17="","",IF(H17="70100000",'1) Import fichier Remi (coller)'!J17,'1) Import fichier Remi (coller)'!U17))</f>
        <v>+++003/7261/51835+++</v>
      </c>
      <c r="J17" s="26" t="str">
        <f>IF(A17="","",'1) Import fichier Remi (coller)'!U17)</f>
        <v>+++003/7261/51835+++</v>
      </c>
      <c r="K17" s="17">
        <f t="shared" si="1"/>
        <v>57.480000000000004</v>
      </c>
      <c r="L17" t="str">
        <f t="shared" si="0"/>
        <v>V</v>
      </c>
      <c r="M17" s="14">
        <f>IF(A17="","",'1) Import fichier Remi (coller)'!S17)</f>
        <v>21</v>
      </c>
      <c r="N17" s="17">
        <f>IF($A17="","",IF(OR($A17="NCV",$A17="NC15"),-'1) Import fichier Remi (coller)'!R17,'1) Import fichier Remi (coller)'!R17))</f>
        <v>23.75</v>
      </c>
      <c r="O17" s="17">
        <f>IF($A17="","",IF(OR($A17="NCV",$A17="NC15"),-'1) Import fichier Remi (coller)'!T17,'1) Import fichier Remi (coller)'!T17))</f>
        <v>4.99</v>
      </c>
      <c r="R17" t="str">
        <f>IF($A17="","",IF(ISERROR(VLOOKUP(LEFT('1) Import fichier Remi (coller)'!$A17,9),'Concordance client liv et fact'!$A:$H,8,FALSE))=TRUE,VLOOKUP(LEFT('1) Import fichier Remi (coller)'!$A17,9)+0,'Clients R2'!$A:$CY,2,FALSE),VLOOKUP(VLOOKUP(LEFT('1) Import fichier Remi (coller)'!$A17,9),'Concordance client liv et fact'!$A:$H,7,FALSE)+0,'Clients R2'!$A:$CY,2,FALSE)))</f>
        <v xml:space="preserve">HMC BELGIUM SPRL       </v>
      </c>
      <c r="S17" t="str">
        <f>IF($A17="","",PROPER(IF(ISERROR(VLOOKUP(LEFT('1) Import fichier Remi (coller)'!$A17,9),'Concordance client liv et fact'!$A:$H,8,FALSE))=TRUE,VLOOKUP(LEFT('1) Import fichier Remi (coller)'!$A17,9)+0,'Clients R2'!$A:$CY,27,FALSE),VLOOKUP(VLOOKUP(LEFT('1) Import fichier Remi (coller)'!$A17,9),'Concordance client liv et fact'!$A:$H,7,FALSE)+0,'Clients R2'!$A:$CY,27,FALSE))))</f>
        <v xml:space="preserve">Rue De Gaillarmont, 95             </v>
      </c>
      <c r="T17" t="str">
        <f>IF($A17="","",LEFT(UPPER(IF(ISERROR(VLOOKUP(LEFT('1) Import fichier Remi (coller)'!$A17,9),'Concordance client liv et fact'!$A:$H,8,FALSE))=TRUE,VLOOKUP(LEFT('1) Import fichier Remi (coller)'!$A17,9)+0,'Clients R2'!$A:$CY,28,FALSE),VLOOKUP(VLOOKUP(LEFT('1) Import fichier Remi (coller)'!$A17,9),'Concordance client liv et fact'!$A:$H,7,FALSE)+0,'Clients R2'!$A:$CY,28,FALSE))),2)&amp;UPPER(IF(ISERROR(VLOOKUP(LEFT('1) Import fichier Remi (coller)'!$A17,9),'Concordance client liv et fact'!$A:$H,8,FALSE))=TRUE,VLOOKUP(LEFT('1) Import fichier Remi (coller)'!$A17,9)+0,'Clients R2'!$A:$CY,29,FALSE),VLOOKUP(VLOOKUP(LEFT('1) Import fichier Remi (coller)'!$A17,9),'Concordance client liv et fact'!$A:$H,7,FALSE)+0,'Clients R2'!$A:$CY,29,FALSE))))</f>
        <v>B 4032</v>
      </c>
      <c r="U17" t="str">
        <f>IF($A17="","",PROPER(IF(ISERROR(VLOOKUP(LEFT('1) Import fichier Remi (coller)'!$A17,9),'Concordance client liv et fact'!$A:$H,8,FALSE))=TRUE,VLOOKUP(LEFT('1) Import fichier Remi (coller)'!$A17,9)+0,'Clients R2'!$A:$CY,30,FALSE),VLOOKUP(VLOOKUP(LEFT('1) Import fichier Remi (coller)'!$A17,9),'Concordance client liv et fact'!$A:$H,7,FALSE)+0,'Clients R2'!$A:$CY,30,FALSE))))</f>
        <v xml:space="preserve">Liege                         </v>
      </c>
      <c r="V17" t="str">
        <f>IF($A17="","",LEFT(UPPER(IF(ISERROR(VLOOKUP(LEFT('1) Import fichier Remi (coller)'!$A17,9),'Concordance client liv et fact'!$A:$H,8,FALSE))=TRUE,IF(VLOOKUP(LEFT('1) Import fichier Remi (coller)'!$A17,9)+0,'Clients R2'!$A:$CY,22,FALSE)=4,"NA",VLOOKUP(LEFT('1) Import fichier Remi (coller)'!$A17,9)+0,'Clients R2'!$A:$CY,3,FALSE)),IF(VLOOKUP(VLOOKUP(LEFT('1) Import fichier Remi (coller)'!$A17,9),'Concordance client liv et fact'!$A:$H,7,FALSE)+0,'Clients R2'!$A:$CY,22,FALSE)=4,"NA",VLOOKUP(VLOOKUP(LEFT('1) Import fichier Remi (coller)'!$A17,9),'Concordance client liv et fact'!$A:$H,7,FALSE)+0,'Clients R2'!$A:$CY,3,FALSE)))),2))</f>
        <v>BE</v>
      </c>
      <c r="W17" s="27"/>
      <c r="X17" s="27" t="str">
        <f>IF($A17="","",IF(ISERROR(VLOOKUP(LEFT('1) Import fichier Remi (coller)'!$A17,9),'Concordance client liv et fact'!$A:$H,8,FALSE))=TRUE,VLOOKUP(LEFT('1) Import fichier Remi (coller)'!$A17,9)+0,'Clients R2'!$A:$CY,102,FALSE),VLOOKUP(VLOOKUP(LEFT('1) Import fichier Remi (coller)'!$A17,9),'Concordance client liv et fact'!$A:$H,7,FALSE)+0,'Clients R2'!$A:$CY,102,FALSE)))</f>
        <v xml:space="preserve">direction@hmcbelgium.com                </v>
      </c>
      <c r="Y17" t="str">
        <f>IF(A17="","",VLOOKUP(A17,'Libellés PDF'!$A$2:$B$5,2,FALSE)&amp;F17&amp;".PDF")</f>
        <v>CF11261518.PDF</v>
      </c>
      <c r="Z17" t="str">
        <f>IF(A17="","",IF(OR(H17="705099999",H17="705001002"),VLOOKUP('1) Import fichier Remi (coller)'!J17,'Analytique personnel'!$A:$B,2,FALSE),""))</f>
        <v>GDUHOUX</v>
      </c>
      <c r="AA17" t="str">
        <f>IF($A17="VE11","",IF(LEFT($H17,4)="7050","",IF('1) Import fichier Remi (coller)'!M17="","",'1) Import fichier Remi (coller)'!M17)))</f>
        <v/>
      </c>
      <c r="AB17" t="str">
        <f>IF($A17="VE11","",IF(LEFT($H17,4)="7050","",IF('1) Import fichier Remi (coller)'!N17="","",'1) Import fichier Remi (coller)'!N17)))</f>
        <v/>
      </c>
      <c r="AC17" t="str">
        <f>IF(A17="","",VLOOKUP(LEFT('1) Import fichier Remi (coller)'!A17,9)+0,'Concordance Client R2 BOB'!$B:$C,2,FALSE))</f>
        <v>HMC</v>
      </c>
    </row>
    <row r="18" spans="1:29" ht="18.75" customHeight="1" x14ac:dyDescent="0.25">
      <c r="A18" t="str">
        <f>IF('1) Import fichier Remi (coller)'!D18="","",'1) Import fichier Remi (coller)'!D18)</f>
        <v>VE11</v>
      </c>
      <c r="B18">
        <f>IF(A18="","",YEAR('1) Import fichier Remi (coller)'!F18))</f>
        <v>2026</v>
      </c>
      <c r="C18">
        <f>IF(A18="","",MONTH('1) Import fichier Remi (coller)'!F18))</f>
        <v>9</v>
      </c>
      <c r="D18" s="1">
        <f>IF(A18="","",'1) Import fichier Remi (coller)'!F18)</f>
        <v>46281</v>
      </c>
      <c r="E18" s="1">
        <f>IF(A18="","",'1) Import fichier Remi (coller)'!G18)</f>
        <v>46281</v>
      </c>
      <c r="F18" t="str">
        <f>IF(A18="","",'1) Import fichier Remi (coller)'!E18)</f>
        <v>11261518</v>
      </c>
      <c r="G18" t="str">
        <f>IF(A18="","",IF(ISERROR(VLOOKUP(LEFT('1) Import fichier Remi (coller)'!A18,9),'Concordance client liv et fact'!$A:$H,8,FALSE))=TRUE,'1) Import fichier Remi (coller)'!B18,VLOOKUP(LEFT('1) Import fichier Remi (coller)'!A18,9),'Concordance client liv et fact'!$A:$H,8,FALSE)))</f>
        <v>HMC</v>
      </c>
      <c r="H18" t="str">
        <f>IF(A18="","",IF(ISERROR(VLOOKUP('1) Import fichier Remi (coller)'!K18&amp;" - "&amp;'1) Import fichier Remi (coller)'!L18,'Spécifique comptes'!$A:$G,1,FALSE))=TRUE,'1) Import fichier Remi (coller)'!V18,VLOOKUP('1) Import fichier Remi (coller)'!K18&amp;" - "&amp;'1) Import fichier Remi (coller)'!L18,'Spécifique comptes'!$A:$G,IF(LEFT('2) BOB compta (completer-forcer'!F18,2)="11",4,IF(LEFT('2) BOB compta (completer-forcer'!F18,2)="12",5,IF(LEFT('2) BOB compta (completer-forcer'!F18,2)="13",6,IF(LEFT('2) BOB compta (completer-forcer'!F18,2)="15",7,"Erreur Compte")))),FALSE)))</f>
        <v>705099999</v>
      </c>
      <c r="I18" s="26" t="str">
        <f>IF(A18="","",IF(H18="70100000",'1) Import fichier Remi (coller)'!J18,'1) Import fichier Remi (coller)'!U18))</f>
        <v>+++003/7261/51835+++</v>
      </c>
      <c r="J18" s="26" t="str">
        <f>IF(A18="","",'1) Import fichier Remi (coller)'!U18)</f>
        <v>+++003/7261/51835+++</v>
      </c>
      <c r="K18" s="17">
        <f t="shared" si="1"/>
        <v>57.480000000000004</v>
      </c>
      <c r="L18" t="str">
        <f t="shared" si="0"/>
        <v>V</v>
      </c>
      <c r="M18" s="14">
        <f>IF(A18="","",'1) Import fichier Remi (coller)'!S18)</f>
        <v>21</v>
      </c>
      <c r="N18" s="17">
        <f>IF($A18="","",IF(OR($A18="NCV",$A18="NC15"),-'1) Import fichier Remi (coller)'!R18,'1) Import fichier Remi (coller)'!R18))</f>
        <v>23.75</v>
      </c>
      <c r="O18" s="17">
        <f>IF($A18="","",IF(OR($A18="NCV",$A18="NC15"),-'1) Import fichier Remi (coller)'!T18,'1) Import fichier Remi (coller)'!T18))</f>
        <v>4.99</v>
      </c>
      <c r="R18" t="str">
        <f>IF($A18="","",IF(ISERROR(VLOOKUP(LEFT('1) Import fichier Remi (coller)'!$A18,9),'Concordance client liv et fact'!$A:$H,8,FALSE))=TRUE,VLOOKUP(LEFT('1) Import fichier Remi (coller)'!$A18,9)+0,'Clients R2'!$A:$CY,2,FALSE),VLOOKUP(VLOOKUP(LEFT('1) Import fichier Remi (coller)'!$A18,9),'Concordance client liv et fact'!$A:$H,7,FALSE)+0,'Clients R2'!$A:$CY,2,FALSE)))</f>
        <v xml:space="preserve">HMC BELGIUM SPRL       </v>
      </c>
      <c r="S18" t="str">
        <f>IF($A18="","",PROPER(IF(ISERROR(VLOOKUP(LEFT('1) Import fichier Remi (coller)'!$A18,9),'Concordance client liv et fact'!$A:$H,8,FALSE))=TRUE,VLOOKUP(LEFT('1) Import fichier Remi (coller)'!$A18,9)+0,'Clients R2'!$A:$CY,27,FALSE),VLOOKUP(VLOOKUP(LEFT('1) Import fichier Remi (coller)'!$A18,9),'Concordance client liv et fact'!$A:$H,7,FALSE)+0,'Clients R2'!$A:$CY,27,FALSE))))</f>
        <v xml:space="preserve">Rue De Gaillarmont, 95             </v>
      </c>
      <c r="T18" t="str">
        <f>IF($A18="","",LEFT(UPPER(IF(ISERROR(VLOOKUP(LEFT('1) Import fichier Remi (coller)'!$A18,9),'Concordance client liv et fact'!$A:$H,8,FALSE))=TRUE,VLOOKUP(LEFT('1) Import fichier Remi (coller)'!$A18,9)+0,'Clients R2'!$A:$CY,28,FALSE),VLOOKUP(VLOOKUP(LEFT('1) Import fichier Remi (coller)'!$A18,9),'Concordance client liv et fact'!$A:$H,7,FALSE)+0,'Clients R2'!$A:$CY,28,FALSE))),2)&amp;UPPER(IF(ISERROR(VLOOKUP(LEFT('1) Import fichier Remi (coller)'!$A18,9),'Concordance client liv et fact'!$A:$H,8,FALSE))=TRUE,VLOOKUP(LEFT('1) Import fichier Remi (coller)'!$A18,9)+0,'Clients R2'!$A:$CY,29,FALSE),VLOOKUP(VLOOKUP(LEFT('1) Import fichier Remi (coller)'!$A18,9),'Concordance client liv et fact'!$A:$H,7,FALSE)+0,'Clients R2'!$A:$CY,29,FALSE))))</f>
        <v>B 4032</v>
      </c>
      <c r="U18" t="str">
        <f>IF($A18="","",PROPER(IF(ISERROR(VLOOKUP(LEFT('1) Import fichier Remi (coller)'!$A18,9),'Concordance client liv et fact'!$A:$H,8,FALSE))=TRUE,VLOOKUP(LEFT('1) Import fichier Remi (coller)'!$A18,9)+0,'Clients R2'!$A:$CY,30,FALSE),VLOOKUP(VLOOKUP(LEFT('1) Import fichier Remi (coller)'!$A18,9),'Concordance client liv et fact'!$A:$H,7,FALSE)+0,'Clients R2'!$A:$CY,30,FALSE))))</f>
        <v xml:space="preserve">Liege                         </v>
      </c>
      <c r="V18" t="str">
        <f>IF($A18="","",LEFT(UPPER(IF(ISERROR(VLOOKUP(LEFT('1) Import fichier Remi (coller)'!$A18,9),'Concordance client liv et fact'!$A:$H,8,FALSE))=TRUE,IF(VLOOKUP(LEFT('1) Import fichier Remi (coller)'!$A18,9)+0,'Clients R2'!$A:$CY,22,FALSE)=4,"NA",VLOOKUP(LEFT('1) Import fichier Remi (coller)'!$A18,9)+0,'Clients R2'!$A:$CY,3,FALSE)),IF(VLOOKUP(VLOOKUP(LEFT('1) Import fichier Remi (coller)'!$A18,9),'Concordance client liv et fact'!$A:$H,7,FALSE)+0,'Clients R2'!$A:$CY,22,FALSE)=4,"NA",VLOOKUP(VLOOKUP(LEFT('1) Import fichier Remi (coller)'!$A18,9),'Concordance client liv et fact'!$A:$H,7,FALSE)+0,'Clients R2'!$A:$CY,3,FALSE)))),2))</f>
        <v>BE</v>
      </c>
      <c r="W18" s="27"/>
      <c r="X18" s="27" t="str">
        <f>IF($A18="","",IF(ISERROR(VLOOKUP(LEFT('1) Import fichier Remi (coller)'!$A18,9),'Concordance client liv et fact'!$A:$H,8,FALSE))=TRUE,VLOOKUP(LEFT('1) Import fichier Remi (coller)'!$A18,9)+0,'Clients R2'!$A:$CY,102,FALSE),VLOOKUP(VLOOKUP(LEFT('1) Import fichier Remi (coller)'!$A18,9),'Concordance client liv et fact'!$A:$H,7,FALSE)+0,'Clients R2'!$A:$CY,102,FALSE)))</f>
        <v xml:space="preserve">direction@hmcbelgium.com                </v>
      </c>
      <c r="Y18" t="str">
        <f>IF(A18="","",VLOOKUP(A18,'Libellés PDF'!$A$2:$B$5,2,FALSE)&amp;F18&amp;".PDF")</f>
        <v>CF11261518.PDF</v>
      </c>
      <c r="Z18" t="str">
        <f>IF(A18="","",IF(OR(H18="705099999",H18="705001002"),VLOOKUP('1) Import fichier Remi (coller)'!J18,'Analytique personnel'!$A:$B,2,FALSE),""))</f>
        <v>GDUHOUX</v>
      </c>
      <c r="AA18" t="str">
        <f>IF($A18="VE11","",IF(LEFT($H18,4)="7050","",IF('1) Import fichier Remi (coller)'!M18="","",'1) Import fichier Remi (coller)'!M18)))</f>
        <v/>
      </c>
      <c r="AB18" t="str">
        <f>IF($A18="VE11","",IF(LEFT($H18,4)="7050","",IF('1) Import fichier Remi (coller)'!N18="","",'1) Import fichier Remi (coller)'!N18)))</f>
        <v/>
      </c>
      <c r="AC18" t="str">
        <f>IF(A18="","",VLOOKUP(LEFT('1) Import fichier Remi (coller)'!A18,9)+0,'Concordance Client R2 BOB'!$B:$C,2,FALSE))</f>
        <v>HMC</v>
      </c>
    </row>
    <row r="19" spans="1:29" ht="18.75" customHeight="1" x14ac:dyDescent="0.25">
      <c r="A19" t="str">
        <f>IF('1) Import fichier Remi (coller)'!D19="","",'1) Import fichier Remi (coller)'!D19)</f>
        <v>VE11</v>
      </c>
      <c r="B19">
        <f>IF(A19="","",YEAR('1) Import fichier Remi (coller)'!F19))</f>
        <v>2026</v>
      </c>
      <c r="C19">
        <f>IF(A19="","",MONTH('1) Import fichier Remi (coller)'!F19))</f>
        <v>9</v>
      </c>
      <c r="D19" s="1">
        <f>IF(A19="","",'1) Import fichier Remi (coller)'!F19)</f>
        <v>46281</v>
      </c>
      <c r="E19" s="1">
        <f>IF(A19="","",'1) Import fichier Remi (coller)'!G19)</f>
        <v>46281</v>
      </c>
      <c r="F19" t="str">
        <f>IF(A19="","",'1) Import fichier Remi (coller)'!E19)</f>
        <v>11261519</v>
      </c>
      <c r="G19" t="str">
        <f>IF(A19="","",IF(ISERROR(VLOOKUP(LEFT('1) Import fichier Remi (coller)'!A19,9),'Concordance client liv et fact'!$A:$H,8,FALSE))=TRUE,'1) Import fichier Remi (coller)'!B19,VLOOKUP(LEFT('1) Import fichier Remi (coller)'!A19,9),'Concordance client liv et fact'!$A:$H,8,FALSE)))</f>
        <v>DIGITALLIF</v>
      </c>
      <c r="H19" t="str">
        <f>IF(A19="","",IF(ISERROR(VLOOKUP('1) Import fichier Remi (coller)'!K19&amp;" - "&amp;'1) Import fichier Remi (coller)'!L19,'Spécifique comptes'!$A:$G,1,FALSE))=TRUE,'1) Import fichier Remi (coller)'!V19,VLOOKUP('1) Import fichier Remi (coller)'!K19&amp;" - "&amp;'1) Import fichier Remi (coller)'!L19,'Spécifique comptes'!$A:$G,IF(LEFT('2) BOB compta (completer-forcer'!F19,2)="11",4,IF(LEFT('2) BOB compta (completer-forcer'!F19,2)="12",5,IF(LEFT('2) BOB compta (completer-forcer'!F19,2)="13",6,IF(LEFT('2) BOB compta (completer-forcer'!F19,2)="15",7,"Erreur Compte")))),FALSE)))</f>
        <v xml:space="preserve">705002000 </v>
      </c>
      <c r="I19" s="26" t="str">
        <f>IF(A19="","",IF(H19="70100000",'1) Import fichier Remi (coller)'!J19,'1) Import fichier Remi (coller)'!U19))</f>
        <v>+++003/7261/51936+++</v>
      </c>
      <c r="J19" s="26" t="str">
        <f>IF(A19="","",'1) Import fichier Remi (coller)'!U19)</f>
        <v>+++003/7261/51936+++</v>
      </c>
      <c r="K19" s="17">
        <f t="shared" si="1"/>
        <v>268.62</v>
      </c>
      <c r="L19" t="str">
        <f t="shared" si="0"/>
        <v>V</v>
      </c>
      <c r="M19" s="14">
        <f>IF(A19="","",'1) Import fichier Remi (coller)'!S19)</f>
        <v>21</v>
      </c>
      <c r="N19" s="17">
        <f>IF($A19="","",IF(OR($A19="NCV",$A19="NC15"),-'1) Import fichier Remi (coller)'!R19,'1) Import fichier Remi (coller)'!R19))</f>
        <v>18</v>
      </c>
      <c r="O19" s="17">
        <f>IF($A19="","",IF(OR($A19="NCV",$A19="NC15"),-'1) Import fichier Remi (coller)'!T19,'1) Import fichier Remi (coller)'!T19))</f>
        <v>3.78</v>
      </c>
      <c r="R19" t="str">
        <f>IF($A19="","",IF(ISERROR(VLOOKUP(LEFT('1) Import fichier Remi (coller)'!$A19,9),'Concordance client liv et fact'!$A:$H,8,FALSE))=TRUE,VLOOKUP(LEFT('1) Import fichier Remi (coller)'!$A19,9)+0,'Clients R2'!$A:$CY,2,FALSE),VLOOKUP(VLOOKUP(LEFT('1) Import fichier Remi (coller)'!$A19,9),'Concordance client liv et fact'!$A:$H,7,FALSE)+0,'Clients R2'!$A:$CY,2,FALSE)))</f>
        <v xml:space="preserve">DIGITAL LIFE           </v>
      </c>
      <c r="S19" t="str">
        <f>IF($A19="","",PROPER(IF(ISERROR(VLOOKUP(LEFT('1) Import fichier Remi (coller)'!$A19,9),'Concordance client liv et fact'!$A:$H,8,FALSE))=TRUE,VLOOKUP(LEFT('1) Import fichier Remi (coller)'!$A19,9)+0,'Clients R2'!$A:$CY,27,FALSE),VLOOKUP(VLOOKUP(LEFT('1) Import fichier Remi (coller)'!$A19,9),'Concordance client liv et fact'!$A:$H,7,FALSE)+0,'Clients R2'!$A:$CY,27,FALSE))))</f>
        <v xml:space="preserve">Avenue Pasteur, 6 - Bat H          </v>
      </c>
      <c r="T19" t="str">
        <f>IF($A19="","",LEFT(UPPER(IF(ISERROR(VLOOKUP(LEFT('1) Import fichier Remi (coller)'!$A19,9),'Concordance client liv et fact'!$A:$H,8,FALSE))=TRUE,VLOOKUP(LEFT('1) Import fichier Remi (coller)'!$A19,9)+0,'Clients R2'!$A:$CY,28,FALSE),VLOOKUP(VLOOKUP(LEFT('1) Import fichier Remi (coller)'!$A19,9),'Concordance client liv et fact'!$A:$H,7,FALSE)+0,'Clients R2'!$A:$CY,28,FALSE))),2)&amp;UPPER(IF(ISERROR(VLOOKUP(LEFT('1) Import fichier Remi (coller)'!$A19,9),'Concordance client liv et fact'!$A:$H,8,FALSE))=TRUE,VLOOKUP(LEFT('1) Import fichier Remi (coller)'!$A19,9)+0,'Clients R2'!$A:$CY,29,FALSE),VLOOKUP(VLOOKUP(LEFT('1) Import fichier Remi (coller)'!$A19,9),'Concordance client liv et fact'!$A:$H,7,FALSE)+0,'Clients R2'!$A:$CY,29,FALSE))))</f>
        <v>B 1300</v>
      </c>
      <c r="U19" t="str">
        <f>IF($A19="","",PROPER(IF(ISERROR(VLOOKUP(LEFT('1) Import fichier Remi (coller)'!$A19,9),'Concordance client liv et fact'!$A:$H,8,FALSE))=TRUE,VLOOKUP(LEFT('1) Import fichier Remi (coller)'!$A19,9)+0,'Clients R2'!$A:$CY,30,FALSE),VLOOKUP(VLOOKUP(LEFT('1) Import fichier Remi (coller)'!$A19,9),'Concordance client liv et fact'!$A:$H,7,FALSE)+0,'Clients R2'!$A:$CY,30,FALSE))))</f>
        <v xml:space="preserve">Wavre                         </v>
      </c>
      <c r="V19" t="str">
        <f>IF($A19="","",LEFT(UPPER(IF(ISERROR(VLOOKUP(LEFT('1) Import fichier Remi (coller)'!$A19,9),'Concordance client liv et fact'!$A:$H,8,FALSE))=TRUE,IF(VLOOKUP(LEFT('1) Import fichier Remi (coller)'!$A19,9)+0,'Clients R2'!$A:$CY,22,FALSE)=4,"NA",VLOOKUP(LEFT('1) Import fichier Remi (coller)'!$A19,9)+0,'Clients R2'!$A:$CY,3,FALSE)),IF(VLOOKUP(VLOOKUP(LEFT('1) Import fichier Remi (coller)'!$A19,9),'Concordance client liv et fact'!$A:$H,7,FALSE)+0,'Clients R2'!$A:$CY,22,FALSE)=4,"NA",VLOOKUP(VLOOKUP(LEFT('1) Import fichier Remi (coller)'!$A19,9),'Concordance client liv et fact'!$A:$H,7,FALSE)+0,'Clients R2'!$A:$CY,3,FALSE)))),2))</f>
        <v>BE</v>
      </c>
      <c r="W19" s="27"/>
      <c r="X19" s="27" t="str">
        <f>IF($A19="","",IF(ISERROR(VLOOKUP(LEFT('1) Import fichier Remi (coller)'!$A19,9),'Concordance client liv et fact'!$A:$H,8,FALSE))=TRUE,VLOOKUP(LEFT('1) Import fichier Remi (coller)'!$A19,9)+0,'Clients R2'!$A:$CY,102,FALSE),VLOOKUP(VLOOKUP(LEFT('1) Import fichier Remi (coller)'!$A19,9),'Concordance client liv et fact'!$A:$H,7,FALSE)+0,'Clients R2'!$A:$CY,102,FALSE)))</f>
        <v xml:space="preserve">compta@digital-life.be                  </v>
      </c>
      <c r="Y19" t="str">
        <f>IF(A19="","",VLOOKUP(A19,'Libellés PDF'!$A$2:$B$5,2,FALSE)&amp;F19&amp;".PDF")</f>
        <v>CF11261519.PDF</v>
      </c>
      <c r="Z19" t="s">
        <v>7752</v>
      </c>
      <c r="AA19" t="str">
        <f>IF($A19="VE11","",IF(LEFT($H19,4)="7050","",IF('1) Import fichier Remi (coller)'!M19="","",'1) Import fichier Remi (coller)'!M19)))</f>
        <v/>
      </c>
      <c r="AB19" t="str">
        <f>IF($A19="VE11","",IF(LEFT($H19,4)="7050","",IF('1) Import fichier Remi (coller)'!N19="","",'1) Import fichier Remi (coller)'!N19)))</f>
        <v/>
      </c>
      <c r="AC19" t="str">
        <f>IF(A19="","",VLOOKUP(LEFT('1) Import fichier Remi (coller)'!A19,9)+0,'Concordance Client R2 BOB'!$B:$C,2,FALSE))</f>
        <v>DIGITALLIF</v>
      </c>
    </row>
    <row r="20" spans="1:29" ht="18.75" customHeight="1" x14ac:dyDescent="0.25">
      <c r="A20" t="str">
        <f>IF('1) Import fichier Remi (coller)'!D20="","",'1) Import fichier Remi (coller)'!D20)</f>
        <v>VE11</v>
      </c>
      <c r="B20">
        <f>IF(A20="","",YEAR('1) Import fichier Remi (coller)'!F20))</f>
        <v>2026</v>
      </c>
      <c r="C20">
        <f>IF(A20="","",MONTH('1) Import fichier Remi (coller)'!F20))</f>
        <v>9</v>
      </c>
      <c r="D20" s="1">
        <f>IF(A20="","",'1) Import fichier Remi (coller)'!F20)</f>
        <v>46281</v>
      </c>
      <c r="E20" s="1">
        <f>IF(A20="","",'1) Import fichier Remi (coller)'!G20)</f>
        <v>46281</v>
      </c>
      <c r="F20" t="str">
        <f>IF(A20="","",'1) Import fichier Remi (coller)'!E20)</f>
        <v>11261519</v>
      </c>
      <c r="G20" t="str">
        <f>IF(A20="","",IF(ISERROR(VLOOKUP(LEFT('1) Import fichier Remi (coller)'!A20,9),'Concordance client liv et fact'!$A:$H,8,FALSE))=TRUE,'1) Import fichier Remi (coller)'!B20,VLOOKUP(LEFT('1) Import fichier Remi (coller)'!A20,9),'Concordance client liv et fact'!$A:$H,8,FALSE)))</f>
        <v>DIGITALLIF</v>
      </c>
      <c r="H20" t="str">
        <f>IF(A20="","",IF(ISERROR(VLOOKUP('1) Import fichier Remi (coller)'!K20&amp;" - "&amp;'1) Import fichier Remi (coller)'!L20,'Spécifique comptes'!$A:$G,1,FALSE))=TRUE,'1) Import fichier Remi (coller)'!V20,VLOOKUP('1) Import fichier Remi (coller)'!K20&amp;" - "&amp;'1) Import fichier Remi (coller)'!L20,'Spécifique comptes'!$A:$G,IF(LEFT('2) BOB compta (completer-forcer'!F20,2)="11",4,IF(LEFT('2) BOB compta (completer-forcer'!F20,2)="12",5,IF(LEFT('2) BOB compta (completer-forcer'!F20,2)="13",6,IF(LEFT('2) BOB compta (completer-forcer'!F20,2)="15",7,"Erreur Compte")))),FALSE)))</f>
        <v xml:space="preserve">705002000 </v>
      </c>
      <c r="I20" s="26" t="str">
        <f>IF(A20="","",IF(H20="70100000",'1) Import fichier Remi (coller)'!J20,'1) Import fichier Remi (coller)'!U20))</f>
        <v>+++003/7261/51936+++</v>
      </c>
      <c r="J20" s="26" t="str">
        <f>IF(A20="","",'1) Import fichier Remi (coller)'!U20)</f>
        <v>+++003/7261/51936+++</v>
      </c>
      <c r="K20" s="17">
        <f t="shared" si="1"/>
        <v>268.62</v>
      </c>
      <c r="L20" t="str">
        <f t="shared" si="0"/>
        <v>V</v>
      </c>
      <c r="M20" s="14">
        <f>IF(A20="","",'1) Import fichier Remi (coller)'!S20)</f>
        <v>21</v>
      </c>
      <c r="N20" s="17">
        <f>IF($A20="","",IF(OR($A20="NCV",$A20="NC15"),-'1) Import fichier Remi (coller)'!R20,'1) Import fichier Remi (coller)'!R20))</f>
        <v>144</v>
      </c>
      <c r="O20" s="17">
        <f>IF($A20="","",IF(OR($A20="NCV",$A20="NC15"),-'1) Import fichier Remi (coller)'!T20,'1) Import fichier Remi (coller)'!T20))</f>
        <v>30.24</v>
      </c>
      <c r="R20" t="str">
        <f>IF($A20="","",IF(ISERROR(VLOOKUP(LEFT('1) Import fichier Remi (coller)'!$A20,9),'Concordance client liv et fact'!$A:$H,8,FALSE))=TRUE,VLOOKUP(LEFT('1) Import fichier Remi (coller)'!$A20,9)+0,'Clients R2'!$A:$CY,2,FALSE),VLOOKUP(VLOOKUP(LEFT('1) Import fichier Remi (coller)'!$A20,9),'Concordance client liv et fact'!$A:$H,7,FALSE)+0,'Clients R2'!$A:$CY,2,FALSE)))</f>
        <v xml:space="preserve">DIGITAL LIFE           </v>
      </c>
      <c r="S20" t="str">
        <f>IF($A20="","",PROPER(IF(ISERROR(VLOOKUP(LEFT('1) Import fichier Remi (coller)'!$A20,9),'Concordance client liv et fact'!$A:$H,8,FALSE))=TRUE,VLOOKUP(LEFT('1) Import fichier Remi (coller)'!$A20,9)+0,'Clients R2'!$A:$CY,27,FALSE),VLOOKUP(VLOOKUP(LEFT('1) Import fichier Remi (coller)'!$A20,9),'Concordance client liv et fact'!$A:$H,7,FALSE)+0,'Clients R2'!$A:$CY,27,FALSE))))</f>
        <v xml:space="preserve">Avenue Pasteur, 6 - Bat H          </v>
      </c>
      <c r="T20" t="str">
        <f>IF($A20="","",LEFT(UPPER(IF(ISERROR(VLOOKUP(LEFT('1) Import fichier Remi (coller)'!$A20,9),'Concordance client liv et fact'!$A:$H,8,FALSE))=TRUE,VLOOKUP(LEFT('1) Import fichier Remi (coller)'!$A20,9)+0,'Clients R2'!$A:$CY,28,FALSE),VLOOKUP(VLOOKUP(LEFT('1) Import fichier Remi (coller)'!$A20,9),'Concordance client liv et fact'!$A:$H,7,FALSE)+0,'Clients R2'!$A:$CY,28,FALSE))),2)&amp;UPPER(IF(ISERROR(VLOOKUP(LEFT('1) Import fichier Remi (coller)'!$A20,9),'Concordance client liv et fact'!$A:$H,8,FALSE))=TRUE,VLOOKUP(LEFT('1) Import fichier Remi (coller)'!$A20,9)+0,'Clients R2'!$A:$CY,29,FALSE),VLOOKUP(VLOOKUP(LEFT('1) Import fichier Remi (coller)'!$A20,9),'Concordance client liv et fact'!$A:$H,7,FALSE)+0,'Clients R2'!$A:$CY,29,FALSE))))</f>
        <v>B 1300</v>
      </c>
      <c r="U20" t="str">
        <f>IF($A20="","",PROPER(IF(ISERROR(VLOOKUP(LEFT('1) Import fichier Remi (coller)'!$A20,9),'Concordance client liv et fact'!$A:$H,8,FALSE))=TRUE,VLOOKUP(LEFT('1) Import fichier Remi (coller)'!$A20,9)+0,'Clients R2'!$A:$CY,30,FALSE),VLOOKUP(VLOOKUP(LEFT('1) Import fichier Remi (coller)'!$A20,9),'Concordance client liv et fact'!$A:$H,7,FALSE)+0,'Clients R2'!$A:$CY,30,FALSE))))</f>
        <v xml:space="preserve">Wavre                         </v>
      </c>
      <c r="V20" t="str">
        <f>IF($A20="","",LEFT(UPPER(IF(ISERROR(VLOOKUP(LEFT('1) Import fichier Remi (coller)'!$A20,9),'Concordance client liv et fact'!$A:$H,8,FALSE))=TRUE,IF(VLOOKUP(LEFT('1) Import fichier Remi (coller)'!$A20,9)+0,'Clients R2'!$A:$CY,22,FALSE)=4,"NA",VLOOKUP(LEFT('1) Import fichier Remi (coller)'!$A20,9)+0,'Clients R2'!$A:$CY,3,FALSE)),IF(VLOOKUP(VLOOKUP(LEFT('1) Import fichier Remi (coller)'!$A20,9),'Concordance client liv et fact'!$A:$H,7,FALSE)+0,'Clients R2'!$A:$CY,22,FALSE)=4,"NA",VLOOKUP(VLOOKUP(LEFT('1) Import fichier Remi (coller)'!$A20,9),'Concordance client liv et fact'!$A:$H,7,FALSE)+0,'Clients R2'!$A:$CY,3,FALSE)))),2))</f>
        <v>BE</v>
      </c>
      <c r="W20" s="27"/>
      <c r="X20" s="27" t="str">
        <f>IF($A20="","",IF(ISERROR(VLOOKUP(LEFT('1) Import fichier Remi (coller)'!$A20,9),'Concordance client liv et fact'!$A:$H,8,FALSE))=TRUE,VLOOKUP(LEFT('1) Import fichier Remi (coller)'!$A20,9)+0,'Clients R2'!$A:$CY,102,FALSE),VLOOKUP(VLOOKUP(LEFT('1) Import fichier Remi (coller)'!$A20,9),'Concordance client liv et fact'!$A:$H,7,FALSE)+0,'Clients R2'!$A:$CY,102,FALSE)))</f>
        <v xml:space="preserve">compta@digital-life.be                  </v>
      </c>
      <c r="Y20" t="str">
        <f>IF(A20="","",VLOOKUP(A20,'Libellés PDF'!$A$2:$B$5,2,FALSE)&amp;F20&amp;".PDF")</f>
        <v>CF11261519.PDF</v>
      </c>
      <c r="Z20" t="s">
        <v>265</v>
      </c>
      <c r="AA20" t="str">
        <f>IF($A20="VE11","",IF(LEFT($H20,4)="7050","",IF('1) Import fichier Remi (coller)'!M20="","",'1) Import fichier Remi (coller)'!M20)))</f>
        <v/>
      </c>
      <c r="AB20" t="str">
        <f>IF($A20="VE11","",IF(LEFT($H20,4)="7050","",IF('1) Import fichier Remi (coller)'!N20="","",'1) Import fichier Remi (coller)'!N20)))</f>
        <v/>
      </c>
      <c r="AC20" t="str">
        <f>IF(A20="","",VLOOKUP(LEFT('1) Import fichier Remi (coller)'!A20,9)+0,'Concordance Client R2 BOB'!$B:$C,2,FALSE))</f>
        <v>DIGITALLIF</v>
      </c>
    </row>
    <row r="21" spans="1:29" ht="18.75" customHeight="1" x14ac:dyDescent="0.25">
      <c r="A21" t="str">
        <f>IF('1) Import fichier Remi (coller)'!D21="","",'1) Import fichier Remi (coller)'!D21)</f>
        <v>VE11</v>
      </c>
      <c r="B21">
        <f>IF(A21="","",YEAR('1) Import fichier Remi (coller)'!F21))</f>
        <v>2026</v>
      </c>
      <c r="C21">
        <f>IF(A21="","",MONTH('1) Import fichier Remi (coller)'!F21))</f>
        <v>9</v>
      </c>
      <c r="D21" s="1">
        <f>IF(A21="","",'1) Import fichier Remi (coller)'!F21)</f>
        <v>46281</v>
      </c>
      <c r="E21" s="1">
        <f>IF(A21="","",'1) Import fichier Remi (coller)'!G21)</f>
        <v>46281</v>
      </c>
      <c r="F21" t="str">
        <f>IF(A21="","",'1) Import fichier Remi (coller)'!E21)</f>
        <v>11261519</v>
      </c>
      <c r="G21" t="str">
        <f>IF(A21="","",IF(ISERROR(VLOOKUP(LEFT('1) Import fichier Remi (coller)'!A21,9),'Concordance client liv et fact'!$A:$H,8,FALSE))=TRUE,'1) Import fichier Remi (coller)'!B21,VLOOKUP(LEFT('1) Import fichier Remi (coller)'!A21,9),'Concordance client liv et fact'!$A:$H,8,FALSE)))</f>
        <v>DIGITALLIF</v>
      </c>
      <c r="H21">
        <f>IF(A21="","",IF(ISERROR(VLOOKUP('1) Import fichier Remi (coller)'!K21&amp;" - "&amp;'1) Import fichier Remi (coller)'!L21,'Spécifique comptes'!$A:$G,1,FALSE))=TRUE,'1) Import fichier Remi (coller)'!V21,VLOOKUP('1) Import fichier Remi (coller)'!K21&amp;" - "&amp;'1) Import fichier Remi (coller)'!L21,'Spécifique comptes'!$A:$G,IF(LEFT('2) BOB compta (completer-forcer'!F21,2)="11",4,IF(LEFT('2) BOB compta (completer-forcer'!F21,2)="12",5,IF(LEFT('2) BOB compta (completer-forcer'!F21,2)="13",6,IF(LEFT('2) BOB compta (completer-forcer'!F21,2)="15",7,"Erreur Compte")))),FALSE)))</f>
        <v>704119000</v>
      </c>
      <c r="I21" s="26" t="str">
        <f>IF(A21="","",IF(H21="70100000",'1) Import fichier Remi (coller)'!J21,'1) Import fichier Remi (coller)'!U21))</f>
        <v>+++003/7261/51936+++</v>
      </c>
      <c r="J21" s="26" t="str">
        <f>IF(A21="","",'1) Import fichier Remi (coller)'!U21)</f>
        <v>+++003/7261/51936+++</v>
      </c>
      <c r="K21" s="17">
        <f t="shared" si="1"/>
        <v>268.62</v>
      </c>
      <c r="L21" t="str">
        <f t="shared" si="0"/>
        <v>V</v>
      </c>
      <c r="M21" s="14">
        <f>IF(A21="","",'1) Import fichier Remi (coller)'!S21)</f>
        <v>21</v>
      </c>
      <c r="N21" s="17">
        <f>IF($A21="","",IF(OR($A21="NCV",$A21="NC15"),-'1) Import fichier Remi (coller)'!R21,'1) Import fichier Remi (coller)'!R21))</f>
        <v>60</v>
      </c>
      <c r="O21" s="17">
        <f>IF($A21="","",IF(OR($A21="NCV",$A21="NC15"),-'1) Import fichier Remi (coller)'!T21,'1) Import fichier Remi (coller)'!T21))</f>
        <v>12.6</v>
      </c>
      <c r="R21" t="str">
        <f>IF($A21="","",IF(ISERROR(VLOOKUP(LEFT('1) Import fichier Remi (coller)'!$A21,9),'Concordance client liv et fact'!$A:$H,8,FALSE))=TRUE,VLOOKUP(LEFT('1) Import fichier Remi (coller)'!$A21,9)+0,'Clients R2'!$A:$CY,2,FALSE),VLOOKUP(VLOOKUP(LEFT('1) Import fichier Remi (coller)'!$A21,9),'Concordance client liv et fact'!$A:$H,7,FALSE)+0,'Clients R2'!$A:$CY,2,FALSE)))</f>
        <v xml:space="preserve">DIGITAL LIFE           </v>
      </c>
      <c r="S21" t="str">
        <f>IF($A21="","",PROPER(IF(ISERROR(VLOOKUP(LEFT('1) Import fichier Remi (coller)'!$A21,9),'Concordance client liv et fact'!$A:$H,8,FALSE))=TRUE,VLOOKUP(LEFT('1) Import fichier Remi (coller)'!$A21,9)+0,'Clients R2'!$A:$CY,27,FALSE),VLOOKUP(VLOOKUP(LEFT('1) Import fichier Remi (coller)'!$A21,9),'Concordance client liv et fact'!$A:$H,7,FALSE)+0,'Clients R2'!$A:$CY,27,FALSE))))</f>
        <v xml:space="preserve">Avenue Pasteur, 6 - Bat H          </v>
      </c>
      <c r="T21" t="str">
        <f>IF($A21="","",LEFT(UPPER(IF(ISERROR(VLOOKUP(LEFT('1) Import fichier Remi (coller)'!$A21,9),'Concordance client liv et fact'!$A:$H,8,FALSE))=TRUE,VLOOKUP(LEFT('1) Import fichier Remi (coller)'!$A21,9)+0,'Clients R2'!$A:$CY,28,FALSE),VLOOKUP(VLOOKUP(LEFT('1) Import fichier Remi (coller)'!$A21,9),'Concordance client liv et fact'!$A:$H,7,FALSE)+0,'Clients R2'!$A:$CY,28,FALSE))),2)&amp;UPPER(IF(ISERROR(VLOOKUP(LEFT('1) Import fichier Remi (coller)'!$A21,9),'Concordance client liv et fact'!$A:$H,8,FALSE))=TRUE,VLOOKUP(LEFT('1) Import fichier Remi (coller)'!$A21,9)+0,'Clients R2'!$A:$CY,29,FALSE),VLOOKUP(VLOOKUP(LEFT('1) Import fichier Remi (coller)'!$A21,9),'Concordance client liv et fact'!$A:$H,7,FALSE)+0,'Clients R2'!$A:$CY,29,FALSE))))</f>
        <v>B 1300</v>
      </c>
      <c r="U21" t="str">
        <f>IF($A21="","",PROPER(IF(ISERROR(VLOOKUP(LEFT('1) Import fichier Remi (coller)'!$A21,9),'Concordance client liv et fact'!$A:$H,8,FALSE))=TRUE,VLOOKUP(LEFT('1) Import fichier Remi (coller)'!$A21,9)+0,'Clients R2'!$A:$CY,30,FALSE),VLOOKUP(VLOOKUP(LEFT('1) Import fichier Remi (coller)'!$A21,9),'Concordance client liv et fact'!$A:$H,7,FALSE)+0,'Clients R2'!$A:$CY,30,FALSE))))</f>
        <v xml:space="preserve">Wavre                         </v>
      </c>
      <c r="V21" t="str">
        <f>IF($A21="","",LEFT(UPPER(IF(ISERROR(VLOOKUP(LEFT('1) Import fichier Remi (coller)'!$A21,9),'Concordance client liv et fact'!$A:$H,8,FALSE))=TRUE,IF(VLOOKUP(LEFT('1) Import fichier Remi (coller)'!$A21,9)+0,'Clients R2'!$A:$CY,22,FALSE)=4,"NA",VLOOKUP(LEFT('1) Import fichier Remi (coller)'!$A21,9)+0,'Clients R2'!$A:$CY,3,FALSE)),IF(VLOOKUP(VLOOKUP(LEFT('1) Import fichier Remi (coller)'!$A21,9),'Concordance client liv et fact'!$A:$H,7,FALSE)+0,'Clients R2'!$A:$CY,22,FALSE)=4,"NA",VLOOKUP(VLOOKUP(LEFT('1) Import fichier Remi (coller)'!$A21,9),'Concordance client liv et fact'!$A:$H,7,FALSE)+0,'Clients R2'!$A:$CY,3,FALSE)))),2))</f>
        <v>BE</v>
      </c>
      <c r="W21" s="27"/>
      <c r="X21" s="27" t="str">
        <f>IF($A21="","",IF(ISERROR(VLOOKUP(LEFT('1) Import fichier Remi (coller)'!$A21,9),'Concordance client liv et fact'!$A:$H,8,FALSE))=TRUE,VLOOKUP(LEFT('1) Import fichier Remi (coller)'!$A21,9)+0,'Clients R2'!$A:$CY,102,FALSE),VLOOKUP(VLOOKUP(LEFT('1) Import fichier Remi (coller)'!$A21,9),'Concordance client liv et fact'!$A:$H,7,FALSE)+0,'Clients R2'!$A:$CY,102,FALSE)))</f>
        <v xml:space="preserve">compta@digital-life.be                  </v>
      </c>
      <c r="Y21" t="str">
        <f>IF(A21="","",VLOOKUP(A21,'Libellés PDF'!$A$2:$B$5,2,FALSE)&amp;F21&amp;".PDF")</f>
        <v>CF11261519.PDF</v>
      </c>
      <c r="Z21" t="str">
        <f>IF(A21="","",IF(OR(H21="705099999",H21="705001002"),VLOOKUP('1) Import fichier Remi (coller)'!J21,'Analytique personnel'!$A:$B,2,FALSE),""))</f>
        <v/>
      </c>
      <c r="AA21" t="str">
        <f>IF($A21="VE11","",IF(LEFT($H21,4)="7050","",IF('1) Import fichier Remi (coller)'!M21="","",'1) Import fichier Remi (coller)'!M21)))</f>
        <v/>
      </c>
      <c r="AB21" t="str">
        <f>IF($A21="VE11","",IF(LEFT($H21,4)="7050","",IF('1) Import fichier Remi (coller)'!N21="","",'1) Import fichier Remi (coller)'!N21)))</f>
        <v/>
      </c>
      <c r="AC21" t="str">
        <f>IF(A21="","",VLOOKUP(LEFT('1) Import fichier Remi (coller)'!A21,9)+0,'Concordance Client R2 BOB'!$B:$C,2,FALSE))</f>
        <v>DIGITALLIF</v>
      </c>
    </row>
    <row r="22" spans="1:29" ht="18.75" customHeight="1" x14ac:dyDescent="0.25">
      <c r="A22" t="str">
        <f>IF('1) Import fichier Remi (coller)'!D22="","",'1) Import fichier Remi (coller)'!D22)</f>
        <v>VE11</v>
      </c>
      <c r="B22">
        <f>IF(A22="","",YEAR('1) Import fichier Remi (coller)'!F22))</f>
        <v>2026</v>
      </c>
      <c r="C22">
        <f>IF(A22="","",MONTH('1) Import fichier Remi (coller)'!F22))</f>
        <v>9</v>
      </c>
      <c r="D22" s="1">
        <f>IF(A22="","",'1) Import fichier Remi (coller)'!F22)</f>
        <v>46281</v>
      </c>
      <c r="E22" s="1">
        <f>IF(A22="","",'1) Import fichier Remi (coller)'!G22)</f>
        <v>46281</v>
      </c>
      <c r="F22" t="str">
        <f>IF(A22="","",'1) Import fichier Remi (coller)'!E22)</f>
        <v>11261520</v>
      </c>
      <c r="G22" t="str">
        <f>IF(A22="","",IF(ISERROR(VLOOKUP(LEFT('1) Import fichier Remi (coller)'!A22,9),'Concordance client liv et fact'!$A:$H,8,FALSE))=TRUE,'1) Import fichier Remi (coller)'!B22,VLOOKUP(LEFT('1) Import fichier Remi (coller)'!A22,9),'Concordance client liv et fact'!$A:$H,8,FALSE)))</f>
        <v>HERVEVAND</v>
      </c>
      <c r="H22" t="str">
        <f>IF(A22="","",IF(ISERROR(VLOOKUP('1) Import fichier Remi (coller)'!K22&amp;" - "&amp;'1) Import fichier Remi (coller)'!L22,'Spécifique comptes'!$A:$G,1,FALSE))=TRUE,'1) Import fichier Remi (coller)'!V22,VLOOKUP('1) Import fichier Remi (coller)'!K22&amp;" - "&amp;'1) Import fichier Remi (coller)'!L22,'Spécifique comptes'!$A:$G,IF(LEFT('2) BOB compta (completer-forcer'!F22,2)="11",4,IF(LEFT('2) BOB compta (completer-forcer'!F22,2)="12",5,IF(LEFT('2) BOB compta (completer-forcer'!F22,2)="13",6,IF(LEFT('2) BOB compta (completer-forcer'!F22,2)="15",7,"Erreur Compte")))),FALSE)))</f>
        <v>705099999</v>
      </c>
      <c r="I22" s="26" t="str">
        <f>IF(A22="","",IF(H22="70100000",'1) Import fichier Remi (coller)'!J22,'1) Import fichier Remi (coller)'!U22))</f>
        <v>+++003/7261/52037+++</v>
      </c>
      <c r="J22" s="26" t="str">
        <f>IF(A22="","",'1) Import fichier Remi (coller)'!U22)</f>
        <v>+++003/7261/52037+++</v>
      </c>
      <c r="K22" s="17">
        <f t="shared" si="1"/>
        <v>28.740000000000002</v>
      </c>
      <c r="L22" t="str">
        <f t="shared" si="0"/>
        <v>V</v>
      </c>
      <c r="M22" s="14">
        <f>IF(A22="","",'1) Import fichier Remi (coller)'!S22)</f>
        <v>21</v>
      </c>
      <c r="N22" s="17">
        <f>IF($A22="","",IF(OR($A22="NCV",$A22="NC15"),-'1) Import fichier Remi (coller)'!R22,'1) Import fichier Remi (coller)'!R22))</f>
        <v>23.75</v>
      </c>
      <c r="O22" s="17">
        <f>IF($A22="","",IF(OR($A22="NCV",$A22="NC15"),-'1) Import fichier Remi (coller)'!T22,'1) Import fichier Remi (coller)'!T22))</f>
        <v>4.99</v>
      </c>
      <c r="R22" t="str">
        <f>IF($A22="","",IF(ISERROR(VLOOKUP(LEFT('1) Import fichier Remi (coller)'!$A22,9),'Concordance client liv et fact'!$A:$H,8,FALSE))=TRUE,VLOOKUP(LEFT('1) Import fichier Remi (coller)'!$A22,9)+0,'Clients R2'!$A:$CY,2,FALSE),VLOOKUP(VLOOKUP(LEFT('1) Import fichier Remi (coller)'!$A22,9),'Concordance client liv et fact'!$A:$H,7,FALSE)+0,'Clients R2'!$A:$CY,2,FALSE)))</f>
        <v xml:space="preserve">HERVE VANDEN HAUTE     </v>
      </c>
      <c r="S22" t="str">
        <f>IF($A22="","",PROPER(IF(ISERROR(VLOOKUP(LEFT('1) Import fichier Remi (coller)'!$A22,9),'Concordance client liv et fact'!$A:$H,8,FALSE))=TRUE,VLOOKUP(LEFT('1) Import fichier Remi (coller)'!$A22,9)+0,'Clients R2'!$A:$CY,27,FALSE),VLOOKUP(VLOOKUP(LEFT('1) Import fichier Remi (coller)'!$A22,9),'Concordance client liv et fact'!$A:$H,7,FALSE)+0,'Clients R2'!$A:$CY,27,FALSE))))</f>
        <v xml:space="preserve">Rue Emmanuel Lutte 13              </v>
      </c>
      <c r="T22" t="str">
        <f>IF($A22="","",LEFT(UPPER(IF(ISERROR(VLOOKUP(LEFT('1) Import fichier Remi (coller)'!$A22,9),'Concordance client liv et fact'!$A:$H,8,FALSE))=TRUE,VLOOKUP(LEFT('1) Import fichier Remi (coller)'!$A22,9)+0,'Clients R2'!$A:$CY,28,FALSE),VLOOKUP(VLOOKUP(LEFT('1) Import fichier Remi (coller)'!$A22,9),'Concordance client liv et fact'!$A:$H,7,FALSE)+0,'Clients R2'!$A:$CY,28,FALSE))),2)&amp;UPPER(IF(ISERROR(VLOOKUP(LEFT('1) Import fichier Remi (coller)'!$A22,9),'Concordance client liv et fact'!$A:$H,8,FALSE))=TRUE,VLOOKUP(LEFT('1) Import fichier Remi (coller)'!$A22,9)+0,'Clients R2'!$A:$CY,29,FALSE),VLOOKUP(VLOOKUP(LEFT('1) Import fichier Remi (coller)'!$A22,9),'Concordance client liv et fact'!$A:$H,7,FALSE)+0,'Clients R2'!$A:$CY,29,FALSE))))</f>
        <v>B 1470</v>
      </c>
      <c r="U22" t="str">
        <f>IF($A22="","",PROPER(IF(ISERROR(VLOOKUP(LEFT('1) Import fichier Remi (coller)'!$A22,9),'Concordance client liv et fact'!$A:$H,8,FALSE))=TRUE,VLOOKUP(LEFT('1) Import fichier Remi (coller)'!$A22,9)+0,'Clients R2'!$A:$CY,30,FALSE),VLOOKUP(VLOOKUP(LEFT('1) Import fichier Remi (coller)'!$A22,9),'Concordance client liv et fact'!$A:$H,7,FALSE)+0,'Clients R2'!$A:$CY,30,FALSE))))</f>
        <v xml:space="preserve">Genappe                       </v>
      </c>
      <c r="V22" t="str">
        <f>IF($A22="","",LEFT(UPPER(IF(ISERROR(VLOOKUP(LEFT('1) Import fichier Remi (coller)'!$A22,9),'Concordance client liv et fact'!$A:$H,8,FALSE))=TRUE,IF(VLOOKUP(LEFT('1) Import fichier Remi (coller)'!$A22,9)+0,'Clients R2'!$A:$CY,22,FALSE)=4,"NA",VLOOKUP(LEFT('1) Import fichier Remi (coller)'!$A22,9)+0,'Clients R2'!$A:$CY,3,FALSE)),IF(VLOOKUP(VLOOKUP(LEFT('1) Import fichier Remi (coller)'!$A22,9),'Concordance client liv et fact'!$A:$H,7,FALSE)+0,'Clients R2'!$A:$CY,22,FALSE)=4,"NA",VLOOKUP(VLOOKUP(LEFT('1) Import fichier Remi (coller)'!$A22,9),'Concordance client liv et fact'!$A:$H,7,FALSE)+0,'Clients R2'!$A:$CY,3,FALSE)))),2))</f>
        <v>BE</v>
      </c>
      <c r="W22" s="27"/>
      <c r="X22" s="27" t="str">
        <f>IF($A22="","",IF(ISERROR(VLOOKUP(LEFT('1) Import fichier Remi (coller)'!$A22,9),'Concordance client liv et fact'!$A:$H,8,FALSE))=TRUE,VLOOKUP(LEFT('1) Import fichier Remi (coller)'!$A22,9)+0,'Clients R2'!$A:$CY,102,FALSE),VLOOKUP(VLOOKUP(LEFT('1) Import fichier Remi (coller)'!$A22,9),'Concordance client liv et fact'!$A:$H,7,FALSE)+0,'Clients R2'!$A:$CY,102,FALSE)))</f>
        <v xml:space="preserve">HERVE.VANDENHAUTE@HVH.ARCHI             </v>
      </c>
      <c r="Y22" t="str">
        <f>IF(A22="","",VLOOKUP(A22,'Libellés PDF'!$A$2:$B$5,2,FALSE)&amp;F22&amp;".PDF")</f>
        <v>CF11261520.PDF</v>
      </c>
      <c r="Z22" t="str">
        <f>IF(A22="","",IF(OR(H22="705099999",H22="705001002"),VLOOKUP('1) Import fichier Remi (coller)'!J22,'Analytique personnel'!$A:$B,2,FALSE),""))</f>
        <v>GDUHOUX</v>
      </c>
      <c r="AA22" t="str">
        <f>IF($A22="VE11","",IF(LEFT($H22,4)="7050","",IF('1) Import fichier Remi (coller)'!M22="","",'1) Import fichier Remi (coller)'!M22)))</f>
        <v/>
      </c>
      <c r="AB22" t="str">
        <f>IF($A22="VE11","",IF(LEFT($H22,4)="7050","",IF('1) Import fichier Remi (coller)'!N22="","",'1) Import fichier Remi (coller)'!N22)))</f>
        <v/>
      </c>
      <c r="AC22" t="str">
        <f>IF(A22="","",VLOOKUP(LEFT('1) Import fichier Remi (coller)'!A22,9)+0,'Concordance Client R2 BOB'!$B:$C,2,FALSE))</f>
        <v>HERVEVAND</v>
      </c>
    </row>
    <row r="23" spans="1:29" ht="18.75" customHeight="1" x14ac:dyDescent="0.25">
      <c r="A23" t="str">
        <f>IF('1) Import fichier Remi (coller)'!D23="","",'1) Import fichier Remi (coller)'!D23)</f>
        <v>VE11</v>
      </c>
      <c r="B23">
        <f>IF(A23="","",YEAR('1) Import fichier Remi (coller)'!F23))</f>
        <v>2026</v>
      </c>
      <c r="C23">
        <f>IF(A23="","",MONTH('1) Import fichier Remi (coller)'!F23))</f>
        <v>9</v>
      </c>
      <c r="D23" s="1">
        <f>IF(A23="","",'1) Import fichier Remi (coller)'!F23)</f>
        <v>46281</v>
      </c>
      <c r="E23" s="1">
        <f>IF(A23="","",'1) Import fichier Remi (coller)'!G23)</f>
        <v>46281</v>
      </c>
      <c r="F23" t="str">
        <f>IF(A23="","",'1) Import fichier Remi (coller)'!E23)</f>
        <v>11261521</v>
      </c>
      <c r="G23" t="str">
        <f>IF(A23="","",IF(ISERROR(VLOOKUP(LEFT('1) Import fichier Remi (coller)'!A23,9),'Concordance client liv et fact'!$A:$H,8,FALSE))=TRUE,'1) Import fichier Remi (coller)'!B23,VLOOKUP(LEFT('1) Import fichier Remi (coller)'!A23,9),'Concordance client liv et fact'!$A:$H,8,FALSE)))</f>
        <v>METAUXEM</v>
      </c>
      <c r="H23" t="str">
        <f>IF(A23="","",IF(ISERROR(VLOOKUP('1) Import fichier Remi (coller)'!K23&amp;" - "&amp;'1) Import fichier Remi (coller)'!L23,'Spécifique comptes'!$A:$G,1,FALSE))=TRUE,'1) Import fichier Remi (coller)'!V23,VLOOKUP('1) Import fichier Remi (coller)'!K23&amp;" - "&amp;'1) Import fichier Remi (coller)'!L23,'Spécifique comptes'!$A:$G,IF(LEFT('2) BOB compta (completer-forcer'!F23,2)="11",4,IF(LEFT('2) BOB compta (completer-forcer'!F23,2)="12",5,IF(LEFT('2) BOB compta (completer-forcer'!F23,2)="13",6,IF(LEFT('2) BOB compta (completer-forcer'!F23,2)="15",7,"Erreur Compte")))),FALSE)))</f>
        <v>705099999</v>
      </c>
      <c r="I23" s="26" t="str">
        <f>IF(A23="","",IF(H23="70100000",'1) Import fichier Remi (coller)'!J23,'1) Import fichier Remi (coller)'!U23))</f>
        <v>+++003/7261/52138+++</v>
      </c>
      <c r="J23" s="26" t="str">
        <f>IF(A23="","",'1) Import fichier Remi (coller)'!U23)</f>
        <v>+++003/7261/52138+++</v>
      </c>
      <c r="K23" s="17">
        <f t="shared" si="1"/>
        <v>804.65</v>
      </c>
      <c r="L23" t="str">
        <f t="shared" si="0"/>
        <v>V</v>
      </c>
      <c r="M23" s="14">
        <f>IF(A23="","",'1) Import fichier Remi (coller)'!S23)</f>
        <v>21</v>
      </c>
      <c r="N23" s="17">
        <f>IF($A23="","",IF(OR($A23="NCV",$A23="NC15"),-'1) Import fichier Remi (coller)'!R23,'1) Import fichier Remi (coller)'!R23))</f>
        <v>285</v>
      </c>
      <c r="O23" s="17">
        <f>IF($A23="","",IF(OR($A23="NCV",$A23="NC15"),-'1) Import fichier Remi (coller)'!T23,'1) Import fichier Remi (coller)'!T23))</f>
        <v>59.85</v>
      </c>
      <c r="R23" t="str">
        <f>IF($A23="","",IF(ISERROR(VLOOKUP(LEFT('1) Import fichier Remi (coller)'!$A23,9),'Concordance client liv et fact'!$A:$H,8,FALSE))=TRUE,VLOOKUP(LEFT('1) Import fichier Remi (coller)'!$A23,9)+0,'Clients R2'!$A:$CY,2,FALSE),VLOOKUP(VLOOKUP(LEFT('1) Import fichier Remi (coller)'!$A23,9),'Concordance client liv et fact'!$A:$H,7,FALSE)+0,'Clients R2'!$A:$CY,2,FALSE)))</f>
        <v xml:space="preserve">MEBF MECA SA           </v>
      </c>
      <c r="S23" t="str">
        <f>IF($A23="","",PROPER(IF(ISERROR(VLOOKUP(LEFT('1) Import fichier Remi (coller)'!$A23,9),'Concordance client liv et fact'!$A:$H,8,FALSE))=TRUE,VLOOKUP(LEFT('1) Import fichier Remi (coller)'!$A23,9)+0,'Clients R2'!$A:$CY,27,FALSE),VLOOKUP(VLOOKUP(LEFT('1) Import fichier Remi (coller)'!$A23,9),'Concordance client liv et fact'!$A:$H,7,FALSE)+0,'Clients R2'!$A:$CY,27,FALSE))))</f>
        <v xml:space="preserve">Rue Haute Marexhe, 176             </v>
      </c>
      <c r="T23" t="str">
        <f>IF($A23="","",LEFT(UPPER(IF(ISERROR(VLOOKUP(LEFT('1) Import fichier Remi (coller)'!$A23,9),'Concordance client liv et fact'!$A:$H,8,FALSE))=TRUE,VLOOKUP(LEFT('1) Import fichier Remi (coller)'!$A23,9)+0,'Clients R2'!$A:$CY,28,FALSE),VLOOKUP(VLOOKUP(LEFT('1) Import fichier Remi (coller)'!$A23,9),'Concordance client liv et fact'!$A:$H,7,FALSE)+0,'Clients R2'!$A:$CY,28,FALSE))),2)&amp;UPPER(IF(ISERROR(VLOOKUP(LEFT('1) Import fichier Remi (coller)'!$A23,9),'Concordance client liv et fact'!$A:$H,8,FALSE))=TRUE,VLOOKUP(LEFT('1) Import fichier Remi (coller)'!$A23,9)+0,'Clients R2'!$A:$CY,29,FALSE),VLOOKUP(VLOOKUP(LEFT('1) Import fichier Remi (coller)'!$A23,9),'Concordance client liv et fact'!$A:$H,7,FALSE)+0,'Clients R2'!$A:$CY,29,FALSE))))</f>
        <v>B 4040</v>
      </c>
      <c r="U23" t="str">
        <f>IF($A23="","",PROPER(IF(ISERROR(VLOOKUP(LEFT('1) Import fichier Remi (coller)'!$A23,9),'Concordance client liv et fact'!$A:$H,8,FALSE))=TRUE,VLOOKUP(LEFT('1) Import fichier Remi (coller)'!$A23,9)+0,'Clients R2'!$A:$CY,30,FALSE),VLOOKUP(VLOOKUP(LEFT('1) Import fichier Remi (coller)'!$A23,9),'Concordance client liv et fact'!$A:$H,7,FALSE)+0,'Clients R2'!$A:$CY,30,FALSE))))</f>
        <v xml:space="preserve">Herstal                       </v>
      </c>
      <c r="V23" t="str">
        <f>IF($A23="","",LEFT(UPPER(IF(ISERROR(VLOOKUP(LEFT('1) Import fichier Remi (coller)'!$A23,9),'Concordance client liv et fact'!$A:$H,8,FALSE))=TRUE,IF(VLOOKUP(LEFT('1) Import fichier Remi (coller)'!$A23,9)+0,'Clients R2'!$A:$CY,22,FALSE)=4,"NA",VLOOKUP(LEFT('1) Import fichier Remi (coller)'!$A23,9)+0,'Clients R2'!$A:$CY,3,FALSE)),IF(VLOOKUP(VLOOKUP(LEFT('1) Import fichier Remi (coller)'!$A23,9),'Concordance client liv et fact'!$A:$H,7,FALSE)+0,'Clients R2'!$A:$CY,22,FALSE)=4,"NA",VLOOKUP(VLOOKUP(LEFT('1) Import fichier Remi (coller)'!$A23,9),'Concordance client liv et fact'!$A:$H,7,FALSE)+0,'Clients R2'!$A:$CY,3,FALSE)))),2))</f>
        <v>BE</v>
      </c>
      <c r="W23" s="27"/>
      <c r="X23" s="27" t="str">
        <f>IF($A23="","",IF(ISERROR(VLOOKUP(LEFT('1) Import fichier Remi (coller)'!$A23,9),'Concordance client liv et fact'!$A:$H,8,FALSE))=TRUE,VLOOKUP(LEFT('1) Import fichier Remi (coller)'!$A23,9)+0,'Clients R2'!$A:$CY,102,FALSE),VLOOKUP(VLOOKUP(LEFT('1) Import fichier Remi (coller)'!$A23,9),'Concordance client liv et fact'!$A:$H,7,FALSE)+0,'Clients R2'!$A:$CY,102,FALSE)))</f>
        <v xml:space="preserve">invoice@mebf.be                         </v>
      </c>
      <c r="Y23" t="str">
        <f>IF(A23="","",VLOOKUP(A23,'Libellés PDF'!$A$2:$B$5,2,FALSE)&amp;F23&amp;".PDF")</f>
        <v>CF11261521.PDF</v>
      </c>
      <c r="Z23" t="str">
        <f>IF(A23="","",IF(OR(H23="705099999",H23="705001002"),VLOOKUP('1) Import fichier Remi (coller)'!J23,'Analytique personnel'!$A:$B,2,FALSE),""))</f>
        <v>GDUHOUX</v>
      </c>
      <c r="AA23" t="str">
        <f>IF($A23="VE11","",IF(LEFT($H23,4)="7050","",IF('1) Import fichier Remi (coller)'!M23="","",'1) Import fichier Remi (coller)'!M23)))</f>
        <v/>
      </c>
      <c r="AB23" t="str">
        <f>IF($A23="VE11","",IF(LEFT($H23,4)="7050","",IF('1) Import fichier Remi (coller)'!N23="","",'1) Import fichier Remi (coller)'!N23)))</f>
        <v/>
      </c>
      <c r="AC23" t="str">
        <f>IF(A23="","",VLOOKUP(LEFT('1) Import fichier Remi (coller)'!A23,9)+0,'Concordance Client R2 BOB'!$B:$C,2,FALSE))</f>
        <v>METAUXEM</v>
      </c>
    </row>
    <row r="24" spans="1:29" ht="18.75" customHeight="1" x14ac:dyDescent="0.25">
      <c r="A24" t="str">
        <f>IF('1) Import fichier Remi (coller)'!D24="","",'1) Import fichier Remi (coller)'!D24)</f>
        <v>VE11</v>
      </c>
      <c r="B24">
        <f>IF(A24="","",YEAR('1) Import fichier Remi (coller)'!F24))</f>
        <v>2026</v>
      </c>
      <c r="C24">
        <f>IF(A24="","",MONTH('1) Import fichier Remi (coller)'!F24))</f>
        <v>9</v>
      </c>
      <c r="D24" s="1">
        <f>IF(A24="","",'1) Import fichier Remi (coller)'!F24)</f>
        <v>46281</v>
      </c>
      <c r="E24" s="1">
        <f>IF(A24="","",'1) Import fichier Remi (coller)'!G24)</f>
        <v>46281</v>
      </c>
      <c r="F24" t="str">
        <f>IF(A24="","",'1) Import fichier Remi (coller)'!E24)</f>
        <v>11261521</v>
      </c>
      <c r="G24" t="str">
        <f>IF(A24="","",IF(ISERROR(VLOOKUP(LEFT('1) Import fichier Remi (coller)'!A24,9),'Concordance client liv et fact'!$A:$H,8,FALSE))=TRUE,'1) Import fichier Remi (coller)'!B24,VLOOKUP(LEFT('1) Import fichier Remi (coller)'!A24,9),'Concordance client liv et fact'!$A:$H,8,FALSE)))</f>
        <v>METAUXEM</v>
      </c>
      <c r="H24" t="str">
        <f>IF(A24="","",IF(ISERROR(VLOOKUP('1) Import fichier Remi (coller)'!K24&amp;" - "&amp;'1) Import fichier Remi (coller)'!L24,'Spécifique comptes'!$A:$G,1,FALSE))=TRUE,'1) Import fichier Remi (coller)'!V24,VLOOKUP('1) Import fichier Remi (coller)'!K24&amp;" - "&amp;'1) Import fichier Remi (coller)'!L24,'Spécifique comptes'!$A:$G,IF(LEFT('2) BOB compta (completer-forcer'!F24,2)="11",4,IF(LEFT('2) BOB compta (completer-forcer'!F24,2)="12",5,IF(LEFT('2) BOB compta (completer-forcer'!F24,2)="13",6,IF(LEFT('2) BOB compta (completer-forcer'!F24,2)="15",7,"Erreur Compte")))),FALSE)))</f>
        <v>705099999</v>
      </c>
      <c r="I24" s="26" t="str">
        <f>IF(A24="","",IF(H24="70100000",'1) Import fichier Remi (coller)'!J24,'1) Import fichier Remi (coller)'!U24))</f>
        <v>+++003/7261/52138+++</v>
      </c>
      <c r="J24" s="26" t="str">
        <f>IF(A24="","",'1) Import fichier Remi (coller)'!U24)</f>
        <v>+++003/7261/52138+++</v>
      </c>
      <c r="K24" s="17">
        <f t="shared" si="1"/>
        <v>804.65</v>
      </c>
      <c r="L24" t="str">
        <f t="shared" si="0"/>
        <v>V</v>
      </c>
      <c r="M24" s="14">
        <f>IF(A24="","",'1) Import fichier Remi (coller)'!S24)</f>
        <v>21</v>
      </c>
      <c r="N24" s="17">
        <f>IF($A24="","",IF(OR($A24="NCV",$A24="NC15"),-'1) Import fichier Remi (coller)'!R24,'1) Import fichier Remi (coller)'!R24))</f>
        <v>380</v>
      </c>
      <c r="O24" s="17">
        <f>IF($A24="","",IF(OR($A24="NCV",$A24="NC15"),-'1) Import fichier Remi (coller)'!T24,'1) Import fichier Remi (coller)'!T24))</f>
        <v>79.8</v>
      </c>
      <c r="R24" t="str">
        <f>IF($A24="","",IF(ISERROR(VLOOKUP(LEFT('1) Import fichier Remi (coller)'!$A24,9),'Concordance client liv et fact'!$A:$H,8,FALSE))=TRUE,VLOOKUP(LEFT('1) Import fichier Remi (coller)'!$A24,9)+0,'Clients R2'!$A:$CY,2,FALSE),VLOOKUP(VLOOKUP(LEFT('1) Import fichier Remi (coller)'!$A24,9),'Concordance client liv et fact'!$A:$H,7,FALSE)+0,'Clients R2'!$A:$CY,2,FALSE)))</f>
        <v xml:space="preserve">MEBF MECA SA           </v>
      </c>
      <c r="S24" t="str">
        <f>IF($A24="","",PROPER(IF(ISERROR(VLOOKUP(LEFT('1) Import fichier Remi (coller)'!$A24,9),'Concordance client liv et fact'!$A:$H,8,FALSE))=TRUE,VLOOKUP(LEFT('1) Import fichier Remi (coller)'!$A24,9)+0,'Clients R2'!$A:$CY,27,FALSE),VLOOKUP(VLOOKUP(LEFT('1) Import fichier Remi (coller)'!$A24,9),'Concordance client liv et fact'!$A:$H,7,FALSE)+0,'Clients R2'!$A:$CY,27,FALSE))))</f>
        <v xml:space="preserve">Rue Haute Marexhe, 176             </v>
      </c>
      <c r="T24" t="str">
        <f>IF($A24="","",LEFT(UPPER(IF(ISERROR(VLOOKUP(LEFT('1) Import fichier Remi (coller)'!$A24,9),'Concordance client liv et fact'!$A:$H,8,FALSE))=TRUE,VLOOKUP(LEFT('1) Import fichier Remi (coller)'!$A24,9)+0,'Clients R2'!$A:$CY,28,FALSE),VLOOKUP(VLOOKUP(LEFT('1) Import fichier Remi (coller)'!$A24,9),'Concordance client liv et fact'!$A:$H,7,FALSE)+0,'Clients R2'!$A:$CY,28,FALSE))),2)&amp;UPPER(IF(ISERROR(VLOOKUP(LEFT('1) Import fichier Remi (coller)'!$A24,9),'Concordance client liv et fact'!$A:$H,8,FALSE))=TRUE,VLOOKUP(LEFT('1) Import fichier Remi (coller)'!$A24,9)+0,'Clients R2'!$A:$CY,29,FALSE),VLOOKUP(VLOOKUP(LEFT('1) Import fichier Remi (coller)'!$A24,9),'Concordance client liv et fact'!$A:$H,7,FALSE)+0,'Clients R2'!$A:$CY,29,FALSE))))</f>
        <v>B 4040</v>
      </c>
      <c r="U24" t="str">
        <f>IF($A24="","",PROPER(IF(ISERROR(VLOOKUP(LEFT('1) Import fichier Remi (coller)'!$A24,9),'Concordance client liv et fact'!$A:$H,8,FALSE))=TRUE,VLOOKUP(LEFT('1) Import fichier Remi (coller)'!$A24,9)+0,'Clients R2'!$A:$CY,30,FALSE),VLOOKUP(VLOOKUP(LEFT('1) Import fichier Remi (coller)'!$A24,9),'Concordance client liv et fact'!$A:$H,7,FALSE)+0,'Clients R2'!$A:$CY,30,FALSE))))</f>
        <v xml:space="preserve">Herstal                       </v>
      </c>
      <c r="V24" t="str">
        <f>IF($A24="","",LEFT(UPPER(IF(ISERROR(VLOOKUP(LEFT('1) Import fichier Remi (coller)'!$A24,9),'Concordance client liv et fact'!$A:$H,8,FALSE))=TRUE,IF(VLOOKUP(LEFT('1) Import fichier Remi (coller)'!$A24,9)+0,'Clients R2'!$A:$CY,22,FALSE)=4,"NA",VLOOKUP(LEFT('1) Import fichier Remi (coller)'!$A24,9)+0,'Clients R2'!$A:$CY,3,FALSE)),IF(VLOOKUP(VLOOKUP(LEFT('1) Import fichier Remi (coller)'!$A24,9),'Concordance client liv et fact'!$A:$H,7,FALSE)+0,'Clients R2'!$A:$CY,22,FALSE)=4,"NA",VLOOKUP(VLOOKUP(LEFT('1) Import fichier Remi (coller)'!$A24,9),'Concordance client liv et fact'!$A:$H,7,FALSE)+0,'Clients R2'!$A:$CY,3,FALSE)))),2))</f>
        <v>BE</v>
      </c>
      <c r="W24" s="27"/>
      <c r="X24" s="27" t="str">
        <f>IF($A24="","",IF(ISERROR(VLOOKUP(LEFT('1) Import fichier Remi (coller)'!$A24,9),'Concordance client liv et fact'!$A:$H,8,FALSE))=TRUE,VLOOKUP(LEFT('1) Import fichier Remi (coller)'!$A24,9)+0,'Clients R2'!$A:$CY,102,FALSE),VLOOKUP(VLOOKUP(LEFT('1) Import fichier Remi (coller)'!$A24,9),'Concordance client liv et fact'!$A:$H,7,FALSE)+0,'Clients R2'!$A:$CY,102,FALSE)))</f>
        <v xml:space="preserve">invoice@mebf.be                         </v>
      </c>
      <c r="Y24" t="str">
        <f>IF(A24="","",VLOOKUP(A24,'Libellés PDF'!$A$2:$B$5,2,FALSE)&amp;F24&amp;".PDF")</f>
        <v>CF11261521.PDF</v>
      </c>
      <c r="Z24" t="str">
        <f>IF(A24="","",IF(OR(H24="705099999",H24="705001002"),VLOOKUP('1) Import fichier Remi (coller)'!J24,'Analytique personnel'!$A:$B,2,FALSE),""))</f>
        <v>GDUHOUX</v>
      </c>
      <c r="AA24" t="str">
        <f>IF($A24="VE11","",IF(LEFT($H24,4)="7050","",IF('1) Import fichier Remi (coller)'!M24="","",'1) Import fichier Remi (coller)'!M24)))</f>
        <v/>
      </c>
      <c r="AB24" t="str">
        <f>IF($A24="VE11","",IF(LEFT($H24,4)="7050","",IF('1) Import fichier Remi (coller)'!N24="","",'1) Import fichier Remi (coller)'!N24)))</f>
        <v/>
      </c>
      <c r="AC24" t="str">
        <f>IF(A24="","",VLOOKUP(LEFT('1) Import fichier Remi (coller)'!A24,9)+0,'Concordance Client R2 BOB'!$B:$C,2,FALSE))</f>
        <v>METAUXEM</v>
      </c>
    </row>
    <row r="25" spans="1:29" ht="18.75" customHeight="1" x14ac:dyDescent="0.25">
      <c r="A25" t="str">
        <f>IF('1) Import fichier Remi (coller)'!D25="","",'1) Import fichier Remi (coller)'!D25)</f>
        <v>VE11</v>
      </c>
      <c r="B25">
        <f>IF(A25="","",YEAR('1) Import fichier Remi (coller)'!F25))</f>
        <v>2026</v>
      </c>
      <c r="C25">
        <f>IF(A25="","",MONTH('1) Import fichier Remi (coller)'!F25))</f>
        <v>9</v>
      </c>
      <c r="D25" s="1">
        <f>IF(A25="","",'1) Import fichier Remi (coller)'!F25)</f>
        <v>46281</v>
      </c>
      <c r="E25" s="1">
        <f>IF(A25="","",'1) Import fichier Remi (coller)'!G25)</f>
        <v>46281</v>
      </c>
      <c r="F25" t="str">
        <f>IF(A25="","",'1) Import fichier Remi (coller)'!E25)</f>
        <v>11261522</v>
      </c>
      <c r="G25" t="str">
        <f>IF(A25="","",IF(ISERROR(VLOOKUP(LEFT('1) Import fichier Remi (coller)'!A25,9),'Concordance client liv et fact'!$A:$H,8,FALSE))=TRUE,'1) Import fichier Remi (coller)'!B25,VLOOKUP(LEFT('1) Import fichier Remi (coller)'!A25,9),'Concordance client liv et fact'!$A:$H,8,FALSE)))</f>
        <v>METAUXEM</v>
      </c>
      <c r="H25" t="str">
        <f>IF(A25="","",IF(ISERROR(VLOOKUP('1) Import fichier Remi (coller)'!K25&amp;" - "&amp;'1) Import fichier Remi (coller)'!L25,'Spécifique comptes'!$A:$G,1,FALSE))=TRUE,'1) Import fichier Remi (coller)'!V25,VLOOKUP('1) Import fichier Remi (coller)'!K25&amp;" - "&amp;'1) Import fichier Remi (coller)'!L25,'Spécifique comptes'!$A:$G,IF(LEFT('2) BOB compta (completer-forcer'!F25,2)="11",4,IF(LEFT('2) BOB compta (completer-forcer'!F25,2)="12",5,IF(LEFT('2) BOB compta (completer-forcer'!F25,2)="13",6,IF(LEFT('2) BOB compta (completer-forcer'!F25,2)="15",7,"Erreur Compte")))),FALSE)))</f>
        <v>704100000</v>
      </c>
      <c r="I25" s="26" t="str">
        <f>IF(A25="","",IF(H25="70100000",'1) Import fichier Remi (coller)'!J25,'1) Import fichier Remi (coller)'!U25))</f>
        <v>+++003/7261/52239+++</v>
      </c>
      <c r="J25" s="26" t="str">
        <f>IF(A25="","",'1) Import fichier Remi (coller)'!U25)</f>
        <v>+++003/7261/52239+++</v>
      </c>
      <c r="K25" s="17">
        <f t="shared" si="1"/>
        <v>4082.0199999999995</v>
      </c>
      <c r="L25" t="str">
        <f t="shared" si="0"/>
        <v>V</v>
      </c>
      <c r="M25" s="14">
        <f>IF(A25="","",'1) Import fichier Remi (coller)'!S25)</f>
        <v>21</v>
      </c>
      <c r="N25" s="17">
        <f>IF($A25="","",IF(OR($A25="NCV",$A25="NC15"),-'1) Import fichier Remi (coller)'!R25,'1) Import fichier Remi (coller)'!R25))</f>
        <v>2190.64</v>
      </c>
      <c r="O25" s="17">
        <f>IF($A25="","",IF(OR($A25="NCV",$A25="NC15"),-'1) Import fichier Remi (coller)'!T25,'1) Import fichier Remi (coller)'!T25))</f>
        <v>460.03</v>
      </c>
      <c r="R25" t="str">
        <f>IF($A25="","",IF(ISERROR(VLOOKUP(LEFT('1) Import fichier Remi (coller)'!$A25,9),'Concordance client liv et fact'!$A:$H,8,FALSE))=TRUE,VLOOKUP(LEFT('1) Import fichier Remi (coller)'!$A25,9)+0,'Clients R2'!$A:$CY,2,FALSE),VLOOKUP(VLOOKUP(LEFT('1) Import fichier Remi (coller)'!$A25,9),'Concordance client liv et fact'!$A:$H,7,FALSE)+0,'Clients R2'!$A:$CY,2,FALSE)))</f>
        <v xml:space="preserve">MEBF MECA SA           </v>
      </c>
      <c r="S25" t="str">
        <f>IF($A25="","",PROPER(IF(ISERROR(VLOOKUP(LEFT('1) Import fichier Remi (coller)'!$A25,9),'Concordance client liv et fact'!$A:$H,8,FALSE))=TRUE,VLOOKUP(LEFT('1) Import fichier Remi (coller)'!$A25,9)+0,'Clients R2'!$A:$CY,27,FALSE),VLOOKUP(VLOOKUP(LEFT('1) Import fichier Remi (coller)'!$A25,9),'Concordance client liv et fact'!$A:$H,7,FALSE)+0,'Clients R2'!$A:$CY,27,FALSE))))</f>
        <v xml:space="preserve">Rue Haute Marexhe, 176             </v>
      </c>
      <c r="T25" t="str">
        <f>IF($A25="","",LEFT(UPPER(IF(ISERROR(VLOOKUP(LEFT('1) Import fichier Remi (coller)'!$A25,9),'Concordance client liv et fact'!$A:$H,8,FALSE))=TRUE,VLOOKUP(LEFT('1) Import fichier Remi (coller)'!$A25,9)+0,'Clients R2'!$A:$CY,28,FALSE),VLOOKUP(VLOOKUP(LEFT('1) Import fichier Remi (coller)'!$A25,9),'Concordance client liv et fact'!$A:$H,7,FALSE)+0,'Clients R2'!$A:$CY,28,FALSE))),2)&amp;UPPER(IF(ISERROR(VLOOKUP(LEFT('1) Import fichier Remi (coller)'!$A25,9),'Concordance client liv et fact'!$A:$H,8,FALSE))=TRUE,VLOOKUP(LEFT('1) Import fichier Remi (coller)'!$A25,9)+0,'Clients R2'!$A:$CY,29,FALSE),VLOOKUP(VLOOKUP(LEFT('1) Import fichier Remi (coller)'!$A25,9),'Concordance client liv et fact'!$A:$H,7,FALSE)+0,'Clients R2'!$A:$CY,29,FALSE))))</f>
        <v>B 4040</v>
      </c>
      <c r="U25" t="str">
        <f>IF($A25="","",PROPER(IF(ISERROR(VLOOKUP(LEFT('1) Import fichier Remi (coller)'!$A25,9),'Concordance client liv et fact'!$A:$H,8,FALSE))=TRUE,VLOOKUP(LEFT('1) Import fichier Remi (coller)'!$A25,9)+0,'Clients R2'!$A:$CY,30,FALSE),VLOOKUP(VLOOKUP(LEFT('1) Import fichier Remi (coller)'!$A25,9),'Concordance client liv et fact'!$A:$H,7,FALSE)+0,'Clients R2'!$A:$CY,30,FALSE))))</f>
        <v xml:space="preserve">Herstal                       </v>
      </c>
      <c r="V25" t="str">
        <f>IF($A25="","",LEFT(UPPER(IF(ISERROR(VLOOKUP(LEFT('1) Import fichier Remi (coller)'!$A25,9),'Concordance client liv et fact'!$A:$H,8,FALSE))=TRUE,IF(VLOOKUP(LEFT('1) Import fichier Remi (coller)'!$A25,9)+0,'Clients R2'!$A:$CY,22,FALSE)=4,"NA",VLOOKUP(LEFT('1) Import fichier Remi (coller)'!$A25,9)+0,'Clients R2'!$A:$CY,3,FALSE)),IF(VLOOKUP(VLOOKUP(LEFT('1) Import fichier Remi (coller)'!$A25,9),'Concordance client liv et fact'!$A:$H,7,FALSE)+0,'Clients R2'!$A:$CY,22,FALSE)=4,"NA",VLOOKUP(VLOOKUP(LEFT('1) Import fichier Remi (coller)'!$A25,9),'Concordance client liv et fact'!$A:$H,7,FALSE)+0,'Clients R2'!$A:$CY,3,FALSE)))),2))</f>
        <v>BE</v>
      </c>
      <c r="W25" s="27"/>
      <c r="X25" s="27" t="str">
        <f>IF($A25="","",IF(ISERROR(VLOOKUP(LEFT('1) Import fichier Remi (coller)'!$A25,9),'Concordance client liv et fact'!$A:$H,8,FALSE))=TRUE,VLOOKUP(LEFT('1) Import fichier Remi (coller)'!$A25,9)+0,'Clients R2'!$A:$CY,102,FALSE),VLOOKUP(VLOOKUP(LEFT('1) Import fichier Remi (coller)'!$A25,9),'Concordance client liv et fact'!$A:$H,7,FALSE)+0,'Clients R2'!$A:$CY,102,FALSE)))</f>
        <v xml:space="preserve">invoice@mebf.be                         </v>
      </c>
      <c r="Y25" t="str">
        <f>IF(A25="","",VLOOKUP(A25,'Libellés PDF'!$A$2:$B$5,2,FALSE)&amp;F25&amp;".PDF")</f>
        <v>CF11261522.PDF</v>
      </c>
      <c r="Z25" t="str">
        <f>IF(A25="","",IF(OR(H25="705099999",H25="705001002"),VLOOKUP('1) Import fichier Remi (coller)'!J25,'Analytique personnel'!$A:$B,2,FALSE),""))</f>
        <v/>
      </c>
      <c r="AA25" t="str">
        <f>IF($A25="VE11","",IF(LEFT($H25,4)="7050","",IF('1) Import fichier Remi (coller)'!M25="","",'1) Import fichier Remi (coller)'!M25)))</f>
        <v/>
      </c>
      <c r="AB25" t="str">
        <f>IF($A25="VE11","",IF(LEFT($H25,4)="7050","",IF('1) Import fichier Remi (coller)'!N25="","",'1) Import fichier Remi (coller)'!N25)))</f>
        <v/>
      </c>
      <c r="AC25" t="str">
        <f>IF(A25="","",VLOOKUP(LEFT('1) Import fichier Remi (coller)'!A25,9)+0,'Concordance Client R2 BOB'!$B:$C,2,FALSE))</f>
        <v>METAUXEM</v>
      </c>
    </row>
    <row r="26" spans="1:29" ht="18.75" customHeight="1" x14ac:dyDescent="0.25">
      <c r="A26" t="str">
        <f>IF('1) Import fichier Remi (coller)'!D26="","",'1) Import fichier Remi (coller)'!D26)</f>
        <v>VE11</v>
      </c>
      <c r="B26">
        <f>IF(A26="","",YEAR('1) Import fichier Remi (coller)'!F26))</f>
        <v>2026</v>
      </c>
      <c r="C26">
        <f>IF(A26="","",MONTH('1) Import fichier Remi (coller)'!F26))</f>
        <v>9</v>
      </c>
      <c r="D26" s="1">
        <f>IF(A26="","",'1) Import fichier Remi (coller)'!F26)</f>
        <v>46281</v>
      </c>
      <c r="E26" s="1">
        <f>IF(A26="","",'1) Import fichier Remi (coller)'!G26)</f>
        <v>46281</v>
      </c>
      <c r="F26" t="str">
        <f>IF(A26="","",'1) Import fichier Remi (coller)'!E26)</f>
        <v>11261522</v>
      </c>
      <c r="G26" t="str">
        <f>IF(A26="","",IF(ISERROR(VLOOKUP(LEFT('1) Import fichier Remi (coller)'!A26,9),'Concordance client liv et fact'!$A:$H,8,FALSE))=TRUE,'1) Import fichier Remi (coller)'!B26,VLOOKUP(LEFT('1) Import fichier Remi (coller)'!A26,9),'Concordance client liv et fact'!$A:$H,8,FALSE)))</f>
        <v>METAUXEM</v>
      </c>
      <c r="H26" t="str">
        <f>IF(A26="","",IF(ISERROR(VLOOKUP('1) Import fichier Remi (coller)'!K26&amp;" - "&amp;'1) Import fichier Remi (coller)'!L26,'Spécifique comptes'!$A:$G,1,FALSE))=TRUE,'1) Import fichier Remi (coller)'!V26,VLOOKUP('1) Import fichier Remi (coller)'!K26&amp;" - "&amp;'1) Import fichier Remi (coller)'!L26,'Spécifique comptes'!$A:$G,IF(LEFT('2) BOB compta (completer-forcer'!F26,2)="11",4,IF(LEFT('2) BOB compta (completer-forcer'!F26,2)="12",5,IF(LEFT('2) BOB compta (completer-forcer'!F26,2)="13",6,IF(LEFT('2) BOB compta (completer-forcer'!F26,2)="15",7,"Erreur Compte")))),FALSE)))</f>
        <v>704100000</v>
      </c>
      <c r="I26" s="26" t="str">
        <f>IF(A26="","",IF(H26="70100000",'1) Import fichier Remi (coller)'!J26,'1) Import fichier Remi (coller)'!U26))</f>
        <v>+++003/7261/52239+++</v>
      </c>
      <c r="J26" s="26" t="str">
        <f>IF(A26="","",'1) Import fichier Remi (coller)'!U26)</f>
        <v>+++003/7261/52239+++</v>
      </c>
      <c r="K26" s="17">
        <f t="shared" si="1"/>
        <v>4082.0199999999995</v>
      </c>
      <c r="L26" t="str">
        <f t="shared" si="0"/>
        <v>V</v>
      </c>
      <c r="M26" s="14">
        <f>IF(A26="","",'1) Import fichier Remi (coller)'!S26)</f>
        <v>21</v>
      </c>
      <c r="N26" s="17">
        <f>IF($A26="","",IF(OR($A26="NCV",$A26="NC15"),-'1) Import fichier Remi (coller)'!R26,'1) Import fichier Remi (coller)'!R26))</f>
        <v>247.52</v>
      </c>
      <c r="O26" s="17">
        <f>IF($A26="","",IF(OR($A26="NCV",$A26="NC15"),-'1) Import fichier Remi (coller)'!T26,'1) Import fichier Remi (coller)'!T26))</f>
        <v>51.98</v>
      </c>
      <c r="R26" t="str">
        <f>IF($A26="","",IF(ISERROR(VLOOKUP(LEFT('1) Import fichier Remi (coller)'!$A26,9),'Concordance client liv et fact'!$A:$H,8,FALSE))=TRUE,VLOOKUP(LEFT('1) Import fichier Remi (coller)'!$A26,9)+0,'Clients R2'!$A:$CY,2,FALSE),VLOOKUP(VLOOKUP(LEFT('1) Import fichier Remi (coller)'!$A26,9),'Concordance client liv et fact'!$A:$H,7,FALSE)+0,'Clients R2'!$A:$CY,2,FALSE)))</f>
        <v xml:space="preserve">MEBF MECA SA           </v>
      </c>
      <c r="S26" t="str">
        <f>IF($A26="","",PROPER(IF(ISERROR(VLOOKUP(LEFT('1) Import fichier Remi (coller)'!$A26,9),'Concordance client liv et fact'!$A:$H,8,FALSE))=TRUE,VLOOKUP(LEFT('1) Import fichier Remi (coller)'!$A26,9)+0,'Clients R2'!$A:$CY,27,FALSE),VLOOKUP(VLOOKUP(LEFT('1) Import fichier Remi (coller)'!$A26,9),'Concordance client liv et fact'!$A:$H,7,FALSE)+0,'Clients R2'!$A:$CY,27,FALSE))))</f>
        <v xml:space="preserve">Rue Haute Marexhe, 176             </v>
      </c>
      <c r="T26" t="str">
        <f>IF($A26="","",LEFT(UPPER(IF(ISERROR(VLOOKUP(LEFT('1) Import fichier Remi (coller)'!$A26,9),'Concordance client liv et fact'!$A:$H,8,FALSE))=TRUE,VLOOKUP(LEFT('1) Import fichier Remi (coller)'!$A26,9)+0,'Clients R2'!$A:$CY,28,FALSE),VLOOKUP(VLOOKUP(LEFT('1) Import fichier Remi (coller)'!$A26,9),'Concordance client liv et fact'!$A:$H,7,FALSE)+0,'Clients R2'!$A:$CY,28,FALSE))),2)&amp;UPPER(IF(ISERROR(VLOOKUP(LEFT('1) Import fichier Remi (coller)'!$A26,9),'Concordance client liv et fact'!$A:$H,8,FALSE))=TRUE,VLOOKUP(LEFT('1) Import fichier Remi (coller)'!$A26,9)+0,'Clients R2'!$A:$CY,29,FALSE),VLOOKUP(VLOOKUP(LEFT('1) Import fichier Remi (coller)'!$A26,9),'Concordance client liv et fact'!$A:$H,7,FALSE)+0,'Clients R2'!$A:$CY,29,FALSE))))</f>
        <v>B 4040</v>
      </c>
      <c r="U26" t="str">
        <f>IF($A26="","",PROPER(IF(ISERROR(VLOOKUP(LEFT('1) Import fichier Remi (coller)'!$A26,9),'Concordance client liv et fact'!$A:$H,8,FALSE))=TRUE,VLOOKUP(LEFT('1) Import fichier Remi (coller)'!$A26,9)+0,'Clients R2'!$A:$CY,30,FALSE),VLOOKUP(VLOOKUP(LEFT('1) Import fichier Remi (coller)'!$A26,9),'Concordance client liv et fact'!$A:$H,7,FALSE)+0,'Clients R2'!$A:$CY,30,FALSE))))</f>
        <v xml:space="preserve">Herstal                       </v>
      </c>
      <c r="V26" t="str">
        <f>IF($A26="","",LEFT(UPPER(IF(ISERROR(VLOOKUP(LEFT('1) Import fichier Remi (coller)'!$A26,9),'Concordance client liv et fact'!$A:$H,8,FALSE))=TRUE,IF(VLOOKUP(LEFT('1) Import fichier Remi (coller)'!$A26,9)+0,'Clients R2'!$A:$CY,22,FALSE)=4,"NA",VLOOKUP(LEFT('1) Import fichier Remi (coller)'!$A26,9)+0,'Clients R2'!$A:$CY,3,FALSE)),IF(VLOOKUP(VLOOKUP(LEFT('1) Import fichier Remi (coller)'!$A26,9),'Concordance client liv et fact'!$A:$H,7,FALSE)+0,'Clients R2'!$A:$CY,22,FALSE)=4,"NA",VLOOKUP(VLOOKUP(LEFT('1) Import fichier Remi (coller)'!$A26,9),'Concordance client liv et fact'!$A:$H,7,FALSE)+0,'Clients R2'!$A:$CY,3,FALSE)))),2))</f>
        <v>BE</v>
      </c>
      <c r="W26" s="27"/>
      <c r="X26" s="27" t="str">
        <f>IF($A26="","",IF(ISERROR(VLOOKUP(LEFT('1) Import fichier Remi (coller)'!$A26,9),'Concordance client liv et fact'!$A:$H,8,FALSE))=TRUE,VLOOKUP(LEFT('1) Import fichier Remi (coller)'!$A26,9)+0,'Clients R2'!$A:$CY,102,FALSE),VLOOKUP(VLOOKUP(LEFT('1) Import fichier Remi (coller)'!$A26,9),'Concordance client liv et fact'!$A:$H,7,FALSE)+0,'Clients R2'!$A:$CY,102,FALSE)))</f>
        <v xml:space="preserve">invoice@mebf.be                         </v>
      </c>
      <c r="Y26" t="str">
        <f>IF(A26="","",VLOOKUP(A26,'Libellés PDF'!$A$2:$B$5,2,FALSE)&amp;F26&amp;".PDF")</f>
        <v>CF11261522.PDF</v>
      </c>
      <c r="Z26" t="str">
        <f>IF(A26="","",IF(OR(H26="705099999",H26="705001002"),VLOOKUP('1) Import fichier Remi (coller)'!J26,'Analytique personnel'!$A:$B,2,FALSE),""))</f>
        <v/>
      </c>
      <c r="AA26" t="str">
        <f>IF($A26="VE11","",IF(LEFT($H26,4)="7050","",IF('1) Import fichier Remi (coller)'!M26="","",'1) Import fichier Remi (coller)'!M26)))</f>
        <v/>
      </c>
      <c r="AB26" t="str">
        <f>IF($A26="VE11","",IF(LEFT($H26,4)="7050","",IF('1) Import fichier Remi (coller)'!N26="","",'1) Import fichier Remi (coller)'!N26)))</f>
        <v/>
      </c>
      <c r="AC26" t="str">
        <f>IF(A26="","",VLOOKUP(LEFT('1) Import fichier Remi (coller)'!A26,9)+0,'Concordance Client R2 BOB'!$B:$C,2,FALSE))</f>
        <v>METAUXEM</v>
      </c>
    </row>
    <row r="27" spans="1:29" ht="18.75" customHeight="1" x14ac:dyDescent="0.25">
      <c r="A27" t="str">
        <f>IF('1) Import fichier Remi (coller)'!D27="","",'1) Import fichier Remi (coller)'!D27)</f>
        <v>VE11</v>
      </c>
      <c r="B27">
        <f>IF(A27="","",YEAR('1) Import fichier Remi (coller)'!F27))</f>
        <v>2026</v>
      </c>
      <c r="C27">
        <f>IF(A27="","",MONTH('1) Import fichier Remi (coller)'!F27))</f>
        <v>9</v>
      </c>
      <c r="D27" s="1">
        <f>IF(A27="","",'1) Import fichier Remi (coller)'!F27)</f>
        <v>46281</v>
      </c>
      <c r="E27" s="1">
        <f>IF(A27="","",'1) Import fichier Remi (coller)'!G27)</f>
        <v>46281</v>
      </c>
      <c r="F27" t="str">
        <f>IF(A27="","",'1) Import fichier Remi (coller)'!E27)</f>
        <v>11261522</v>
      </c>
      <c r="G27" t="str">
        <f>IF(A27="","",IF(ISERROR(VLOOKUP(LEFT('1) Import fichier Remi (coller)'!A27,9),'Concordance client liv et fact'!$A:$H,8,FALSE))=TRUE,'1) Import fichier Remi (coller)'!B27,VLOOKUP(LEFT('1) Import fichier Remi (coller)'!A27,9),'Concordance client liv et fact'!$A:$H,8,FALSE)))</f>
        <v>METAUXEM</v>
      </c>
      <c r="H27" t="str">
        <f>IF(A27="","",IF(ISERROR(VLOOKUP('1) Import fichier Remi (coller)'!K27&amp;" - "&amp;'1) Import fichier Remi (coller)'!L27,'Spécifique comptes'!$A:$G,1,FALSE))=TRUE,'1) Import fichier Remi (coller)'!V27,VLOOKUP('1) Import fichier Remi (coller)'!K27&amp;" - "&amp;'1) Import fichier Remi (coller)'!L27,'Spécifique comptes'!$A:$G,IF(LEFT('2) BOB compta (completer-forcer'!F27,2)="11",4,IF(LEFT('2) BOB compta (completer-forcer'!F27,2)="12",5,IF(LEFT('2) BOB compta (completer-forcer'!F27,2)="13",6,IF(LEFT('2) BOB compta (completer-forcer'!F27,2)="15",7,"Erreur Compte")))),FALSE)))</f>
        <v>704100001</v>
      </c>
      <c r="I27" s="26" t="str">
        <f>IF(A27="","",IF(H27="70100000",'1) Import fichier Remi (coller)'!J27,'1) Import fichier Remi (coller)'!U27))</f>
        <v>+++003/7261/52239+++</v>
      </c>
      <c r="J27" s="26" t="str">
        <f>IF(A27="","",'1) Import fichier Remi (coller)'!U27)</f>
        <v>+++003/7261/52239+++</v>
      </c>
      <c r="K27" s="17">
        <f t="shared" si="1"/>
        <v>4082.0199999999995</v>
      </c>
      <c r="L27" t="str">
        <f t="shared" si="0"/>
        <v>V</v>
      </c>
      <c r="M27" s="14">
        <f>IF(A27="","",'1) Import fichier Remi (coller)'!S27)</f>
        <v>21</v>
      </c>
      <c r="N27" s="17">
        <f>IF($A27="","",IF(OR($A27="NCV",$A27="NC15"),-'1) Import fichier Remi (coller)'!R27,'1) Import fichier Remi (coller)'!R27))</f>
        <v>0.4</v>
      </c>
      <c r="O27" s="17">
        <f>IF($A27="","",IF(OR($A27="NCV",$A27="NC15"),-'1) Import fichier Remi (coller)'!T27,'1) Import fichier Remi (coller)'!T27))</f>
        <v>0.08</v>
      </c>
      <c r="R27" t="str">
        <f>IF($A27="","",IF(ISERROR(VLOOKUP(LEFT('1) Import fichier Remi (coller)'!$A27,9),'Concordance client liv et fact'!$A:$H,8,FALSE))=TRUE,VLOOKUP(LEFT('1) Import fichier Remi (coller)'!$A27,9)+0,'Clients R2'!$A:$CY,2,FALSE),VLOOKUP(VLOOKUP(LEFT('1) Import fichier Remi (coller)'!$A27,9),'Concordance client liv et fact'!$A:$H,7,FALSE)+0,'Clients R2'!$A:$CY,2,FALSE)))</f>
        <v xml:space="preserve">MEBF MECA SA           </v>
      </c>
      <c r="S27" t="str">
        <f>IF($A27="","",PROPER(IF(ISERROR(VLOOKUP(LEFT('1) Import fichier Remi (coller)'!$A27,9),'Concordance client liv et fact'!$A:$H,8,FALSE))=TRUE,VLOOKUP(LEFT('1) Import fichier Remi (coller)'!$A27,9)+0,'Clients R2'!$A:$CY,27,FALSE),VLOOKUP(VLOOKUP(LEFT('1) Import fichier Remi (coller)'!$A27,9),'Concordance client liv et fact'!$A:$H,7,FALSE)+0,'Clients R2'!$A:$CY,27,FALSE))))</f>
        <v xml:space="preserve">Rue Haute Marexhe, 176             </v>
      </c>
      <c r="T27" t="str">
        <f>IF($A27="","",LEFT(UPPER(IF(ISERROR(VLOOKUP(LEFT('1) Import fichier Remi (coller)'!$A27,9),'Concordance client liv et fact'!$A:$H,8,FALSE))=TRUE,VLOOKUP(LEFT('1) Import fichier Remi (coller)'!$A27,9)+0,'Clients R2'!$A:$CY,28,FALSE),VLOOKUP(VLOOKUP(LEFT('1) Import fichier Remi (coller)'!$A27,9),'Concordance client liv et fact'!$A:$H,7,FALSE)+0,'Clients R2'!$A:$CY,28,FALSE))),2)&amp;UPPER(IF(ISERROR(VLOOKUP(LEFT('1) Import fichier Remi (coller)'!$A27,9),'Concordance client liv et fact'!$A:$H,8,FALSE))=TRUE,VLOOKUP(LEFT('1) Import fichier Remi (coller)'!$A27,9)+0,'Clients R2'!$A:$CY,29,FALSE),VLOOKUP(VLOOKUP(LEFT('1) Import fichier Remi (coller)'!$A27,9),'Concordance client liv et fact'!$A:$H,7,FALSE)+0,'Clients R2'!$A:$CY,29,FALSE))))</f>
        <v>B 4040</v>
      </c>
      <c r="U27" t="str">
        <f>IF($A27="","",PROPER(IF(ISERROR(VLOOKUP(LEFT('1) Import fichier Remi (coller)'!$A27,9),'Concordance client liv et fact'!$A:$H,8,FALSE))=TRUE,VLOOKUP(LEFT('1) Import fichier Remi (coller)'!$A27,9)+0,'Clients R2'!$A:$CY,30,FALSE),VLOOKUP(VLOOKUP(LEFT('1) Import fichier Remi (coller)'!$A27,9),'Concordance client liv et fact'!$A:$H,7,FALSE)+0,'Clients R2'!$A:$CY,30,FALSE))))</f>
        <v xml:space="preserve">Herstal                       </v>
      </c>
      <c r="V27" t="str">
        <f>IF($A27="","",LEFT(UPPER(IF(ISERROR(VLOOKUP(LEFT('1) Import fichier Remi (coller)'!$A27,9),'Concordance client liv et fact'!$A:$H,8,FALSE))=TRUE,IF(VLOOKUP(LEFT('1) Import fichier Remi (coller)'!$A27,9)+0,'Clients R2'!$A:$CY,22,FALSE)=4,"NA",VLOOKUP(LEFT('1) Import fichier Remi (coller)'!$A27,9)+0,'Clients R2'!$A:$CY,3,FALSE)),IF(VLOOKUP(VLOOKUP(LEFT('1) Import fichier Remi (coller)'!$A27,9),'Concordance client liv et fact'!$A:$H,7,FALSE)+0,'Clients R2'!$A:$CY,22,FALSE)=4,"NA",VLOOKUP(VLOOKUP(LEFT('1) Import fichier Remi (coller)'!$A27,9),'Concordance client liv et fact'!$A:$H,7,FALSE)+0,'Clients R2'!$A:$CY,3,FALSE)))),2))</f>
        <v>BE</v>
      </c>
      <c r="W27" s="27"/>
      <c r="X27" s="27" t="str">
        <f>IF($A27="","",IF(ISERROR(VLOOKUP(LEFT('1) Import fichier Remi (coller)'!$A27,9),'Concordance client liv et fact'!$A:$H,8,FALSE))=TRUE,VLOOKUP(LEFT('1) Import fichier Remi (coller)'!$A27,9)+0,'Clients R2'!$A:$CY,102,FALSE),VLOOKUP(VLOOKUP(LEFT('1) Import fichier Remi (coller)'!$A27,9),'Concordance client liv et fact'!$A:$H,7,FALSE)+0,'Clients R2'!$A:$CY,102,FALSE)))</f>
        <v xml:space="preserve">invoice@mebf.be                         </v>
      </c>
      <c r="Y27" t="str">
        <f>IF(A27="","",VLOOKUP(A27,'Libellés PDF'!$A$2:$B$5,2,FALSE)&amp;F27&amp;".PDF")</f>
        <v>CF11261522.PDF</v>
      </c>
      <c r="Z27" t="str">
        <f>IF(A27="","",IF(OR(H27="705099999",H27="705001002"),VLOOKUP('1) Import fichier Remi (coller)'!J27,'Analytique personnel'!$A:$B,2,FALSE),""))</f>
        <v/>
      </c>
      <c r="AA27" t="str">
        <f>IF($A27="VE11","",IF(LEFT($H27,4)="7050","",IF('1) Import fichier Remi (coller)'!M27="","",'1) Import fichier Remi (coller)'!M27)))</f>
        <v/>
      </c>
      <c r="AB27" t="str">
        <f>IF($A27="VE11","",IF(LEFT($H27,4)="7050","",IF('1) Import fichier Remi (coller)'!N27="","",'1) Import fichier Remi (coller)'!N27)))</f>
        <v/>
      </c>
      <c r="AC27" t="str">
        <f>IF(A27="","",VLOOKUP(LEFT('1) Import fichier Remi (coller)'!A27,9)+0,'Concordance Client R2 BOB'!$B:$C,2,FALSE))</f>
        <v>METAUXEM</v>
      </c>
    </row>
    <row r="28" spans="1:29" ht="18.75" customHeight="1" x14ac:dyDescent="0.25">
      <c r="A28" t="str">
        <f>IF('1) Import fichier Remi (coller)'!D28="","",'1) Import fichier Remi (coller)'!D28)</f>
        <v>VE11</v>
      </c>
      <c r="B28">
        <f>IF(A28="","",YEAR('1) Import fichier Remi (coller)'!F28))</f>
        <v>2026</v>
      </c>
      <c r="C28">
        <f>IF(A28="","",MONTH('1) Import fichier Remi (coller)'!F28))</f>
        <v>9</v>
      </c>
      <c r="D28" s="1">
        <f>IF(A28="","",'1) Import fichier Remi (coller)'!F28)</f>
        <v>46281</v>
      </c>
      <c r="E28" s="1">
        <f>IF(A28="","",'1) Import fichier Remi (coller)'!G28)</f>
        <v>46281</v>
      </c>
      <c r="F28" t="str">
        <f>IF(A28="","",'1) Import fichier Remi (coller)'!E28)</f>
        <v>11261522</v>
      </c>
      <c r="G28" t="str">
        <f>IF(A28="","",IF(ISERROR(VLOOKUP(LEFT('1) Import fichier Remi (coller)'!A28,9),'Concordance client liv et fact'!$A:$H,8,FALSE))=TRUE,'1) Import fichier Remi (coller)'!B28,VLOOKUP(LEFT('1) Import fichier Remi (coller)'!A28,9),'Concordance client liv et fact'!$A:$H,8,FALSE)))</f>
        <v>METAUXEM</v>
      </c>
      <c r="H28" t="str">
        <f>IF(A28="","",IF(ISERROR(VLOOKUP('1) Import fichier Remi (coller)'!K28&amp;" - "&amp;'1) Import fichier Remi (coller)'!L28,'Spécifique comptes'!$A:$G,1,FALSE))=TRUE,'1) Import fichier Remi (coller)'!V28,VLOOKUP('1) Import fichier Remi (coller)'!K28&amp;" - "&amp;'1) Import fichier Remi (coller)'!L28,'Spécifique comptes'!$A:$G,IF(LEFT('2) BOB compta (completer-forcer'!F28,2)="11",4,IF(LEFT('2) BOB compta (completer-forcer'!F28,2)="12",5,IF(LEFT('2) BOB compta (completer-forcer'!F28,2)="13",6,IF(LEFT('2) BOB compta (completer-forcer'!F28,2)="15",7,"Erreur Compte")))),FALSE)))</f>
        <v>704100000</v>
      </c>
      <c r="I28" s="26" t="str">
        <f>IF(A28="","",IF(H28="70100000",'1) Import fichier Remi (coller)'!J28,'1) Import fichier Remi (coller)'!U28))</f>
        <v>+++003/7261/52239+++</v>
      </c>
      <c r="J28" s="26" t="str">
        <f>IF(A28="","",'1) Import fichier Remi (coller)'!U28)</f>
        <v>+++003/7261/52239+++</v>
      </c>
      <c r="K28" s="17">
        <f t="shared" si="1"/>
        <v>4082.0199999999995</v>
      </c>
      <c r="L28" t="str">
        <f t="shared" si="0"/>
        <v>V</v>
      </c>
      <c r="M28" s="14">
        <f>IF(A28="","",'1) Import fichier Remi (coller)'!S28)</f>
        <v>21</v>
      </c>
      <c r="N28" s="17">
        <f>IF($A28="","",IF(OR($A28="NCV",$A28="NC15"),-'1) Import fichier Remi (coller)'!R28,'1) Import fichier Remi (coller)'!R28))</f>
        <v>142.43</v>
      </c>
      <c r="O28" s="17">
        <f>IF($A28="","",IF(OR($A28="NCV",$A28="NC15"),-'1) Import fichier Remi (coller)'!T28,'1) Import fichier Remi (coller)'!T28))</f>
        <v>29.91</v>
      </c>
      <c r="R28" t="str">
        <f>IF($A28="","",IF(ISERROR(VLOOKUP(LEFT('1) Import fichier Remi (coller)'!$A28,9),'Concordance client liv et fact'!$A:$H,8,FALSE))=TRUE,VLOOKUP(LEFT('1) Import fichier Remi (coller)'!$A28,9)+0,'Clients R2'!$A:$CY,2,FALSE),VLOOKUP(VLOOKUP(LEFT('1) Import fichier Remi (coller)'!$A28,9),'Concordance client liv et fact'!$A:$H,7,FALSE)+0,'Clients R2'!$A:$CY,2,FALSE)))</f>
        <v xml:space="preserve">MEBF MECA SA           </v>
      </c>
      <c r="S28" t="str">
        <f>IF($A28="","",PROPER(IF(ISERROR(VLOOKUP(LEFT('1) Import fichier Remi (coller)'!$A28,9),'Concordance client liv et fact'!$A:$H,8,FALSE))=TRUE,VLOOKUP(LEFT('1) Import fichier Remi (coller)'!$A28,9)+0,'Clients R2'!$A:$CY,27,FALSE),VLOOKUP(VLOOKUP(LEFT('1) Import fichier Remi (coller)'!$A28,9),'Concordance client liv et fact'!$A:$H,7,FALSE)+0,'Clients R2'!$A:$CY,27,FALSE))))</f>
        <v xml:space="preserve">Rue Haute Marexhe, 176             </v>
      </c>
      <c r="T28" t="str">
        <f>IF($A28="","",LEFT(UPPER(IF(ISERROR(VLOOKUP(LEFT('1) Import fichier Remi (coller)'!$A28,9),'Concordance client liv et fact'!$A:$H,8,FALSE))=TRUE,VLOOKUP(LEFT('1) Import fichier Remi (coller)'!$A28,9)+0,'Clients R2'!$A:$CY,28,FALSE),VLOOKUP(VLOOKUP(LEFT('1) Import fichier Remi (coller)'!$A28,9),'Concordance client liv et fact'!$A:$H,7,FALSE)+0,'Clients R2'!$A:$CY,28,FALSE))),2)&amp;UPPER(IF(ISERROR(VLOOKUP(LEFT('1) Import fichier Remi (coller)'!$A28,9),'Concordance client liv et fact'!$A:$H,8,FALSE))=TRUE,VLOOKUP(LEFT('1) Import fichier Remi (coller)'!$A28,9)+0,'Clients R2'!$A:$CY,29,FALSE),VLOOKUP(VLOOKUP(LEFT('1) Import fichier Remi (coller)'!$A28,9),'Concordance client liv et fact'!$A:$H,7,FALSE)+0,'Clients R2'!$A:$CY,29,FALSE))))</f>
        <v>B 4040</v>
      </c>
      <c r="U28" t="str">
        <f>IF($A28="","",PROPER(IF(ISERROR(VLOOKUP(LEFT('1) Import fichier Remi (coller)'!$A28,9),'Concordance client liv et fact'!$A:$H,8,FALSE))=TRUE,VLOOKUP(LEFT('1) Import fichier Remi (coller)'!$A28,9)+0,'Clients R2'!$A:$CY,30,FALSE),VLOOKUP(VLOOKUP(LEFT('1) Import fichier Remi (coller)'!$A28,9),'Concordance client liv et fact'!$A:$H,7,FALSE)+0,'Clients R2'!$A:$CY,30,FALSE))))</f>
        <v xml:space="preserve">Herstal                       </v>
      </c>
      <c r="V28" t="str">
        <f>IF($A28="","",LEFT(UPPER(IF(ISERROR(VLOOKUP(LEFT('1) Import fichier Remi (coller)'!$A28,9),'Concordance client liv et fact'!$A:$H,8,FALSE))=TRUE,IF(VLOOKUP(LEFT('1) Import fichier Remi (coller)'!$A28,9)+0,'Clients R2'!$A:$CY,22,FALSE)=4,"NA",VLOOKUP(LEFT('1) Import fichier Remi (coller)'!$A28,9)+0,'Clients R2'!$A:$CY,3,FALSE)),IF(VLOOKUP(VLOOKUP(LEFT('1) Import fichier Remi (coller)'!$A28,9),'Concordance client liv et fact'!$A:$H,7,FALSE)+0,'Clients R2'!$A:$CY,22,FALSE)=4,"NA",VLOOKUP(VLOOKUP(LEFT('1) Import fichier Remi (coller)'!$A28,9),'Concordance client liv et fact'!$A:$H,7,FALSE)+0,'Clients R2'!$A:$CY,3,FALSE)))),2))</f>
        <v>BE</v>
      </c>
      <c r="W28" s="27"/>
      <c r="X28" s="27" t="str">
        <f>IF($A28="","",IF(ISERROR(VLOOKUP(LEFT('1) Import fichier Remi (coller)'!$A28,9),'Concordance client liv et fact'!$A:$H,8,FALSE))=TRUE,VLOOKUP(LEFT('1) Import fichier Remi (coller)'!$A28,9)+0,'Clients R2'!$A:$CY,102,FALSE),VLOOKUP(VLOOKUP(LEFT('1) Import fichier Remi (coller)'!$A28,9),'Concordance client liv et fact'!$A:$H,7,FALSE)+0,'Clients R2'!$A:$CY,102,FALSE)))</f>
        <v xml:space="preserve">invoice@mebf.be                         </v>
      </c>
      <c r="Y28" t="str">
        <f>IF(A28="","",VLOOKUP(A28,'Libellés PDF'!$A$2:$B$5,2,FALSE)&amp;F28&amp;".PDF")</f>
        <v>CF11261522.PDF</v>
      </c>
      <c r="Z28" t="str">
        <f>IF(A28="","",IF(OR(H28="705099999",H28="705001002"),VLOOKUP('1) Import fichier Remi (coller)'!J28,'Analytique personnel'!$A:$B,2,FALSE),""))</f>
        <v/>
      </c>
      <c r="AA28" t="str">
        <f>IF($A28="VE11","",IF(LEFT($H28,4)="7050","",IF('1) Import fichier Remi (coller)'!M28="","",'1) Import fichier Remi (coller)'!M28)))</f>
        <v/>
      </c>
      <c r="AB28" t="str">
        <f>IF($A28="VE11","",IF(LEFT($H28,4)="7050","",IF('1) Import fichier Remi (coller)'!N28="","",'1) Import fichier Remi (coller)'!N28)))</f>
        <v/>
      </c>
      <c r="AC28" t="str">
        <f>IF(A28="","",VLOOKUP(LEFT('1) Import fichier Remi (coller)'!A28,9)+0,'Concordance Client R2 BOB'!$B:$C,2,FALSE))</f>
        <v>METAUXEM</v>
      </c>
    </row>
    <row r="29" spans="1:29" ht="18.75" customHeight="1" x14ac:dyDescent="0.25">
      <c r="A29" t="str">
        <f>IF('1) Import fichier Remi (coller)'!D29="","",'1) Import fichier Remi (coller)'!D29)</f>
        <v>VE11</v>
      </c>
      <c r="B29">
        <f>IF(A29="","",YEAR('1) Import fichier Remi (coller)'!F29))</f>
        <v>2026</v>
      </c>
      <c r="C29">
        <f>IF(A29="","",MONTH('1) Import fichier Remi (coller)'!F29))</f>
        <v>9</v>
      </c>
      <c r="D29" s="1">
        <f>IF(A29="","",'1) Import fichier Remi (coller)'!F29)</f>
        <v>46281</v>
      </c>
      <c r="E29" s="1">
        <f>IF(A29="","",'1) Import fichier Remi (coller)'!G29)</f>
        <v>46281</v>
      </c>
      <c r="F29" t="str">
        <f>IF(A29="","",'1) Import fichier Remi (coller)'!E29)</f>
        <v>11261522</v>
      </c>
      <c r="G29" t="str">
        <f>IF(A29="","",IF(ISERROR(VLOOKUP(LEFT('1) Import fichier Remi (coller)'!A29,9),'Concordance client liv et fact'!$A:$H,8,FALSE))=TRUE,'1) Import fichier Remi (coller)'!B29,VLOOKUP(LEFT('1) Import fichier Remi (coller)'!A29,9),'Concordance client liv et fact'!$A:$H,8,FALSE)))</f>
        <v>METAUXEM</v>
      </c>
      <c r="H29" t="str">
        <f>IF(A29="","",IF(ISERROR(VLOOKUP('1) Import fichier Remi (coller)'!K29&amp;" - "&amp;'1) Import fichier Remi (coller)'!L29,'Spécifique comptes'!$A:$G,1,FALSE))=TRUE,'1) Import fichier Remi (coller)'!V29,VLOOKUP('1) Import fichier Remi (coller)'!K29&amp;" - "&amp;'1) Import fichier Remi (coller)'!L29,'Spécifique comptes'!$A:$G,IF(LEFT('2) BOB compta (completer-forcer'!F29,2)="11",4,IF(LEFT('2) BOB compta (completer-forcer'!F29,2)="12",5,IF(LEFT('2) BOB compta (completer-forcer'!F29,2)="13",6,IF(LEFT('2) BOB compta (completer-forcer'!F29,2)="15",7,"Erreur Compte")))),FALSE)))</f>
        <v>704100000</v>
      </c>
      <c r="I29" s="26" t="str">
        <f>IF(A29="","",IF(H29="70100000",'1) Import fichier Remi (coller)'!J29,'1) Import fichier Remi (coller)'!U29))</f>
        <v>+++003/7261/52239+++</v>
      </c>
      <c r="J29" s="26" t="str">
        <f>IF(A29="","",'1) Import fichier Remi (coller)'!U29)</f>
        <v>+++003/7261/52239+++</v>
      </c>
      <c r="K29" s="17">
        <f t="shared" si="1"/>
        <v>4082.0199999999995</v>
      </c>
      <c r="L29" t="str">
        <f t="shared" si="0"/>
        <v>V</v>
      </c>
      <c r="M29" s="14">
        <f>IF(A29="","",'1) Import fichier Remi (coller)'!S29)</f>
        <v>21</v>
      </c>
      <c r="N29" s="17">
        <f>IF($A29="","",IF(OR($A29="NCV",$A29="NC15"),-'1) Import fichier Remi (coller)'!R29,'1) Import fichier Remi (coller)'!R29))</f>
        <v>26.04</v>
      </c>
      <c r="O29" s="17">
        <f>IF($A29="","",IF(OR($A29="NCV",$A29="NC15"),-'1) Import fichier Remi (coller)'!T29,'1) Import fichier Remi (coller)'!T29))</f>
        <v>5.47</v>
      </c>
      <c r="R29" t="str">
        <f>IF($A29="","",IF(ISERROR(VLOOKUP(LEFT('1) Import fichier Remi (coller)'!$A29,9),'Concordance client liv et fact'!$A:$H,8,FALSE))=TRUE,VLOOKUP(LEFT('1) Import fichier Remi (coller)'!$A29,9)+0,'Clients R2'!$A:$CY,2,FALSE),VLOOKUP(VLOOKUP(LEFT('1) Import fichier Remi (coller)'!$A29,9),'Concordance client liv et fact'!$A:$H,7,FALSE)+0,'Clients R2'!$A:$CY,2,FALSE)))</f>
        <v xml:space="preserve">MEBF MECA SA           </v>
      </c>
      <c r="S29" t="str">
        <f>IF($A29="","",PROPER(IF(ISERROR(VLOOKUP(LEFT('1) Import fichier Remi (coller)'!$A29,9),'Concordance client liv et fact'!$A:$H,8,FALSE))=TRUE,VLOOKUP(LEFT('1) Import fichier Remi (coller)'!$A29,9)+0,'Clients R2'!$A:$CY,27,FALSE),VLOOKUP(VLOOKUP(LEFT('1) Import fichier Remi (coller)'!$A29,9),'Concordance client liv et fact'!$A:$H,7,FALSE)+0,'Clients R2'!$A:$CY,27,FALSE))))</f>
        <v xml:space="preserve">Rue Haute Marexhe, 176             </v>
      </c>
      <c r="T29" t="str">
        <f>IF($A29="","",LEFT(UPPER(IF(ISERROR(VLOOKUP(LEFT('1) Import fichier Remi (coller)'!$A29,9),'Concordance client liv et fact'!$A:$H,8,FALSE))=TRUE,VLOOKUP(LEFT('1) Import fichier Remi (coller)'!$A29,9)+0,'Clients R2'!$A:$CY,28,FALSE),VLOOKUP(VLOOKUP(LEFT('1) Import fichier Remi (coller)'!$A29,9),'Concordance client liv et fact'!$A:$H,7,FALSE)+0,'Clients R2'!$A:$CY,28,FALSE))),2)&amp;UPPER(IF(ISERROR(VLOOKUP(LEFT('1) Import fichier Remi (coller)'!$A29,9),'Concordance client liv et fact'!$A:$H,8,FALSE))=TRUE,VLOOKUP(LEFT('1) Import fichier Remi (coller)'!$A29,9)+0,'Clients R2'!$A:$CY,29,FALSE),VLOOKUP(VLOOKUP(LEFT('1) Import fichier Remi (coller)'!$A29,9),'Concordance client liv et fact'!$A:$H,7,FALSE)+0,'Clients R2'!$A:$CY,29,FALSE))))</f>
        <v>B 4040</v>
      </c>
      <c r="U29" t="str">
        <f>IF($A29="","",PROPER(IF(ISERROR(VLOOKUP(LEFT('1) Import fichier Remi (coller)'!$A29,9),'Concordance client liv et fact'!$A:$H,8,FALSE))=TRUE,VLOOKUP(LEFT('1) Import fichier Remi (coller)'!$A29,9)+0,'Clients R2'!$A:$CY,30,FALSE),VLOOKUP(VLOOKUP(LEFT('1) Import fichier Remi (coller)'!$A29,9),'Concordance client liv et fact'!$A:$H,7,FALSE)+0,'Clients R2'!$A:$CY,30,FALSE))))</f>
        <v xml:space="preserve">Herstal                       </v>
      </c>
      <c r="V29" t="str">
        <f>IF($A29="","",LEFT(UPPER(IF(ISERROR(VLOOKUP(LEFT('1) Import fichier Remi (coller)'!$A29,9),'Concordance client liv et fact'!$A:$H,8,FALSE))=TRUE,IF(VLOOKUP(LEFT('1) Import fichier Remi (coller)'!$A29,9)+0,'Clients R2'!$A:$CY,22,FALSE)=4,"NA",VLOOKUP(LEFT('1) Import fichier Remi (coller)'!$A29,9)+0,'Clients R2'!$A:$CY,3,FALSE)),IF(VLOOKUP(VLOOKUP(LEFT('1) Import fichier Remi (coller)'!$A29,9),'Concordance client liv et fact'!$A:$H,7,FALSE)+0,'Clients R2'!$A:$CY,22,FALSE)=4,"NA",VLOOKUP(VLOOKUP(LEFT('1) Import fichier Remi (coller)'!$A29,9),'Concordance client liv et fact'!$A:$H,7,FALSE)+0,'Clients R2'!$A:$CY,3,FALSE)))),2))</f>
        <v>BE</v>
      </c>
      <c r="W29" s="27"/>
      <c r="X29" s="27" t="str">
        <f>IF($A29="","",IF(ISERROR(VLOOKUP(LEFT('1) Import fichier Remi (coller)'!$A29,9),'Concordance client liv et fact'!$A:$H,8,FALSE))=TRUE,VLOOKUP(LEFT('1) Import fichier Remi (coller)'!$A29,9)+0,'Clients R2'!$A:$CY,102,FALSE),VLOOKUP(VLOOKUP(LEFT('1) Import fichier Remi (coller)'!$A29,9),'Concordance client liv et fact'!$A:$H,7,FALSE)+0,'Clients R2'!$A:$CY,102,FALSE)))</f>
        <v xml:space="preserve">invoice@mebf.be                         </v>
      </c>
      <c r="Y29" t="str">
        <f>IF(A29="","",VLOOKUP(A29,'Libellés PDF'!$A$2:$B$5,2,FALSE)&amp;F29&amp;".PDF")</f>
        <v>CF11261522.PDF</v>
      </c>
      <c r="Z29" t="str">
        <f>IF(A29="","",IF(OR(H29="705099999",H29="705001002"),VLOOKUP('1) Import fichier Remi (coller)'!J29,'Analytique personnel'!$A:$B,2,FALSE),""))</f>
        <v/>
      </c>
      <c r="AA29" t="str">
        <f>IF($A29="VE11","",IF(LEFT($H29,4)="7050","",IF('1) Import fichier Remi (coller)'!M29="","",'1) Import fichier Remi (coller)'!M29)))</f>
        <v/>
      </c>
      <c r="AB29" t="str">
        <f>IF($A29="VE11","",IF(LEFT($H29,4)="7050","",IF('1) Import fichier Remi (coller)'!N29="","",'1) Import fichier Remi (coller)'!N29)))</f>
        <v/>
      </c>
      <c r="AC29" t="str">
        <f>IF(A29="","",VLOOKUP(LEFT('1) Import fichier Remi (coller)'!A29,9)+0,'Concordance Client R2 BOB'!$B:$C,2,FALSE))</f>
        <v>METAUXEM</v>
      </c>
    </row>
    <row r="30" spans="1:29" ht="18.75" customHeight="1" x14ac:dyDescent="0.25">
      <c r="A30" t="str">
        <f>IF('1) Import fichier Remi (coller)'!D30="","",'1) Import fichier Remi (coller)'!D30)</f>
        <v>VE11</v>
      </c>
      <c r="B30">
        <f>IF(A30="","",YEAR('1) Import fichier Remi (coller)'!F30))</f>
        <v>2026</v>
      </c>
      <c r="C30">
        <f>IF(A30="","",MONTH('1) Import fichier Remi (coller)'!F30))</f>
        <v>9</v>
      </c>
      <c r="D30" s="1">
        <f>IF(A30="","",'1) Import fichier Remi (coller)'!F30)</f>
        <v>46281</v>
      </c>
      <c r="E30" s="1">
        <f>IF(A30="","",'1) Import fichier Remi (coller)'!G30)</f>
        <v>46281</v>
      </c>
      <c r="F30" t="str">
        <f>IF(A30="","",'1) Import fichier Remi (coller)'!E30)</f>
        <v>11261522</v>
      </c>
      <c r="G30" t="str">
        <f>IF(A30="","",IF(ISERROR(VLOOKUP(LEFT('1) Import fichier Remi (coller)'!A30,9),'Concordance client liv et fact'!$A:$H,8,FALSE))=TRUE,'1) Import fichier Remi (coller)'!B30,VLOOKUP(LEFT('1) Import fichier Remi (coller)'!A30,9),'Concordance client liv et fact'!$A:$H,8,FALSE)))</f>
        <v>METAUXEM</v>
      </c>
      <c r="H30" t="str">
        <f>IF(A30="","",IF(ISERROR(VLOOKUP('1) Import fichier Remi (coller)'!K30&amp;" - "&amp;'1) Import fichier Remi (coller)'!L30,'Spécifique comptes'!$A:$G,1,FALSE))=TRUE,'1) Import fichier Remi (coller)'!V30,VLOOKUP('1) Import fichier Remi (coller)'!K30&amp;" - "&amp;'1) Import fichier Remi (coller)'!L30,'Spécifique comptes'!$A:$G,IF(LEFT('2) BOB compta (completer-forcer'!F30,2)="11",4,IF(LEFT('2) BOB compta (completer-forcer'!F30,2)="12",5,IF(LEFT('2) BOB compta (completer-forcer'!F30,2)="13",6,IF(LEFT('2) BOB compta (completer-forcer'!F30,2)="15",7,"Erreur Compte")))),FALSE)))</f>
        <v>704100000</v>
      </c>
      <c r="I30" s="26" t="str">
        <f>IF(A30="","",IF(H30="70100000",'1) Import fichier Remi (coller)'!J30,'1) Import fichier Remi (coller)'!U30))</f>
        <v>+++003/7261/52239+++</v>
      </c>
      <c r="J30" s="26" t="str">
        <f>IF(A30="","",'1) Import fichier Remi (coller)'!U30)</f>
        <v>+++003/7261/52239+++</v>
      </c>
      <c r="K30" s="17">
        <f t="shared" si="1"/>
        <v>4082.0199999999995</v>
      </c>
      <c r="L30" t="str">
        <f t="shared" si="0"/>
        <v>V</v>
      </c>
      <c r="M30" s="14">
        <f>IF(A30="","",'1) Import fichier Remi (coller)'!S30)</f>
        <v>21</v>
      </c>
      <c r="N30" s="17">
        <f>IF($A30="","",IF(OR($A30="NCV",$A30="NC15"),-'1) Import fichier Remi (coller)'!R30,'1) Import fichier Remi (coller)'!R30))</f>
        <v>17.62</v>
      </c>
      <c r="O30" s="17">
        <f>IF($A30="","",IF(OR($A30="NCV",$A30="NC15"),-'1) Import fichier Remi (coller)'!T30,'1) Import fichier Remi (coller)'!T30))</f>
        <v>3.7</v>
      </c>
      <c r="R30" t="str">
        <f>IF($A30="","",IF(ISERROR(VLOOKUP(LEFT('1) Import fichier Remi (coller)'!$A30,9),'Concordance client liv et fact'!$A:$H,8,FALSE))=TRUE,VLOOKUP(LEFT('1) Import fichier Remi (coller)'!$A30,9)+0,'Clients R2'!$A:$CY,2,FALSE),VLOOKUP(VLOOKUP(LEFT('1) Import fichier Remi (coller)'!$A30,9),'Concordance client liv et fact'!$A:$H,7,FALSE)+0,'Clients R2'!$A:$CY,2,FALSE)))</f>
        <v xml:space="preserve">MEBF MECA SA           </v>
      </c>
      <c r="S30" t="str">
        <f>IF($A30="","",PROPER(IF(ISERROR(VLOOKUP(LEFT('1) Import fichier Remi (coller)'!$A30,9),'Concordance client liv et fact'!$A:$H,8,FALSE))=TRUE,VLOOKUP(LEFT('1) Import fichier Remi (coller)'!$A30,9)+0,'Clients R2'!$A:$CY,27,FALSE),VLOOKUP(VLOOKUP(LEFT('1) Import fichier Remi (coller)'!$A30,9),'Concordance client liv et fact'!$A:$H,7,FALSE)+0,'Clients R2'!$A:$CY,27,FALSE))))</f>
        <v xml:space="preserve">Rue Haute Marexhe, 176             </v>
      </c>
      <c r="T30" t="str">
        <f>IF($A30="","",LEFT(UPPER(IF(ISERROR(VLOOKUP(LEFT('1) Import fichier Remi (coller)'!$A30,9),'Concordance client liv et fact'!$A:$H,8,FALSE))=TRUE,VLOOKUP(LEFT('1) Import fichier Remi (coller)'!$A30,9)+0,'Clients R2'!$A:$CY,28,FALSE),VLOOKUP(VLOOKUP(LEFT('1) Import fichier Remi (coller)'!$A30,9),'Concordance client liv et fact'!$A:$H,7,FALSE)+0,'Clients R2'!$A:$CY,28,FALSE))),2)&amp;UPPER(IF(ISERROR(VLOOKUP(LEFT('1) Import fichier Remi (coller)'!$A30,9),'Concordance client liv et fact'!$A:$H,8,FALSE))=TRUE,VLOOKUP(LEFT('1) Import fichier Remi (coller)'!$A30,9)+0,'Clients R2'!$A:$CY,29,FALSE),VLOOKUP(VLOOKUP(LEFT('1) Import fichier Remi (coller)'!$A30,9),'Concordance client liv et fact'!$A:$H,7,FALSE)+0,'Clients R2'!$A:$CY,29,FALSE))))</f>
        <v>B 4040</v>
      </c>
      <c r="U30" t="str">
        <f>IF($A30="","",PROPER(IF(ISERROR(VLOOKUP(LEFT('1) Import fichier Remi (coller)'!$A30,9),'Concordance client liv et fact'!$A:$H,8,FALSE))=TRUE,VLOOKUP(LEFT('1) Import fichier Remi (coller)'!$A30,9)+0,'Clients R2'!$A:$CY,30,FALSE),VLOOKUP(VLOOKUP(LEFT('1) Import fichier Remi (coller)'!$A30,9),'Concordance client liv et fact'!$A:$H,7,FALSE)+0,'Clients R2'!$A:$CY,30,FALSE))))</f>
        <v xml:space="preserve">Herstal                       </v>
      </c>
      <c r="V30" t="str">
        <f>IF($A30="","",LEFT(UPPER(IF(ISERROR(VLOOKUP(LEFT('1) Import fichier Remi (coller)'!$A30,9),'Concordance client liv et fact'!$A:$H,8,FALSE))=TRUE,IF(VLOOKUP(LEFT('1) Import fichier Remi (coller)'!$A30,9)+0,'Clients R2'!$A:$CY,22,FALSE)=4,"NA",VLOOKUP(LEFT('1) Import fichier Remi (coller)'!$A30,9)+0,'Clients R2'!$A:$CY,3,FALSE)),IF(VLOOKUP(VLOOKUP(LEFT('1) Import fichier Remi (coller)'!$A30,9),'Concordance client liv et fact'!$A:$H,7,FALSE)+0,'Clients R2'!$A:$CY,22,FALSE)=4,"NA",VLOOKUP(VLOOKUP(LEFT('1) Import fichier Remi (coller)'!$A30,9),'Concordance client liv et fact'!$A:$H,7,FALSE)+0,'Clients R2'!$A:$CY,3,FALSE)))),2))</f>
        <v>BE</v>
      </c>
      <c r="W30" s="27"/>
      <c r="X30" s="27" t="str">
        <f>IF($A30="","",IF(ISERROR(VLOOKUP(LEFT('1) Import fichier Remi (coller)'!$A30,9),'Concordance client liv et fact'!$A:$H,8,FALSE))=TRUE,VLOOKUP(LEFT('1) Import fichier Remi (coller)'!$A30,9)+0,'Clients R2'!$A:$CY,102,FALSE),VLOOKUP(VLOOKUP(LEFT('1) Import fichier Remi (coller)'!$A30,9),'Concordance client liv et fact'!$A:$H,7,FALSE)+0,'Clients R2'!$A:$CY,102,FALSE)))</f>
        <v xml:space="preserve">invoice@mebf.be                         </v>
      </c>
      <c r="Y30" t="str">
        <f>IF(A30="","",VLOOKUP(A30,'Libellés PDF'!$A$2:$B$5,2,FALSE)&amp;F30&amp;".PDF")</f>
        <v>CF11261522.PDF</v>
      </c>
      <c r="Z30" t="str">
        <f>IF(A30="","",IF(OR(H30="705099999",H30="705001002"),VLOOKUP('1) Import fichier Remi (coller)'!J30,'Analytique personnel'!$A:$B,2,FALSE),""))</f>
        <v/>
      </c>
      <c r="AA30" t="str">
        <f>IF($A30="VE11","",IF(LEFT($H30,4)="7050","",IF('1) Import fichier Remi (coller)'!M30="","",'1) Import fichier Remi (coller)'!M30)))</f>
        <v/>
      </c>
      <c r="AB30" t="str">
        <f>IF($A30="VE11","",IF(LEFT($H30,4)="7050","",IF('1) Import fichier Remi (coller)'!N30="","",'1) Import fichier Remi (coller)'!N30)))</f>
        <v/>
      </c>
      <c r="AC30" t="str">
        <f>IF(A30="","",VLOOKUP(LEFT('1) Import fichier Remi (coller)'!A30,9)+0,'Concordance Client R2 BOB'!$B:$C,2,FALSE))</f>
        <v>METAUXEM</v>
      </c>
    </row>
    <row r="31" spans="1:29" ht="18.75" customHeight="1" x14ac:dyDescent="0.25">
      <c r="A31" t="str">
        <f>IF('1) Import fichier Remi (coller)'!D31="","",'1) Import fichier Remi (coller)'!D31)</f>
        <v>VE11</v>
      </c>
      <c r="B31">
        <f>IF(A31="","",YEAR('1) Import fichier Remi (coller)'!F31))</f>
        <v>2026</v>
      </c>
      <c r="C31">
        <f>IF(A31="","",MONTH('1) Import fichier Remi (coller)'!F31))</f>
        <v>9</v>
      </c>
      <c r="D31" s="1">
        <f>IF(A31="","",'1) Import fichier Remi (coller)'!F31)</f>
        <v>46281</v>
      </c>
      <c r="E31" s="1">
        <f>IF(A31="","",'1) Import fichier Remi (coller)'!G31)</f>
        <v>46281</v>
      </c>
      <c r="F31" t="str">
        <f>IF(A31="","",'1) Import fichier Remi (coller)'!E31)</f>
        <v>11261522</v>
      </c>
      <c r="G31" t="str">
        <f>IF(A31="","",IF(ISERROR(VLOOKUP(LEFT('1) Import fichier Remi (coller)'!A31,9),'Concordance client liv et fact'!$A:$H,8,FALSE))=TRUE,'1) Import fichier Remi (coller)'!B31,VLOOKUP(LEFT('1) Import fichier Remi (coller)'!A31,9),'Concordance client liv et fact'!$A:$H,8,FALSE)))</f>
        <v>METAUXEM</v>
      </c>
      <c r="H31" t="str">
        <f>IF(A31="","",IF(ISERROR(VLOOKUP('1) Import fichier Remi (coller)'!K31&amp;" - "&amp;'1) Import fichier Remi (coller)'!L31,'Spécifique comptes'!$A:$G,1,FALSE))=TRUE,'1) Import fichier Remi (coller)'!V31,VLOOKUP('1) Import fichier Remi (coller)'!K31&amp;" - "&amp;'1) Import fichier Remi (coller)'!L31,'Spécifique comptes'!$A:$G,IF(LEFT('2) BOB compta (completer-forcer'!F31,2)="11",4,IF(LEFT('2) BOB compta (completer-forcer'!F31,2)="12",5,IF(LEFT('2) BOB compta (completer-forcer'!F31,2)="13",6,IF(LEFT('2) BOB compta (completer-forcer'!F31,2)="15",7,"Erreur Compte")))),FALSE)))</f>
        <v>704100000</v>
      </c>
      <c r="I31" s="26" t="str">
        <f>IF(A31="","",IF(H31="70100000",'1) Import fichier Remi (coller)'!J31,'1) Import fichier Remi (coller)'!U31))</f>
        <v>+++003/7261/52239+++</v>
      </c>
      <c r="J31" s="26" t="str">
        <f>IF(A31="","",'1) Import fichier Remi (coller)'!U31)</f>
        <v>+++003/7261/52239+++</v>
      </c>
      <c r="K31" s="17">
        <f t="shared" si="1"/>
        <v>4082.0199999999995</v>
      </c>
      <c r="L31" t="str">
        <f t="shared" si="0"/>
        <v>V</v>
      </c>
      <c r="M31" s="14">
        <f>IF(A31="","",'1) Import fichier Remi (coller)'!S31)</f>
        <v>21</v>
      </c>
      <c r="N31" s="17">
        <f>IF($A31="","",IF(OR($A31="NCV",$A31="NC15"),-'1) Import fichier Remi (coller)'!R31,'1) Import fichier Remi (coller)'!R31))</f>
        <v>748.92</v>
      </c>
      <c r="O31" s="17">
        <f>IF($A31="","",IF(OR($A31="NCV",$A31="NC15"),-'1) Import fichier Remi (coller)'!T31,'1) Import fichier Remi (coller)'!T31))</f>
        <v>157.28</v>
      </c>
      <c r="R31" t="str">
        <f>IF($A31="","",IF(ISERROR(VLOOKUP(LEFT('1) Import fichier Remi (coller)'!$A31,9),'Concordance client liv et fact'!$A:$H,8,FALSE))=TRUE,VLOOKUP(LEFT('1) Import fichier Remi (coller)'!$A31,9)+0,'Clients R2'!$A:$CY,2,FALSE),VLOOKUP(VLOOKUP(LEFT('1) Import fichier Remi (coller)'!$A31,9),'Concordance client liv et fact'!$A:$H,7,FALSE)+0,'Clients R2'!$A:$CY,2,FALSE)))</f>
        <v xml:space="preserve">MEBF MECA SA           </v>
      </c>
      <c r="S31" t="str">
        <f>IF($A31="","",PROPER(IF(ISERROR(VLOOKUP(LEFT('1) Import fichier Remi (coller)'!$A31,9),'Concordance client liv et fact'!$A:$H,8,FALSE))=TRUE,VLOOKUP(LEFT('1) Import fichier Remi (coller)'!$A31,9)+0,'Clients R2'!$A:$CY,27,FALSE),VLOOKUP(VLOOKUP(LEFT('1) Import fichier Remi (coller)'!$A31,9),'Concordance client liv et fact'!$A:$H,7,FALSE)+0,'Clients R2'!$A:$CY,27,FALSE))))</f>
        <v xml:space="preserve">Rue Haute Marexhe, 176             </v>
      </c>
      <c r="T31" t="str">
        <f>IF($A31="","",LEFT(UPPER(IF(ISERROR(VLOOKUP(LEFT('1) Import fichier Remi (coller)'!$A31,9),'Concordance client liv et fact'!$A:$H,8,FALSE))=TRUE,VLOOKUP(LEFT('1) Import fichier Remi (coller)'!$A31,9)+0,'Clients R2'!$A:$CY,28,FALSE),VLOOKUP(VLOOKUP(LEFT('1) Import fichier Remi (coller)'!$A31,9),'Concordance client liv et fact'!$A:$H,7,FALSE)+0,'Clients R2'!$A:$CY,28,FALSE))),2)&amp;UPPER(IF(ISERROR(VLOOKUP(LEFT('1) Import fichier Remi (coller)'!$A31,9),'Concordance client liv et fact'!$A:$H,8,FALSE))=TRUE,VLOOKUP(LEFT('1) Import fichier Remi (coller)'!$A31,9)+0,'Clients R2'!$A:$CY,29,FALSE),VLOOKUP(VLOOKUP(LEFT('1) Import fichier Remi (coller)'!$A31,9),'Concordance client liv et fact'!$A:$H,7,FALSE)+0,'Clients R2'!$A:$CY,29,FALSE))))</f>
        <v>B 4040</v>
      </c>
      <c r="U31" t="str">
        <f>IF($A31="","",PROPER(IF(ISERROR(VLOOKUP(LEFT('1) Import fichier Remi (coller)'!$A31,9),'Concordance client liv et fact'!$A:$H,8,FALSE))=TRUE,VLOOKUP(LEFT('1) Import fichier Remi (coller)'!$A31,9)+0,'Clients R2'!$A:$CY,30,FALSE),VLOOKUP(VLOOKUP(LEFT('1) Import fichier Remi (coller)'!$A31,9),'Concordance client liv et fact'!$A:$H,7,FALSE)+0,'Clients R2'!$A:$CY,30,FALSE))))</f>
        <v xml:space="preserve">Herstal                       </v>
      </c>
      <c r="V31" t="str">
        <f>IF($A31="","",LEFT(UPPER(IF(ISERROR(VLOOKUP(LEFT('1) Import fichier Remi (coller)'!$A31,9),'Concordance client liv et fact'!$A:$H,8,FALSE))=TRUE,IF(VLOOKUP(LEFT('1) Import fichier Remi (coller)'!$A31,9)+0,'Clients R2'!$A:$CY,22,FALSE)=4,"NA",VLOOKUP(LEFT('1) Import fichier Remi (coller)'!$A31,9)+0,'Clients R2'!$A:$CY,3,FALSE)),IF(VLOOKUP(VLOOKUP(LEFT('1) Import fichier Remi (coller)'!$A31,9),'Concordance client liv et fact'!$A:$H,7,FALSE)+0,'Clients R2'!$A:$CY,22,FALSE)=4,"NA",VLOOKUP(VLOOKUP(LEFT('1) Import fichier Remi (coller)'!$A31,9),'Concordance client liv et fact'!$A:$H,7,FALSE)+0,'Clients R2'!$A:$CY,3,FALSE)))),2))</f>
        <v>BE</v>
      </c>
      <c r="W31" s="27"/>
      <c r="X31" s="27" t="str">
        <f>IF($A31="","",IF(ISERROR(VLOOKUP(LEFT('1) Import fichier Remi (coller)'!$A31,9),'Concordance client liv et fact'!$A:$H,8,FALSE))=TRUE,VLOOKUP(LEFT('1) Import fichier Remi (coller)'!$A31,9)+0,'Clients R2'!$A:$CY,102,FALSE),VLOOKUP(VLOOKUP(LEFT('1) Import fichier Remi (coller)'!$A31,9),'Concordance client liv et fact'!$A:$H,7,FALSE)+0,'Clients R2'!$A:$CY,102,FALSE)))</f>
        <v xml:space="preserve">invoice@mebf.be                         </v>
      </c>
      <c r="Y31" t="str">
        <f>IF(A31="","",VLOOKUP(A31,'Libellés PDF'!$A$2:$B$5,2,FALSE)&amp;F31&amp;".PDF")</f>
        <v>CF11261522.PDF</v>
      </c>
      <c r="Z31" t="str">
        <f>IF(A31="","",IF(OR(H31="705099999",H31="705001002"),VLOOKUP('1) Import fichier Remi (coller)'!J31,'Analytique personnel'!$A:$B,2,FALSE),""))</f>
        <v/>
      </c>
      <c r="AA31" t="str">
        <f>IF($A31="VE11","",IF(LEFT($H31,4)="7050","",IF('1) Import fichier Remi (coller)'!M31="","",'1) Import fichier Remi (coller)'!M31)))</f>
        <v/>
      </c>
      <c r="AB31" t="str">
        <f>IF($A31="VE11","",IF(LEFT($H31,4)="7050","",IF('1) Import fichier Remi (coller)'!N31="","",'1) Import fichier Remi (coller)'!N31)))</f>
        <v/>
      </c>
      <c r="AC31" t="str">
        <f>IF(A31="","",VLOOKUP(LEFT('1) Import fichier Remi (coller)'!A31,9)+0,'Concordance Client R2 BOB'!$B:$C,2,FALSE))</f>
        <v>METAUXEM</v>
      </c>
    </row>
    <row r="32" spans="1:29" ht="18.75" customHeight="1" x14ac:dyDescent="0.25">
      <c r="A32" t="str">
        <f>IF('1) Import fichier Remi (coller)'!D32="","",'1) Import fichier Remi (coller)'!D32)</f>
        <v>VE11</v>
      </c>
      <c r="B32">
        <f>IF(A32="","",YEAR('1) Import fichier Remi (coller)'!F32))</f>
        <v>2026</v>
      </c>
      <c r="C32">
        <f>IF(A32="","",MONTH('1) Import fichier Remi (coller)'!F32))</f>
        <v>9</v>
      </c>
      <c r="D32" s="1">
        <f>IF(A32="","",'1) Import fichier Remi (coller)'!F32)</f>
        <v>46281</v>
      </c>
      <c r="E32" s="1">
        <f>IF(A32="","",'1) Import fichier Remi (coller)'!G32)</f>
        <v>46281</v>
      </c>
      <c r="F32" t="str">
        <f>IF(A32="","",'1) Import fichier Remi (coller)'!E32)</f>
        <v>11261523</v>
      </c>
      <c r="G32" t="str">
        <f>IF(A32="","",IF(ISERROR(VLOOKUP(LEFT('1) Import fichier Remi (coller)'!A32,9),'Concordance client liv et fact'!$A:$H,8,FALSE))=TRUE,'1) Import fichier Remi (coller)'!B32,VLOOKUP(LEFT('1) Import fichier Remi (coller)'!A32,9),'Concordance client liv et fact'!$A:$H,8,FALSE)))</f>
        <v>CLINIQUEPO</v>
      </c>
      <c r="H32" t="str">
        <f>IF(A32="","",IF(ISERROR(VLOOKUP('1) Import fichier Remi (coller)'!K32&amp;" - "&amp;'1) Import fichier Remi (coller)'!L32,'Spécifique comptes'!$A:$G,1,FALSE))=TRUE,'1) Import fichier Remi (coller)'!V32,VLOOKUP('1) Import fichier Remi (coller)'!K32&amp;" - "&amp;'1) Import fichier Remi (coller)'!L32,'Spécifique comptes'!$A:$G,IF(LEFT('2) BOB compta (completer-forcer'!F32,2)="11",4,IF(LEFT('2) BOB compta (completer-forcer'!F32,2)="12",5,IF(LEFT('2) BOB compta (completer-forcer'!F32,2)="13",6,IF(LEFT('2) BOB compta (completer-forcer'!F32,2)="15",7,"Erreur Compte")))),FALSE)))</f>
        <v>705099999</v>
      </c>
      <c r="I32" s="26" t="str">
        <f>IF(A32="","",IF(H32="70100000",'1) Import fichier Remi (coller)'!J32,'1) Import fichier Remi (coller)'!U32))</f>
        <v>+++003/7261/52340+++</v>
      </c>
      <c r="J32" s="26" t="str">
        <f>IF(A32="","",'1) Import fichier Remi (coller)'!U32)</f>
        <v>+++003/7261/52340+++</v>
      </c>
      <c r="K32" s="17">
        <f t="shared" si="1"/>
        <v>28.740000000000002</v>
      </c>
      <c r="L32" t="str">
        <f t="shared" si="0"/>
        <v>V</v>
      </c>
      <c r="M32" s="14">
        <f>IF(A32="","",'1) Import fichier Remi (coller)'!S32)</f>
        <v>21</v>
      </c>
      <c r="N32" s="17">
        <f>IF($A32="","",IF(OR($A32="NCV",$A32="NC15"),-'1) Import fichier Remi (coller)'!R32,'1) Import fichier Remi (coller)'!R32))</f>
        <v>23.75</v>
      </c>
      <c r="O32" s="17">
        <f>IF($A32="","",IF(OR($A32="NCV",$A32="NC15"),-'1) Import fichier Remi (coller)'!T32,'1) Import fichier Remi (coller)'!T32))</f>
        <v>4.99</v>
      </c>
      <c r="R32" t="str">
        <f>IF($A32="","",IF(ISERROR(VLOOKUP(LEFT('1) Import fichier Remi (coller)'!$A32,9),'Concordance client liv et fact'!$A:$H,8,FALSE))=TRUE,VLOOKUP(LEFT('1) Import fichier Remi (coller)'!$A32,9)+0,'Clients R2'!$A:$CY,2,FALSE),VLOOKUP(VLOOKUP(LEFT('1) Import fichier Remi (coller)'!$A32,9),'Concordance client liv et fact'!$A:$H,7,FALSE)+0,'Clients R2'!$A:$CY,2,FALSE)))</f>
        <v xml:space="preserve">CL. DENT. CDPY         </v>
      </c>
      <c r="S32" t="str">
        <f>IF($A32="","",PROPER(IF(ISERROR(VLOOKUP(LEFT('1) Import fichier Remi (coller)'!$A32,9),'Concordance client liv et fact'!$A:$H,8,FALSE))=TRUE,VLOOKUP(LEFT('1) Import fichier Remi (coller)'!$A32,9)+0,'Clients R2'!$A:$CY,27,FALSE),VLOOKUP(VLOOKUP(LEFT('1) Import fichier Remi (coller)'!$A32,9),'Concordance client liv et fact'!$A:$H,7,FALSE)+0,'Clients R2'!$A:$CY,27,FALSE))))</f>
        <v xml:space="preserve">Boulevard Frere-Orban 12/11        </v>
      </c>
      <c r="T32" t="str">
        <f>IF($A32="","",LEFT(UPPER(IF(ISERROR(VLOOKUP(LEFT('1) Import fichier Remi (coller)'!$A32,9),'Concordance client liv et fact'!$A:$H,8,FALSE))=TRUE,VLOOKUP(LEFT('1) Import fichier Remi (coller)'!$A32,9)+0,'Clients R2'!$A:$CY,28,FALSE),VLOOKUP(VLOOKUP(LEFT('1) Import fichier Remi (coller)'!$A32,9),'Concordance client liv et fact'!$A:$H,7,FALSE)+0,'Clients R2'!$A:$CY,28,FALSE))),2)&amp;UPPER(IF(ISERROR(VLOOKUP(LEFT('1) Import fichier Remi (coller)'!$A32,9),'Concordance client liv et fact'!$A:$H,8,FALSE))=TRUE,VLOOKUP(LEFT('1) Import fichier Remi (coller)'!$A32,9)+0,'Clients R2'!$A:$CY,29,FALSE),VLOOKUP(VLOOKUP(LEFT('1) Import fichier Remi (coller)'!$A32,9),'Concordance client liv et fact'!$A:$H,7,FALSE)+0,'Clients R2'!$A:$CY,29,FALSE))))</f>
        <v>B 4000</v>
      </c>
      <c r="U32" t="str">
        <f>IF($A32="","",PROPER(IF(ISERROR(VLOOKUP(LEFT('1) Import fichier Remi (coller)'!$A32,9),'Concordance client liv et fact'!$A:$H,8,FALSE))=TRUE,VLOOKUP(LEFT('1) Import fichier Remi (coller)'!$A32,9)+0,'Clients R2'!$A:$CY,30,FALSE),VLOOKUP(VLOOKUP(LEFT('1) Import fichier Remi (coller)'!$A32,9),'Concordance client liv et fact'!$A:$H,7,FALSE)+0,'Clients R2'!$A:$CY,30,FALSE))))</f>
        <v xml:space="preserve">Liege                         </v>
      </c>
      <c r="V32" t="str">
        <f>IF($A32="","",LEFT(UPPER(IF(ISERROR(VLOOKUP(LEFT('1) Import fichier Remi (coller)'!$A32,9),'Concordance client liv et fact'!$A:$H,8,FALSE))=TRUE,IF(VLOOKUP(LEFT('1) Import fichier Remi (coller)'!$A32,9)+0,'Clients R2'!$A:$CY,22,FALSE)=4,"NA",VLOOKUP(LEFT('1) Import fichier Remi (coller)'!$A32,9)+0,'Clients R2'!$A:$CY,3,FALSE)),IF(VLOOKUP(VLOOKUP(LEFT('1) Import fichier Remi (coller)'!$A32,9),'Concordance client liv et fact'!$A:$H,7,FALSE)+0,'Clients R2'!$A:$CY,22,FALSE)=4,"NA",VLOOKUP(VLOOKUP(LEFT('1) Import fichier Remi (coller)'!$A32,9),'Concordance client liv et fact'!$A:$H,7,FALSE)+0,'Clients R2'!$A:$CY,3,FALSE)))),2))</f>
        <v>BE</v>
      </c>
      <c r="W32" s="27"/>
      <c r="X32" s="27" t="str">
        <f>IF($A32="","",IF(ISERROR(VLOOKUP(LEFT('1) Import fichier Remi (coller)'!$A32,9),'Concordance client liv et fact'!$A:$H,8,FALSE))=TRUE,VLOOKUP(LEFT('1) Import fichier Remi (coller)'!$A32,9)+0,'Clients R2'!$A:$CY,102,FALSE),VLOOKUP(VLOOKUP(LEFT('1) Import fichier Remi (coller)'!$A32,9),'Concordance client liv et fact'!$A:$H,7,FALSE)+0,'Clients R2'!$A:$CY,102,FALSE)))</f>
        <v xml:space="preserve">info@cdpy.be                            </v>
      </c>
      <c r="Y32" t="str">
        <f>IF(A32="","",VLOOKUP(A32,'Libellés PDF'!$A$2:$B$5,2,FALSE)&amp;F32&amp;".PDF")</f>
        <v>CF11261523.PDF</v>
      </c>
      <c r="Z32" t="str">
        <f>IF(A32="","",IF(OR(H32="705099999",H32="705001002"),VLOOKUP('1) Import fichier Remi (coller)'!J32,'Analytique personnel'!$A:$B,2,FALSE),""))</f>
        <v>GDUHOUX</v>
      </c>
      <c r="AA32" t="str">
        <f>IF($A32="VE11","",IF(LEFT($H32,4)="7050","",IF('1) Import fichier Remi (coller)'!M32="","",'1) Import fichier Remi (coller)'!M32)))</f>
        <v/>
      </c>
      <c r="AB32" t="str">
        <f>IF($A32="VE11","",IF(LEFT($H32,4)="7050","",IF('1) Import fichier Remi (coller)'!N32="","",'1) Import fichier Remi (coller)'!N32)))</f>
        <v/>
      </c>
      <c r="AC32" t="str">
        <f>IF(A32="","",VLOOKUP(LEFT('1) Import fichier Remi (coller)'!A32,9)+0,'Concordance Client R2 BOB'!$B:$C,2,FALSE))</f>
        <v>CLINIQUEPO</v>
      </c>
    </row>
    <row r="33" spans="1:29" ht="18.75" customHeight="1" x14ac:dyDescent="0.25">
      <c r="A33" t="str">
        <f>IF('1) Import fichier Remi (coller)'!D33="","",'1) Import fichier Remi (coller)'!D33)</f>
        <v>VE11</v>
      </c>
      <c r="B33">
        <f>IF(A33="","",YEAR('1) Import fichier Remi (coller)'!F33))</f>
        <v>2026</v>
      </c>
      <c r="C33">
        <f>IF(A33="","",MONTH('1) Import fichier Remi (coller)'!F33))</f>
        <v>9</v>
      </c>
      <c r="D33" s="1">
        <f>IF(A33="","",'1) Import fichier Remi (coller)'!F33)</f>
        <v>46281</v>
      </c>
      <c r="E33" s="1">
        <f>IF(A33="","",'1) Import fichier Remi (coller)'!G33)</f>
        <v>46281</v>
      </c>
      <c r="F33" t="str">
        <f>IF(A33="","",'1) Import fichier Remi (coller)'!E33)</f>
        <v>11261524</v>
      </c>
      <c r="G33" t="str">
        <f>IF(A33="","",IF(ISERROR(VLOOKUP(LEFT('1) Import fichier Remi (coller)'!A33,9),'Concordance client liv et fact'!$A:$H,8,FALSE))=TRUE,'1) Import fichier Remi (coller)'!B33,VLOOKUP(LEFT('1) Import fichier Remi (coller)'!A33,9),'Concordance client liv et fact'!$A:$H,8,FALSE)))</f>
        <v>VANGOITSEN</v>
      </c>
      <c r="H33" t="str">
        <f>IF(A33="","",IF(ISERROR(VLOOKUP('1) Import fichier Remi (coller)'!K33&amp;" - "&amp;'1) Import fichier Remi (coller)'!L33,'Spécifique comptes'!$A:$G,1,FALSE))=TRUE,'1) Import fichier Remi (coller)'!V33,VLOOKUP('1) Import fichier Remi (coller)'!K33&amp;" - "&amp;'1) Import fichier Remi (coller)'!L33,'Spécifique comptes'!$A:$G,IF(LEFT('2) BOB compta (completer-forcer'!F33,2)="11",4,IF(LEFT('2) BOB compta (completer-forcer'!F33,2)="12",5,IF(LEFT('2) BOB compta (completer-forcer'!F33,2)="13",6,IF(LEFT('2) BOB compta (completer-forcer'!F33,2)="15",7,"Erreur Compte")))),FALSE)))</f>
        <v>705099999</v>
      </c>
      <c r="I33" s="26" t="str">
        <f>IF(A33="","",IF(H33="70100000",'1) Import fichier Remi (coller)'!J33,'1) Import fichier Remi (coller)'!U33))</f>
        <v>+++003/7261/52441+++</v>
      </c>
      <c r="J33" s="26" t="str">
        <f>IF(A33="","",'1) Import fichier Remi (coller)'!U33)</f>
        <v>+++003/7261/52441+++</v>
      </c>
      <c r="K33" s="17">
        <f t="shared" si="1"/>
        <v>28.740000000000002</v>
      </c>
      <c r="L33" t="str">
        <f t="shared" si="0"/>
        <v>V</v>
      </c>
      <c r="M33" s="14">
        <f>IF(A33="","",'1) Import fichier Remi (coller)'!S33)</f>
        <v>21</v>
      </c>
      <c r="N33" s="17">
        <f>IF($A33="","",IF(OR($A33="NCV",$A33="NC15"),-'1) Import fichier Remi (coller)'!R33,'1) Import fichier Remi (coller)'!R33))</f>
        <v>23.75</v>
      </c>
      <c r="O33" s="17">
        <f>IF($A33="","",IF(OR($A33="NCV",$A33="NC15"),-'1) Import fichier Remi (coller)'!T33,'1) Import fichier Remi (coller)'!T33))</f>
        <v>4.99</v>
      </c>
      <c r="R33" t="str">
        <f>IF($A33="","",IF(ISERROR(VLOOKUP(LEFT('1) Import fichier Remi (coller)'!$A33,9),'Concordance client liv et fact'!$A:$H,8,FALSE))=TRUE,VLOOKUP(LEFT('1) Import fichier Remi (coller)'!$A33,9)+0,'Clients R2'!$A:$CY,2,FALSE),VLOOKUP(VLOOKUP(LEFT('1) Import fichier Remi (coller)'!$A33,9),'Concordance client liv et fact'!$A:$H,7,FALSE)+0,'Clients R2'!$A:$CY,2,FALSE)))</f>
        <v xml:space="preserve">TRANS. VGH             </v>
      </c>
      <c r="S33" t="str">
        <f>IF($A33="","",PROPER(IF(ISERROR(VLOOKUP(LEFT('1) Import fichier Remi (coller)'!$A33,9),'Concordance client liv et fact'!$A:$H,8,FALSE))=TRUE,VLOOKUP(LEFT('1) Import fichier Remi (coller)'!$A33,9)+0,'Clients R2'!$A:$CY,27,FALSE),VLOOKUP(VLOOKUP(LEFT('1) Import fichier Remi (coller)'!$A33,9),'Concordance client liv et fact'!$A:$H,7,FALSE)+0,'Clients R2'!$A:$CY,27,FALSE))))</f>
        <v xml:space="preserve">Rue De Coquiamont 19               </v>
      </c>
      <c r="T33" t="str">
        <f>IF($A33="","",LEFT(UPPER(IF(ISERROR(VLOOKUP(LEFT('1) Import fichier Remi (coller)'!$A33,9),'Concordance client liv et fact'!$A:$H,8,FALSE))=TRUE,VLOOKUP(LEFT('1) Import fichier Remi (coller)'!$A33,9)+0,'Clients R2'!$A:$CY,28,FALSE),VLOOKUP(VLOOKUP(LEFT('1) Import fichier Remi (coller)'!$A33,9),'Concordance client liv et fact'!$A:$H,7,FALSE)+0,'Clients R2'!$A:$CY,28,FALSE))),2)&amp;UPPER(IF(ISERROR(VLOOKUP(LEFT('1) Import fichier Remi (coller)'!$A33,9),'Concordance client liv et fact'!$A:$H,8,FALSE))=TRUE,VLOOKUP(LEFT('1) Import fichier Remi (coller)'!$A33,9)+0,'Clients R2'!$A:$CY,29,FALSE),VLOOKUP(VLOOKUP(LEFT('1) Import fichier Remi (coller)'!$A33,9),'Concordance client liv et fact'!$A:$H,7,FALSE)+0,'Clients R2'!$A:$CY,29,FALSE))))</f>
        <v>B 1360</v>
      </c>
      <c r="U33" t="str">
        <f>IF($A33="","",PROPER(IF(ISERROR(VLOOKUP(LEFT('1) Import fichier Remi (coller)'!$A33,9),'Concordance client liv et fact'!$A:$H,8,FALSE))=TRUE,VLOOKUP(LEFT('1) Import fichier Remi (coller)'!$A33,9)+0,'Clients R2'!$A:$CY,30,FALSE),VLOOKUP(VLOOKUP(LEFT('1) Import fichier Remi (coller)'!$A33,9),'Concordance client liv et fact'!$A:$H,7,FALSE)+0,'Clients R2'!$A:$CY,30,FALSE))))</f>
        <v xml:space="preserve">Thorembais-Les-Beguines       </v>
      </c>
      <c r="V33" t="str">
        <f>IF($A33="","",LEFT(UPPER(IF(ISERROR(VLOOKUP(LEFT('1) Import fichier Remi (coller)'!$A33,9),'Concordance client liv et fact'!$A:$H,8,FALSE))=TRUE,IF(VLOOKUP(LEFT('1) Import fichier Remi (coller)'!$A33,9)+0,'Clients R2'!$A:$CY,22,FALSE)=4,"NA",VLOOKUP(LEFT('1) Import fichier Remi (coller)'!$A33,9)+0,'Clients R2'!$A:$CY,3,FALSE)),IF(VLOOKUP(VLOOKUP(LEFT('1) Import fichier Remi (coller)'!$A33,9),'Concordance client liv et fact'!$A:$H,7,FALSE)+0,'Clients R2'!$A:$CY,22,FALSE)=4,"NA",VLOOKUP(VLOOKUP(LEFT('1) Import fichier Remi (coller)'!$A33,9),'Concordance client liv et fact'!$A:$H,7,FALSE)+0,'Clients R2'!$A:$CY,3,FALSE)))),2))</f>
        <v>BE</v>
      </c>
      <c r="W33" s="27"/>
      <c r="X33" s="27" t="str">
        <f>IF($A33="","",IF(ISERROR(VLOOKUP(LEFT('1) Import fichier Remi (coller)'!$A33,9),'Concordance client liv et fact'!$A:$H,8,FALSE))=TRUE,VLOOKUP(LEFT('1) Import fichier Remi (coller)'!$A33,9)+0,'Clients R2'!$A:$CY,102,FALSE),VLOOKUP(VLOOKUP(LEFT('1) Import fichier Remi (coller)'!$A33,9),'Concordance client liv et fact'!$A:$H,7,FALSE)+0,'Clients R2'!$A:$CY,102,FALSE)))</f>
        <v xml:space="preserve">christelle@transports-vgh.be            </v>
      </c>
      <c r="Y33" t="str">
        <f>IF(A33="","",VLOOKUP(A33,'Libellés PDF'!$A$2:$B$5,2,FALSE)&amp;F33&amp;".PDF")</f>
        <v>CF11261524.PDF</v>
      </c>
      <c r="Z33" t="str">
        <f>IF(A33="","",IF(OR(H33="705099999",H33="705001002"),VLOOKUP('1) Import fichier Remi (coller)'!J33,'Analytique personnel'!$A:$B,2,FALSE),""))</f>
        <v>GDUHOUX</v>
      </c>
      <c r="AA33" t="str">
        <f>IF($A33="VE11","",IF(LEFT($H33,4)="7050","",IF('1) Import fichier Remi (coller)'!M33="","",'1) Import fichier Remi (coller)'!M33)))</f>
        <v/>
      </c>
      <c r="AB33" t="str">
        <f>IF($A33="VE11","",IF(LEFT($H33,4)="7050","",IF('1) Import fichier Remi (coller)'!N33="","",'1) Import fichier Remi (coller)'!N33)))</f>
        <v/>
      </c>
      <c r="AC33" t="str">
        <f>IF(A33="","",VLOOKUP(LEFT('1) Import fichier Remi (coller)'!A33,9)+0,'Concordance Client R2 BOB'!$B:$C,2,FALSE))</f>
        <v>VANGOITSEN</v>
      </c>
    </row>
    <row r="34" spans="1:29" ht="18.75" customHeight="1" x14ac:dyDescent="0.25">
      <c r="A34" t="str">
        <f>IF('1) Import fichier Remi (coller)'!D34="","",'1) Import fichier Remi (coller)'!D34)</f>
        <v>VE11</v>
      </c>
      <c r="B34">
        <f>IF(A34="","",YEAR('1) Import fichier Remi (coller)'!F34))</f>
        <v>2026</v>
      </c>
      <c r="C34">
        <f>IF(A34="","",MONTH('1) Import fichier Remi (coller)'!F34))</f>
        <v>9</v>
      </c>
      <c r="D34" s="1">
        <f>IF(A34="","",'1) Import fichier Remi (coller)'!F34)</f>
        <v>46281</v>
      </c>
      <c r="E34" s="1">
        <f>IF(A34="","",'1) Import fichier Remi (coller)'!G34)</f>
        <v>46281</v>
      </c>
      <c r="F34" t="str">
        <f>IF(A34="","",'1) Import fichier Remi (coller)'!E34)</f>
        <v>11261525</v>
      </c>
      <c r="G34" t="str">
        <f>IF(A34="","",IF(ISERROR(VLOOKUP(LEFT('1) Import fichier Remi (coller)'!A34,9),'Concordance client liv et fact'!$A:$H,8,FALSE))=TRUE,'1) Import fichier Remi (coller)'!B34,VLOOKUP(LEFT('1) Import fichier Remi (coller)'!A34,9),'Concordance client liv et fact'!$A:$H,8,FALSE)))</f>
        <v>PRINCECARA</v>
      </c>
      <c r="H34" t="str">
        <f>IF(A34="","",IF(ISERROR(VLOOKUP('1) Import fichier Remi (coller)'!K34&amp;" - "&amp;'1) Import fichier Remi (coller)'!L34,'Spécifique comptes'!$A:$G,1,FALSE))=TRUE,'1) Import fichier Remi (coller)'!V34,VLOOKUP('1) Import fichier Remi (coller)'!K34&amp;" - "&amp;'1) Import fichier Remi (coller)'!L34,'Spécifique comptes'!$A:$G,IF(LEFT('2) BOB compta (completer-forcer'!F34,2)="11",4,IF(LEFT('2) BOB compta (completer-forcer'!F34,2)="12",5,IF(LEFT('2) BOB compta (completer-forcer'!F34,2)="13",6,IF(LEFT('2) BOB compta (completer-forcer'!F34,2)="15",7,"Erreur Compte")))),FALSE)))</f>
        <v>705099999</v>
      </c>
      <c r="I34" s="26" t="str">
        <f>IF(A34="","",IF(H34="70100000",'1) Import fichier Remi (coller)'!J34,'1) Import fichier Remi (coller)'!U34))</f>
        <v>+++003/7261/52542+++</v>
      </c>
      <c r="J34" s="26" t="str">
        <f>IF(A34="","",'1) Import fichier Remi (coller)'!U34)</f>
        <v>+++003/7261/52542+++</v>
      </c>
      <c r="K34" s="17">
        <f t="shared" si="1"/>
        <v>114.95</v>
      </c>
      <c r="L34" t="str">
        <f t="shared" si="0"/>
        <v>V</v>
      </c>
      <c r="M34" s="14">
        <f>IF(A34="","",'1) Import fichier Remi (coller)'!S34)</f>
        <v>21</v>
      </c>
      <c r="N34" s="17">
        <f>IF($A34="","",IF(OR($A34="NCV",$A34="NC15"),-'1) Import fichier Remi (coller)'!R34,'1) Import fichier Remi (coller)'!R34))</f>
        <v>95</v>
      </c>
      <c r="O34" s="17">
        <f>IF($A34="","",IF(OR($A34="NCV",$A34="NC15"),-'1) Import fichier Remi (coller)'!T34,'1) Import fichier Remi (coller)'!T34))</f>
        <v>19.95</v>
      </c>
      <c r="R34" t="str">
        <f>IF($A34="","",IF(ISERROR(VLOOKUP(LEFT('1) Import fichier Remi (coller)'!$A34,9),'Concordance client liv et fact'!$A:$H,8,FALSE))=TRUE,VLOOKUP(LEFT('1) Import fichier Remi (coller)'!$A34,9)+0,'Clients R2'!$A:$CY,2,FALSE),VLOOKUP(VLOOKUP(LEFT('1) Import fichier Remi (coller)'!$A34,9),'Concordance client liv et fact'!$A:$H,7,FALSE)+0,'Clients R2'!$A:$CY,2,FALSE)))</f>
        <v xml:space="preserve">PRINCE CARAVANING      </v>
      </c>
      <c r="S34" t="str">
        <f>IF($A34="","",PROPER(IF(ISERROR(VLOOKUP(LEFT('1) Import fichier Remi (coller)'!$A34,9),'Concordance client liv et fact'!$A:$H,8,FALSE))=TRUE,VLOOKUP(LEFT('1) Import fichier Remi (coller)'!$A34,9)+0,'Clients R2'!$A:$CY,27,FALSE),VLOOKUP(VLOOKUP(LEFT('1) Import fichier Remi (coller)'!$A34,9),'Concordance client liv et fact'!$A:$H,7,FALSE)+0,'Clients R2'!$A:$CY,27,FALSE))))</f>
        <v xml:space="preserve">Route De Couvin, 9                 </v>
      </c>
      <c r="T34" t="str">
        <f>IF($A34="","",LEFT(UPPER(IF(ISERROR(VLOOKUP(LEFT('1) Import fichier Remi (coller)'!$A34,9),'Concordance client liv et fact'!$A:$H,8,FALSE))=TRUE,VLOOKUP(LEFT('1) Import fichier Remi (coller)'!$A34,9)+0,'Clients R2'!$A:$CY,28,FALSE),VLOOKUP(VLOOKUP(LEFT('1) Import fichier Remi (coller)'!$A34,9),'Concordance client liv et fact'!$A:$H,7,FALSE)+0,'Clients R2'!$A:$CY,28,FALSE))),2)&amp;UPPER(IF(ISERROR(VLOOKUP(LEFT('1) Import fichier Remi (coller)'!$A34,9),'Concordance client liv et fact'!$A:$H,8,FALSE))=TRUE,VLOOKUP(LEFT('1) Import fichier Remi (coller)'!$A34,9)+0,'Clients R2'!$A:$CY,29,FALSE),VLOOKUP(VLOOKUP(LEFT('1) Import fichier Remi (coller)'!$A34,9),'Concordance client liv et fact'!$A:$H,7,FALSE)+0,'Clients R2'!$A:$CY,29,FALSE))))</f>
        <v>B 5651</v>
      </c>
      <c r="U34" t="str">
        <f>IF($A34="","",PROPER(IF(ISERROR(VLOOKUP(LEFT('1) Import fichier Remi (coller)'!$A34,9),'Concordance client liv et fact'!$A:$H,8,FALSE))=TRUE,VLOOKUP(LEFT('1) Import fichier Remi (coller)'!$A34,9)+0,'Clients R2'!$A:$CY,30,FALSE),VLOOKUP(VLOOKUP(LEFT('1) Import fichier Remi (coller)'!$A34,9),'Concordance client liv et fact'!$A:$H,7,FALSE)+0,'Clients R2'!$A:$CY,30,FALSE))))</f>
        <v xml:space="preserve">Walcourt                      </v>
      </c>
      <c r="V34" t="str">
        <f>IF($A34="","",LEFT(UPPER(IF(ISERROR(VLOOKUP(LEFT('1) Import fichier Remi (coller)'!$A34,9),'Concordance client liv et fact'!$A:$H,8,FALSE))=TRUE,IF(VLOOKUP(LEFT('1) Import fichier Remi (coller)'!$A34,9)+0,'Clients R2'!$A:$CY,22,FALSE)=4,"NA",VLOOKUP(LEFT('1) Import fichier Remi (coller)'!$A34,9)+0,'Clients R2'!$A:$CY,3,FALSE)),IF(VLOOKUP(VLOOKUP(LEFT('1) Import fichier Remi (coller)'!$A34,9),'Concordance client liv et fact'!$A:$H,7,FALSE)+0,'Clients R2'!$A:$CY,22,FALSE)=4,"NA",VLOOKUP(VLOOKUP(LEFT('1) Import fichier Remi (coller)'!$A34,9),'Concordance client liv et fact'!$A:$H,7,FALSE)+0,'Clients R2'!$A:$CY,3,FALSE)))),2))</f>
        <v>BE</v>
      </c>
      <c r="W34" s="27"/>
      <c r="X34" s="27" t="str">
        <f>IF($A34="","",IF(ISERROR(VLOOKUP(LEFT('1) Import fichier Remi (coller)'!$A34,9),'Concordance client liv et fact'!$A:$H,8,FALSE))=TRUE,VLOOKUP(LEFT('1) Import fichier Remi (coller)'!$A34,9)+0,'Clients R2'!$A:$CY,102,FALSE),VLOOKUP(VLOOKUP(LEFT('1) Import fichier Remi (coller)'!$A34,9),'Concordance client liv et fact'!$A:$H,7,FALSE)+0,'Clients R2'!$A:$CY,102,FALSE)))</f>
        <v xml:space="preserve">compta@princecaravaning.be              </v>
      </c>
      <c r="Y34" t="str">
        <f>IF(A34="","",VLOOKUP(A34,'Libellés PDF'!$A$2:$B$5,2,FALSE)&amp;F34&amp;".PDF")</f>
        <v>CF11261525.PDF</v>
      </c>
      <c r="Z34" t="str">
        <f>IF(A34="","",IF(OR(H34="705099999",H34="705001002"),VLOOKUP('1) Import fichier Remi (coller)'!J34,'Analytique personnel'!$A:$B,2,FALSE),""))</f>
        <v>BMELIN</v>
      </c>
      <c r="AA34" t="str">
        <f>IF($A34="VE11","",IF(LEFT($H34,4)="7050","",IF('1) Import fichier Remi (coller)'!M34="","",'1) Import fichier Remi (coller)'!M34)))</f>
        <v/>
      </c>
      <c r="AB34" t="str">
        <f>IF($A34="VE11","",IF(LEFT($H34,4)="7050","",IF('1) Import fichier Remi (coller)'!N34="","",'1) Import fichier Remi (coller)'!N34)))</f>
        <v/>
      </c>
      <c r="AC34" t="str">
        <f>IF(A34="","",VLOOKUP(LEFT('1) Import fichier Remi (coller)'!A34,9)+0,'Concordance Client R2 BOB'!$B:$C,2,FALSE))</f>
        <v>PRINCECARA</v>
      </c>
    </row>
    <row r="35" spans="1:29" ht="18.75" customHeight="1" x14ac:dyDescent="0.25">
      <c r="A35" t="str">
        <f>IF('1) Import fichier Remi (coller)'!D35="","",'1) Import fichier Remi (coller)'!D35)</f>
        <v>VE11</v>
      </c>
      <c r="B35">
        <f>IF(A35="","",YEAR('1) Import fichier Remi (coller)'!F35))</f>
        <v>2026</v>
      </c>
      <c r="C35">
        <f>IF(A35="","",MONTH('1) Import fichier Remi (coller)'!F35))</f>
        <v>9</v>
      </c>
      <c r="D35" s="1">
        <f>IF(A35="","",'1) Import fichier Remi (coller)'!F35)</f>
        <v>46281</v>
      </c>
      <c r="E35" s="1">
        <f>IF(A35="","",'1) Import fichier Remi (coller)'!G35)</f>
        <v>46281</v>
      </c>
      <c r="F35" t="str">
        <f>IF(A35="","",'1) Import fichier Remi (coller)'!E35)</f>
        <v>11261526</v>
      </c>
      <c r="G35" t="str">
        <f>IF(A35="","",IF(ISERROR(VLOOKUP(LEFT('1) Import fichier Remi (coller)'!A35,9),'Concordance client liv et fact'!$A:$H,8,FALSE))=TRUE,'1) Import fichier Remi (coller)'!B35,VLOOKUP(LEFT('1) Import fichier Remi (coller)'!A35,9),'Concordance client liv et fact'!$A:$H,8,FALSE)))</f>
        <v>LEODIUM</v>
      </c>
      <c r="H35" t="str">
        <f>IF(A35="","",IF(ISERROR(VLOOKUP('1) Import fichier Remi (coller)'!K35&amp;" - "&amp;'1) Import fichier Remi (coller)'!L35,'Spécifique comptes'!$A:$G,1,FALSE))=TRUE,'1) Import fichier Remi (coller)'!V35,VLOOKUP('1) Import fichier Remi (coller)'!K35&amp;" - "&amp;'1) Import fichier Remi (coller)'!L35,'Spécifique comptes'!$A:$G,IF(LEFT('2) BOB compta (completer-forcer'!F35,2)="11",4,IF(LEFT('2) BOB compta (completer-forcer'!F35,2)="12",5,IF(LEFT('2) BOB compta (completer-forcer'!F35,2)="13",6,IF(LEFT('2) BOB compta (completer-forcer'!F35,2)="15",7,"Erreur Compte")))),FALSE)))</f>
        <v>705099999</v>
      </c>
      <c r="I35" s="26" t="str">
        <f>IF(A35="","",IF(H35="70100000",'1) Import fichier Remi (coller)'!J35,'1) Import fichier Remi (coller)'!U35))</f>
        <v>+++003/7261/52643+++</v>
      </c>
      <c r="J35" s="26" t="str">
        <f>IF(A35="","",'1) Import fichier Remi (coller)'!U35)</f>
        <v>+++003/7261/52643+++</v>
      </c>
      <c r="K35" s="17">
        <f t="shared" si="1"/>
        <v>28.740000000000002</v>
      </c>
      <c r="L35" t="str">
        <f t="shared" si="0"/>
        <v>V</v>
      </c>
      <c r="M35" s="14">
        <f>IF(A35="","",'1) Import fichier Remi (coller)'!S35)</f>
        <v>21</v>
      </c>
      <c r="N35" s="17">
        <f>IF($A35="","",IF(OR($A35="NCV",$A35="NC15"),-'1) Import fichier Remi (coller)'!R35,'1) Import fichier Remi (coller)'!R35))</f>
        <v>23.75</v>
      </c>
      <c r="O35" s="17">
        <f>IF($A35="","",IF(OR($A35="NCV",$A35="NC15"),-'1) Import fichier Remi (coller)'!T35,'1) Import fichier Remi (coller)'!T35))</f>
        <v>4.99</v>
      </c>
      <c r="R35" t="str">
        <f>IF($A35="","",IF(ISERROR(VLOOKUP(LEFT('1) Import fichier Remi (coller)'!$A35,9),'Concordance client liv et fact'!$A:$H,8,FALSE))=TRUE,VLOOKUP(LEFT('1) Import fichier Remi (coller)'!$A35,9)+0,'Clients R2'!$A:$CY,2,FALSE),VLOOKUP(VLOOKUP(LEFT('1) Import fichier Remi (coller)'!$A35,9),'Concordance client liv et fact'!$A:$H,7,FALSE)+0,'Clients R2'!$A:$CY,2,FALSE)))</f>
        <v xml:space="preserve">LEODIUM AVOCATS SASPJ  </v>
      </c>
      <c r="S35" t="str">
        <f>IF($A35="","",PROPER(IF(ISERROR(VLOOKUP(LEFT('1) Import fichier Remi (coller)'!$A35,9),'Concordance client liv et fact'!$A:$H,8,FALSE))=TRUE,VLOOKUP(LEFT('1) Import fichier Remi (coller)'!$A35,9)+0,'Clients R2'!$A:$CY,27,FALSE),VLOOKUP(VLOOKUP(LEFT('1) Import fichier Remi (coller)'!$A35,9),'Concordance client liv et fact'!$A:$H,7,FALSE)+0,'Clients R2'!$A:$CY,27,FALSE))))</f>
        <v xml:space="preserve">Place De Bronckart 1               </v>
      </c>
      <c r="T35" t="str">
        <f>IF($A35="","",LEFT(UPPER(IF(ISERROR(VLOOKUP(LEFT('1) Import fichier Remi (coller)'!$A35,9),'Concordance client liv et fact'!$A:$H,8,FALSE))=TRUE,VLOOKUP(LEFT('1) Import fichier Remi (coller)'!$A35,9)+0,'Clients R2'!$A:$CY,28,FALSE),VLOOKUP(VLOOKUP(LEFT('1) Import fichier Remi (coller)'!$A35,9),'Concordance client liv et fact'!$A:$H,7,FALSE)+0,'Clients R2'!$A:$CY,28,FALSE))),2)&amp;UPPER(IF(ISERROR(VLOOKUP(LEFT('1) Import fichier Remi (coller)'!$A35,9),'Concordance client liv et fact'!$A:$H,8,FALSE))=TRUE,VLOOKUP(LEFT('1) Import fichier Remi (coller)'!$A35,9)+0,'Clients R2'!$A:$CY,29,FALSE),VLOOKUP(VLOOKUP(LEFT('1) Import fichier Remi (coller)'!$A35,9),'Concordance client liv et fact'!$A:$H,7,FALSE)+0,'Clients R2'!$A:$CY,29,FALSE))))</f>
        <v>B 4000</v>
      </c>
      <c r="U35" t="str">
        <f>IF($A35="","",PROPER(IF(ISERROR(VLOOKUP(LEFT('1) Import fichier Remi (coller)'!$A35,9),'Concordance client liv et fact'!$A:$H,8,FALSE))=TRUE,VLOOKUP(LEFT('1) Import fichier Remi (coller)'!$A35,9)+0,'Clients R2'!$A:$CY,30,FALSE),VLOOKUP(VLOOKUP(LEFT('1) Import fichier Remi (coller)'!$A35,9),'Concordance client liv et fact'!$A:$H,7,FALSE)+0,'Clients R2'!$A:$CY,30,FALSE))))</f>
        <v xml:space="preserve">Liege                         </v>
      </c>
      <c r="V35" t="str">
        <f>IF($A35="","",LEFT(UPPER(IF(ISERROR(VLOOKUP(LEFT('1) Import fichier Remi (coller)'!$A35,9),'Concordance client liv et fact'!$A:$H,8,FALSE))=TRUE,IF(VLOOKUP(LEFT('1) Import fichier Remi (coller)'!$A35,9)+0,'Clients R2'!$A:$CY,22,FALSE)=4,"NA",VLOOKUP(LEFT('1) Import fichier Remi (coller)'!$A35,9)+0,'Clients R2'!$A:$CY,3,FALSE)),IF(VLOOKUP(VLOOKUP(LEFT('1) Import fichier Remi (coller)'!$A35,9),'Concordance client liv et fact'!$A:$H,7,FALSE)+0,'Clients R2'!$A:$CY,22,FALSE)=4,"NA",VLOOKUP(VLOOKUP(LEFT('1) Import fichier Remi (coller)'!$A35,9),'Concordance client liv et fact'!$A:$H,7,FALSE)+0,'Clients R2'!$A:$CY,3,FALSE)))),2))</f>
        <v>BE</v>
      </c>
      <c r="W35" s="27"/>
      <c r="X35" s="27" t="str">
        <f>IF($A35="","",IF(ISERROR(VLOOKUP(LEFT('1) Import fichier Remi (coller)'!$A35,9),'Concordance client liv et fact'!$A:$H,8,FALSE))=TRUE,VLOOKUP(LEFT('1) Import fichier Remi (coller)'!$A35,9)+0,'Clients R2'!$A:$CY,102,FALSE),VLOOKUP(VLOOKUP(LEFT('1) Import fichier Remi (coller)'!$A35,9),'Concordance client liv et fact'!$A:$H,7,FALSE)+0,'Clients R2'!$A:$CY,102,FALSE)))</f>
        <v xml:space="preserve">l.leduc@cabinetleodium.be               </v>
      </c>
      <c r="Y35" t="str">
        <f>IF(A35="","",VLOOKUP(A35,'Libellés PDF'!$A$2:$B$5,2,FALSE)&amp;F35&amp;".PDF")</f>
        <v>CF11261526.PDF</v>
      </c>
      <c r="Z35" t="str">
        <f>IF(A35="","",IF(OR(H35="705099999",H35="705001002"),VLOOKUP('1) Import fichier Remi (coller)'!J35,'Analytique personnel'!$A:$B,2,FALSE),""))</f>
        <v>GDUHOUX</v>
      </c>
      <c r="AA35" t="str">
        <f>IF($A35="VE11","",IF(LEFT($H35,4)="7050","",IF('1) Import fichier Remi (coller)'!M35="","",'1) Import fichier Remi (coller)'!M35)))</f>
        <v/>
      </c>
      <c r="AB35" t="str">
        <f>IF($A35="VE11","",IF(LEFT($H35,4)="7050","",IF('1) Import fichier Remi (coller)'!N35="","",'1) Import fichier Remi (coller)'!N35)))</f>
        <v/>
      </c>
      <c r="AC35" t="str">
        <f>IF(A35="","",VLOOKUP(LEFT('1) Import fichier Remi (coller)'!A35,9)+0,'Concordance Client R2 BOB'!$B:$C,2,FALSE))</f>
        <v>LEODIUM</v>
      </c>
    </row>
    <row r="36" spans="1:29" ht="18.75" customHeight="1" x14ac:dyDescent="0.25">
      <c r="A36" t="str">
        <f>IF('1) Import fichier Remi (coller)'!D36="","",'1) Import fichier Remi (coller)'!D36)</f>
        <v>VE11</v>
      </c>
      <c r="B36">
        <f>IF(A36="","",YEAR('1) Import fichier Remi (coller)'!F36))</f>
        <v>2026</v>
      </c>
      <c r="C36">
        <f>IF(A36="","",MONTH('1) Import fichier Remi (coller)'!F36))</f>
        <v>9</v>
      </c>
      <c r="D36" s="1">
        <f>IF(A36="","",'1) Import fichier Remi (coller)'!F36)</f>
        <v>46281</v>
      </c>
      <c r="E36" s="1">
        <f>IF(A36="","",'1) Import fichier Remi (coller)'!G36)</f>
        <v>46281</v>
      </c>
      <c r="F36" t="str">
        <f>IF(A36="","",'1) Import fichier Remi (coller)'!E36)</f>
        <v>11261527</v>
      </c>
      <c r="G36" t="str">
        <f>IF(A36="","",IF(ISERROR(VLOOKUP(LEFT('1) Import fichier Remi (coller)'!A36,9),'Concordance client liv et fact'!$A:$H,8,FALSE))=TRUE,'1) Import fichier Remi (coller)'!B36,VLOOKUP(LEFT('1) Import fichier Remi (coller)'!A36,9),'Concordance client liv et fact'!$A:$H,8,FALSE)))</f>
        <v>SYNACO2</v>
      </c>
      <c r="H36" t="str">
        <f>IF(A36="","",IF(ISERROR(VLOOKUP('1) Import fichier Remi (coller)'!K36&amp;" - "&amp;'1) Import fichier Remi (coller)'!L36,'Spécifique comptes'!$A:$G,1,FALSE))=TRUE,'1) Import fichier Remi (coller)'!V36,VLOOKUP('1) Import fichier Remi (coller)'!K36&amp;" - "&amp;'1) Import fichier Remi (coller)'!L36,'Spécifique comptes'!$A:$G,IF(LEFT('2) BOB compta (completer-forcer'!F36,2)="11",4,IF(LEFT('2) BOB compta (completer-forcer'!F36,2)="12",5,IF(LEFT('2) BOB compta (completer-forcer'!F36,2)="13",6,IF(LEFT('2) BOB compta (completer-forcer'!F36,2)="15",7,"Erreur Compte")))),FALSE)))</f>
        <v>705099999</v>
      </c>
      <c r="I36" s="26" t="str">
        <f>IF(A36="","",IF(H36="70100000",'1) Import fichier Remi (coller)'!J36,'1) Import fichier Remi (coller)'!U36))</f>
        <v>+++003/7261/52744+++</v>
      </c>
      <c r="J36" s="26" t="str">
        <f>IF(A36="","",'1) Import fichier Remi (coller)'!U36)</f>
        <v>+++003/7261/52744+++</v>
      </c>
      <c r="K36" s="17">
        <f t="shared" si="1"/>
        <v>28.740000000000002</v>
      </c>
      <c r="L36" t="str">
        <f t="shared" si="0"/>
        <v>V</v>
      </c>
      <c r="M36" s="14">
        <f>IF(A36="","",'1) Import fichier Remi (coller)'!S36)</f>
        <v>21</v>
      </c>
      <c r="N36" s="17">
        <f>IF($A36="","",IF(OR($A36="NCV",$A36="NC15"),-'1) Import fichier Remi (coller)'!R36,'1) Import fichier Remi (coller)'!R36))</f>
        <v>23.75</v>
      </c>
      <c r="O36" s="17">
        <f>IF($A36="","",IF(OR($A36="NCV",$A36="NC15"),-'1) Import fichier Remi (coller)'!T36,'1) Import fichier Remi (coller)'!T36))</f>
        <v>4.99</v>
      </c>
      <c r="R36" t="str">
        <f>IF($A36="","",IF(ISERROR(VLOOKUP(LEFT('1) Import fichier Remi (coller)'!$A36,9),'Concordance client liv et fact'!$A:$H,8,FALSE))=TRUE,VLOOKUP(LEFT('1) Import fichier Remi (coller)'!$A36,9)+0,'Clients R2'!$A:$CY,2,FALSE),VLOOKUP(VLOOKUP(LEFT('1) Import fichier Remi (coller)'!$A36,9),'Concordance client liv et fact'!$A:$H,7,FALSE)+0,'Clients R2'!$A:$CY,2,FALSE)))</f>
        <v xml:space="preserve">SYNACO SA              </v>
      </c>
      <c r="S36" t="str">
        <f>IF($A36="","",PROPER(IF(ISERROR(VLOOKUP(LEFT('1) Import fichier Remi (coller)'!$A36,9),'Concordance client liv et fact'!$A:$H,8,FALSE))=TRUE,VLOOKUP(LEFT('1) Import fichier Remi (coller)'!$A36,9)+0,'Clients R2'!$A:$CY,27,FALSE),VLOOKUP(VLOOKUP(LEFT('1) Import fichier Remi (coller)'!$A36,9),'Concordance client liv et fact'!$A:$H,7,FALSE)+0,'Clients R2'!$A:$CY,27,FALSE))))</f>
        <v xml:space="preserve">Rue Des Technologies 2B            </v>
      </c>
      <c r="T36" t="str">
        <f>IF($A36="","",LEFT(UPPER(IF(ISERROR(VLOOKUP(LEFT('1) Import fichier Remi (coller)'!$A36,9),'Concordance client liv et fact'!$A:$H,8,FALSE))=TRUE,VLOOKUP(LEFT('1) Import fichier Remi (coller)'!$A36,9)+0,'Clients R2'!$A:$CY,28,FALSE),VLOOKUP(VLOOKUP(LEFT('1) Import fichier Remi (coller)'!$A36,9),'Concordance client liv et fact'!$A:$H,7,FALSE)+0,'Clients R2'!$A:$CY,28,FALSE))),2)&amp;UPPER(IF(ISERROR(VLOOKUP(LEFT('1) Import fichier Remi (coller)'!$A36,9),'Concordance client liv et fact'!$A:$H,8,FALSE))=TRUE,VLOOKUP(LEFT('1) Import fichier Remi (coller)'!$A36,9)+0,'Clients R2'!$A:$CY,29,FALSE),VLOOKUP(VLOOKUP(LEFT('1) Import fichier Remi (coller)'!$A36,9),'Concordance client liv et fact'!$A:$H,7,FALSE)+0,'Clients R2'!$A:$CY,29,FALSE))))</f>
        <v>B 4432</v>
      </c>
      <c r="U36" t="str">
        <f>IF($A36="","",PROPER(IF(ISERROR(VLOOKUP(LEFT('1) Import fichier Remi (coller)'!$A36,9),'Concordance client liv et fact'!$A:$H,8,FALSE))=TRUE,VLOOKUP(LEFT('1) Import fichier Remi (coller)'!$A36,9)+0,'Clients R2'!$A:$CY,30,FALSE),VLOOKUP(VLOOKUP(LEFT('1) Import fichier Remi (coller)'!$A36,9),'Concordance client liv et fact'!$A:$H,7,FALSE)+0,'Clients R2'!$A:$CY,30,FALSE))))</f>
        <v xml:space="preserve">Ans                           </v>
      </c>
      <c r="V36" t="str">
        <f>IF($A36="","",LEFT(UPPER(IF(ISERROR(VLOOKUP(LEFT('1) Import fichier Remi (coller)'!$A36,9),'Concordance client liv et fact'!$A:$H,8,FALSE))=TRUE,IF(VLOOKUP(LEFT('1) Import fichier Remi (coller)'!$A36,9)+0,'Clients R2'!$A:$CY,22,FALSE)=4,"NA",VLOOKUP(LEFT('1) Import fichier Remi (coller)'!$A36,9)+0,'Clients R2'!$A:$CY,3,FALSE)),IF(VLOOKUP(VLOOKUP(LEFT('1) Import fichier Remi (coller)'!$A36,9),'Concordance client liv et fact'!$A:$H,7,FALSE)+0,'Clients R2'!$A:$CY,22,FALSE)=4,"NA",VLOOKUP(VLOOKUP(LEFT('1) Import fichier Remi (coller)'!$A36,9),'Concordance client liv et fact'!$A:$H,7,FALSE)+0,'Clients R2'!$A:$CY,3,FALSE)))),2))</f>
        <v>BE</v>
      </c>
      <c r="W36" s="27"/>
      <c r="X36" s="27" t="str">
        <f>IF($A36="","",IF(ISERROR(VLOOKUP(LEFT('1) Import fichier Remi (coller)'!$A36,9),'Concordance client liv et fact'!$A:$H,8,FALSE))=TRUE,VLOOKUP(LEFT('1) Import fichier Remi (coller)'!$A36,9)+0,'Clients R2'!$A:$CY,102,FALSE),VLOOKUP(VLOOKUP(LEFT('1) Import fichier Remi (coller)'!$A36,9),'Concordance client liv et fact'!$A:$H,7,FALSE)+0,'Clients R2'!$A:$CY,102,FALSE)))</f>
        <v xml:space="preserve">admin@synaco.com                        </v>
      </c>
      <c r="Y36" t="str">
        <f>IF(A36="","",VLOOKUP(A36,'Libellés PDF'!$A$2:$B$5,2,FALSE)&amp;F36&amp;".PDF")</f>
        <v>CF11261527.PDF</v>
      </c>
      <c r="Z36" t="str">
        <f>IF(A36="","",IF(OR(H36="705099999",H36="705001002"),VLOOKUP('1) Import fichier Remi (coller)'!J36,'Analytique personnel'!$A:$B,2,FALSE),""))</f>
        <v>MFONTAINE</v>
      </c>
      <c r="AA36" t="str">
        <f>IF($A36="VE11","",IF(LEFT($H36,4)="7050","",IF('1) Import fichier Remi (coller)'!M36="","",'1) Import fichier Remi (coller)'!M36)))</f>
        <v/>
      </c>
      <c r="AB36" t="str">
        <f>IF($A36="VE11","",IF(LEFT($H36,4)="7050","",IF('1) Import fichier Remi (coller)'!N36="","",'1) Import fichier Remi (coller)'!N36)))</f>
        <v/>
      </c>
      <c r="AC36" t="str">
        <f>IF(A36="","",VLOOKUP(LEFT('1) Import fichier Remi (coller)'!A36,9)+0,'Concordance Client R2 BOB'!$B:$C,2,FALSE))</f>
        <v>SYNACO2</v>
      </c>
    </row>
    <row r="37" spans="1:29" ht="18.75" customHeight="1" x14ac:dyDescent="0.25">
      <c r="A37" t="str">
        <f>IF('1) Import fichier Remi (coller)'!D37="","",'1) Import fichier Remi (coller)'!D37)</f>
        <v>VE11</v>
      </c>
      <c r="B37">
        <f>IF(A37="","",YEAR('1) Import fichier Remi (coller)'!F37))</f>
        <v>2026</v>
      </c>
      <c r="C37">
        <f>IF(A37="","",MONTH('1) Import fichier Remi (coller)'!F37))</f>
        <v>9</v>
      </c>
      <c r="D37" s="1">
        <f>IF(A37="","",'1) Import fichier Remi (coller)'!F37)</f>
        <v>46281</v>
      </c>
      <c r="E37" s="1">
        <f>IF(A37="","",'1) Import fichier Remi (coller)'!G37)</f>
        <v>46281</v>
      </c>
      <c r="F37" t="str">
        <f>IF(A37="","",'1) Import fichier Remi (coller)'!E37)</f>
        <v>11261528</v>
      </c>
      <c r="G37" t="str">
        <f>IF(A37="","",IF(ISERROR(VLOOKUP(LEFT('1) Import fichier Remi (coller)'!A37,9),'Concordance client liv et fact'!$A:$H,8,FALSE))=TRUE,'1) Import fichier Remi (coller)'!B37,VLOOKUP(LEFT('1) Import fichier Remi (coller)'!A37,9),'Concordance client liv et fact'!$A:$H,8,FALSE)))</f>
        <v>DRYTEC</v>
      </c>
      <c r="H37" t="str">
        <f>IF(A37="","",IF(ISERROR(VLOOKUP('1) Import fichier Remi (coller)'!K37&amp;" - "&amp;'1) Import fichier Remi (coller)'!L37,'Spécifique comptes'!$A:$G,1,FALSE))=TRUE,'1) Import fichier Remi (coller)'!V37,VLOOKUP('1) Import fichier Remi (coller)'!K37&amp;" - "&amp;'1) Import fichier Remi (coller)'!L37,'Spécifique comptes'!$A:$G,IF(LEFT('2) BOB compta (completer-forcer'!F37,2)="11",4,IF(LEFT('2) BOB compta (completer-forcer'!F37,2)="12",5,IF(LEFT('2) BOB compta (completer-forcer'!F37,2)="13",6,IF(LEFT('2) BOB compta (completer-forcer'!F37,2)="15",7,"Erreur Compte")))),FALSE)))</f>
        <v>705099999</v>
      </c>
      <c r="I37" s="26" t="str">
        <f>IF(A37="","",IF(H37="70100000",'1) Import fichier Remi (coller)'!J37,'1) Import fichier Remi (coller)'!U37))</f>
        <v>+++003/7261/52845+++</v>
      </c>
      <c r="J37" s="26" t="str">
        <f>IF(A37="","",'1) Import fichier Remi (coller)'!U37)</f>
        <v>+++003/7261/52845+++</v>
      </c>
      <c r="K37" s="17">
        <f t="shared" si="1"/>
        <v>259.67</v>
      </c>
      <c r="L37" t="str">
        <f t="shared" si="0"/>
        <v>V</v>
      </c>
      <c r="M37" s="14">
        <f>IF(A37="","",'1) Import fichier Remi (coller)'!S37)</f>
        <v>21</v>
      </c>
      <c r="N37" s="17">
        <f>IF($A37="","",IF(OR($A37="NCV",$A37="NC15"),-'1) Import fichier Remi (coller)'!R37,'1) Import fichier Remi (coller)'!R37))</f>
        <v>150</v>
      </c>
      <c r="O37" s="17">
        <f>IF($A37="","",IF(OR($A37="NCV",$A37="NC15"),-'1) Import fichier Remi (coller)'!T37,'1) Import fichier Remi (coller)'!T37))</f>
        <v>31.5</v>
      </c>
      <c r="R37" t="str">
        <f>IF($A37="","",IF(ISERROR(VLOOKUP(LEFT('1) Import fichier Remi (coller)'!$A37,9),'Concordance client liv et fact'!$A:$H,8,FALSE))=TRUE,VLOOKUP(LEFT('1) Import fichier Remi (coller)'!$A37,9)+0,'Clients R2'!$A:$CY,2,FALSE),VLOOKUP(VLOOKUP(LEFT('1) Import fichier Remi (coller)'!$A37,9),'Concordance client liv et fact'!$A:$H,7,FALSE)+0,'Clients R2'!$A:$CY,2,FALSE)))</f>
        <v xml:space="preserve">DRYTEC SA              </v>
      </c>
      <c r="S37" t="str">
        <f>IF($A37="","",PROPER(IF(ISERROR(VLOOKUP(LEFT('1) Import fichier Remi (coller)'!$A37,9),'Concordance client liv et fact'!$A:$H,8,FALSE))=TRUE,VLOOKUP(LEFT('1) Import fichier Remi (coller)'!$A37,9)+0,'Clients R2'!$A:$CY,27,FALSE),VLOOKUP(VLOOKUP(LEFT('1) Import fichier Remi (coller)'!$A37,9),'Concordance client liv et fact'!$A:$H,7,FALSE)+0,'Clients R2'!$A:$CY,27,FALSE))))</f>
        <v xml:space="preserve">Rue De La Legende, 36              </v>
      </c>
      <c r="T37" t="str">
        <f>IF($A37="","",LEFT(UPPER(IF(ISERROR(VLOOKUP(LEFT('1) Import fichier Remi (coller)'!$A37,9),'Concordance client liv et fact'!$A:$H,8,FALSE))=TRUE,VLOOKUP(LEFT('1) Import fichier Remi (coller)'!$A37,9)+0,'Clients R2'!$A:$CY,28,FALSE),VLOOKUP(VLOOKUP(LEFT('1) Import fichier Remi (coller)'!$A37,9),'Concordance client liv et fact'!$A:$H,7,FALSE)+0,'Clients R2'!$A:$CY,28,FALSE))),2)&amp;UPPER(IF(ISERROR(VLOOKUP(LEFT('1) Import fichier Remi (coller)'!$A37,9),'Concordance client liv et fact'!$A:$H,8,FALSE))=TRUE,VLOOKUP(LEFT('1) Import fichier Remi (coller)'!$A37,9)+0,'Clients R2'!$A:$CY,29,FALSE),VLOOKUP(VLOOKUP(LEFT('1) Import fichier Remi (coller)'!$A37,9),'Concordance client liv et fact'!$A:$H,7,FALSE)+0,'Clients R2'!$A:$CY,29,FALSE))))</f>
        <v>B 4141</v>
      </c>
      <c r="U37" t="str">
        <f>IF($A37="","",PROPER(IF(ISERROR(VLOOKUP(LEFT('1) Import fichier Remi (coller)'!$A37,9),'Concordance client liv et fact'!$A:$H,8,FALSE))=TRUE,VLOOKUP(LEFT('1) Import fichier Remi (coller)'!$A37,9)+0,'Clients R2'!$A:$CY,30,FALSE),VLOOKUP(VLOOKUP(LEFT('1) Import fichier Remi (coller)'!$A37,9),'Concordance client liv et fact'!$A:$H,7,FALSE)+0,'Clients R2'!$A:$CY,30,FALSE))))</f>
        <v xml:space="preserve">Louveigne                     </v>
      </c>
      <c r="V37" t="str">
        <f>IF($A37="","",LEFT(UPPER(IF(ISERROR(VLOOKUP(LEFT('1) Import fichier Remi (coller)'!$A37,9),'Concordance client liv et fact'!$A:$H,8,FALSE))=TRUE,IF(VLOOKUP(LEFT('1) Import fichier Remi (coller)'!$A37,9)+0,'Clients R2'!$A:$CY,22,FALSE)=4,"NA",VLOOKUP(LEFT('1) Import fichier Remi (coller)'!$A37,9)+0,'Clients R2'!$A:$CY,3,FALSE)),IF(VLOOKUP(VLOOKUP(LEFT('1) Import fichier Remi (coller)'!$A37,9),'Concordance client liv et fact'!$A:$H,7,FALSE)+0,'Clients R2'!$A:$CY,22,FALSE)=4,"NA",VLOOKUP(VLOOKUP(LEFT('1) Import fichier Remi (coller)'!$A37,9),'Concordance client liv et fact'!$A:$H,7,FALSE)+0,'Clients R2'!$A:$CY,3,FALSE)))),2))</f>
        <v>BE</v>
      </c>
      <c r="W37" s="27"/>
      <c r="X37" s="27" t="str">
        <f>IF($A37="","",IF(ISERROR(VLOOKUP(LEFT('1) Import fichier Remi (coller)'!$A37,9),'Concordance client liv et fact'!$A:$H,8,FALSE))=TRUE,VLOOKUP(LEFT('1) Import fichier Remi (coller)'!$A37,9)+0,'Clients R2'!$A:$CY,102,FALSE),VLOOKUP(VLOOKUP(LEFT('1) Import fichier Remi (coller)'!$A37,9),'Concordance client liv et fact'!$A:$H,7,FALSE)+0,'Clients R2'!$A:$CY,102,FALSE)))</f>
        <v xml:space="preserve">accounting.drytec@mikropor.com          </v>
      </c>
      <c r="Y37" t="str">
        <f>IF(A37="","",VLOOKUP(A37,'Libellés PDF'!$A$2:$B$5,2,FALSE)&amp;F37&amp;".PDF")</f>
        <v>CF11261528.PDF</v>
      </c>
      <c r="Z37" t="str">
        <f>IF(A37="","",IF(OR(H37="705099999",H37="705001002"),VLOOKUP('1) Import fichier Remi (coller)'!J37,'Analytique personnel'!$A:$B,2,FALSE),""))</f>
        <v>MFONTAINE</v>
      </c>
      <c r="AA37" t="str">
        <f>IF($A37="VE11","",IF(LEFT($H37,4)="7050","",IF('1) Import fichier Remi (coller)'!M37="","",'1) Import fichier Remi (coller)'!M37)))</f>
        <v/>
      </c>
      <c r="AB37" t="str">
        <f>IF($A37="VE11","",IF(LEFT($H37,4)="7050","",IF('1) Import fichier Remi (coller)'!N37="","",'1) Import fichier Remi (coller)'!N37)))</f>
        <v/>
      </c>
      <c r="AC37" t="str">
        <f>IF(A37="","",VLOOKUP(LEFT('1) Import fichier Remi (coller)'!A37,9)+0,'Concordance Client R2 BOB'!$B:$C,2,FALSE))</f>
        <v>DRYTEC</v>
      </c>
    </row>
    <row r="38" spans="1:29" ht="18.75" customHeight="1" x14ac:dyDescent="0.25">
      <c r="A38" t="str">
        <f>IF('1) Import fichier Remi (coller)'!D38="","",'1) Import fichier Remi (coller)'!D38)</f>
        <v>VE11</v>
      </c>
      <c r="B38">
        <f>IF(A38="","",YEAR('1) Import fichier Remi (coller)'!F38))</f>
        <v>2026</v>
      </c>
      <c r="C38">
        <f>IF(A38="","",MONTH('1) Import fichier Remi (coller)'!F38))</f>
        <v>9</v>
      </c>
      <c r="D38" s="1">
        <f>IF(A38="","",'1) Import fichier Remi (coller)'!F38)</f>
        <v>46281</v>
      </c>
      <c r="E38" s="1">
        <f>IF(A38="","",'1) Import fichier Remi (coller)'!G38)</f>
        <v>46281</v>
      </c>
      <c r="F38" t="str">
        <f>IF(A38="","",'1) Import fichier Remi (coller)'!E38)</f>
        <v>11261528</v>
      </c>
      <c r="G38" t="str">
        <f>IF(A38="","",IF(ISERROR(VLOOKUP(LEFT('1) Import fichier Remi (coller)'!A38,9),'Concordance client liv et fact'!$A:$H,8,FALSE))=TRUE,'1) Import fichier Remi (coller)'!B38,VLOOKUP(LEFT('1) Import fichier Remi (coller)'!A38,9),'Concordance client liv et fact'!$A:$H,8,FALSE)))</f>
        <v>DRYTEC</v>
      </c>
      <c r="H38" t="str">
        <f>IF(A38="","",IF(ISERROR(VLOOKUP('1) Import fichier Remi (coller)'!K38&amp;" - "&amp;'1) Import fichier Remi (coller)'!L38,'Spécifique comptes'!$A:$G,1,FALSE))=TRUE,'1) Import fichier Remi (coller)'!V38,VLOOKUP('1) Import fichier Remi (coller)'!K38&amp;" - "&amp;'1) Import fichier Remi (coller)'!L38,'Spécifique comptes'!$A:$G,IF(LEFT('2) BOB compta (completer-forcer'!F38,2)="11",4,IF(LEFT('2) BOB compta (completer-forcer'!F38,2)="12",5,IF(LEFT('2) BOB compta (completer-forcer'!F38,2)="13",6,IF(LEFT('2) BOB compta (completer-forcer'!F38,2)="15",7,"Erreur Compte")))),FALSE)))</f>
        <v>705001002</v>
      </c>
      <c r="I38" s="26" t="str">
        <f>IF(A38="","",IF(H38="70100000",'1) Import fichier Remi (coller)'!J38,'1) Import fichier Remi (coller)'!U38))</f>
        <v>+++003/7261/52845+++</v>
      </c>
      <c r="J38" s="26" t="str">
        <f>IF(A38="","",'1) Import fichier Remi (coller)'!U38)</f>
        <v>+++003/7261/52845+++</v>
      </c>
      <c r="K38" s="17">
        <f t="shared" si="1"/>
        <v>259.67</v>
      </c>
      <c r="L38" t="str">
        <f t="shared" si="0"/>
        <v>V</v>
      </c>
      <c r="M38" s="14">
        <f>IF(A38="","",'1) Import fichier Remi (coller)'!S38)</f>
        <v>21</v>
      </c>
      <c r="N38" s="17">
        <f>IF($A38="","",IF(OR($A38="NCV",$A38="NC15"),-'1) Import fichier Remi (coller)'!R38,'1) Import fichier Remi (coller)'!R38))</f>
        <v>64.599999999999994</v>
      </c>
      <c r="O38" s="17">
        <f>IF($A38="","",IF(OR($A38="NCV",$A38="NC15"),-'1) Import fichier Remi (coller)'!T38,'1) Import fichier Remi (coller)'!T38))</f>
        <v>13.57</v>
      </c>
      <c r="R38" t="str">
        <f>IF($A38="","",IF(ISERROR(VLOOKUP(LEFT('1) Import fichier Remi (coller)'!$A38,9),'Concordance client liv et fact'!$A:$H,8,FALSE))=TRUE,VLOOKUP(LEFT('1) Import fichier Remi (coller)'!$A38,9)+0,'Clients R2'!$A:$CY,2,FALSE),VLOOKUP(VLOOKUP(LEFT('1) Import fichier Remi (coller)'!$A38,9),'Concordance client liv et fact'!$A:$H,7,FALSE)+0,'Clients R2'!$A:$CY,2,FALSE)))</f>
        <v xml:space="preserve">DRYTEC SA              </v>
      </c>
      <c r="S38" t="str">
        <f>IF($A38="","",PROPER(IF(ISERROR(VLOOKUP(LEFT('1) Import fichier Remi (coller)'!$A38,9),'Concordance client liv et fact'!$A:$H,8,FALSE))=TRUE,VLOOKUP(LEFT('1) Import fichier Remi (coller)'!$A38,9)+0,'Clients R2'!$A:$CY,27,FALSE),VLOOKUP(VLOOKUP(LEFT('1) Import fichier Remi (coller)'!$A38,9),'Concordance client liv et fact'!$A:$H,7,FALSE)+0,'Clients R2'!$A:$CY,27,FALSE))))</f>
        <v xml:space="preserve">Rue De La Legende, 36              </v>
      </c>
      <c r="T38" t="str">
        <f>IF($A38="","",LEFT(UPPER(IF(ISERROR(VLOOKUP(LEFT('1) Import fichier Remi (coller)'!$A38,9),'Concordance client liv et fact'!$A:$H,8,FALSE))=TRUE,VLOOKUP(LEFT('1) Import fichier Remi (coller)'!$A38,9)+0,'Clients R2'!$A:$CY,28,FALSE),VLOOKUP(VLOOKUP(LEFT('1) Import fichier Remi (coller)'!$A38,9),'Concordance client liv et fact'!$A:$H,7,FALSE)+0,'Clients R2'!$A:$CY,28,FALSE))),2)&amp;UPPER(IF(ISERROR(VLOOKUP(LEFT('1) Import fichier Remi (coller)'!$A38,9),'Concordance client liv et fact'!$A:$H,8,FALSE))=TRUE,VLOOKUP(LEFT('1) Import fichier Remi (coller)'!$A38,9)+0,'Clients R2'!$A:$CY,29,FALSE),VLOOKUP(VLOOKUP(LEFT('1) Import fichier Remi (coller)'!$A38,9),'Concordance client liv et fact'!$A:$H,7,FALSE)+0,'Clients R2'!$A:$CY,29,FALSE))))</f>
        <v>B 4141</v>
      </c>
      <c r="U38" t="str">
        <f>IF($A38="","",PROPER(IF(ISERROR(VLOOKUP(LEFT('1) Import fichier Remi (coller)'!$A38,9),'Concordance client liv et fact'!$A:$H,8,FALSE))=TRUE,VLOOKUP(LEFT('1) Import fichier Remi (coller)'!$A38,9)+0,'Clients R2'!$A:$CY,30,FALSE),VLOOKUP(VLOOKUP(LEFT('1) Import fichier Remi (coller)'!$A38,9),'Concordance client liv et fact'!$A:$H,7,FALSE)+0,'Clients R2'!$A:$CY,30,FALSE))))</f>
        <v xml:space="preserve">Louveigne                     </v>
      </c>
      <c r="V38" t="str">
        <f>IF($A38="","",LEFT(UPPER(IF(ISERROR(VLOOKUP(LEFT('1) Import fichier Remi (coller)'!$A38,9),'Concordance client liv et fact'!$A:$H,8,FALSE))=TRUE,IF(VLOOKUP(LEFT('1) Import fichier Remi (coller)'!$A38,9)+0,'Clients R2'!$A:$CY,22,FALSE)=4,"NA",VLOOKUP(LEFT('1) Import fichier Remi (coller)'!$A38,9)+0,'Clients R2'!$A:$CY,3,FALSE)),IF(VLOOKUP(VLOOKUP(LEFT('1) Import fichier Remi (coller)'!$A38,9),'Concordance client liv et fact'!$A:$H,7,FALSE)+0,'Clients R2'!$A:$CY,22,FALSE)=4,"NA",VLOOKUP(VLOOKUP(LEFT('1) Import fichier Remi (coller)'!$A38,9),'Concordance client liv et fact'!$A:$H,7,FALSE)+0,'Clients R2'!$A:$CY,3,FALSE)))),2))</f>
        <v>BE</v>
      </c>
      <c r="W38" s="27"/>
      <c r="X38" s="27" t="str">
        <f>IF($A38="","",IF(ISERROR(VLOOKUP(LEFT('1) Import fichier Remi (coller)'!$A38,9),'Concordance client liv et fact'!$A:$H,8,FALSE))=TRUE,VLOOKUP(LEFT('1) Import fichier Remi (coller)'!$A38,9)+0,'Clients R2'!$A:$CY,102,FALSE),VLOOKUP(VLOOKUP(LEFT('1) Import fichier Remi (coller)'!$A38,9),'Concordance client liv et fact'!$A:$H,7,FALSE)+0,'Clients R2'!$A:$CY,102,FALSE)))</f>
        <v xml:space="preserve">accounting.drytec@mikropor.com          </v>
      </c>
      <c r="Y38" t="str">
        <f>IF(A38="","",VLOOKUP(A38,'Libellés PDF'!$A$2:$B$5,2,FALSE)&amp;F38&amp;".PDF")</f>
        <v>CF11261528.PDF</v>
      </c>
      <c r="Z38" t="s">
        <v>464</v>
      </c>
      <c r="AA38" t="str">
        <f>IF($A38="VE11","",IF(LEFT($H38,4)="7050","",IF('1) Import fichier Remi (coller)'!M38="","",'1) Import fichier Remi (coller)'!M38)))</f>
        <v/>
      </c>
      <c r="AB38" t="str">
        <f>IF($A38="VE11","",IF(LEFT($H38,4)="7050","",IF('1) Import fichier Remi (coller)'!N38="","",'1) Import fichier Remi (coller)'!N38)))</f>
        <v/>
      </c>
      <c r="AC38" t="str">
        <f>IF(A38="","",VLOOKUP(LEFT('1) Import fichier Remi (coller)'!A38,9)+0,'Concordance Client R2 BOB'!$B:$C,2,FALSE))</f>
        <v>DRYTEC</v>
      </c>
    </row>
    <row r="39" spans="1:29" ht="18.75" customHeight="1" x14ac:dyDescent="0.25">
      <c r="A39" t="str">
        <f>IF('1) Import fichier Remi (coller)'!D39="","",'1) Import fichier Remi (coller)'!D39)</f>
        <v>VE11</v>
      </c>
      <c r="B39">
        <f>IF(A39="","",YEAR('1) Import fichier Remi (coller)'!F39))</f>
        <v>2026</v>
      </c>
      <c r="C39">
        <f>IF(A39="","",MONTH('1) Import fichier Remi (coller)'!F39))</f>
        <v>9</v>
      </c>
      <c r="D39" s="1">
        <f>IF(A39="","",'1) Import fichier Remi (coller)'!F39)</f>
        <v>46281</v>
      </c>
      <c r="E39" s="1">
        <f>IF(A39="","",'1) Import fichier Remi (coller)'!G39)</f>
        <v>46311</v>
      </c>
      <c r="F39" t="str">
        <f>IF(A39="","",'1) Import fichier Remi (coller)'!E39)</f>
        <v>11261529</v>
      </c>
      <c r="G39" t="str">
        <f>IF(A39="","",IF(ISERROR(VLOOKUP(LEFT('1) Import fichier Remi (coller)'!A39,9),'Concordance client liv et fact'!$A:$H,8,FALSE))=TRUE,'1) Import fichier Remi (coller)'!B39,VLOOKUP(LEFT('1) Import fichier Remi (coller)'!A39,9),'Concordance client liv et fact'!$A:$H,8,FALSE)))</f>
        <v>HOFMAN</v>
      </c>
      <c r="H39" t="str">
        <f>IF(A39="","",IF(ISERROR(VLOOKUP('1) Import fichier Remi (coller)'!K39&amp;" - "&amp;'1) Import fichier Remi (coller)'!L39,'Spécifique comptes'!$A:$G,1,FALSE))=TRUE,'1) Import fichier Remi (coller)'!V39,VLOOKUP('1) Import fichier Remi (coller)'!K39&amp;" - "&amp;'1) Import fichier Remi (coller)'!L39,'Spécifique comptes'!$A:$G,IF(LEFT('2) BOB compta (completer-forcer'!F39,2)="11",4,IF(LEFT('2) BOB compta (completer-forcer'!F39,2)="12",5,IF(LEFT('2) BOB compta (completer-forcer'!F39,2)="13",6,IF(LEFT('2) BOB compta (completer-forcer'!F39,2)="15",7,"Erreur Compte")))),FALSE)))</f>
        <v>705099999</v>
      </c>
      <c r="I39" s="26" t="str">
        <f>IF(A39="","",IF(H39="70100000",'1) Import fichier Remi (coller)'!J39,'1) Import fichier Remi (coller)'!U39))</f>
        <v>+++003/7261/52946+++</v>
      </c>
      <c r="J39" s="26" t="str">
        <f>IF(A39="","",'1) Import fichier Remi (coller)'!U39)</f>
        <v>+++003/7261/52946+++</v>
      </c>
      <c r="K39" s="17">
        <f t="shared" si="1"/>
        <v>28.740000000000002</v>
      </c>
      <c r="L39" t="str">
        <f t="shared" si="0"/>
        <v>V</v>
      </c>
      <c r="M39" s="14">
        <f>IF(A39="","",'1) Import fichier Remi (coller)'!S39)</f>
        <v>21</v>
      </c>
      <c r="N39" s="17">
        <f>IF($A39="","",IF(OR($A39="NCV",$A39="NC15"),-'1) Import fichier Remi (coller)'!R39,'1) Import fichier Remi (coller)'!R39))</f>
        <v>23.75</v>
      </c>
      <c r="O39" s="17">
        <f>IF($A39="","",IF(OR($A39="NCV",$A39="NC15"),-'1) Import fichier Remi (coller)'!T39,'1) Import fichier Remi (coller)'!T39))</f>
        <v>4.99</v>
      </c>
      <c r="R39" t="str">
        <f>IF($A39="","",IF(ISERROR(VLOOKUP(LEFT('1) Import fichier Remi (coller)'!$A39,9),'Concordance client liv et fact'!$A:$H,8,FALSE))=TRUE,VLOOKUP(LEFT('1) Import fichier Remi (coller)'!$A39,9)+0,'Clients R2'!$A:$CY,2,FALSE),VLOOKUP(VLOOKUP(LEFT('1) Import fichier Remi (coller)'!$A39,9),'Concordance client liv et fact'!$A:$H,7,FALSE)+0,'Clients R2'!$A:$CY,2,FALSE)))</f>
        <v xml:space="preserve">HOFMAN SA              </v>
      </c>
      <c r="S39" t="str">
        <f>IF($A39="","",PROPER(IF(ISERROR(VLOOKUP(LEFT('1) Import fichier Remi (coller)'!$A39,9),'Concordance client liv et fact'!$A:$H,8,FALSE))=TRUE,VLOOKUP(LEFT('1) Import fichier Remi (coller)'!$A39,9)+0,'Clients R2'!$A:$CY,27,FALSE),VLOOKUP(VLOOKUP(LEFT('1) Import fichier Remi (coller)'!$A39,9),'Concordance client liv et fact'!$A:$H,7,FALSE)+0,'Clients R2'!$A:$CY,27,FALSE))))</f>
        <v xml:space="preserve">Rue Des Waides 17                  </v>
      </c>
      <c r="T39" t="str">
        <f>IF($A39="","",LEFT(UPPER(IF(ISERROR(VLOOKUP(LEFT('1) Import fichier Remi (coller)'!$A39,9),'Concordance client liv et fact'!$A:$H,8,FALSE))=TRUE,VLOOKUP(LEFT('1) Import fichier Remi (coller)'!$A39,9)+0,'Clients R2'!$A:$CY,28,FALSE),VLOOKUP(VLOOKUP(LEFT('1) Import fichier Remi (coller)'!$A39,9),'Concordance client liv et fact'!$A:$H,7,FALSE)+0,'Clients R2'!$A:$CY,28,FALSE))),2)&amp;UPPER(IF(ISERROR(VLOOKUP(LEFT('1) Import fichier Remi (coller)'!$A39,9),'Concordance client liv et fact'!$A:$H,8,FALSE))=TRUE,VLOOKUP(LEFT('1) Import fichier Remi (coller)'!$A39,9)+0,'Clients R2'!$A:$CY,29,FALSE),VLOOKUP(VLOOKUP(LEFT('1) Import fichier Remi (coller)'!$A39,9),'Concordance client liv et fact'!$A:$H,7,FALSE)+0,'Clients R2'!$A:$CY,29,FALSE))))</f>
        <v>B 4890</v>
      </c>
      <c r="U39" t="str">
        <f>IF($A39="","",PROPER(IF(ISERROR(VLOOKUP(LEFT('1) Import fichier Remi (coller)'!$A39,9),'Concordance client liv et fact'!$A:$H,8,FALSE))=TRUE,VLOOKUP(LEFT('1) Import fichier Remi (coller)'!$A39,9)+0,'Clients R2'!$A:$CY,30,FALSE),VLOOKUP(VLOOKUP(LEFT('1) Import fichier Remi (coller)'!$A39,9),'Concordance client liv et fact'!$A:$H,7,FALSE)+0,'Clients R2'!$A:$CY,30,FALSE))))</f>
        <v xml:space="preserve">Thimister-Clermont            </v>
      </c>
      <c r="V39" t="str">
        <f>IF($A39="","",LEFT(UPPER(IF(ISERROR(VLOOKUP(LEFT('1) Import fichier Remi (coller)'!$A39,9),'Concordance client liv et fact'!$A:$H,8,FALSE))=TRUE,IF(VLOOKUP(LEFT('1) Import fichier Remi (coller)'!$A39,9)+0,'Clients R2'!$A:$CY,22,FALSE)=4,"NA",VLOOKUP(LEFT('1) Import fichier Remi (coller)'!$A39,9)+0,'Clients R2'!$A:$CY,3,FALSE)),IF(VLOOKUP(VLOOKUP(LEFT('1) Import fichier Remi (coller)'!$A39,9),'Concordance client liv et fact'!$A:$H,7,FALSE)+0,'Clients R2'!$A:$CY,22,FALSE)=4,"NA",VLOOKUP(VLOOKUP(LEFT('1) Import fichier Remi (coller)'!$A39,9),'Concordance client liv et fact'!$A:$H,7,FALSE)+0,'Clients R2'!$A:$CY,3,FALSE)))),2))</f>
        <v>BE</v>
      </c>
      <c r="W39" s="27"/>
      <c r="X39" s="27" t="str">
        <f>IF($A39="","",IF(ISERROR(VLOOKUP(LEFT('1) Import fichier Remi (coller)'!$A39,9),'Concordance client liv et fact'!$A:$H,8,FALSE))=TRUE,VLOOKUP(LEFT('1) Import fichier Remi (coller)'!$A39,9)+0,'Clients R2'!$A:$CY,102,FALSE),VLOOKUP(VLOOKUP(LEFT('1) Import fichier Remi (coller)'!$A39,9),'Concordance client liv et fact'!$A:$H,7,FALSE)+0,'Clients R2'!$A:$CY,102,FALSE)))</f>
        <v xml:space="preserve">info@hofman-signalisation.be            </v>
      </c>
      <c r="Y39" t="str">
        <f>IF(A39="","",VLOOKUP(A39,'Libellés PDF'!$A$2:$B$5,2,FALSE)&amp;F39&amp;".PDF")</f>
        <v>CF11261529.PDF</v>
      </c>
      <c r="Z39" t="str">
        <f>IF(A39="","",IF(OR(H39="705099999",H39="705001002"),VLOOKUP('1) Import fichier Remi (coller)'!J39,'Analytique personnel'!$A:$B,2,FALSE),""))</f>
        <v>GDUHOUX</v>
      </c>
      <c r="AA39" t="str">
        <f>IF($A39="VE11","",IF(LEFT($H39,4)="7050","",IF('1) Import fichier Remi (coller)'!M39="","",'1) Import fichier Remi (coller)'!M39)))</f>
        <v/>
      </c>
      <c r="AB39" t="str">
        <f>IF($A39="VE11","",IF(LEFT($H39,4)="7050","",IF('1) Import fichier Remi (coller)'!N39="","",'1) Import fichier Remi (coller)'!N39)))</f>
        <v/>
      </c>
      <c r="AC39" t="str">
        <f>IF(A39="","",VLOOKUP(LEFT('1) Import fichier Remi (coller)'!A39,9)+0,'Concordance Client R2 BOB'!$B:$C,2,FALSE))</f>
        <v>HOFMAN</v>
      </c>
    </row>
    <row r="40" spans="1:29" ht="18.75" customHeight="1" x14ac:dyDescent="0.25">
      <c r="A40" t="str">
        <f>IF('1) Import fichier Remi (coller)'!D40="","",'1) Import fichier Remi (coller)'!D40)</f>
        <v>VE11</v>
      </c>
      <c r="B40">
        <f>IF(A40="","",YEAR('1) Import fichier Remi (coller)'!F40))</f>
        <v>2026</v>
      </c>
      <c r="C40">
        <f>IF(A40="","",MONTH('1) Import fichier Remi (coller)'!F40))</f>
        <v>9</v>
      </c>
      <c r="D40" s="1">
        <f>IF(A40="","",'1) Import fichier Remi (coller)'!F40)</f>
        <v>46281</v>
      </c>
      <c r="E40" s="1">
        <f>IF(A40="","",'1) Import fichier Remi (coller)'!G40)</f>
        <v>46281</v>
      </c>
      <c r="F40" t="str">
        <f>IF(A40="","",'1) Import fichier Remi (coller)'!E40)</f>
        <v>11261530</v>
      </c>
      <c r="G40" t="str">
        <f>IF(A40="","",IF(ISERROR(VLOOKUP(LEFT('1) Import fichier Remi (coller)'!A40,9),'Concordance client liv et fact'!$A:$H,8,FALSE))=TRUE,'1) Import fichier Remi (coller)'!B40,VLOOKUP(LEFT('1) Import fichier Remi (coller)'!A40,9),'Concordance client liv et fact'!$A:$H,8,FALSE)))</f>
        <v>HOUBEN</v>
      </c>
      <c r="H40" t="str">
        <f>IF(A40="","",IF(ISERROR(VLOOKUP('1) Import fichier Remi (coller)'!K40&amp;" - "&amp;'1) Import fichier Remi (coller)'!L40,'Spécifique comptes'!$A:$G,1,FALSE))=TRUE,'1) Import fichier Remi (coller)'!V40,VLOOKUP('1) Import fichier Remi (coller)'!K40&amp;" - "&amp;'1) Import fichier Remi (coller)'!L40,'Spécifique comptes'!$A:$G,IF(LEFT('2) BOB compta (completer-forcer'!F40,2)="11",4,IF(LEFT('2) BOB compta (completer-forcer'!F40,2)="12",5,IF(LEFT('2) BOB compta (completer-forcer'!F40,2)="13",6,IF(LEFT('2) BOB compta (completer-forcer'!F40,2)="15",7,"Erreur Compte")))),FALSE)))</f>
        <v>705099999</v>
      </c>
      <c r="I40" s="26" t="str">
        <f>IF(A40="","",IF(H40="70100000",'1) Import fichier Remi (coller)'!J40,'1) Import fichier Remi (coller)'!U40))</f>
        <v>+++003/7261/53047+++</v>
      </c>
      <c r="J40" s="26" t="str">
        <f>IF(A40="","",'1) Import fichier Remi (coller)'!U40)</f>
        <v>+++003/7261/53047+++</v>
      </c>
      <c r="K40" s="17">
        <f t="shared" si="1"/>
        <v>30.25</v>
      </c>
      <c r="L40" t="str">
        <f t="shared" si="0"/>
        <v>V</v>
      </c>
      <c r="M40" s="14">
        <f>IF(A40="","",'1) Import fichier Remi (coller)'!S40)</f>
        <v>21</v>
      </c>
      <c r="N40" s="17">
        <f>IF($A40="","",IF(OR($A40="NCV",$A40="NC15"),-'1) Import fichier Remi (coller)'!R40,'1) Import fichier Remi (coller)'!R40))</f>
        <v>25</v>
      </c>
      <c r="O40" s="17">
        <f>IF($A40="","",IF(OR($A40="NCV",$A40="NC15"),-'1) Import fichier Remi (coller)'!T40,'1) Import fichier Remi (coller)'!T40))</f>
        <v>5.25</v>
      </c>
      <c r="R40" t="str">
        <f>IF($A40="","",IF(ISERROR(VLOOKUP(LEFT('1) Import fichier Remi (coller)'!$A40,9),'Concordance client liv et fact'!$A:$H,8,FALSE))=TRUE,VLOOKUP(LEFT('1) Import fichier Remi (coller)'!$A40,9)+0,'Clients R2'!$A:$CY,2,FALSE),VLOOKUP(VLOOKUP(LEFT('1) Import fichier Remi (coller)'!$A40,9),'Concordance client liv et fact'!$A:$H,7,FALSE)+0,'Clients R2'!$A:$CY,2,FALSE)))</f>
        <v xml:space="preserve">HOUBEN                 </v>
      </c>
      <c r="S40" t="str">
        <f>IF($A40="","",PROPER(IF(ISERROR(VLOOKUP(LEFT('1) Import fichier Remi (coller)'!$A40,9),'Concordance client liv et fact'!$A:$H,8,FALSE))=TRUE,VLOOKUP(LEFT('1) Import fichier Remi (coller)'!$A40,9)+0,'Clients R2'!$A:$CY,27,FALSE),VLOOKUP(VLOOKUP(LEFT('1) Import fichier Remi (coller)'!$A40,9),'Concordance client liv et fact'!$A:$H,7,FALSE)+0,'Clients R2'!$A:$CY,27,FALSE))))</f>
        <v xml:space="preserve">Rue Vinave 32                      </v>
      </c>
      <c r="T40" t="str">
        <f>IF($A40="","",LEFT(UPPER(IF(ISERROR(VLOOKUP(LEFT('1) Import fichier Remi (coller)'!$A40,9),'Concordance client liv et fact'!$A:$H,8,FALSE))=TRUE,VLOOKUP(LEFT('1) Import fichier Remi (coller)'!$A40,9)+0,'Clients R2'!$A:$CY,28,FALSE),VLOOKUP(VLOOKUP(LEFT('1) Import fichier Remi (coller)'!$A40,9),'Concordance client liv et fact'!$A:$H,7,FALSE)+0,'Clients R2'!$A:$CY,28,FALSE))),2)&amp;UPPER(IF(ISERROR(VLOOKUP(LEFT('1) Import fichier Remi (coller)'!$A40,9),'Concordance client liv et fact'!$A:$H,8,FALSE))=TRUE,VLOOKUP(LEFT('1) Import fichier Remi (coller)'!$A40,9)+0,'Clients R2'!$A:$CY,29,FALSE),VLOOKUP(VLOOKUP(LEFT('1) Import fichier Remi (coller)'!$A40,9),'Concordance client liv et fact'!$A:$H,7,FALSE)+0,'Clients R2'!$A:$CY,29,FALSE))))</f>
        <v>B 4030</v>
      </c>
      <c r="U40" t="str">
        <f>IF($A40="","",PROPER(IF(ISERROR(VLOOKUP(LEFT('1) Import fichier Remi (coller)'!$A40,9),'Concordance client liv et fact'!$A:$H,8,FALSE))=TRUE,VLOOKUP(LEFT('1) Import fichier Remi (coller)'!$A40,9)+0,'Clients R2'!$A:$CY,30,FALSE),VLOOKUP(VLOOKUP(LEFT('1) Import fichier Remi (coller)'!$A40,9),'Concordance client liv et fact'!$A:$H,7,FALSE)+0,'Clients R2'!$A:$CY,30,FALSE))))</f>
        <v xml:space="preserve">Grivegnee                     </v>
      </c>
      <c r="V40" t="str">
        <f>IF($A40="","",LEFT(UPPER(IF(ISERROR(VLOOKUP(LEFT('1) Import fichier Remi (coller)'!$A40,9),'Concordance client liv et fact'!$A:$H,8,FALSE))=TRUE,IF(VLOOKUP(LEFT('1) Import fichier Remi (coller)'!$A40,9)+0,'Clients R2'!$A:$CY,22,FALSE)=4,"NA",VLOOKUP(LEFT('1) Import fichier Remi (coller)'!$A40,9)+0,'Clients R2'!$A:$CY,3,FALSE)),IF(VLOOKUP(VLOOKUP(LEFT('1) Import fichier Remi (coller)'!$A40,9),'Concordance client liv et fact'!$A:$H,7,FALSE)+0,'Clients R2'!$A:$CY,22,FALSE)=4,"NA",VLOOKUP(VLOOKUP(LEFT('1) Import fichier Remi (coller)'!$A40,9),'Concordance client liv et fact'!$A:$H,7,FALSE)+0,'Clients R2'!$A:$CY,3,FALSE)))),2))</f>
        <v>BE</v>
      </c>
      <c r="W40" s="27"/>
      <c r="X40" s="27" t="str">
        <f>IF($A40="","",IF(ISERROR(VLOOKUP(LEFT('1) Import fichier Remi (coller)'!$A40,9),'Concordance client liv et fact'!$A:$H,8,FALSE))=TRUE,VLOOKUP(LEFT('1) Import fichier Remi (coller)'!$A40,9)+0,'Clients R2'!$A:$CY,102,FALSE),VLOOKUP(VLOOKUP(LEFT('1) Import fichier Remi (coller)'!$A40,9),'Concordance client liv et fact'!$A:$H,7,FALSE)+0,'Clients R2'!$A:$CY,102,FALSE)))</f>
        <v xml:space="preserve">marcel.houben@skynet.be                 </v>
      </c>
      <c r="Y40" t="str">
        <f>IF(A40="","",VLOOKUP(A40,'Libellés PDF'!$A$2:$B$5,2,FALSE)&amp;F40&amp;".PDF")</f>
        <v>CF11261530.PDF</v>
      </c>
      <c r="Z40" t="str">
        <f>IF(A40="","",IF(OR(H40="705099999",H40="705001002"),VLOOKUP('1) Import fichier Remi (coller)'!J40,'Analytique personnel'!$A:$B,2,FALSE),""))</f>
        <v>BMELIN</v>
      </c>
      <c r="AA40" t="str">
        <f>IF($A40="VE11","",IF(LEFT($H40,4)="7050","",IF('1) Import fichier Remi (coller)'!M40="","",'1) Import fichier Remi (coller)'!M40)))</f>
        <v/>
      </c>
      <c r="AB40" t="str">
        <f>IF($A40="VE11","",IF(LEFT($H40,4)="7050","",IF('1) Import fichier Remi (coller)'!N40="","",'1) Import fichier Remi (coller)'!N40)))</f>
        <v/>
      </c>
      <c r="AC40" t="str">
        <f>IF(A40="","",VLOOKUP(LEFT('1) Import fichier Remi (coller)'!A40,9)+0,'Concordance Client R2 BOB'!$B:$C,2,FALSE))</f>
        <v>HOUBEN</v>
      </c>
    </row>
    <row r="41" spans="1:29" ht="18.75" customHeight="1" x14ac:dyDescent="0.25">
      <c r="A41" t="str">
        <f>IF('1) Import fichier Remi (coller)'!D41="","",'1) Import fichier Remi (coller)'!D41)</f>
        <v>VE11</v>
      </c>
      <c r="B41">
        <f>IF(A41="","",YEAR('1) Import fichier Remi (coller)'!F41))</f>
        <v>2026</v>
      </c>
      <c r="C41">
        <f>IF(A41="","",MONTH('1) Import fichier Remi (coller)'!F41))</f>
        <v>9</v>
      </c>
      <c r="D41" s="1">
        <f>IF(A41="","",'1) Import fichier Remi (coller)'!F41)</f>
        <v>46281</v>
      </c>
      <c r="E41" s="1">
        <f>IF(A41="","",'1) Import fichier Remi (coller)'!G41)</f>
        <v>46281</v>
      </c>
      <c r="F41" t="str">
        <f>IF(A41="","",'1) Import fichier Remi (coller)'!E41)</f>
        <v>11261531</v>
      </c>
      <c r="G41" t="str">
        <f>IF(A41="","",IF(ISERROR(VLOOKUP(LEFT('1) Import fichier Remi (coller)'!A41,9),'Concordance client liv et fact'!$A:$H,8,FALSE))=TRUE,'1) Import fichier Remi (coller)'!B41,VLOOKUP(LEFT('1) Import fichier Remi (coller)'!A41,9),'Concordance client liv et fact'!$A:$H,8,FALSE)))</f>
        <v>MAREMERCKX</v>
      </c>
      <c r="H41" t="str">
        <f>IF(A41="","",IF(ISERROR(VLOOKUP('1) Import fichier Remi (coller)'!K41&amp;" - "&amp;'1) Import fichier Remi (coller)'!L41,'Spécifique comptes'!$A:$G,1,FALSE))=TRUE,'1) Import fichier Remi (coller)'!V41,VLOOKUP('1) Import fichier Remi (coller)'!K41&amp;" - "&amp;'1) Import fichier Remi (coller)'!L41,'Spécifique comptes'!$A:$G,IF(LEFT('2) BOB compta (completer-forcer'!F41,2)="11",4,IF(LEFT('2) BOB compta (completer-forcer'!F41,2)="12",5,IF(LEFT('2) BOB compta (completer-forcer'!F41,2)="13",6,IF(LEFT('2) BOB compta (completer-forcer'!F41,2)="15",7,"Erreur Compte")))),FALSE)))</f>
        <v>705099999</v>
      </c>
      <c r="I41" s="26" t="str">
        <f>IF(A41="","",IF(H41="70100000",'1) Import fichier Remi (coller)'!J41,'1) Import fichier Remi (coller)'!U41))</f>
        <v>+++003/7261/53148+++</v>
      </c>
      <c r="J41" s="26" t="str">
        <f>IF(A41="","",'1) Import fichier Remi (coller)'!U41)</f>
        <v>+++003/7261/53148+++</v>
      </c>
      <c r="K41" s="17">
        <f t="shared" si="1"/>
        <v>60.5</v>
      </c>
      <c r="L41" t="str">
        <f t="shared" si="0"/>
        <v>V</v>
      </c>
      <c r="M41" s="14">
        <f>IF(A41="","",'1) Import fichier Remi (coller)'!S41)</f>
        <v>21</v>
      </c>
      <c r="N41" s="17">
        <f>IF($A41="","",IF(OR($A41="NCV",$A41="NC15"),-'1) Import fichier Remi (coller)'!R41,'1) Import fichier Remi (coller)'!R41))</f>
        <v>50</v>
      </c>
      <c r="O41" s="17">
        <f>IF($A41="","",IF(OR($A41="NCV",$A41="NC15"),-'1) Import fichier Remi (coller)'!T41,'1) Import fichier Remi (coller)'!T41))</f>
        <v>10.5</v>
      </c>
      <c r="R41" t="str">
        <f>IF($A41="","",IF(ISERROR(VLOOKUP(LEFT('1) Import fichier Remi (coller)'!$A41,9),'Concordance client liv et fact'!$A:$H,8,FALSE))=TRUE,VLOOKUP(LEFT('1) Import fichier Remi (coller)'!$A41,9)+0,'Clients R2'!$A:$CY,2,FALSE),VLOOKUP(VLOOKUP(LEFT('1) Import fichier Remi (coller)'!$A41,9),'Concordance client liv et fact'!$A:$H,7,FALSE)+0,'Clients R2'!$A:$CY,2,FALSE)))</f>
        <v>MARECHAL ET MERCKX SPRL</v>
      </c>
      <c r="S41" t="str">
        <f>IF($A41="","",PROPER(IF(ISERROR(VLOOKUP(LEFT('1) Import fichier Remi (coller)'!$A41,9),'Concordance client liv et fact'!$A:$H,8,FALSE))=TRUE,VLOOKUP(LEFT('1) Import fichier Remi (coller)'!$A41,9)+0,'Clients R2'!$A:$CY,27,FALSE),VLOOKUP(VLOOKUP(LEFT('1) Import fichier Remi (coller)'!$A41,9),'Concordance client liv et fact'!$A:$H,7,FALSE)+0,'Clients R2'!$A:$CY,27,FALSE))))</f>
        <v xml:space="preserve">Rue Jules De Laminne 1             </v>
      </c>
      <c r="T41" t="str">
        <f>IF($A41="","",LEFT(UPPER(IF(ISERROR(VLOOKUP(LEFT('1) Import fichier Remi (coller)'!$A41,9),'Concordance client liv et fact'!$A:$H,8,FALSE))=TRUE,VLOOKUP(LEFT('1) Import fichier Remi (coller)'!$A41,9)+0,'Clients R2'!$A:$CY,28,FALSE),VLOOKUP(VLOOKUP(LEFT('1) Import fichier Remi (coller)'!$A41,9),'Concordance client liv et fact'!$A:$H,7,FALSE)+0,'Clients R2'!$A:$CY,28,FALSE))),2)&amp;UPPER(IF(ISERROR(VLOOKUP(LEFT('1) Import fichier Remi (coller)'!$A41,9),'Concordance client liv et fact'!$A:$H,8,FALSE))=TRUE,VLOOKUP(LEFT('1) Import fichier Remi (coller)'!$A41,9)+0,'Clients R2'!$A:$CY,29,FALSE),VLOOKUP(VLOOKUP(LEFT('1) Import fichier Remi (coller)'!$A41,9),'Concordance client liv et fact'!$A:$H,7,FALSE)+0,'Clients R2'!$A:$CY,29,FALSE))))</f>
        <v>B 4000</v>
      </c>
      <c r="U41" t="str">
        <f>IF($A41="","",PROPER(IF(ISERROR(VLOOKUP(LEFT('1) Import fichier Remi (coller)'!$A41,9),'Concordance client liv et fact'!$A:$H,8,FALSE))=TRUE,VLOOKUP(LEFT('1) Import fichier Remi (coller)'!$A41,9)+0,'Clients R2'!$A:$CY,30,FALSE),VLOOKUP(VLOOKUP(LEFT('1) Import fichier Remi (coller)'!$A41,9),'Concordance client liv et fact'!$A:$H,7,FALSE)+0,'Clients R2'!$A:$CY,30,FALSE))))</f>
        <v xml:space="preserve">Liege                         </v>
      </c>
      <c r="V41" t="str">
        <f>IF($A41="","",LEFT(UPPER(IF(ISERROR(VLOOKUP(LEFT('1) Import fichier Remi (coller)'!$A41,9),'Concordance client liv et fact'!$A:$H,8,FALSE))=TRUE,IF(VLOOKUP(LEFT('1) Import fichier Remi (coller)'!$A41,9)+0,'Clients R2'!$A:$CY,22,FALSE)=4,"NA",VLOOKUP(LEFT('1) Import fichier Remi (coller)'!$A41,9)+0,'Clients R2'!$A:$CY,3,FALSE)),IF(VLOOKUP(VLOOKUP(LEFT('1) Import fichier Remi (coller)'!$A41,9),'Concordance client liv et fact'!$A:$H,7,FALSE)+0,'Clients R2'!$A:$CY,22,FALSE)=4,"NA",VLOOKUP(VLOOKUP(LEFT('1) Import fichier Remi (coller)'!$A41,9),'Concordance client liv et fact'!$A:$H,7,FALSE)+0,'Clients R2'!$A:$CY,3,FALSE)))),2))</f>
        <v>BE</v>
      </c>
      <c r="W41" s="27"/>
      <c r="X41" s="27" t="str">
        <f>IF($A41="","",IF(ISERROR(VLOOKUP(LEFT('1) Import fichier Remi (coller)'!$A41,9),'Concordance client liv et fact'!$A:$H,8,FALSE))=TRUE,VLOOKUP(LEFT('1) Import fichier Remi (coller)'!$A41,9)+0,'Clients R2'!$A:$CY,102,FALSE),VLOOKUP(VLOOKUP(LEFT('1) Import fichier Remi (coller)'!$A41,9),'Concordance client liv et fact'!$A:$H,7,FALSE)+0,'Clients R2'!$A:$CY,102,FALSE)))</f>
        <v xml:space="preserve">marechal@marechal-wenric-vito.be        </v>
      </c>
      <c r="Y41" t="str">
        <f>IF(A41="","",VLOOKUP(A41,'Libellés PDF'!$A$2:$B$5,2,FALSE)&amp;F41&amp;".PDF")</f>
        <v>CF11261531.PDF</v>
      </c>
      <c r="Z41" t="str">
        <f>IF(A41="","",IF(OR(H41="705099999",H41="705001002"),VLOOKUP('1) Import fichier Remi (coller)'!J41,'Analytique personnel'!$A:$B,2,FALSE),""))</f>
        <v>MFONTAINE</v>
      </c>
      <c r="AA41" t="str">
        <f>IF($A41="VE11","",IF(LEFT($H41,4)="7050","",IF('1) Import fichier Remi (coller)'!M41="","",'1) Import fichier Remi (coller)'!M41)))</f>
        <v/>
      </c>
      <c r="AB41" t="str">
        <f>IF($A41="VE11","",IF(LEFT($H41,4)="7050","",IF('1) Import fichier Remi (coller)'!N41="","",'1) Import fichier Remi (coller)'!N41)))</f>
        <v/>
      </c>
      <c r="AC41" t="str">
        <f>IF(A41="","",VLOOKUP(LEFT('1) Import fichier Remi (coller)'!A41,9)+0,'Concordance Client R2 BOB'!$B:$C,2,FALSE))</f>
        <v>MAREMERCKX</v>
      </c>
    </row>
    <row r="42" spans="1:29" ht="18.75" customHeight="1" x14ac:dyDescent="0.25">
      <c r="A42" t="str">
        <f>IF('1) Import fichier Remi (coller)'!D42="","",'1) Import fichier Remi (coller)'!D42)</f>
        <v>VE11</v>
      </c>
      <c r="B42">
        <f>IF(A42="","",YEAR('1) Import fichier Remi (coller)'!F42))</f>
        <v>2026</v>
      </c>
      <c r="C42">
        <f>IF(A42="","",MONTH('1) Import fichier Remi (coller)'!F42))</f>
        <v>9</v>
      </c>
      <c r="D42" s="1">
        <f>IF(A42="","",'1) Import fichier Remi (coller)'!F42)</f>
        <v>46281</v>
      </c>
      <c r="E42" s="1">
        <f>IF(A42="","",'1) Import fichier Remi (coller)'!G42)</f>
        <v>46281</v>
      </c>
      <c r="F42" t="str">
        <f>IF(A42="","",'1) Import fichier Remi (coller)'!E42)</f>
        <v>11261532</v>
      </c>
      <c r="G42" t="str">
        <f>IF(A42="","",IF(ISERROR(VLOOKUP(LEFT('1) Import fichier Remi (coller)'!A42,9),'Concordance client liv et fact'!$A:$H,8,FALSE))=TRUE,'1) Import fichier Remi (coller)'!B42,VLOOKUP(LEFT('1) Import fichier Remi (coller)'!A42,9),'Concordance client liv et fact'!$A:$H,8,FALSE)))</f>
        <v>AXIOMESA</v>
      </c>
      <c r="H42" t="str">
        <f>IF(A42="","",IF(ISERROR(VLOOKUP('1) Import fichier Remi (coller)'!K42&amp;" - "&amp;'1) Import fichier Remi (coller)'!L42,'Spécifique comptes'!$A:$G,1,FALSE))=TRUE,'1) Import fichier Remi (coller)'!V42,VLOOKUP('1) Import fichier Remi (coller)'!K42&amp;" - "&amp;'1) Import fichier Remi (coller)'!L42,'Spécifique comptes'!$A:$G,IF(LEFT('2) BOB compta (completer-forcer'!F42,2)="11",4,IF(LEFT('2) BOB compta (completer-forcer'!F42,2)="12",5,IF(LEFT('2) BOB compta (completer-forcer'!F42,2)="13",6,IF(LEFT('2) BOB compta (completer-forcer'!F42,2)="15",7,"Erreur Compte")))),FALSE)))</f>
        <v>705099999</v>
      </c>
      <c r="I42" s="26" t="str">
        <f>IF(A42="","",IF(H42="70100000",'1) Import fichier Remi (coller)'!J42,'1) Import fichier Remi (coller)'!U42))</f>
        <v>+++003/7261/53249+++</v>
      </c>
      <c r="J42" s="26" t="str">
        <f>IF(A42="","",'1) Import fichier Remi (coller)'!U42)</f>
        <v>+++003/7261/53249+++</v>
      </c>
      <c r="K42" s="17">
        <f t="shared" si="1"/>
        <v>28.740000000000002</v>
      </c>
      <c r="L42" t="str">
        <f t="shared" si="0"/>
        <v>V</v>
      </c>
      <c r="M42" s="14">
        <f>IF(A42="","",'1) Import fichier Remi (coller)'!S42)</f>
        <v>21</v>
      </c>
      <c r="N42" s="17">
        <f>IF($A42="","",IF(OR($A42="NCV",$A42="NC15"),-'1) Import fichier Remi (coller)'!R42,'1) Import fichier Remi (coller)'!R42))</f>
        <v>23.75</v>
      </c>
      <c r="O42" s="17">
        <f>IF($A42="","",IF(OR($A42="NCV",$A42="NC15"),-'1) Import fichier Remi (coller)'!T42,'1) Import fichier Remi (coller)'!T42))</f>
        <v>4.99</v>
      </c>
      <c r="R42" t="str">
        <f>IF($A42="","",IF(ISERROR(VLOOKUP(LEFT('1) Import fichier Remi (coller)'!$A42,9),'Concordance client liv et fact'!$A:$H,8,FALSE))=TRUE,VLOOKUP(LEFT('1) Import fichier Remi (coller)'!$A42,9)+0,'Clients R2'!$A:$CY,2,FALSE),VLOOKUP(VLOOKUP(LEFT('1) Import fichier Remi (coller)'!$A42,9),'Concordance client liv et fact'!$A:$H,7,FALSE)+0,'Clients R2'!$A:$CY,2,FALSE)))</f>
        <v xml:space="preserve">KLEVER SRL             </v>
      </c>
      <c r="S42" t="str">
        <f>IF($A42="","",PROPER(IF(ISERROR(VLOOKUP(LEFT('1) Import fichier Remi (coller)'!$A42,9),'Concordance client liv et fact'!$A:$H,8,FALSE))=TRUE,VLOOKUP(LEFT('1) Import fichier Remi (coller)'!$A42,9)+0,'Clients R2'!$A:$CY,27,FALSE),VLOOKUP(VLOOKUP(LEFT('1) Import fichier Remi (coller)'!$A42,9),'Concordance client liv et fact'!$A:$H,7,FALSE)+0,'Clients R2'!$A:$CY,27,FALSE))))</f>
        <v xml:space="preserve">Avenue Du Parc 40                  </v>
      </c>
      <c r="T42" t="str">
        <f>IF($A42="","",LEFT(UPPER(IF(ISERROR(VLOOKUP(LEFT('1) Import fichier Remi (coller)'!$A42,9),'Concordance client liv et fact'!$A:$H,8,FALSE))=TRUE,VLOOKUP(LEFT('1) Import fichier Remi (coller)'!$A42,9)+0,'Clients R2'!$A:$CY,28,FALSE),VLOOKUP(VLOOKUP(LEFT('1) Import fichier Remi (coller)'!$A42,9),'Concordance client liv et fact'!$A:$H,7,FALSE)+0,'Clients R2'!$A:$CY,28,FALSE))),2)&amp;UPPER(IF(ISERROR(VLOOKUP(LEFT('1) Import fichier Remi (coller)'!$A42,9),'Concordance client liv et fact'!$A:$H,8,FALSE))=TRUE,VLOOKUP(LEFT('1) Import fichier Remi (coller)'!$A42,9)+0,'Clients R2'!$A:$CY,29,FALSE),VLOOKUP(VLOOKUP(LEFT('1) Import fichier Remi (coller)'!$A42,9),'Concordance client liv et fact'!$A:$H,7,FALSE)+0,'Clients R2'!$A:$CY,29,FALSE))))</f>
        <v>B 4650</v>
      </c>
      <c r="U42" t="str">
        <f>IF($A42="","",PROPER(IF(ISERROR(VLOOKUP(LEFT('1) Import fichier Remi (coller)'!$A42,9),'Concordance client liv et fact'!$A:$H,8,FALSE))=TRUE,VLOOKUP(LEFT('1) Import fichier Remi (coller)'!$A42,9)+0,'Clients R2'!$A:$CY,30,FALSE),VLOOKUP(VLOOKUP(LEFT('1) Import fichier Remi (coller)'!$A42,9),'Concordance client liv et fact'!$A:$H,7,FALSE)+0,'Clients R2'!$A:$CY,30,FALSE))))</f>
        <v xml:space="preserve">Herve                         </v>
      </c>
      <c r="V42" t="str">
        <f>IF($A42="","",LEFT(UPPER(IF(ISERROR(VLOOKUP(LEFT('1) Import fichier Remi (coller)'!$A42,9),'Concordance client liv et fact'!$A:$H,8,FALSE))=TRUE,IF(VLOOKUP(LEFT('1) Import fichier Remi (coller)'!$A42,9)+0,'Clients R2'!$A:$CY,22,FALSE)=4,"NA",VLOOKUP(LEFT('1) Import fichier Remi (coller)'!$A42,9)+0,'Clients R2'!$A:$CY,3,FALSE)),IF(VLOOKUP(VLOOKUP(LEFT('1) Import fichier Remi (coller)'!$A42,9),'Concordance client liv et fact'!$A:$H,7,FALSE)+0,'Clients R2'!$A:$CY,22,FALSE)=4,"NA",VLOOKUP(VLOOKUP(LEFT('1) Import fichier Remi (coller)'!$A42,9),'Concordance client liv et fact'!$A:$H,7,FALSE)+0,'Clients R2'!$A:$CY,3,FALSE)))),2))</f>
        <v>BE</v>
      </c>
      <c r="W42" s="27"/>
      <c r="X42" s="27" t="str">
        <f>IF($A42="","",IF(ISERROR(VLOOKUP(LEFT('1) Import fichier Remi (coller)'!$A42,9),'Concordance client liv et fact'!$A:$H,8,FALSE))=TRUE,VLOOKUP(LEFT('1) Import fichier Remi (coller)'!$A42,9)+0,'Clients R2'!$A:$CY,102,FALSE),VLOOKUP(VLOOKUP(LEFT('1) Import fichier Remi (coller)'!$A42,9),'Concordance client liv et fact'!$A:$H,7,FALSE)+0,'Clients R2'!$A:$CY,102,FALSE)))</f>
        <v xml:space="preserve">brice.reul@klever.be                    </v>
      </c>
      <c r="Y42" t="str">
        <f>IF(A42="","",VLOOKUP(A42,'Libellés PDF'!$A$2:$B$5,2,FALSE)&amp;F42&amp;".PDF")</f>
        <v>CF11261532.PDF</v>
      </c>
      <c r="Z42" t="str">
        <f>IF(A42="","",IF(OR(H42="705099999",H42="705001002"),VLOOKUP('1) Import fichier Remi (coller)'!J42,'Analytique personnel'!$A:$B,2,FALSE),""))</f>
        <v>GDUHOUX</v>
      </c>
      <c r="AA42" t="str">
        <f>IF($A42="VE11","",IF(LEFT($H42,4)="7050","",IF('1) Import fichier Remi (coller)'!M42="","",'1) Import fichier Remi (coller)'!M42)))</f>
        <v/>
      </c>
      <c r="AB42" t="str">
        <f>IF($A42="VE11","",IF(LEFT($H42,4)="7050","",IF('1) Import fichier Remi (coller)'!N42="","",'1) Import fichier Remi (coller)'!N42)))</f>
        <v/>
      </c>
      <c r="AC42" t="str">
        <f>IF(A42="","",VLOOKUP(LEFT('1) Import fichier Remi (coller)'!A42,9)+0,'Concordance Client R2 BOB'!$B:$C,2,FALSE))</f>
        <v>AXIOMESA</v>
      </c>
    </row>
    <row r="43" spans="1:29" ht="18.75" customHeight="1" x14ac:dyDescent="0.25">
      <c r="A43" t="str">
        <f>IF('1) Import fichier Remi (coller)'!D43="","",'1) Import fichier Remi (coller)'!D43)</f>
        <v>VE11</v>
      </c>
      <c r="B43">
        <f>IF(A43="","",YEAR('1) Import fichier Remi (coller)'!F43))</f>
        <v>2026</v>
      </c>
      <c r="C43">
        <f>IF(A43="","",MONTH('1) Import fichier Remi (coller)'!F43))</f>
        <v>9</v>
      </c>
      <c r="D43" s="1">
        <f>IF(A43="","",'1) Import fichier Remi (coller)'!F43)</f>
        <v>46281</v>
      </c>
      <c r="E43" s="1">
        <f>IF(A43="","",'1) Import fichier Remi (coller)'!G43)</f>
        <v>46281</v>
      </c>
      <c r="F43" t="str">
        <f>IF(A43="","",'1) Import fichier Remi (coller)'!E43)</f>
        <v>11261533</v>
      </c>
      <c r="G43" t="str">
        <f>IF(A43="","",IF(ISERROR(VLOOKUP(LEFT('1) Import fichier Remi (coller)'!A43,9),'Concordance client liv et fact'!$A:$H,8,FALSE))=TRUE,'1) Import fichier Remi (coller)'!B43,VLOOKUP(LEFT('1) Import fichier Remi (coller)'!A43,9),'Concordance client liv et fact'!$A:$H,8,FALSE)))</f>
        <v>DECUBECONS</v>
      </c>
      <c r="H43" t="str">
        <f>IF(A43="","",IF(ISERROR(VLOOKUP('1) Import fichier Remi (coller)'!K43&amp;" - "&amp;'1) Import fichier Remi (coller)'!L43,'Spécifique comptes'!$A:$G,1,FALSE))=TRUE,'1) Import fichier Remi (coller)'!V43,VLOOKUP('1) Import fichier Remi (coller)'!K43&amp;" - "&amp;'1) Import fichier Remi (coller)'!L43,'Spécifique comptes'!$A:$G,IF(LEFT('2) BOB compta (completer-forcer'!F43,2)="11",4,IF(LEFT('2) BOB compta (completer-forcer'!F43,2)="12",5,IF(LEFT('2) BOB compta (completer-forcer'!F43,2)="13",6,IF(LEFT('2) BOB compta (completer-forcer'!F43,2)="15",7,"Erreur Compte")))),FALSE)))</f>
        <v>705099999</v>
      </c>
      <c r="I43" s="26" t="str">
        <f>IF(A43="","",IF(H43="70100000",'1) Import fichier Remi (coller)'!J43,'1) Import fichier Remi (coller)'!U43))</f>
        <v>+++003/7261/53350+++</v>
      </c>
      <c r="J43" s="26" t="str">
        <f>IF(A43="","",'1) Import fichier Remi (coller)'!U43)</f>
        <v>+++003/7261/53350+++</v>
      </c>
      <c r="K43" s="17">
        <f t="shared" si="1"/>
        <v>28.740000000000002</v>
      </c>
      <c r="L43" t="str">
        <f t="shared" si="0"/>
        <v>V</v>
      </c>
      <c r="M43" s="14">
        <f>IF(A43="","",'1) Import fichier Remi (coller)'!S43)</f>
        <v>21</v>
      </c>
      <c r="N43" s="17">
        <f>IF($A43="","",IF(OR($A43="NCV",$A43="NC15"),-'1) Import fichier Remi (coller)'!R43,'1) Import fichier Remi (coller)'!R43))</f>
        <v>23.75</v>
      </c>
      <c r="O43" s="17">
        <f>IF($A43="","",IF(OR($A43="NCV",$A43="NC15"),-'1) Import fichier Remi (coller)'!T43,'1) Import fichier Remi (coller)'!T43))</f>
        <v>4.99</v>
      </c>
      <c r="R43" t="str">
        <f>IF($A43="","",IF(ISERROR(VLOOKUP(LEFT('1) Import fichier Remi (coller)'!$A43,9),'Concordance client liv et fact'!$A:$H,8,FALSE))=TRUE,VLOOKUP(LEFT('1) Import fichier Remi (coller)'!$A43,9)+0,'Clients R2'!$A:$CY,2,FALSE),VLOOKUP(VLOOKUP(LEFT('1) Import fichier Remi (coller)'!$A43,9),'Concordance client liv et fact'!$A:$H,7,FALSE)+0,'Clients R2'!$A:$CY,2,FALSE)))</f>
        <v xml:space="preserve">DECUBE CONSULT SRL     </v>
      </c>
      <c r="S43" t="str">
        <f>IF($A43="","",PROPER(IF(ISERROR(VLOOKUP(LEFT('1) Import fichier Remi (coller)'!$A43,9),'Concordance client liv et fact'!$A:$H,8,FALSE))=TRUE,VLOOKUP(LEFT('1) Import fichier Remi (coller)'!$A43,9)+0,'Clients R2'!$A:$CY,27,FALSE),VLOOKUP(VLOOKUP(LEFT('1) Import fichier Remi (coller)'!$A43,9),'Concordance client liv et fact'!$A:$H,7,FALSE)+0,'Clients R2'!$A:$CY,27,FALSE))))</f>
        <v xml:space="preserve">Quai Du Pont Canal (S-B) 3         </v>
      </c>
      <c r="T43" t="str">
        <f>IF($A43="","",LEFT(UPPER(IF(ISERROR(VLOOKUP(LEFT('1) Import fichier Remi (coller)'!$A43,9),'Concordance client liv et fact'!$A:$H,8,FALSE))=TRUE,VLOOKUP(LEFT('1) Import fichier Remi (coller)'!$A43,9)+0,'Clients R2'!$A:$CY,28,FALSE),VLOOKUP(VLOOKUP(LEFT('1) Import fichier Remi (coller)'!$A43,9),'Concordance client liv et fact'!$A:$H,7,FALSE)+0,'Clients R2'!$A:$CY,28,FALSE))),2)&amp;UPPER(IF(ISERROR(VLOOKUP(LEFT('1) Import fichier Remi (coller)'!$A43,9),'Concordance client liv et fact'!$A:$H,8,FALSE))=TRUE,VLOOKUP(LEFT('1) Import fichier Remi (coller)'!$A43,9)+0,'Clients R2'!$A:$CY,29,FALSE),VLOOKUP(VLOOKUP(LEFT('1) Import fichier Remi (coller)'!$A43,9),'Concordance client liv et fact'!$A:$H,7,FALSE)+0,'Clients R2'!$A:$CY,29,FALSE))))</f>
        <v>B 7110</v>
      </c>
      <c r="U43" t="str">
        <f>IF($A43="","",PROPER(IF(ISERROR(VLOOKUP(LEFT('1) Import fichier Remi (coller)'!$A43,9),'Concordance client liv et fact'!$A:$H,8,FALSE))=TRUE,VLOOKUP(LEFT('1) Import fichier Remi (coller)'!$A43,9)+0,'Clients R2'!$A:$CY,30,FALSE),VLOOKUP(VLOOKUP(LEFT('1) Import fichier Remi (coller)'!$A43,9),'Concordance client liv et fact'!$A:$H,7,FALSE)+0,'Clients R2'!$A:$CY,30,FALSE))))</f>
        <v xml:space="preserve">La Louviere                   </v>
      </c>
      <c r="V43" t="str">
        <f>IF($A43="","",LEFT(UPPER(IF(ISERROR(VLOOKUP(LEFT('1) Import fichier Remi (coller)'!$A43,9),'Concordance client liv et fact'!$A:$H,8,FALSE))=TRUE,IF(VLOOKUP(LEFT('1) Import fichier Remi (coller)'!$A43,9)+0,'Clients R2'!$A:$CY,22,FALSE)=4,"NA",VLOOKUP(LEFT('1) Import fichier Remi (coller)'!$A43,9)+0,'Clients R2'!$A:$CY,3,FALSE)),IF(VLOOKUP(VLOOKUP(LEFT('1) Import fichier Remi (coller)'!$A43,9),'Concordance client liv et fact'!$A:$H,7,FALSE)+0,'Clients R2'!$A:$CY,22,FALSE)=4,"NA",VLOOKUP(VLOOKUP(LEFT('1) Import fichier Remi (coller)'!$A43,9),'Concordance client liv et fact'!$A:$H,7,FALSE)+0,'Clients R2'!$A:$CY,3,FALSE)))),2))</f>
        <v>BE</v>
      </c>
      <c r="W43" s="27"/>
      <c r="X43" s="27" t="str">
        <f>IF($A43="","",IF(ISERROR(VLOOKUP(LEFT('1) Import fichier Remi (coller)'!$A43,9),'Concordance client liv et fact'!$A:$H,8,FALSE))=TRUE,VLOOKUP(LEFT('1) Import fichier Remi (coller)'!$A43,9)+0,'Clients R2'!$A:$CY,102,FALSE),VLOOKUP(VLOOKUP(LEFT('1) Import fichier Remi (coller)'!$A43,9),'Concordance client liv et fact'!$A:$H,7,FALSE)+0,'Clients R2'!$A:$CY,102,FALSE)))</f>
        <v xml:space="preserve">compta@decube.be                        </v>
      </c>
      <c r="Y43" t="str">
        <f>IF(A43="","",VLOOKUP(A43,'Libellés PDF'!$A$2:$B$5,2,FALSE)&amp;F43&amp;".PDF")</f>
        <v>CF11261533.PDF</v>
      </c>
      <c r="Z43" t="str">
        <f>IF(A43="","",IF(OR(H43="705099999",H43="705001002"),VLOOKUP('1) Import fichier Remi (coller)'!J43,'Analytique personnel'!$A:$B,2,FALSE),""))</f>
        <v>BMELIN</v>
      </c>
      <c r="AA43" t="str">
        <f>IF($A43="VE11","",IF(LEFT($H43,4)="7050","",IF('1) Import fichier Remi (coller)'!M43="","",'1) Import fichier Remi (coller)'!M43)))</f>
        <v/>
      </c>
      <c r="AB43" t="str">
        <f>IF($A43="VE11","",IF(LEFT($H43,4)="7050","",IF('1) Import fichier Remi (coller)'!N43="","",'1) Import fichier Remi (coller)'!N43)))</f>
        <v/>
      </c>
      <c r="AC43" t="str">
        <f>IF(A43="","",VLOOKUP(LEFT('1) Import fichier Remi (coller)'!A43,9)+0,'Concordance Client R2 BOB'!$B:$C,2,FALSE))</f>
        <v>DECUBECONS</v>
      </c>
    </row>
    <row r="44" spans="1:29" ht="18.75" customHeight="1" x14ac:dyDescent="0.25">
      <c r="A44" t="str">
        <f>IF('1) Import fichier Remi (coller)'!D44="","",'1) Import fichier Remi (coller)'!D44)</f>
        <v>VE11</v>
      </c>
      <c r="B44">
        <f>IF(A44="","",YEAR('1) Import fichier Remi (coller)'!F44))</f>
        <v>2026</v>
      </c>
      <c r="C44">
        <f>IF(A44="","",MONTH('1) Import fichier Remi (coller)'!F44))</f>
        <v>9</v>
      </c>
      <c r="D44" s="1">
        <f>IF(A44="","",'1) Import fichier Remi (coller)'!F44)</f>
        <v>46281</v>
      </c>
      <c r="E44" s="1">
        <f>IF(A44="","",'1) Import fichier Remi (coller)'!G44)</f>
        <v>46281</v>
      </c>
      <c r="F44" t="str">
        <f>IF(A44="","",'1) Import fichier Remi (coller)'!E44)</f>
        <v>11261534</v>
      </c>
      <c r="G44" t="str">
        <f>IF(A44="","",IF(ISERROR(VLOOKUP(LEFT('1) Import fichier Remi (coller)'!A44,9),'Concordance client liv et fact'!$A:$H,8,FALSE))=TRUE,'1) Import fichier Remi (coller)'!B44,VLOOKUP(LEFT('1) Import fichier Remi (coller)'!A44,9),'Concordance client liv et fact'!$A:$H,8,FALSE)))</f>
        <v>BELGIUMCOA</v>
      </c>
      <c r="H44" t="str">
        <f>IF(A44="","",IF(ISERROR(VLOOKUP('1) Import fichier Remi (coller)'!K44&amp;" - "&amp;'1) Import fichier Remi (coller)'!L44,'Spécifique comptes'!$A:$G,1,FALSE))=TRUE,'1) Import fichier Remi (coller)'!V44,VLOOKUP('1) Import fichier Remi (coller)'!K44&amp;" - "&amp;'1) Import fichier Remi (coller)'!L44,'Spécifique comptes'!$A:$G,IF(LEFT('2) BOB compta (completer-forcer'!F44,2)="11",4,IF(LEFT('2) BOB compta (completer-forcer'!F44,2)="12",5,IF(LEFT('2) BOB compta (completer-forcer'!F44,2)="13",6,IF(LEFT('2) BOB compta (completer-forcer'!F44,2)="15",7,"Erreur Compte")))),FALSE)))</f>
        <v>704100000</v>
      </c>
      <c r="I44" s="26" t="str">
        <f>IF(A44="","",IF(H44="70100000",'1) Import fichier Remi (coller)'!J44,'1) Import fichier Remi (coller)'!U44))</f>
        <v>+++003/7261/53451+++</v>
      </c>
      <c r="J44" s="26" t="str">
        <f>IF(A44="","",'1) Import fichier Remi (coller)'!U44)</f>
        <v>+++003/7261/53451+++</v>
      </c>
      <c r="K44" s="17">
        <f t="shared" si="1"/>
        <v>1617.36</v>
      </c>
      <c r="L44" t="str">
        <f t="shared" si="0"/>
        <v>V</v>
      </c>
      <c r="M44" s="14">
        <f>IF(A44="","",'1) Import fichier Remi (coller)'!S44)</f>
        <v>21</v>
      </c>
      <c r="N44" s="17">
        <f>IF($A44="","",IF(OR($A44="NCV",$A44="NC15"),-'1) Import fichier Remi (coller)'!R44,'1) Import fichier Remi (coller)'!R44))</f>
        <v>86.8</v>
      </c>
      <c r="O44" s="17">
        <f>IF($A44="","",IF(OR($A44="NCV",$A44="NC15"),-'1) Import fichier Remi (coller)'!T44,'1) Import fichier Remi (coller)'!T44))</f>
        <v>18.23</v>
      </c>
      <c r="R44" t="str">
        <f>IF($A44="","",IF(ISERROR(VLOOKUP(LEFT('1) Import fichier Remi (coller)'!$A44,9),'Concordance client liv et fact'!$A:$H,8,FALSE))=TRUE,VLOOKUP(LEFT('1) Import fichier Remi (coller)'!$A44,9)+0,'Clients R2'!$A:$CY,2,FALSE),VLOOKUP(VLOOKUP(LEFT('1) Import fichier Remi (coller)'!$A44,9),'Concordance client liv et fact'!$A:$H,7,FALSE)+0,'Clients R2'!$A:$CY,2,FALSE)))</f>
        <v xml:space="preserve">BELGIUM COATINGS SA    </v>
      </c>
      <c r="S44" t="str">
        <f>IF($A44="","",PROPER(IF(ISERROR(VLOOKUP(LEFT('1) Import fichier Remi (coller)'!$A44,9),'Concordance client liv et fact'!$A:$H,8,FALSE))=TRUE,VLOOKUP(LEFT('1) Import fichier Remi (coller)'!$A44,9)+0,'Clients R2'!$A:$CY,27,FALSE),VLOOKUP(VLOOKUP(LEFT('1) Import fichier Remi (coller)'!$A44,9),'Concordance client liv et fact'!$A:$H,7,FALSE)+0,'Clients R2'!$A:$CY,27,FALSE))))</f>
        <v xml:space="preserve">Rue Des Nouvelles Technologies 4   </v>
      </c>
      <c r="T44" t="str">
        <f>IF($A44="","",LEFT(UPPER(IF(ISERROR(VLOOKUP(LEFT('1) Import fichier Remi (coller)'!$A44,9),'Concordance client liv et fact'!$A:$H,8,FALSE))=TRUE,VLOOKUP(LEFT('1) Import fichier Remi (coller)'!$A44,9)+0,'Clients R2'!$A:$CY,28,FALSE),VLOOKUP(VLOOKUP(LEFT('1) Import fichier Remi (coller)'!$A44,9),'Concordance client liv et fact'!$A:$H,7,FALSE)+0,'Clients R2'!$A:$CY,28,FALSE))),2)&amp;UPPER(IF(ISERROR(VLOOKUP(LEFT('1) Import fichier Remi (coller)'!$A44,9),'Concordance client liv et fact'!$A:$H,8,FALSE))=TRUE,VLOOKUP(LEFT('1) Import fichier Remi (coller)'!$A44,9)+0,'Clients R2'!$A:$CY,29,FALSE),VLOOKUP(VLOOKUP(LEFT('1) Import fichier Remi (coller)'!$A44,9),'Concordance client liv et fact'!$A:$H,7,FALSE)+0,'Clients R2'!$A:$CY,29,FALSE))))</f>
        <v>B 4460</v>
      </c>
      <c r="U44" t="str">
        <f>IF($A44="","",PROPER(IF(ISERROR(VLOOKUP(LEFT('1) Import fichier Remi (coller)'!$A44,9),'Concordance client liv et fact'!$A:$H,8,FALSE))=TRUE,VLOOKUP(LEFT('1) Import fichier Remi (coller)'!$A44,9)+0,'Clients R2'!$A:$CY,30,FALSE),VLOOKUP(VLOOKUP(LEFT('1) Import fichier Remi (coller)'!$A44,9),'Concordance client liv et fact'!$A:$H,7,FALSE)+0,'Clients R2'!$A:$CY,30,FALSE))))</f>
        <v xml:space="preserve">Grace-Hollogne                </v>
      </c>
      <c r="V44" t="str">
        <f>IF($A44="","",LEFT(UPPER(IF(ISERROR(VLOOKUP(LEFT('1) Import fichier Remi (coller)'!$A44,9),'Concordance client liv et fact'!$A:$H,8,FALSE))=TRUE,IF(VLOOKUP(LEFT('1) Import fichier Remi (coller)'!$A44,9)+0,'Clients R2'!$A:$CY,22,FALSE)=4,"NA",VLOOKUP(LEFT('1) Import fichier Remi (coller)'!$A44,9)+0,'Clients R2'!$A:$CY,3,FALSE)),IF(VLOOKUP(VLOOKUP(LEFT('1) Import fichier Remi (coller)'!$A44,9),'Concordance client liv et fact'!$A:$H,7,FALSE)+0,'Clients R2'!$A:$CY,22,FALSE)=4,"NA",VLOOKUP(VLOOKUP(LEFT('1) Import fichier Remi (coller)'!$A44,9),'Concordance client liv et fact'!$A:$H,7,FALSE)+0,'Clients R2'!$A:$CY,3,FALSE)))),2))</f>
        <v>BE</v>
      </c>
      <c r="W44" s="27"/>
      <c r="X44" s="27" t="str">
        <f>IF($A44="","",IF(ISERROR(VLOOKUP(LEFT('1) Import fichier Remi (coller)'!$A44,9),'Concordance client liv et fact'!$A:$H,8,FALSE))=TRUE,VLOOKUP(LEFT('1) Import fichier Remi (coller)'!$A44,9)+0,'Clients R2'!$A:$CY,102,FALSE),VLOOKUP(VLOOKUP(LEFT('1) Import fichier Remi (coller)'!$A44,9),'Concordance client liv et fact'!$A:$H,7,FALSE)+0,'Clients R2'!$A:$CY,102,FALSE)))</f>
        <v xml:space="preserve">compta@decube.be                        </v>
      </c>
      <c r="Y44" t="str">
        <f>IF(A44="","",VLOOKUP(A44,'Libellés PDF'!$A$2:$B$5,2,FALSE)&amp;F44&amp;".PDF")</f>
        <v>CF11261534.PDF</v>
      </c>
      <c r="Z44" t="str">
        <f>IF(A44="","",IF(OR(H44="705099999",H44="705001002"),VLOOKUP('1) Import fichier Remi (coller)'!J44,'Analytique personnel'!$A:$B,2,FALSE),""))</f>
        <v/>
      </c>
      <c r="AA44" t="str">
        <f>IF($A44="VE11","",IF(LEFT($H44,4)="7050","",IF('1) Import fichier Remi (coller)'!M44="","",'1) Import fichier Remi (coller)'!M44)))</f>
        <v/>
      </c>
      <c r="AB44" t="str">
        <f>IF($A44="VE11","",IF(LEFT($H44,4)="7050","",IF('1) Import fichier Remi (coller)'!N44="","",'1) Import fichier Remi (coller)'!N44)))</f>
        <v/>
      </c>
      <c r="AC44" t="str">
        <f>IF(A44="","",VLOOKUP(LEFT('1) Import fichier Remi (coller)'!A44,9)+0,'Concordance Client R2 BOB'!$B:$C,2,FALSE))</f>
        <v>BELGIUMCOA</v>
      </c>
    </row>
    <row r="45" spans="1:29" ht="18.75" customHeight="1" x14ac:dyDescent="0.25">
      <c r="A45" t="str">
        <f>IF('1) Import fichier Remi (coller)'!D45="","",'1) Import fichier Remi (coller)'!D45)</f>
        <v>VE11</v>
      </c>
      <c r="B45">
        <f>IF(A45="","",YEAR('1) Import fichier Remi (coller)'!F45))</f>
        <v>2026</v>
      </c>
      <c r="C45">
        <f>IF(A45="","",MONTH('1) Import fichier Remi (coller)'!F45))</f>
        <v>9</v>
      </c>
      <c r="D45" s="1">
        <f>IF(A45="","",'1) Import fichier Remi (coller)'!F45)</f>
        <v>46281</v>
      </c>
      <c r="E45" s="1">
        <f>IF(A45="","",'1) Import fichier Remi (coller)'!G45)</f>
        <v>46281</v>
      </c>
      <c r="F45" t="str">
        <f>IF(A45="","",'1) Import fichier Remi (coller)'!E45)</f>
        <v>11261534</v>
      </c>
      <c r="G45" t="str">
        <f>IF(A45="","",IF(ISERROR(VLOOKUP(LEFT('1) Import fichier Remi (coller)'!A45,9),'Concordance client liv et fact'!$A:$H,8,FALSE))=TRUE,'1) Import fichier Remi (coller)'!B45,VLOOKUP(LEFT('1) Import fichier Remi (coller)'!A45,9),'Concordance client liv et fact'!$A:$H,8,FALSE)))</f>
        <v>BELGIUMCOA</v>
      </c>
      <c r="H45" t="str">
        <f>IF(A45="","",IF(ISERROR(VLOOKUP('1) Import fichier Remi (coller)'!K45&amp;" - "&amp;'1) Import fichier Remi (coller)'!L45,'Spécifique comptes'!$A:$G,1,FALSE))=TRUE,'1) Import fichier Remi (coller)'!V45,VLOOKUP('1) Import fichier Remi (coller)'!K45&amp;" - "&amp;'1) Import fichier Remi (coller)'!L45,'Spécifique comptes'!$A:$G,IF(LEFT('2) BOB compta (completer-forcer'!F45,2)="11",4,IF(LEFT('2) BOB compta (completer-forcer'!F45,2)="12",5,IF(LEFT('2) BOB compta (completer-forcer'!F45,2)="13",6,IF(LEFT('2) BOB compta (completer-forcer'!F45,2)="15",7,"Erreur Compte")))),FALSE)))</f>
        <v>704100000</v>
      </c>
      <c r="I45" s="26" t="str">
        <f>IF(A45="","",IF(H45="70100000",'1) Import fichier Remi (coller)'!J45,'1) Import fichier Remi (coller)'!U45))</f>
        <v>+++003/7261/53451+++</v>
      </c>
      <c r="J45" s="26" t="str">
        <f>IF(A45="","",'1) Import fichier Remi (coller)'!U45)</f>
        <v>+++003/7261/53451+++</v>
      </c>
      <c r="K45" s="17">
        <f t="shared" si="1"/>
        <v>1617.36</v>
      </c>
      <c r="L45" t="str">
        <f t="shared" si="0"/>
        <v>V</v>
      </c>
      <c r="M45" s="14">
        <f>IF(A45="","",'1) Import fichier Remi (coller)'!S45)</f>
        <v>21</v>
      </c>
      <c r="N45" s="17">
        <f>IF($A45="","",IF(OR($A45="NCV",$A45="NC15"),-'1) Import fichier Remi (coller)'!R45,'1) Import fichier Remi (coller)'!R45))</f>
        <v>1249.8599999999999</v>
      </c>
      <c r="O45" s="17">
        <f>IF($A45="","",IF(OR($A45="NCV",$A45="NC15"),-'1) Import fichier Remi (coller)'!T45,'1) Import fichier Remi (coller)'!T45))</f>
        <v>262.47000000000003</v>
      </c>
      <c r="R45" t="str">
        <f>IF($A45="","",IF(ISERROR(VLOOKUP(LEFT('1) Import fichier Remi (coller)'!$A45,9),'Concordance client liv et fact'!$A:$H,8,FALSE))=TRUE,VLOOKUP(LEFT('1) Import fichier Remi (coller)'!$A45,9)+0,'Clients R2'!$A:$CY,2,FALSE),VLOOKUP(VLOOKUP(LEFT('1) Import fichier Remi (coller)'!$A45,9),'Concordance client liv et fact'!$A:$H,7,FALSE)+0,'Clients R2'!$A:$CY,2,FALSE)))</f>
        <v xml:space="preserve">BELGIUM COATINGS SA    </v>
      </c>
      <c r="S45" t="str">
        <f>IF($A45="","",PROPER(IF(ISERROR(VLOOKUP(LEFT('1) Import fichier Remi (coller)'!$A45,9),'Concordance client liv et fact'!$A:$H,8,FALSE))=TRUE,VLOOKUP(LEFT('1) Import fichier Remi (coller)'!$A45,9)+0,'Clients R2'!$A:$CY,27,FALSE),VLOOKUP(VLOOKUP(LEFT('1) Import fichier Remi (coller)'!$A45,9),'Concordance client liv et fact'!$A:$H,7,FALSE)+0,'Clients R2'!$A:$CY,27,FALSE))))</f>
        <v xml:space="preserve">Rue Des Nouvelles Technologies 4   </v>
      </c>
      <c r="T45" t="str">
        <f>IF($A45="","",LEFT(UPPER(IF(ISERROR(VLOOKUP(LEFT('1) Import fichier Remi (coller)'!$A45,9),'Concordance client liv et fact'!$A:$H,8,FALSE))=TRUE,VLOOKUP(LEFT('1) Import fichier Remi (coller)'!$A45,9)+0,'Clients R2'!$A:$CY,28,FALSE),VLOOKUP(VLOOKUP(LEFT('1) Import fichier Remi (coller)'!$A45,9),'Concordance client liv et fact'!$A:$H,7,FALSE)+0,'Clients R2'!$A:$CY,28,FALSE))),2)&amp;UPPER(IF(ISERROR(VLOOKUP(LEFT('1) Import fichier Remi (coller)'!$A45,9),'Concordance client liv et fact'!$A:$H,8,FALSE))=TRUE,VLOOKUP(LEFT('1) Import fichier Remi (coller)'!$A45,9)+0,'Clients R2'!$A:$CY,29,FALSE),VLOOKUP(VLOOKUP(LEFT('1) Import fichier Remi (coller)'!$A45,9),'Concordance client liv et fact'!$A:$H,7,FALSE)+0,'Clients R2'!$A:$CY,29,FALSE))))</f>
        <v>B 4460</v>
      </c>
      <c r="U45" t="str">
        <f>IF($A45="","",PROPER(IF(ISERROR(VLOOKUP(LEFT('1) Import fichier Remi (coller)'!$A45,9),'Concordance client liv et fact'!$A:$H,8,FALSE))=TRUE,VLOOKUP(LEFT('1) Import fichier Remi (coller)'!$A45,9)+0,'Clients R2'!$A:$CY,30,FALSE),VLOOKUP(VLOOKUP(LEFT('1) Import fichier Remi (coller)'!$A45,9),'Concordance client liv et fact'!$A:$H,7,FALSE)+0,'Clients R2'!$A:$CY,30,FALSE))))</f>
        <v xml:space="preserve">Grace-Hollogne                </v>
      </c>
      <c r="V45" t="str">
        <f>IF($A45="","",LEFT(UPPER(IF(ISERROR(VLOOKUP(LEFT('1) Import fichier Remi (coller)'!$A45,9),'Concordance client liv et fact'!$A:$H,8,FALSE))=TRUE,IF(VLOOKUP(LEFT('1) Import fichier Remi (coller)'!$A45,9)+0,'Clients R2'!$A:$CY,22,FALSE)=4,"NA",VLOOKUP(LEFT('1) Import fichier Remi (coller)'!$A45,9)+0,'Clients R2'!$A:$CY,3,FALSE)),IF(VLOOKUP(VLOOKUP(LEFT('1) Import fichier Remi (coller)'!$A45,9),'Concordance client liv et fact'!$A:$H,7,FALSE)+0,'Clients R2'!$A:$CY,22,FALSE)=4,"NA",VLOOKUP(VLOOKUP(LEFT('1) Import fichier Remi (coller)'!$A45,9),'Concordance client liv et fact'!$A:$H,7,FALSE)+0,'Clients R2'!$A:$CY,3,FALSE)))),2))</f>
        <v>BE</v>
      </c>
      <c r="W45" s="27"/>
      <c r="X45" s="27" t="str">
        <f>IF($A45="","",IF(ISERROR(VLOOKUP(LEFT('1) Import fichier Remi (coller)'!$A45,9),'Concordance client liv et fact'!$A:$H,8,FALSE))=TRUE,VLOOKUP(LEFT('1) Import fichier Remi (coller)'!$A45,9)+0,'Clients R2'!$A:$CY,102,FALSE),VLOOKUP(VLOOKUP(LEFT('1) Import fichier Remi (coller)'!$A45,9),'Concordance client liv et fact'!$A:$H,7,FALSE)+0,'Clients R2'!$A:$CY,102,FALSE)))</f>
        <v xml:space="preserve">compta@decube.be                        </v>
      </c>
      <c r="Y45" t="str">
        <f>IF(A45="","",VLOOKUP(A45,'Libellés PDF'!$A$2:$B$5,2,FALSE)&amp;F45&amp;".PDF")</f>
        <v>CF11261534.PDF</v>
      </c>
      <c r="Z45" t="str">
        <f>IF(A45="","",IF(OR(H45="705099999",H45="705001002"),VLOOKUP('1) Import fichier Remi (coller)'!J45,'Analytique personnel'!$A:$B,2,FALSE),""))</f>
        <v/>
      </c>
      <c r="AA45" t="str">
        <f>IF($A45="VE11","",IF(LEFT($H45,4)="7050","",IF('1) Import fichier Remi (coller)'!M45="","",'1) Import fichier Remi (coller)'!M45)))</f>
        <v/>
      </c>
      <c r="AB45" t="str">
        <f>IF($A45="VE11","",IF(LEFT($H45,4)="7050","",IF('1) Import fichier Remi (coller)'!N45="","",'1) Import fichier Remi (coller)'!N45)))</f>
        <v/>
      </c>
      <c r="AC45" t="str">
        <f>IF(A45="","",VLOOKUP(LEFT('1) Import fichier Remi (coller)'!A45,9)+0,'Concordance Client R2 BOB'!$B:$C,2,FALSE))</f>
        <v>BELGIUMCOA</v>
      </c>
    </row>
    <row r="46" spans="1:29" ht="18.75" customHeight="1" x14ac:dyDescent="0.25">
      <c r="A46" t="str">
        <f>IF('1) Import fichier Remi (coller)'!D46="","",'1) Import fichier Remi (coller)'!D46)</f>
        <v>VE11</v>
      </c>
      <c r="B46">
        <f>IF(A46="","",YEAR('1) Import fichier Remi (coller)'!F46))</f>
        <v>2026</v>
      </c>
      <c r="C46">
        <f>IF(A46="","",MONTH('1) Import fichier Remi (coller)'!F46))</f>
        <v>9</v>
      </c>
      <c r="D46" s="1">
        <f>IF(A46="","",'1) Import fichier Remi (coller)'!F46)</f>
        <v>46281</v>
      </c>
      <c r="E46" s="1">
        <f>IF(A46="","",'1) Import fichier Remi (coller)'!G46)</f>
        <v>46281</v>
      </c>
      <c r="F46" t="str">
        <f>IF(A46="","",'1) Import fichier Remi (coller)'!E46)</f>
        <v>11261535</v>
      </c>
      <c r="G46" t="str">
        <f>IF(A46="","",IF(ISERROR(VLOOKUP(LEFT('1) Import fichier Remi (coller)'!A46,9),'Concordance client liv et fact'!$A:$H,8,FALSE))=TRUE,'1) Import fichier Remi (coller)'!B46,VLOOKUP(LEFT('1) Import fichier Remi (coller)'!A46,9),'Concordance client liv et fact'!$A:$H,8,FALSE)))</f>
        <v>LIBRAMANAG</v>
      </c>
      <c r="H46" t="str">
        <f>IF(A46="","",IF(ISERROR(VLOOKUP('1) Import fichier Remi (coller)'!K46&amp;" - "&amp;'1) Import fichier Remi (coller)'!L46,'Spécifique comptes'!$A:$G,1,FALSE))=TRUE,'1) Import fichier Remi (coller)'!V46,VLOOKUP('1) Import fichier Remi (coller)'!K46&amp;" - "&amp;'1) Import fichier Remi (coller)'!L46,'Spécifique comptes'!$A:$G,IF(LEFT('2) BOB compta (completer-forcer'!F46,2)="11",4,IF(LEFT('2) BOB compta (completer-forcer'!F46,2)="12",5,IF(LEFT('2) BOB compta (completer-forcer'!F46,2)="13",6,IF(LEFT('2) BOB compta (completer-forcer'!F46,2)="15",7,"Erreur Compte")))),FALSE)))</f>
        <v>705099999</v>
      </c>
      <c r="I46" s="26" t="str">
        <f>IF(A46="","",IF(H46="70100000",'1) Import fichier Remi (coller)'!J46,'1) Import fichier Remi (coller)'!U46))</f>
        <v>+++003/7261/53552+++</v>
      </c>
      <c r="J46" s="26" t="str">
        <f>IF(A46="","",'1) Import fichier Remi (coller)'!U46)</f>
        <v>+++003/7261/53552+++</v>
      </c>
      <c r="K46" s="17">
        <f t="shared" si="1"/>
        <v>28.740000000000002</v>
      </c>
      <c r="L46" t="str">
        <f t="shared" si="0"/>
        <v>V</v>
      </c>
      <c r="M46" s="14">
        <f>IF(A46="","",'1) Import fichier Remi (coller)'!S46)</f>
        <v>21</v>
      </c>
      <c r="N46" s="17">
        <f>IF($A46="","",IF(OR($A46="NCV",$A46="NC15"),-'1) Import fichier Remi (coller)'!R46,'1) Import fichier Remi (coller)'!R46))</f>
        <v>23.75</v>
      </c>
      <c r="O46" s="17">
        <f>IF($A46="","",IF(OR($A46="NCV",$A46="NC15"),-'1) Import fichier Remi (coller)'!T46,'1) Import fichier Remi (coller)'!T46))</f>
        <v>4.99</v>
      </c>
      <c r="R46" t="str">
        <f>IF($A46="","",IF(ISERROR(VLOOKUP(LEFT('1) Import fichier Remi (coller)'!$A46,9),'Concordance client liv et fact'!$A:$H,8,FALSE))=TRUE,VLOOKUP(LEFT('1) Import fichier Remi (coller)'!$A46,9)+0,'Clients R2'!$A:$CY,2,FALSE),VLOOKUP(VLOOKUP(LEFT('1) Import fichier Remi (coller)'!$A46,9),'Concordance client liv et fact'!$A:$H,7,FALSE)+0,'Clients R2'!$A:$CY,2,FALSE)))</f>
        <v xml:space="preserve">LIBRA MANAGEMENT       </v>
      </c>
      <c r="S46" t="str">
        <f>IF($A46="","",PROPER(IF(ISERROR(VLOOKUP(LEFT('1) Import fichier Remi (coller)'!$A46,9),'Concordance client liv et fact'!$A:$H,8,FALSE))=TRUE,VLOOKUP(LEFT('1) Import fichier Remi (coller)'!$A46,9)+0,'Clients R2'!$A:$CY,27,FALSE),VLOOKUP(VLOOKUP(LEFT('1) Import fichier Remi (coller)'!$A46,9),'Concordance client liv et fact'!$A:$H,7,FALSE)+0,'Clients R2'!$A:$CY,27,FALSE))))</f>
        <v xml:space="preserve">Rue Des Anglais 6A                 </v>
      </c>
      <c r="T46" t="str">
        <f>IF($A46="","",LEFT(UPPER(IF(ISERROR(VLOOKUP(LEFT('1) Import fichier Remi (coller)'!$A46,9),'Concordance client liv et fact'!$A:$H,8,FALSE))=TRUE,VLOOKUP(LEFT('1) Import fichier Remi (coller)'!$A46,9)+0,'Clients R2'!$A:$CY,28,FALSE),VLOOKUP(VLOOKUP(LEFT('1) Import fichier Remi (coller)'!$A46,9),'Concordance client liv et fact'!$A:$H,7,FALSE)+0,'Clients R2'!$A:$CY,28,FALSE))),2)&amp;UPPER(IF(ISERROR(VLOOKUP(LEFT('1) Import fichier Remi (coller)'!$A46,9),'Concordance client liv et fact'!$A:$H,8,FALSE))=TRUE,VLOOKUP(LEFT('1) Import fichier Remi (coller)'!$A46,9)+0,'Clients R2'!$A:$CY,29,FALSE),VLOOKUP(VLOOKUP(LEFT('1) Import fichier Remi (coller)'!$A46,9),'Concordance client liv et fact'!$A:$H,7,FALSE)+0,'Clients R2'!$A:$CY,29,FALSE))))</f>
        <v>B 4430</v>
      </c>
      <c r="U46" t="str">
        <f>IF($A46="","",PROPER(IF(ISERROR(VLOOKUP(LEFT('1) Import fichier Remi (coller)'!$A46,9),'Concordance client liv et fact'!$A:$H,8,FALSE))=TRUE,VLOOKUP(LEFT('1) Import fichier Remi (coller)'!$A46,9)+0,'Clients R2'!$A:$CY,30,FALSE),VLOOKUP(VLOOKUP(LEFT('1) Import fichier Remi (coller)'!$A46,9),'Concordance client liv et fact'!$A:$H,7,FALSE)+0,'Clients R2'!$A:$CY,30,FALSE))))</f>
        <v xml:space="preserve">Ans                           </v>
      </c>
      <c r="V46" t="str">
        <f>IF($A46="","",LEFT(UPPER(IF(ISERROR(VLOOKUP(LEFT('1) Import fichier Remi (coller)'!$A46,9),'Concordance client liv et fact'!$A:$H,8,FALSE))=TRUE,IF(VLOOKUP(LEFT('1) Import fichier Remi (coller)'!$A46,9)+0,'Clients R2'!$A:$CY,22,FALSE)=4,"NA",VLOOKUP(LEFT('1) Import fichier Remi (coller)'!$A46,9)+0,'Clients R2'!$A:$CY,3,FALSE)),IF(VLOOKUP(VLOOKUP(LEFT('1) Import fichier Remi (coller)'!$A46,9),'Concordance client liv et fact'!$A:$H,7,FALSE)+0,'Clients R2'!$A:$CY,22,FALSE)=4,"NA",VLOOKUP(VLOOKUP(LEFT('1) Import fichier Remi (coller)'!$A46,9),'Concordance client liv et fact'!$A:$H,7,FALSE)+0,'Clients R2'!$A:$CY,3,FALSE)))),2))</f>
        <v>BE</v>
      </c>
      <c r="W46" s="27"/>
      <c r="X46" s="27" t="str">
        <f>IF($A46="","",IF(ISERROR(VLOOKUP(LEFT('1) Import fichier Remi (coller)'!$A46,9),'Concordance client liv et fact'!$A:$H,8,FALSE))=TRUE,VLOOKUP(LEFT('1) Import fichier Remi (coller)'!$A46,9)+0,'Clients R2'!$A:$CY,102,FALSE),VLOOKUP(VLOOKUP(LEFT('1) Import fichier Remi (coller)'!$A46,9),'Concordance client liv et fact'!$A:$H,7,FALSE)+0,'Clients R2'!$A:$CY,102,FALSE)))</f>
        <v xml:space="preserve">compta@libra.be                         </v>
      </c>
      <c r="Y46" t="str">
        <f>IF(A46="","",VLOOKUP(A46,'Libellés PDF'!$A$2:$B$5,2,FALSE)&amp;F46&amp;".PDF")</f>
        <v>CF11261535.PDF</v>
      </c>
      <c r="Z46" t="str">
        <f>IF(A46="","",IF(OR(H46="705099999",H46="705001002"),VLOOKUP('1) Import fichier Remi (coller)'!J46,'Analytique personnel'!$A:$B,2,FALSE),""))</f>
        <v>MFONTAINE</v>
      </c>
      <c r="AA46" t="str">
        <f>IF($A46="VE11","",IF(LEFT($H46,4)="7050","",IF('1) Import fichier Remi (coller)'!M46="","",'1) Import fichier Remi (coller)'!M46)))</f>
        <v/>
      </c>
      <c r="AB46" t="str">
        <f>IF($A46="VE11","",IF(LEFT($H46,4)="7050","",IF('1) Import fichier Remi (coller)'!N46="","",'1) Import fichier Remi (coller)'!N46)))</f>
        <v/>
      </c>
      <c r="AC46" t="str">
        <f>IF(A46="","",VLOOKUP(LEFT('1) Import fichier Remi (coller)'!A46,9)+0,'Concordance Client R2 BOB'!$B:$C,2,FALSE))</f>
        <v>LIBRAMANAG</v>
      </c>
    </row>
    <row r="47" spans="1:29" ht="18.75" customHeight="1" x14ac:dyDescent="0.25">
      <c r="A47" t="str">
        <f>IF('1) Import fichier Remi (coller)'!D47="","",'1) Import fichier Remi (coller)'!D47)</f>
        <v>VE11</v>
      </c>
      <c r="B47">
        <f>IF(A47="","",YEAR('1) Import fichier Remi (coller)'!F47))</f>
        <v>2026</v>
      </c>
      <c r="C47">
        <f>IF(A47="","",MONTH('1) Import fichier Remi (coller)'!F47))</f>
        <v>9</v>
      </c>
      <c r="D47" s="1">
        <f>IF(A47="","",'1) Import fichier Remi (coller)'!F47)</f>
        <v>46281</v>
      </c>
      <c r="E47" s="1">
        <f>IF(A47="","",'1) Import fichier Remi (coller)'!G47)</f>
        <v>46311</v>
      </c>
      <c r="F47" t="str">
        <f>IF(A47="","",'1) Import fichier Remi (coller)'!E47)</f>
        <v>11261536</v>
      </c>
      <c r="G47" t="str">
        <f>IF(A47="","",IF(ISERROR(VLOOKUP(LEFT('1) Import fichier Remi (coller)'!A47,9),'Concordance client liv et fact'!$A:$H,8,FALSE))=TRUE,'1) Import fichier Remi (coller)'!B47,VLOOKUP(LEFT('1) Import fichier Remi (coller)'!A47,9),'Concordance client liv et fact'!$A:$H,8,FALSE)))</f>
        <v>SOMVILLEAT</v>
      </c>
      <c r="H47" t="str">
        <f>IF(A47="","",IF(ISERROR(VLOOKUP('1) Import fichier Remi (coller)'!K47&amp;" - "&amp;'1) Import fichier Remi (coller)'!L47,'Spécifique comptes'!$A:$G,1,FALSE))=TRUE,'1) Import fichier Remi (coller)'!V47,VLOOKUP('1) Import fichier Remi (coller)'!K47&amp;" - "&amp;'1) Import fichier Remi (coller)'!L47,'Spécifique comptes'!$A:$G,IF(LEFT('2) BOB compta (completer-forcer'!F47,2)="11",4,IF(LEFT('2) BOB compta (completer-forcer'!F47,2)="12",5,IF(LEFT('2) BOB compta (completer-forcer'!F47,2)="13",6,IF(LEFT('2) BOB compta (completer-forcer'!F47,2)="15",7,"Erreur Compte")))),FALSE)))</f>
        <v>705099999</v>
      </c>
      <c r="I47" s="26" t="str">
        <f>IF(A47="","",IF(H47="70100000",'1) Import fichier Remi (coller)'!J47,'1) Import fichier Remi (coller)'!U47))</f>
        <v>+++003/7261/53653+++</v>
      </c>
      <c r="J47" s="26" t="str">
        <f>IF(A47="","",'1) Import fichier Remi (coller)'!U47)</f>
        <v>+++003/7261/53653+++</v>
      </c>
      <c r="K47" s="17">
        <f t="shared" si="1"/>
        <v>28.740000000000002</v>
      </c>
      <c r="L47" t="str">
        <f t="shared" si="0"/>
        <v>V</v>
      </c>
      <c r="M47" s="14">
        <f>IF(A47="","",'1) Import fichier Remi (coller)'!S47)</f>
        <v>21</v>
      </c>
      <c r="N47" s="17">
        <f>IF($A47="","",IF(OR($A47="NCV",$A47="NC15"),-'1) Import fichier Remi (coller)'!R47,'1) Import fichier Remi (coller)'!R47))</f>
        <v>23.75</v>
      </c>
      <c r="O47" s="17">
        <f>IF($A47="","",IF(OR($A47="NCV",$A47="NC15"),-'1) Import fichier Remi (coller)'!T47,'1) Import fichier Remi (coller)'!T47))</f>
        <v>4.99</v>
      </c>
      <c r="R47" t="str">
        <f>IF($A47="","",IF(ISERROR(VLOOKUP(LEFT('1) Import fichier Remi (coller)'!$A47,9),'Concordance client liv et fact'!$A:$H,8,FALSE))=TRUE,VLOOKUP(LEFT('1) Import fichier Remi (coller)'!$A47,9)+0,'Clients R2'!$A:$CY,2,FALSE),VLOOKUP(VLOOKUP(LEFT('1) Import fichier Remi (coller)'!$A47,9),'Concordance client liv et fact'!$A:$H,7,FALSE)+0,'Clients R2'!$A:$CY,2,FALSE)))</f>
        <v xml:space="preserve">ATELIERS SOMVILLE SA   </v>
      </c>
      <c r="S47" t="str">
        <f>IF($A47="","",PROPER(IF(ISERROR(VLOOKUP(LEFT('1) Import fichier Remi (coller)'!$A47,9),'Concordance client liv et fact'!$A:$H,8,FALSE))=TRUE,VLOOKUP(LEFT('1) Import fichier Remi (coller)'!$A47,9)+0,'Clients R2'!$A:$CY,27,FALSE),VLOOKUP(VLOOKUP(LEFT('1) Import fichier Remi (coller)'!$A47,9),'Concordance client liv et fact'!$A:$H,7,FALSE)+0,'Clients R2'!$A:$CY,27,FALSE))))</f>
        <v xml:space="preserve">190 Rue Du Centre                  </v>
      </c>
      <c r="T47" t="str">
        <f>IF($A47="","",LEFT(UPPER(IF(ISERROR(VLOOKUP(LEFT('1) Import fichier Remi (coller)'!$A47,9),'Concordance client liv et fact'!$A:$H,8,FALSE))=TRUE,VLOOKUP(LEFT('1) Import fichier Remi (coller)'!$A47,9)+0,'Clients R2'!$A:$CY,28,FALSE),VLOOKUP(VLOOKUP(LEFT('1) Import fichier Remi (coller)'!$A47,9),'Concordance client liv et fact'!$A:$H,7,FALSE)+0,'Clients R2'!$A:$CY,28,FALSE))),2)&amp;UPPER(IF(ISERROR(VLOOKUP(LEFT('1) Import fichier Remi (coller)'!$A47,9),'Concordance client liv et fact'!$A:$H,8,FALSE))=TRUE,VLOOKUP(LEFT('1) Import fichier Remi (coller)'!$A47,9)+0,'Clients R2'!$A:$CY,29,FALSE),VLOOKUP(VLOOKUP(LEFT('1) Import fichier Remi (coller)'!$A47,9),'Concordance client liv et fact'!$A:$H,7,FALSE)+0,'Clients R2'!$A:$CY,29,FALSE))))</f>
        <v>B 6250</v>
      </c>
      <c r="U47" t="str">
        <f>IF($A47="","",PROPER(IF(ISERROR(VLOOKUP(LEFT('1) Import fichier Remi (coller)'!$A47,9),'Concordance client liv et fact'!$A:$H,8,FALSE))=TRUE,VLOOKUP(LEFT('1) Import fichier Remi (coller)'!$A47,9)+0,'Clients R2'!$A:$CY,30,FALSE),VLOOKUP(VLOOKUP(LEFT('1) Import fichier Remi (coller)'!$A47,9),'Concordance client liv et fact'!$A:$H,7,FALSE)+0,'Clients R2'!$A:$CY,30,FALSE))))</f>
        <v xml:space="preserve">Aiseau-Presles                </v>
      </c>
      <c r="V47" t="str">
        <f>IF($A47="","",LEFT(UPPER(IF(ISERROR(VLOOKUP(LEFT('1) Import fichier Remi (coller)'!$A47,9),'Concordance client liv et fact'!$A:$H,8,FALSE))=TRUE,IF(VLOOKUP(LEFT('1) Import fichier Remi (coller)'!$A47,9)+0,'Clients R2'!$A:$CY,22,FALSE)=4,"NA",VLOOKUP(LEFT('1) Import fichier Remi (coller)'!$A47,9)+0,'Clients R2'!$A:$CY,3,FALSE)),IF(VLOOKUP(VLOOKUP(LEFT('1) Import fichier Remi (coller)'!$A47,9),'Concordance client liv et fact'!$A:$H,7,FALSE)+0,'Clients R2'!$A:$CY,22,FALSE)=4,"NA",VLOOKUP(VLOOKUP(LEFT('1) Import fichier Remi (coller)'!$A47,9),'Concordance client liv et fact'!$A:$H,7,FALSE)+0,'Clients R2'!$A:$CY,3,FALSE)))),2))</f>
        <v>BE</v>
      </c>
      <c r="W47" s="27"/>
      <c r="X47" s="27" t="str">
        <f>IF($A47="","",IF(ISERROR(VLOOKUP(LEFT('1) Import fichier Remi (coller)'!$A47,9),'Concordance client liv et fact'!$A:$H,8,FALSE))=TRUE,VLOOKUP(LEFT('1) Import fichier Remi (coller)'!$A47,9)+0,'Clients R2'!$A:$CY,102,FALSE),VLOOKUP(VLOOKUP(LEFT('1) Import fichier Remi (coller)'!$A47,9),'Concordance client liv et fact'!$A:$H,7,FALSE)+0,'Clients R2'!$A:$CY,102,FALSE)))</f>
        <v xml:space="preserve">g.lebrun@ateliers-somville.be           </v>
      </c>
      <c r="Y47" t="str">
        <f>IF(A47="","",VLOOKUP(A47,'Libellés PDF'!$A$2:$B$5,2,FALSE)&amp;F47&amp;".PDF")</f>
        <v>CF11261536.PDF</v>
      </c>
      <c r="Z47" t="str">
        <f>IF(A47="","",IF(OR(H47="705099999",H47="705001002"),VLOOKUP('1) Import fichier Remi (coller)'!J47,'Analytique personnel'!$A:$B,2,FALSE),""))</f>
        <v>MFONTAINE</v>
      </c>
      <c r="AA47" t="str">
        <f>IF($A47="VE11","",IF(LEFT($H47,4)="7050","",IF('1) Import fichier Remi (coller)'!M47="","",'1) Import fichier Remi (coller)'!M47)))</f>
        <v/>
      </c>
      <c r="AB47" t="str">
        <f>IF($A47="VE11","",IF(LEFT($H47,4)="7050","",IF('1) Import fichier Remi (coller)'!N47="","",'1) Import fichier Remi (coller)'!N47)))</f>
        <v/>
      </c>
      <c r="AC47" t="str">
        <f>IF(A47="","",VLOOKUP(LEFT('1) Import fichier Remi (coller)'!A47,9)+0,'Concordance Client R2 BOB'!$B:$C,2,FALSE))</f>
        <v>SOMVILLEAT</v>
      </c>
    </row>
    <row r="48" spans="1:29" ht="18.75" customHeight="1" x14ac:dyDescent="0.25">
      <c r="A48" t="str">
        <f>IF('1) Import fichier Remi (coller)'!D48="","",'1) Import fichier Remi (coller)'!D48)</f>
        <v>VE11</v>
      </c>
      <c r="B48">
        <f>IF(A48="","",YEAR('1) Import fichier Remi (coller)'!F48))</f>
        <v>2026</v>
      </c>
      <c r="C48">
        <f>IF(A48="","",MONTH('1) Import fichier Remi (coller)'!F48))</f>
        <v>9</v>
      </c>
      <c r="D48" s="1">
        <f>IF(A48="","",'1) Import fichier Remi (coller)'!F48)</f>
        <v>46281</v>
      </c>
      <c r="E48" s="1">
        <f>IF(A48="","",'1) Import fichier Remi (coller)'!G48)</f>
        <v>46281</v>
      </c>
      <c r="F48" t="str">
        <f>IF(A48="","",'1) Import fichier Remi (coller)'!E48)</f>
        <v>11261537</v>
      </c>
      <c r="G48" t="str">
        <f>IF(A48="","",IF(ISERROR(VLOOKUP(LEFT('1) Import fichier Remi (coller)'!A48,9),'Concordance client liv et fact'!$A:$H,8,FALSE))=TRUE,'1) Import fichier Remi (coller)'!B48,VLOOKUP(LEFT('1) Import fichier Remi (coller)'!A48,9),'Concordance client liv et fact'!$A:$H,8,FALSE)))</f>
        <v>IBDSOLUTI</v>
      </c>
      <c r="H48" t="str">
        <f>IF(A48="","",IF(ISERROR(VLOOKUP('1) Import fichier Remi (coller)'!K48&amp;" - "&amp;'1) Import fichier Remi (coller)'!L48,'Spécifique comptes'!$A:$G,1,FALSE))=TRUE,'1) Import fichier Remi (coller)'!V48,VLOOKUP('1) Import fichier Remi (coller)'!K48&amp;" - "&amp;'1) Import fichier Remi (coller)'!L48,'Spécifique comptes'!$A:$G,IF(LEFT('2) BOB compta (completer-forcer'!F48,2)="11",4,IF(LEFT('2) BOB compta (completer-forcer'!F48,2)="12",5,IF(LEFT('2) BOB compta (completer-forcer'!F48,2)="13",6,IF(LEFT('2) BOB compta (completer-forcer'!F48,2)="15",7,"Erreur Compte")))),FALSE)))</f>
        <v>705099999</v>
      </c>
      <c r="I48" s="26" t="str">
        <f>IF(A48="","",IF(H48="70100000",'1) Import fichier Remi (coller)'!J48,'1) Import fichier Remi (coller)'!U48))</f>
        <v>+++003/7261/53754+++</v>
      </c>
      <c r="J48" s="26" t="str">
        <f>IF(A48="","",'1) Import fichier Remi (coller)'!U48)</f>
        <v>+++003/7261/53754+++</v>
      </c>
      <c r="K48" s="17">
        <f t="shared" si="1"/>
        <v>86.210000000000008</v>
      </c>
      <c r="L48" t="str">
        <f t="shared" si="0"/>
        <v>V</v>
      </c>
      <c r="M48" s="14">
        <f>IF(A48="","",'1) Import fichier Remi (coller)'!S48)</f>
        <v>21</v>
      </c>
      <c r="N48" s="17">
        <f>IF($A48="","",IF(OR($A48="NCV",$A48="NC15"),-'1) Import fichier Remi (coller)'!R48,'1) Import fichier Remi (coller)'!R48))</f>
        <v>23.75</v>
      </c>
      <c r="O48" s="17">
        <f>IF($A48="","",IF(OR($A48="NCV",$A48="NC15"),-'1) Import fichier Remi (coller)'!T48,'1) Import fichier Remi (coller)'!T48))</f>
        <v>4.99</v>
      </c>
      <c r="R48" t="str">
        <f>IF($A48="","",IF(ISERROR(VLOOKUP(LEFT('1) Import fichier Remi (coller)'!$A48,9),'Concordance client liv et fact'!$A:$H,8,FALSE))=TRUE,VLOOKUP(LEFT('1) Import fichier Remi (coller)'!$A48,9)+0,'Clients R2'!$A:$CY,2,FALSE),VLOOKUP(VLOOKUP(LEFT('1) Import fichier Remi (coller)'!$A48,9),'Concordance client liv et fact'!$A:$H,7,FALSE)+0,'Clients R2'!$A:$CY,2,FALSE)))</f>
        <v xml:space="preserve">IBD SOLUTIONS SRL      </v>
      </c>
      <c r="S48" t="str">
        <f>IF($A48="","",PROPER(IF(ISERROR(VLOOKUP(LEFT('1) Import fichier Remi (coller)'!$A48,9),'Concordance client liv et fact'!$A:$H,8,FALSE))=TRUE,VLOOKUP(LEFT('1) Import fichier Remi (coller)'!$A48,9)+0,'Clients R2'!$A:$CY,27,FALSE),VLOOKUP(VLOOKUP(LEFT('1) Import fichier Remi (coller)'!$A48,9),'Concordance client liv et fact'!$A:$H,7,FALSE)+0,'Clients R2'!$A:$CY,27,FALSE))))</f>
        <v xml:space="preserve">Rue Hors-Chateau 33/A              </v>
      </c>
      <c r="T48" t="str">
        <f>IF($A48="","",LEFT(UPPER(IF(ISERROR(VLOOKUP(LEFT('1) Import fichier Remi (coller)'!$A48,9),'Concordance client liv et fact'!$A:$H,8,FALSE))=TRUE,VLOOKUP(LEFT('1) Import fichier Remi (coller)'!$A48,9)+0,'Clients R2'!$A:$CY,28,FALSE),VLOOKUP(VLOOKUP(LEFT('1) Import fichier Remi (coller)'!$A48,9),'Concordance client liv et fact'!$A:$H,7,FALSE)+0,'Clients R2'!$A:$CY,28,FALSE))),2)&amp;UPPER(IF(ISERROR(VLOOKUP(LEFT('1) Import fichier Remi (coller)'!$A48,9),'Concordance client liv et fact'!$A:$H,8,FALSE))=TRUE,VLOOKUP(LEFT('1) Import fichier Remi (coller)'!$A48,9)+0,'Clients R2'!$A:$CY,29,FALSE),VLOOKUP(VLOOKUP(LEFT('1) Import fichier Remi (coller)'!$A48,9),'Concordance client liv et fact'!$A:$H,7,FALSE)+0,'Clients R2'!$A:$CY,29,FALSE))))</f>
        <v>B 4000</v>
      </c>
      <c r="U48" t="str">
        <f>IF($A48="","",PROPER(IF(ISERROR(VLOOKUP(LEFT('1) Import fichier Remi (coller)'!$A48,9),'Concordance client liv et fact'!$A:$H,8,FALSE))=TRUE,VLOOKUP(LEFT('1) Import fichier Remi (coller)'!$A48,9)+0,'Clients R2'!$A:$CY,30,FALSE),VLOOKUP(VLOOKUP(LEFT('1) Import fichier Remi (coller)'!$A48,9),'Concordance client liv et fact'!$A:$H,7,FALSE)+0,'Clients R2'!$A:$CY,30,FALSE))))</f>
        <v xml:space="preserve">Liege                         </v>
      </c>
      <c r="V48" t="str">
        <f>IF($A48="","",LEFT(UPPER(IF(ISERROR(VLOOKUP(LEFT('1) Import fichier Remi (coller)'!$A48,9),'Concordance client liv et fact'!$A:$H,8,FALSE))=TRUE,IF(VLOOKUP(LEFT('1) Import fichier Remi (coller)'!$A48,9)+0,'Clients R2'!$A:$CY,22,FALSE)=4,"NA",VLOOKUP(LEFT('1) Import fichier Remi (coller)'!$A48,9)+0,'Clients R2'!$A:$CY,3,FALSE)),IF(VLOOKUP(VLOOKUP(LEFT('1) Import fichier Remi (coller)'!$A48,9),'Concordance client liv et fact'!$A:$H,7,FALSE)+0,'Clients R2'!$A:$CY,22,FALSE)=4,"NA",VLOOKUP(VLOOKUP(LEFT('1) Import fichier Remi (coller)'!$A48,9),'Concordance client liv et fact'!$A:$H,7,FALSE)+0,'Clients R2'!$A:$CY,3,FALSE)))),2))</f>
        <v>BE</v>
      </c>
      <c r="W48" s="27"/>
      <c r="X48" s="27" t="str">
        <f>IF($A48="","",IF(ISERROR(VLOOKUP(LEFT('1) Import fichier Remi (coller)'!$A48,9),'Concordance client liv et fact'!$A:$H,8,FALSE))=TRUE,VLOOKUP(LEFT('1) Import fichier Remi (coller)'!$A48,9)+0,'Clients R2'!$A:$CY,102,FALSE),VLOOKUP(VLOOKUP(LEFT('1) Import fichier Remi (coller)'!$A48,9),'Concordance client liv et fact'!$A:$H,7,FALSE)+0,'Clients R2'!$A:$CY,102,FALSE)))</f>
        <v xml:space="preserve">finance@ibdsolutions.eu                 </v>
      </c>
      <c r="Y48" t="str">
        <f>IF(A48="","",VLOOKUP(A48,'Libellés PDF'!$A$2:$B$5,2,FALSE)&amp;F48&amp;".PDF")</f>
        <v>CF11261537.PDF</v>
      </c>
      <c r="Z48" t="str">
        <f>IF(A48="","",IF(OR(H48="705099999",H48="705001002"),VLOOKUP('1) Import fichier Remi (coller)'!J48,'Analytique personnel'!$A:$B,2,FALSE),""))</f>
        <v>BMELIN</v>
      </c>
      <c r="AA48" t="str">
        <f>IF($A48="VE11","",IF(LEFT($H48,4)="7050","",IF('1) Import fichier Remi (coller)'!M48="","",'1) Import fichier Remi (coller)'!M48)))</f>
        <v/>
      </c>
      <c r="AB48" t="str">
        <f>IF($A48="VE11","",IF(LEFT($H48,4)="7050","",IF('1) Import fichier Remi (coller)'!N48="","",'1) Import fichier Remi (coller)'!N48)))</f>
        <v/>
      </c>
      <c r="AC48" t="str">
        <f>IF(A48="","",VLOOKUP(LEFT('1) Import fichier Remi (coller)'!A48,9)+0,'Concordance Client R2 BOB'!$B:$C,2,FALSE))</f>
        <v>IBDSOLUTI</v>
      </c>
    </row>
    <row r="49" spans="1:29" ht="18.75" customHeight="1" x14ac:dyDescent="0.25">
      <c r="A49" t="str">
        <f>IF('1) Import fichier Remi (coller)'!D49="","",'1) Import fichier Remi (coller)'!D49)</f>
        <v>VE11</v>
      </c>
      <c r="B49">
        <f>IF(A49="","",YEAR('1) Import fichier Remi (coller)'!F49))</f>
        <v>2026</v>
      </c>
      <c r="C49">
        <f>IF(A49="","",MONTH('1) Import fichier Remi (coller)'!F49))</f>
        <v>9</v>
      </c>
      <c r="D49" s="1">
        <f>IF(A49="","",'1) Import fichier Remi (coller)'!F49)</f>
        <v>46281</v>
      </c>
      <c r="E49" s="1">
        <f>IF(A49="","",'1) Import fichier Remi (coller)'!G49)</f>
        <v>46281</v>
      </c>
      <c r="F49" t="str">
        <f>IF(A49="","",'1) Import fichier Remi (coller)'!E49)</f>
        <v>11261537</v>
      </c>
      <c r="G49" t="str">
        <f>IF(A49="","",IF(ISERROR(VLOOKUP(LEFT('1) Import fichier Remi (coller)'!A49,9),'Concordance client liv et fact'!$A:$H,8,FALSE))=TRUE,'1) Import fichier Remi (coller)'!B49,VLOOKUP(LEFT('1) Import fichier Remi (coller)'!A49,9),'Concordance client liv et fact'!$A:$H,8,FALSE)))</f>
        <v>IBDSOLUTI</v>
      </c>
      <c r="H49" t="str">
        <f>IF(A49="","",IF(ISERROR(VLOOKUP('1) Import fichier Remi (coller)'!K49&amp;" - "&amp;'1) Import fichier Remi (coller)'!L49,'Spécifique comptes'!$A:$G,1,FALSE))=TRUE,'1) Import fichier Remi (coller)'!V49,VLOOKUP('1) Import fichier Remi (coller)'!K49&amp;" - "&amp;'1) Import fichier Remi (coller)'!L49,'Spécifique comptes'!$A:$G,IF(LEFT('2) BOB compta (completer-forcer'!F49,2)="11",4,IF(LEFT('2) BOB compta (completer-forcer'!F49,2)="12",5,IF(LEFT('2) BOB compta (completer-forcer'!F49,2)="13",6,IF(LEFT('2) BOB compta (completer-forcer'!F49,2)="15",7,"Erreur Compte")))),FALSE)))</f>
        <v>705099999</v>
      </c>
      <c r="I49" s="26" t="str">
        <f>IF(A49="","",IF(H49="70100000",'1) Import fichier Remi (coller)'!J49,'1) Import fichier Remi (coller)'!U49))</f>
        <v>+++003/7261/53754+++</v>
      </c>
      <c r="J49" s="26" t="str">
        <f>IF(A49="","",'1) Import fichier Remi (coller)'!U49)</f>
        <v>+++003/7261/53754+++</v>
      </c>
      <c r="K49" s="17">
        <f t="shared" si="1"/>
        <v>86.210000000000008</v>
      </c>
      <c r="L49" t="str">
        <f t="shared" si="0"/>
        <v>V</v>
      </c>
      <c r="M49" s="14">
        <f>IF(A49="","",'1) Import fichier Remi (coller)'!S49)</f>
        <v>21</v>
      </c>
      <c r="N49" s="17">
        <f>IF($A49="","",IF(OR($A49="NCV",$A49="NC15"),-'1) Import fichier Remi (coller)'!R49,'1) Import fichier Remi (coller)'!R49))</f>
        <v>23.75</v>
      </c>
      <c r="O49" s="17">
        <f>IF($A49="","",IF(OR($A49="NCV",$A49="NC15"),-'1) Import fichier Remi (coller)'!T49,'1) Import fichier Remi (coller)'!T49))</f>
        <v>4.99</v>
      </c>
      <c r="R49" t="str">
        <f>IF($A49="","",IF(ISERROR(VLOOKUP(LEFT('1) Import fichier Remi (coller)'!$A49,9),'Concordance client liv et fact'!$A:$H,8,FALSE))=TRUE,VLOOKUP(LEFT('1) Import fichier Remi (coller)'!$A49,9)+0,'Clients R2'!$A:$CY,2,FALSE),VLOOKUP(VLOOKUP(LEFT('1) Import fichier Remi (coller)'!$A49,9),'Concordance client liv et fact'!$A:$H,7,FALSE)+0,'Clients R2'!$A:$CY,2,FALSE)))</f>
        <v xml:space="preserve">IBD SOLUTIONS SRL      </v>
      </c>
      <c r="S49" t="str">
        <f>IF($A49="","",PROPER(IF(ISERROR(VLOOKUP(LEFT('1) Import fichier Remi (coller)'!$A49,9),'Concordance client liv et fact'!$A:$H,8,FALSE))=TRUE,VLOOKUP(LEFT('1) Import fichier Remi (coller)'!$A49,9)+0,'Clients R2'!$A:$CY,27,FALSE),VLOOKUP(VLOOKUP(LEFT('1) Import fichier Remi (coller)'!$A49,9),'Concordance client liv et fact'!$A:$H,7,FALSE)+0,'Clients R2'!$A:$CY,27,FALSE))))</f>
        <v xml:space="preserve">Rue Hors-Chateau 33/A              </v>
      </c>
      <c r="T49" t="str">
        <f>IF($A49="","",LEFT(UPPER(IF(ISERROR(VLOOKUP(LEFT('1) Import fichier Remi (coller)'!$A49,9),'Concordance client liv et fact'!$A:$H,8,FALSE))=TRUE,VLOOKUP(LEFT('1) Import fichier Remi (coller)'!$A49,9)+0,'Clients R2'!$A:$CY,28,FALSE),VLOOKUP(VLOOKUP(LEFT('1) Import fichier Remi (coller)'!$A49,9),'Concordance client liv et fact'!$A:$H,7,FALSE)+0,'Clients R2'!$A:$CY,28,FALSE))),2)&amp;UPPER(IF(ISERROR(VLOOKUP(LEFT('1) Import fichier Remi (coller)'!$A49,9),'Concordance client liv et fact'!$A:$H,8,FALSE))=TRUE,VLOOKUP(LEFT('1) Import fichier Remi (coller)'!$A49,9)+0,'Clients R2'!$A:$CY,29,FALSE),VLOOKUP(VLOOKUP(LEFT('1) Import fichier Remi (coller)'!$A49,9),'Concordance client liv et fact'!$A:$H,7,FALSE)+0,'Clients R2'!$A:$CY,29,FALSE))))</f>
        <v>B 4000</v>
      </c>
      <c r="U49" t="str">
        <f>IF($A49="","",PROPER(IF(ISERROR(VLOOKUP(LEFT('1) Import fichier Remi (coller)'!$A49,9),'Concordance client liv et fact'!$A:$H,8,FALSE))=TRUE,VLOOKUP(LEFT('1) Import fichier Remi (coller)'!$A49,9)+0,'Clients R2'!$A:$CY,30,FALSE),VLOOKUP(VLOOKUP(LEFT('1) Import fichier Remi (coller)'!$A49,9),'Concordance client liv et fact'!$A:$H,7,FALSE)+0,'Clients R2'!$A:$CY,30,FALSE))))</f>
        <v xml:space="preserve">Liege                         </v>
      </c>
      <c r="V49" t="str">
        <f>IF($A49="","",LEFT(UPPER(IF(ISERROR(VLOOKUP(LEFT('1) Import fichier Remi (coller)'!$A49,9),'Concordance client liv et fact'!$A:$H,8,FALSE))=TRUE,IF(VLOOKUP(LEFT('1) Import fichier Remi (coller)'!$A49,9)+0,'Clients R2'!$A:$CY,22,FALSE)=4,"NA",VLOOKUP(LEFT('1) Import fichier Remi (coller)'!$A49,9)+0,'Clients R2'!$A:$CY,3,FALSE)),IF(VLOOKUP(VLOOKUP(LEFT('1) Import fichier Remi (coller)'!$A49,9),'Concordance client liv et fact'!$A:$H,7,FALSE)+0,'Clients R2'!$A:$CY,22,FALSE)=4,"NA",VLOOKUP(VLOOKUP(LEFT('1) Import fichier Remi (coller)'!$A49,9),'Concordance client liv et fact'!$A:$H,7,FALSE)+0,'Clients R2'!$A:$CY,3,FALSE)))),2))</f>
        <v>BE</v>
      </c>
      <c r="W49" s="27"/>
      <c r="X49" s="27" t="str">
        <f>IF($A49="","",IF(ISERROR(VLOOKUP(LEFT('1) Import fichier Remi (coller)'!$A49,9),'Concordance client liv et fact'!$A:$H,8,FALSE))=TRUE,VLOOKUP(LEFT('1) Import fichier Remi (coller)'!$A49,9)+0,'Clients R2'!$A:$CY,102,FALSE),VLOOKUP(VLOOKUP(LEFT('1) Import fichier Remi (coller)'!$A49,9),'Concordance client liv et fact'!$A:$H,7,FALSE)+0,'Clients R2'!$A:$CY,102,FALSE)))</f>
        <v xml:space="preserve">finance@ibdsolutions.eu                 </v>
      </c>
      <c r="Y49" t="str">
        <f>IF(A49="","",VLOOKUP(A49,'Libellés PDF'!$A$2:$B$5,2,FALSE)&amp;F49&amp;".PDF")</f>
        <v>CF11261537.PDF</v>
      </c>
      <c r="Z49" t="str">
        <f>IF(A49="","",IF(OR(H49="705099999",H49="705001002"),VLOOKUP('1) Import fichier Remi (coller)'!J49,'Analytique personnel'!$A:$B,2,FALSE),""))</f>
        <v>GDUHOUX</v>
      </c>
      <c r="AA49" t="str">
        <f>IF($A49="VE11","",IF(LEFT($H49,4)="7050","",IF('1) Import fichier Remi (coller)'!M49="","",'1) Import fichier Remi (coller)'!M49)))</f>
        <v/>
      </c>
      <c r="AB49" t="str">
        <f>IF($A49="VE11","",IF(LEFT($H49,4)="7050","",IF('1) Import fichier Remi (coller)'!N49="","",'1) Import fichier Remi (coller)'!N49)))</f>
        <v/>
      </c>
      <c r="AC49" t="str">
        <f>IF(A49="","",VLOOKUP(LEFT('1) Import fichier Remi (coller)'!A49,9)+0,'Concordance Client R2 BOB'!$B:$C,2,FALSE))</f>
        <v>IBDSOLUTI</v>
      </c>
    </row>
    <row r="50" spans="1:29" ht="18.75" customHeight="1" x14ac:dyDescent="0.25">
      <c r="A50" t="str">
        <f>IF('1) Import fichier Remi (coller)'!D50="","",'1) Import fichier Remi (coller)'!D50)</f>
        <v>VE11</v>
      </c>
      <c r="B50">
        <f>IF(A50="","",YEAR('1) Import fichier Remi (coller)'!F50))</f>
        <v>2026</v>
      </c>
      <c r="C50">
        <f>IF(A50="","",MONTH('1) Import fichier Remi (coller)'!F50))</f>
        <v>9</v>
      </c>
      <c r="D50" s="1">
        <f>IF(A50="","",'1) Import fichier Remi (coller)'!F50)</f>
        <v>46281</v>
      </c>
      <c r="E50" s="1">
        <f>IF(A50="","",'1) Import fichier Remi (coller)'!G50)</f>
        <v>46281</v>
      </c>
      <c r="F50" t="str">
        <f>IF(A50="","",'1) Import fichier Remi (coller)'!E50)</f>
        <v>11261537</v>
      </c>
      <c r="G50" t="str">
        <f>IF(A50="","",IF(ISERROR(VLOOKUP(LEFT('1) Import fichier Remi (coller)'!A50,9),'Concordance client liv et fact'!$A:$H,8,FALSE))=TRUE,'1) Import fichier Remi (coller)'!B50,VLOOKUP(LEFT('1) Import fichier Remi (coller)'!A50,9),'Concordance client liv et fact'!$A:$H,8,FALSE)))</f>
        <v>IBDSOLUTI</v>
      </c>
      <c r="H50" t="str">
        <f>IF(A50="","",IF(ISERROR(VLOOKUP('1) Import fichier Remi (coller)'!K50&amp;" - "&amp;'1) Import fichier Remi (coller)'!L50,'Spécifique comptes'!$A:$G,1,FALSE))=TRUE,'1) Import fichier Remi (coller)'!V50,VLOOKUP('1) Import fichier Remi (coller)'!K50&amp;" - "&amp;'1) Import fichier Remi (coller)'!L50,'Spécifique comptes'!$A:$G,IF(LEFT('2) BOB compta (completer-forcer'!F50,2)="11",4,IF(LEFT('2) BOB compta (completer-forcer'!F50,2)="12",5,IF(LEFT('2) BOB compta (completer-forcer'!F50,2)="13",6,IF(LEFT('2) BOB compta (completer-forcer'!F50,2)="15",7,"Erreur Compte")))),FALSE)))</f>
        <v>705099999</v>
      </c>
      <c r="I50" s="26" t="str">
        <f>IF(A50="","",IF(H50="70100000",'1) Import fichier Remi (coller)'!J50,'1) Import fichier Remi (coller)'!U50))</f>
        <v>+++003/7261/53754+++</v>
      </c>
      <c r="J50" s="26" t="str">
        <f>IF(A50="","",'1) Import fichier Remi (coller)'!U50)</f>
        <v>+++003/7261/53754+++</v>
      </c>
      <c r="K50" s="17">
        <f t="shared" si="1"/>
        <v>86.210000000000008</v>
      </c>
      <c r="L50" t="str">
        <f t="shared" si="0"/>
        <v>V</v>
      </c>
      <c r="M50" s="14">
        <f>IF(A50="","",'1) Import fichier Remi (coller)'!S50)</f>
        <v>21</v>
      </c>
      <c r="N50" s="17">
        <f>IF($A50="","",IF(OR($A50="NCV",$A50="NC15"),-'1) Import fichier Remi (coller)'!R50,'1) Import fichier Remi (coller)'!R50))</f>
        <v>23.75</v>
      </c>
      <c r="O50" s="17">
        <f>IF($A50="","",IF(OR($A50="NCV",$A50="NC15"),-'1) Import fichier Remi (coller)'!T50,'1) Import fichier Remi (coller)'!T50))</f>
        <v>4.9800000000000004</v>
      </c>
      <c r="R50" t="str">
        <f>IF($A50="","",IF(ISERROR(VLOOKUP(LEFT('1) Import fichier Remi (coller)'!$A50,9),'Concordance client liv et fact'!$A:$H,8,FALSE))=TRUE,VLOOKUP(LEFT('1) Import fichier Remi (coller)'!$A50,9)+0,'Clients R2'!$A:$CY,2,FALSE),VLOOKUP(VLOOKUP(LEFT('1) Import fichier Remi (coller)'!$A50,9),'Concordance client liv et fact'!$A:$H,7,FALSE)+0,'Clients R2'!$A:$CY,2,FALSE)))</f>
        <v xml:space="preserve">IBD SOLUTIONS SRL      </v>
      </c>
      <c r="S50" t="str">
        <f>IF($A50="","",PROPER(IF(ISERROR(VLOOKUP(LEFT('1) Import fichier Remi (coller)'!$A50,9),'Concordance client liv et fact'!$A:$H,8,FALSE))=TRUE,VLOOKUP(LEFT('1) Import fichier Remi (coller)'!$A50,9)+0,'Clients R2'!$A:$CY,27,FALSE),VLOOKUP(VLOOKUP(LEFT('1) Import fichier Remi (coller)'!$A50,9),'Concordance client liv et fact'!$A:$H,7,FALSE)+0,'Clients R2'!$A:$CY,27,FALSE))))</f>
        <v xml:space="preserve">Rue Hors-Chateau 33/A              </v>
      </c>
      <c r="T50" t="str">
        <f>IF($A50="","",LEFT(UPPER(IF(ISERROR(VLOOKUP(LEFT('1) Import fichier Remi (coller)'!$A50,9),'Concordance client liv et fact'!$A:$H,8,FALSE))=TRUE,VLOOKUP(LEFT('1) Import fichier Remi (coller)'!$A50,9)+0,'Clients R2'!$A:$CY,28,FALSE),VLOOKUP(VLOOKUP(LEFT('1) Import fichier Remi (coller)'!$A50,9),'Concordance client liv et fact'!$A:$H,7,FALSE)+0,'Clients R2'!$A:$CY,28,FALSE))),2)&amp;UPPER(IF(ISERROR(VLOOKUP(LEFT('1) Import fichier Remi (coller)'!$A50,9),'Concordance client liv et fact'!$A:$H,8,FALSE))=TRUE,VLOOKUP(LEFT('1) Import fichier Remi (coller)'!$A50,9)+0,'Clients R2'!$A:$CY,29,FALSE),VLOOKUP(VLOOKUP(LEFT('1) Import fichier Remi (coller)'!$A50,9),'Concordance client liv et fact'!$A:$H,7,FALSE)+0,'Clients R2'!$A:$CY,29,FALSE))))</f>
        <v>B 4000</v>
      </c>
      <c r="U50" t="str">
        <f>IF($A50="","",PROPER(IF(ISERROR(VLOOKUP(LEFT('1) Import fichier Remi (coller)'!$A50,9),'Concordance client liv et fact'!$A:$H,8,FALSE))=TRUE,VLOOKUP(LEFT('1) Import fichier Remi (coller)'!$A50,9)+0,'Clients R2'!$A:$CY,30,FALSE),VLOOKUP(VLOOKUP(LEFT('1) Import fichier Remi (coller)'!$A50,9),'Concordance client liv et fact'!$A:$H,7,FALSE)+0,'Clients R2'!$A:$CY,30,FALSE))))</f>
        <v xml:space="preserve">Liege                         </v>
      </c>
      <c r="V50" t="str">
        <f>IF($A50="","",LEFT(UPPER(IF(ISERROR(VLOOKUP(LEFT('1) Import fichier Remi (coller)'!$A50,9),'Concordance client liv et fact'!$A:$H,8,FALSE))=TRUE,IF(VLOOKUP(LEFT('1) Import fichier Remi (coller)'!$A50,9)+0,'Clients R2'!$A:$CY,22,FALSE)=4,"NA",VLOOKUP(LEFT('1) Import fichier Remi (coller)'!$A50,9)+0,'Clients R2'!$A:$CY,3,FALSE)),IF(VLOOKUP(VLOOKUP(LEFT('1) Import fichier Remi (coller)'!$A50,9),'Concordance client liv et fact'!$A:$H,7,FALSE)+0,'Clients R2'!$A:$CY,22,FALSE)=4,"NA",VLOOKUP(VLOOKUP(LEFT('1) Import fichier Remi (coller)'!$A50,9),'Concordance client liv et fact'!$A:$H,7,FALSE)+0,'Clients R2'!$A:$CY,3,FALSE)))),2))</f>
        <v>BE</v>
      </c>
      <c r="W50" s="27"/>
      <c r="X50" s="27" t="str">
        <f>IF($A50="","",IF(ISERROR(VLOOKUP(LEFT('1) Import fichier Remi (coller)'!$A50,9),'Concordance client liv et fact'!$A:$H,8,FALSE))=TRUE,VLOOKUP(LEFT('1) Import fichier Remi (coller)'!$A50,9)+0,'Clients R2'!$A:$CY,102,FALSE),VLOOKUP(VLOOKUP(LEFT('1) Import fichier Remi (coller)'!$A50,9),'Concordance client liv et fact'!$A:$H,7,FALSE)+0,'Clients R2'!$A:$CY,102,FALSE)))</f>
        <v xml:space="preserve">finance@ibdsolutions.eu                 </v>
      </c>
      <c r="Y50" t="str">
        <f>IF(A50="","",VLOOKUP(A50,'Libellés PDF'!$A$2:$B$5,2,FALSE)&amp;F50&amp;".PDF")</f>
        <v>CF11261537.PDF</v>
      </c>
      <c r="Z50" t="str">
        <f>IF(A50="","",IF(OR(H50="705099999",H50="705001002"),VLOOKUP('1) Import fichier Remi (coller)'!J50,'Analytique personnel'!$A:$B,2,FALSE),""))</f>
        <v>BMELIN</v>
      </c>
      <c r="AA50" t="str">
        <f>IF($A50="VE11","",IF(LEFT($H50,4)="7050","",IF('1) Import fichier Remi (coller)'!M50="","",'1) Import fichier Remi (coller)'!M50)))</f>
        <v/>
      </c>
      <c r="AB50" t="str">
        <f>IF($A50="VE11","",IF(LEFT($H50,4)="7050","",IF('1) Import fichier Remi (coller)'!N50="","",'1) Import fichier Remi (coller)'!N50)))</f>
        <v/>
      </c>
      <c r="AC50" t="str">
        <f>IF(A50="","",VLOOKUP(LEFT('1) Import fichier Remi (coller)'!A50,9)+0,'Concordance Client R2 BOB'!$B:$C,2,FALSE))</f>
        <v>IBDSOLUTI</v>
      </c>
    </row>
    <row r="51" spans="1:29" ht="18.75" customHeight="1" x14ac:dyDescent="0.25">
      <c r="A51" t="str">
        <f>IF('1) Import fichier Remi (coller)'!D51="","",'1) Import fichier Remi (coller)'!D51)</f>
        <v>VE11</v>
      </c>
      <c r="B51">
        <f>IF(A51="","",YEAR('1) Import fichier Remi (coller)'!F51))</f>
        <v>2026</v>
      </c>
      <c r="C51">
        <f>IF(A51="","",MONTH('1) Import fichier Remi (coller)'!F51))</f>
        <v>9</v>
      </c>
      <c r="D51" s="1">
        <f>IF(A51="","",'1) Import fichier Remi (coller)'!F51)</f>
        <v>46281</v>
      </c>
      <c r="E51" s="1">
        <f>IF(A51="","",'1) Import fichier Remi (coller)'!G51)</f>
        <v>46281</v>
      </c>
      <c r="F51" t="str">
        <f>IF(A51="","",'1) Import fichier Remi (coller)'!E51)</f>
        <v>11261538</v>
      </c>
      <c r="G51" t="str">
        <f>IF(A51="","",IF(ISERROR(VLOOKUP(LEFT('1) Import fichier Remi (coller)'!A51,9),'Concordance client liv et fact'!$A:$H,8,FALSE))=TRUE,'1) Import fichier Remi (coller)'!B51,VLOOKUP(LEFT('1) Import fichier Remi (coller)'!A51,9),'Concordance client liv et fact'!$A:$H,8,FALSE)))</f>
        <v>MARCCV11QY</v>
      </c>
      <c r="H51" t="str">
        <f>IF(A51="","",IF(ISERROR(VLOOKUP('1) Import fichier Remi (coller)'!K51&amp;" - "&amp;'1) Import fichier Remi (coller)'!L51,'Spécifique comptes'!$A:$G,1,FALSE))=TRUE,'1) Import fichier Remi (coller)'!V51,VLOOKUP('1) Import fichier Remi (coller)'!K51&amp;" - "&amp;'1) Import fichier Remi (coller)'!L51,'Spécifique comptes'!$A:$G,IF(LEFT('2) BOB compta (completer-forcer'!F51,2)="11",4,IF(LEFT('2) BOB compta (completer-forcer'!F51,2)="12",5,IF(LEFT('2) BOB compta (completer-forcer'!F51,2)="13",6,IF(LEFT('2) BOB compta (completer-forcer'!F51,2)="15",7,"Erreur Compte")))),FALSE)))</f>
        <v>705099999</v>
      </c>
      <c r="I51" s="26" t="str">
        <f>IF(A51="","",IF(H51="70100000",'1) Import fichier Remi (coller)'!J51,'1) Import fichier Remi (coller)'!U51))</f>
        <v>+++003/7261/53855+++</v>
      </c>
      <c r="J51" s="26" t="str">
        <f>IF(A51="","",'1) Import fichier Remi (coller)'!U51)</f>
        <v>+++003/7261/53855+++</v>
      </c>
      <c r="K51" s="17">
        <f t="shared" si="1"/>
        <v>28.740000000000002</v>
      </c>
      <c r="L51" t="str">
        <f t="shared" si="0"/>
        <v>V</v>
      </c>
      <c r="M51" s="14">
        <f>IF(A51="","",'1) Import fichier Remi (coller)'!S51)</f>
        <v>21</v>
      </c>
      <c r="N51" s="17">
        <f>IF($A51="","",IF(OR($A51="NCV",$A51="NC15"),-'1) Import fichier Remi (coller)'!R51,'1) Import fichier Remi (coller)'!R51))</f>
        <v>23.75</v>
      </c>
      <c r="O51" s="17">
        <f>IF($A51="","",IF(OR($A51="NCV",$A51="NC15"),-'1) Import fichier Remi (coller)'!T51,'1) Import fichier Remi (coller)'!T51))</f>
        <v>4.99</v>
      </c>
      <c r="R51" t="str">
        <f>IF($A51="","",IF(ISERROR(VLOOKUP(LEFT('1) Import fichier Remi (coller)'!$A51,9),'Concordance client liv et fact'!$A:$H,8,FALSE))=TRUE,VLOOKUP(LEFT('1) Import fichier Remi (coller)'!$A51,9)+0,'Clients R2'!$A:$CY,2,FALSE),VLOOKUP(VLOOKUP(LEFT('1) Import fichier Remi (coller)'!$A51,9),'Concordance client liv et fact'!$A:$H,7,FALSE)+0,'Clients R2'!$A:$CY,2,FALSE)))</f>
        <v>MARCOURT RAPHAELLE</v>
      </c>
      <c r="S51" t="str">
        <f>IF($A51="","",PROPER(IF(ISERROR(VLOOKUP(LEFT('1) Import fichier Remi (coller)'!$A51,9),'Concordance client liv et fact'!$A:$H,8,FALSE))=TRUE,VLOOKUP(LEFT('1) Import fichier Remi (coller)'!$A51,9)+0,'Clients R2'!$A:$CY,27,FALSE),VLOOKUP(VLOOKUP(LEFT('1) Import fichier Remi (coller)'!$A51,9),'Concordance client liv et fact'!$A:$H,7,FALSE)+0,'Clients R2'!$A:$CY,27,FALSE))))</f>
        <v>Avenue Blonden 54/51</v>
      </c>
      <c r="T51" t="str">
        <f>IF($A51="","",LEFT(UPPER(IF(ISERROR(VLOOKUP(LEFT('1) Import fichier Remi (coller)'!$A51,9),'Concordance client liv et fact'!$A:$H,8,FALSE))=TRUE,VLOOKUP(LEFT('1) Import fichier Remi (coller)'!$A51,9)+0,'Clients R2'!$A:$CY,28,FALSE),VLOOKUP(VLOOKUP(LEFT('1) Import fichier Remi (coller)'!$A51,9),'Concordance client liv et fact'!$A:$H,7,FALSE)+0,'Clients R2'!$A:$CY,28,FALSE))),2)&amp;UPPER(IF(ISERROR(VLOOKUP(LEFT('1) Import fichier Remi (coller)'!$A51,9),'Concordance client liv et fact'!$A:$H,8,FALSE))=TRUE,VLOOKUP(LEFT('1) Import fichier Remi (coller)'!$A51,9)+0,'Clients R2'!$A:$CY,29,FALSE),VLOOKUP(VLOOKUP(LEFT('1) Import fichier Remi (coller)'!$A51,9),'Concordance client liv et fact'!$A:$H,7,FALSE)+0,'Clients R2'!$A:$CY,29,FALSE))))</f>
        <v>B 4000</v>
      </c>
      <c r="U51" t="str">
        <f>IF($A51="","",PROPER(IF(ISERROR(VLOOKUP(LEFT('1) Import fichier Remi (coller)'!$A51,9),'Concordance client liv et fact'!$A:$H,8,FALSE))=TRUE,VLOOKUP(LEFT('1) Import fichier Remi (coller)'!$A51,9)+0,'Clients R2'!$A:$CY,30,FALSE),VLOOKUP(VLOOKUP(LEFT('1) Import fichier Remi (coller)'!$A51,9),'Concordance client liv et fact'!$A:$H,7,FALSE)+0,'Clients R2'!$A:$CY,30,FALSE))))</f>
        <v xml:space="preserve">Liege                         </v>
      </c>
      <c r="V51" t="str">
        <f>IF($A51="","",LEFT(UPPER(IF(ISERROR(VLOOKUP(LEFT('1) Import fichier Remi (coller)'!$A51,9),'Concordance client liv et fact'!$A:$H,8,FALSE))=TRUE,IF(VLOOKUP(LEFT('1) Import fichier Remi (coller)'!$A51,9)+0,'Clients R2'!$A:$CY,22,FALSE)=4,"NA",VLOOKUP(LEFT('1) Import fichier Remi (coller)'!$A51,9)+0,'Clients R2'!$A:$CY,3,FALSE)),IF(VLOOKUP(VLOOKUP(LEFT('1) Import fichier Remi (coller)'!$A51,9),'Concordance client liv et fact'!$A:$H,7,FALSE)+0,'Clients R2'!$A:$CY,22,FALSE)=4,"NA",VLOOKUP(VLOOKUP(LEFT('1) Import fichier Remi (coller)'!$A51,9),'Concordance client liv et fact'!$A:$H,7,FALSE)+0,'Clients R2'!$A:$CY,3,FALSE)))),2))</f>
        <v>BE</v>
      </c>
      <c r="W51" s="27"/>
      <c r="X51" s="27">
        <f>IF($A51="","",IF(ISERROR(VLOOKUP(LEFT('1) Import fichier Remi (coller)'!$A51,9),'Concordance client liv et fact'!$A:$H,8,FALSE))=TRUE,VLOOKUP(LEFT('1) Import fichier Remi (coller)'!$A51,9)+0,'Clients R2'!$A:$CY,102,FALSE),VLOOKUP(VLOOKUP(LEFT('1) Import fichier Remi (coller)'!$A51,9),'Concordance client liv et fact'!$A:$H,7,FALSE)+0,'Clients R2'!$A:$CY,102,FALSE)))</f>
        <v>0</v>
      </c>
      <c r="Y51" t="str">
        <f>IF(A51="","",VLOOKUP(A51,'Libellés PDF'!$A$2:$B$5,2,FALSE)&amp;F51&amp;".PDF")</f>
        <v>CF11261538.PDF</v>
      </c>
      <c r="Z51" t="str">
        <f>IF(A51="","",IF(OR(H51="705099999",H51="705001002"),VLOOKUP('1) Import fichier Remi (coller)'!J51,'Analytique personnel'!$A:$B,2,FALSE),""))</f>
        <v>GDUHOUX</v>
      </c>
      <c r="AA51" t="str">
        <f>IF($A51="VE11","",IF(LEFT($H51,4)="7050","",IF('1) Import fichier Remi (coller)'!M51="","",'1) Import fichier Remi (coller)'!M51)))</f>
        <v/>
      </c>
      <c r="AB51" t="str">
        <f>IF($A51="VE11","",IF(LEFT($H51,4)="7050","",IF('1) Import fichier Remi (coller)'!N51="","",'1) Import fichier Remi (coller)'!N51)))</f>
        <v/>
      </c>
      <c r="AC51" t="str">
        <f>IF(A51="","",VLOOKUP(LEFT('1) Import fichier Remi (coller)'!A51,9)+0,'Concordance Client R2 BOB'!$B:$C,2,FALSE))</f>
        <v>MARCCV11QY</v>
      </c>
    </row>
    <row r="725" spans="1:29" ht="18.75" customHeight="1" x14ac:dyDescent="0.25">
      <c r="A725" t="str">
        <f>IF('1) Import fichier Remi (coller)'!D725="","",'1) Import fichier Remi (coller)'!D725)</f>
        <v/>
      </c>
      <c r="B725" t="str">
        <f>IF(A725="","",YEAR('1) Import fichier Remi (coller)'!F725))</f>
        <v/>
      </c>
      <c r="C725" t="str">
        <f>IF(A725="","",MONTH('1) Import fichier Remi (coller)'!F725))</f>
        <v/>
      </c>
      <c r="D725" s="1" t="str">
        <f>IF(A725="","",'1) Import fichier Remi (coller)'!F725)</f>
        <v/>
      </c>
      <c r="E725" s="1" t="str">
        <f>IF(A725="","",'1) Import fichier Remi (coller)'!G725)</f>
        <v/>
      </c>
      <c r="F725" t="str">
        <f>IF(A725="","",'1) Import fichier Remi (coller)'!E725)</f>
        <v/>
      </c>
      <c r="G725" t="str">
        <f>IF(A725="","",IF(ISERROR(VLOOKUP(LEFT('1) Import fichier Remi (coller)'!A725,9),'Concordance client liv et fact'!$A:$H,8,FALSE))=TRUE,'1) Import fichier Remi (coller)'!B725,VLOOKUP(LEFT('1) Import fichier Remi (coller)'!A725,9),'Concordance client liv et fact'!$A:$H,8,FALSE)))</f>
        <v/>
      </c>
      <c r="H725" t="str">
        <f>IF(A725="","",IF(ISERROR(VLOOKUP('1) Import fichier Remi (coller)'!K725&amp;" - "&amp;'1) Import fichier Remi (coller)'!L725,'Spécifique comptes'!$A:$G,1,FALSE))=TRUE,'1) Import fichier Remi (coller)'!V725,VLOOKUP('1) Import fichier Remi (coller)'!K725&amp;" - "&amp;'1) Import fichier Remi (coller)'!L725,'Spécifique comptes'!$A:$G,IF(LEFT('2) BOB compta (completer-forcer'!F725,2)="11",4,IF(LEFT('2) BOB compta (completer-forcer'!F725,2)="12",5,IF(LEFT('2) BOB compta (completer-forcer'!F725,2)="13",6,IF(LEFT('2) BOB compta (completer-forcer'!F725,2)="15",7,"Erreur Compte")))),FALSE)))</f>
        <v/>
      </c>
      <c r="I725" s="26" t="str">
        <f>IF(A725="","",IF(H725="70100000",'1) Import fichier Remi (coller)'!J725,'1) Import fichier Remi (coller)'!U725))</f>
        <v/>
      </c>
      <c r="J725" s="26" t="str">
        <f>IF(A725="","",'1) Import fichier Remi (coller)'!U725)</f>
        <v/>
      </c>
      <c r="K725" s="17" t="str">
        <f>IF(A725="","",SUMIFS(N:N,A:A,A725,F:F,F725)+SUMIFS(O:O,A:A,A725,F:F,F725))</f>
        <v/>
      </c>
      <c r="L725" t="str">
        <f t="shared" ref="L725:L774" si="2">IF(A725="","",IF(LEFT(T725,1)="B","V","PRT"))</f>
        <v/>
      </c>
      <c r="M725" s="14" t="str">
        <f>IF(A725="","",'1) Import fichier Remi (coller)'!S725)</f>
        <v/>
      </c>
      <c r="N725" s="17" t="str">
        <f>IF($A725="","",IF(OR($A725="NCV",$A725="NC15"),-'1) Import fichier Remi (coller)'!R725,'1) Import fichier Remi (coller)'!R725))</f>
        <v/>
      </c>
      <c r="O725" s="17" t="str">
        <f>IF($A725="","",IF(OR($A725="NCV",$A725="NC15"),-'1) Import fichier Remi (coller)'!T725,'1) Import fichier Remi (coller)'!T725))</f>
        <v/>
      </c>
      <c r="R725" t="str">
        <f>IF($A725="","",IF(ISERROR(VLOOKUP(LEFT('1) Import fichier Remi (coller)'!$A725,9),'Concordance client liv et fact'!$A:$H,8,FALSE))=TRUE,VLOOKUP(LEFT('1) Import fichier Remi (coller)'!$A725,9)+0,'Clients R2'!$A:$CY,2,FALSE),VLOOKUP(VLOOKUP(LEFT('1) Import fichier Remi (coller)'!$A725,9),'Concordance client liv et fact'!$A:$H,7,FALSE)+0,'Clients R2'!$A:$CY,2,FALSE)))</f>
        <v/>
      </c>
      <c r="S725" t="str">
        <f>IF($A725="","",PROPER(IF(ISERROR(VLOOKUP(LEFT('1) Import fichier Remi (coller)'!$A725,9),'Concordance client liv et fact'!$A:$H,8,FALSE))=TRUE,VLOOKUP(LEFT('1) Import fichier Remi (coller)'!$A725,9)+0,'Clients R2'!$A:$CY,27,FALSE),VLOOKUP(VLOOKUP(LEFT('1) Import fichier Remi (coller)'!$A725,9),'Concordance client liv et fact'!$A:$H,7,FALSE)+0,'Clients R2'!$A:$CY,27,FALSE))))</f>
        <v/>
      </c>
      <c r="T725" t="str">
        <f>IF($A725="","",LEFT(UPPER(IF(ISERROR(VLOOKUP(LEFT('1) Import fichier Remi (coller)'!$A725,9),'Concordance client liv et fact'!$A:$H,8,FALSE))=TRUE,VLOOKUP(LEFT('1) Import fichier Remi (coller)'!$A725,9)+0,'Clients R2'!$A:$CY,28,FALSE),VLOOKUP(VLOOKUP(LEFT('1) Import fichier Remi (coller)'!$A725,9),'Concordance client liv et fact'!$A:$H,7,FALSE)+0,'Clients R2'!$A:$CY,28,FALSE))),2)&amp;UPPER(IF(ISERROR(VLOOKUP(LEFT('1) Import fichier Remi (coller)'!$A725,9),'Concordance client liv et fact'!$A:$H,8,FALSE))=TRUE,VLOOKUP(LEFT('1) Import fichier Remi (coller)'!$A725,9)+0,'Clients R2'!$A:$CY,29,FALSE),VLOOKUP(VLOOKUP(LEFT('1) Import fichier Remi (coller)'!$A725,9),'Concordance client liv et fact'!$A:$H,7,FALSE)+0,'Clients R2'!$A:$CY,29,FALSE))))</f>
        <v/>
      </c>
      <c r="U725" t="str">
        <f>IF($A725="","",PROPER(IF(ISERROR(VLOOKUP(LEFT('1) Import fichier Remi (coller)'!$A725,9),'Concordance client liv et fact'!$A:$H,8,FALSE))=TRUE,VLOOKUP(LEFT('1) Import fichier Remi (coller)'!$A725,9)+0,'Clients R2'!$A:$CY,30,FALSE),VLOOKUP(VLOOKUP(LEFT('1) Import fichier Remi (coller)'!$A725,9),'Concordance client liv et fact'!$A:$H,7,FALSE)+0,'Clients R2'!$A:$CY,30,FALSE))))</f>
        <v/>
      </c>
      <c r="V725" t="str">
        <f>IF($A725="","",LEFT(UPPER(IF(ISERROR(VLOOKUP(LEFT('1) Import fichier Remi (coller)'!$A725,9),'Concordance client liv et fact'!$A:$H,8,FALSE))=TRUE,IF(VLOOKUP(LEFT('1) Import fichier Remi (coller)'!$A725,9)+0,'Clients R2'!$A:$CY,22,FALSE)=4,"NA",VLOOKUP(LEFT('1) Import fichier Remi (coller)'!$A725,9)+0,'Clients R2'!$A:$CY,3,FALSE)),IF(VLOOKUP(VLOOKUP(LEFT('1) Import fichier Remi (coller)'!$A725,9),'Concordance client liv et fact'!$A:$H,7,FALSE)+0,'Clients R2'!$A:$CY,22,FALSE)=4,"NA",VLOOKUP(VLOOKUP(LEFT('1) Import fichier Remi (coller)'!$A725,9),'Concordance client liv et fact'!$A:$H,7,FALSE)+0,'Clients R2'!$A:$CY,3,FALSE)))),2))</f>
        <v/>
      </c>
      <c r="W725" s="27"/>
      <c r="X725" s="48" t="s">
        <v>8195</v>
      </c>
      <c r="Y725" t="str">
        <f>IF(A725="","",VLOOKUP(A725,'Libellés PDF'!$A$2:$B$5,2,FALSE)&amp;F725&amp;".PDF")</f>
        <v/>
      </c>
      <c r="Z725" t="str">
        <f>IF(A725="","",IF(OR(H725="705099999",H725="705001002"),VLOOKUP('1) Import fichier Remi (coller)'!J725,'Analytique personnel'!$A:$B,2,FALSE),""))</f>
        <v/>
      </c>
      <c r="AA725" t="str">
        <f>IF($A725="VE11","",IF(LEFT($H725,4)="7050","",IF('1) Import fichier Remi (coller)'!M725="","",'1) Import fichier Remi (coller)'!M725)))</f>
        <v/>
      </c>
      <c r="AB725" t="str">
        <f>IF($A725="VE11","",IF(LEFT($H725,4)="7050","",IF('1) Import fichier Remi (coller)'!N725="","",'1) Import fichier Remi (coller)'!N725)))</f>
        <v/>
      </c>
      <c r="AC725" t="str">
        <f>IF(A725="","",VLOOKUP(LEFT('1) Import fichier Remi (coller)'!A725,9)+0,'Concordance Client R2 BOB'!$B:$C,2,FALSE))</f>
        <v/>
      </c>
    </row>
    <row r="726" spans="1:29" ht="18.75" customHeight="1" x14ac:dyDescent="0.25">
      <c r="A726" t="str">
        <f>IF('1) Import fichier Remi (coller)'!D726="","",'1) Import fichier Remi (coller)'!D726)</f>
        <v/>
      </c>
      <c r="B726" t="str">
        <f>IF(A726="","",YEAR('1) Import fichier Remi (coller)'!F726))</f>
        <v/>
      </c>
      <c r="C726" t="str">
        <f>IF(A726="","",MONTH('1) Import fichier Remi (coller)'!F726))</f>
        <v/>
      </c>
      <c r="D726" s="1" t="str">
        <f>IF(A726="","",'1) Import fichier Remi (coller)'!F726)</f>
        <v/>
      </c>
      <c r="E726" s="1" t="str">
        <f>IF(A726="","",'1) Import fichier Remi (coller)'!G726)</f>
        <v/>
      </c>
      <c r="F726" t="str">
        <f>IF(A726="","",'1) Import fichier Remi (coller)'!E726)</f>
        <v/>
      </c>
      <c r="G726" t="str">
        <f>IF(A726="","",IF(ISERROR(VLOOKUP(LEFT('1) Import fichier Remi (coller)'!A726,9),'Concordance client liv et fact'!$A:$H,8,FALSE))=TRUE,'1) Import fichier Remi (coller)'!B726,VLOOKUP(LEFT('1) Import fichier Remi (coller)'!A726,9),'Concordance client liv et fact'!$A:$H,8,FALSE)))</f>
        <v/>
      </c>
      <c r="H726" t="str">
        <f>IF(A726="","",IF(ISERROR(VLOOKUP('1) Import fichier Remi (coller)'!K726&amp;" - "&amp;'1) Import fichier Remi (coller)'!L726,'Spécifique comptes'!$A:$G,1,FALSE))=TRUE,'1) Import fichier Remi (coller)'!V726,VLOOKUP('1) Import fichier Remi (coller)'!K726&amp;" - "&amp;'1) Import fichier Remi (coller)'!L726,'Spécifique comptes'!$A:$G,IF(LEFT('2) BOB compta (completer-forcer'!F726,2)="11",4,IF(LEFT('2) BOB compta (completer-forcer'!F726,2)="12",5,IF(LEFT('2) BOB compta (completer-forcer'!F726,2)="13",6,IF(LEFT('2) BOB compta (completer-forcer'!F726,2)="15",7,"Erreur Compte")))),FALSE)))</f>
        <v/>
      </c>
      <c r="I726" s="26" t="str">
        <f>IF(A726="","",IF(H726="70100000",'1) Import fichier Remi (coller)'!J726,'1) Import fichier Remi (coller)'!U726))</f>
        <v/>
      </c>
      <c r="J726" s="26" t="str">
        <f>IF(A726="","",'1) Import fichier Remi (coller)'!U726)</f>
        <v/>
      </c>
      <c r="K726" s="17" t="str">
        <f t="shared" ref="K726:K774" si="3">IF(A726="","",SUMIFS(N:N,A:A,A726,F:F,F726)+SUMIFS(O:O,A:A,A726,F:F,F726))</f>
        <v/>
      </c>
      <c r="L726" t="str">
        <f t="shared" si="2"/>
        <v/>
      </c>
      <c r="M726" s="14" t="str">
        <f>IF(A726="","",'1) Import fichier Remi (coller)'!S726)</f>
        <v/>
      </c>
      <c r="N726" s="17" t="str">
        <f>IF($A726="","",IF(OR($A726="NCV",$A726="NC15"),-'1) Import fichier Remi (coller)'!R726,'1) Import fichier Remi (coller)'!R726))</f>
        <v/>
      </c>
      <c r="O726" s="17" t="str">
        <f>IF($A726="","",IF(OR($A726="NCV",$A726="NC15"),-'1) Import fichier Remi (coller)'!T726,'1) Import fichier Remi (coller)'!T726))</f>
        <v/>
      </c>
      <c r="R726" t="str">
        <f>IF($A726="","",IF(ISERROR(VLOOKUP(LEFT('1) Import fichier Remi (coller)'!$A726,9),'Concordance client liv et fact'!$A:$H,8,FALSE))=TRUE,VLOOKUP(LEFT('1) Import fichier Remi (coller)'!$A726,9)+0,'Clients R2'!$A:$CY,2,FALSE),VLOOKUP(VLOOKUP(LEFT('1) Import fichier Remi (coller)'!$A726,9),'Concordance client liv et fact'!$A:$H,7,FALSE)+0,'Clients R2'!$A:$CY,2,FALSE)))</f>
        <v/>
      </c>
      <c r="S726" t="str">
        <f>IF($A726="","",PROPER(IF(ISERROR(VLOOKUP(LEFT('1) Import fichier Remi (coller)'!$A726,9),'Concordance client liv et fact'!$A:$H,8,FALSE))=TRUE,VLOOKUP(LEFT('1) Import fichier Remi (coller)'!$A726,9)+0,'Clients R2'!$A:$CY,27,FALSE),VLOOKUP(VLOOKUP(LEFT('1) Import fichier Remi (coller)'!$A726,9),'Concordance client liv et fact'!$A:$H,7,FALSE)+0,'Clients R2'!$A:$CY,27,FALSE))))</f>
        <v/>
      </c>
      <c r="T726" t="str">
        <f>IF($A726="","",LEFT(UPPER(IF(ISERROR(VLOOKUP(LEFT('1) Import fichier Remi (coller)'!$A726,9),'Concordance client liv et fact'!$A:$H,8,FALSE))=TRUE,VLOOKUP(LEFT('1) Import fichier Remi (coller)'!$A726,9)+0,'Clients R2'!$A:$CY,28,FALSE),VLOOKUP(VLOOKUP(LEFT('1) Import fichier Remi (coller)'!$A726,9),'Concordance client liv et fact'!$A:$H,7,FALSE)+0,'Clients R2'!$A:$CY,28,FALSE))),2)&amp;UPPER(IF(ISERROR(VLOOKUP(LEFT('1) Import fichier Remi (coller)'!$A726,9),'Concordance client liv et fact'!$A:$H,8,FALSE))=TRUE,VLOOKUP(LEFT('1) Import fichier Remi (coller)'!$A726,9)+0,'Clients R2'!$A:$CY,29,FALSE),VLOOKUP(VLOOKUP(LEFT('1) Import fichier Remi (coller)'!$A726,9),'Concordance client liv et fact'!$A:$H,7,FALSE)+0,'Clients R2'!$A:$CY,29,FALSE))))</f>
        <v/>
      </c>
      <c r="U726" t="str">
        <f>IF($A726="","",PROPER(IF(ISERROR(VLOOKUP(LEFT('1) Import fichier Remi (coller)'!$A726,9),'Concordance client liv et fact'!$A:$H,8,FALSE))=TRUE,VLOOKUP(LEFT('1) Import fichier Remi (coller)'!$A726,9)+0,'Clients R2'!$A:$CY,30,FALSE),VLOOKUP(VLOOKUP(LEFT('1) Import fichier Remi (coller)'!$A726,9),'Concordance client liv et fact'!$A:$H,7,FALSE)+0,'Clients R2'!$A:$CY,30,FALSE))))</f>
        <v/>
      </c>
      <c r="V726" t="str">
        <f>IF($A726="","",LEFT(UPPER(IF(ISERROR(VLOOKUP(LEFT('1) Import fichier Remi (coller)'!$A726,9),'Concordance client liv et fact'!$A:$H,8,FALSE))=TRUE,IF(VLOOKUP(LEFT('1) Import fichier Remi (coller)'!$A726,9)+0,'Clients R2'!$A:$CY,22,FALSE)=4,"NA",VLOOKUP(LEFT('1) Import fichier Remi (coller)'!$A726,9)+0,'Clients R2'!$A:$CY,3,FALSE)),IF(VLOOKUP(VLOOKUP(LEFT('1) Import fichier Remi (coller)'!$A726,9),'Concordance client liv et fact'!$A:$H,7,FALSE)+0,'Clients R2'!$A:$CY,22,FALSE)=4,"NA",VLOOKUP(VLOOKUP(LEFT('1) Import fichier Remi (coller)'!$A726,9),'Concordance client liv et fact'!$A:$H,7,FALSE)+0,'Clients R2'!$A:$CY,3,FALSE)))),2))</f>
        <v/>
      </c>
      <c r="W726" s="27"/>
      <c r="X726" s="27"/>
      <c r="Y726" t="str">
        <f>IF(A726="","",VLOOKUP(A726,'Libellés PDF'!$A$2:$B$5,2,FALSE)&amp;F726&amp;".PDF")</f>
        <v/>
      </c>
      <c r="Z726" t="str">
        <f>IF(A726="","",IF(OR(H726="705099999",H726="705001002"),VLOOKUP('1) Import fichier Remi (coller)'!J726,'Analytique personnel'!$A:$B,2,FALSE),""))</f>
        <v/>
      </c>
      <c r="AA726" t="str">
        <f>IF($A726="VE11","",IF(LEFT($H726,4)="7050","",IF('1) Import fichier Remi (coller)'!M726="","",'1) Import fichier Remi (coller)'!M726)))</f>
        <v/>
      </c>
      <c r="AB726" t="str">
        <f>IF($A726="VE11","",IF(LEFT($H726,4)="7050","",IF('1) Import fichier Remi (coller)'!N726="","",'1) Import fichier Remi (coller)'!N726)))</f>
        <v/>
      </c>
      <c r="AC726" t="str">
        <f>IF(A726="","",VLOOKUP(LEFT('1) Import fichier Remi (coller)'!A726,9)+0,'Concordance Client R2 BOB'!$B:$C,2,FALSE))</f>
        <v/>
      </c>
    </row>
    <row r="727" spans="1:29" ht="18.75" customHeight="1" x14ac:dyDescent="0.25">
      <c r="A727" t="str">
        <f>IF('1) Import fichier Remi (coller)'!D727="","",'1) Import fichier Remi (coller)'!D727)</f>
        <v/>
      </c>
      <c r="B727" t="str">
        <f>IF(A727="","",YEAR('1) Import fichier Remi (coller)'!F727))</f>
        <v/>
      </c>
      <c r="C727" t="str">
        <f>IF(A727="","",MONTH('1) Import fichier Remi (coller)'!F727))</f>
        <v/>
      </c>
      <c r="D727" s="1" t="str">
        <f>IF(A727="","",'1) Import fichier Remi (coller)'!F727)</f>
        <v/>
      </c>
      <c r="E727" s="1" t="str">
        <f>IF(A727="","",'1) Import fichier Remi (coller)'!G727)</f>
        <v/>
      </c>
      <c r="F727" t="str">
        <f>IF(A727="","",'1) Import fichier Remi (coller)'!E727)</f>
        <v/>
      </c>
      <c r="G727" t="str">
        <f>IF(A727="","",IF(ISERROR(VLOOKUP(LEFT('1) Import fichier Remi (coller)'!A727,9),'Concordance client liv et fact'!$A:$H,8,FALSE))=TRUE,'1) Import fichier Remi (coller)'!B727,VLOOKUP(LEFT('1) Import fichier Remi (coller)'!A727,9),'Concordance client liv et fact'!$A:$H,8,FALSE)))</f>
        <v/>
      </c>
      <c r="H727" t="str">
        <f>IF(A727="","",IF(ISERROR(VLOOKUP('1) Import fichier Remi (coller)'!K727&amp;" - "&amp;'1) Import fichier Remi (coller)'!L727,'Spécifique comptes'!$A:$G,1,FALSE))=TRUE,'1) Import fichier Remi (coller)'!V727,VLOOKUP('1) Import fichier Remi (coller)'!K727&amp;" - "&amp;'1) Import fichier Remi (coller)'!L727,'Spécifique comptes'!$A:$G,IF(LEFT('2) BOB compta (completer-forcer'!F727,2)="11",4,IF(LEFT('2) BOB compta (completer-forcer'!F727,2)="12",5,IF(LEFT('2) BOB compta (completer-forcer'!F727,2)="13",6,IF(LEFT('2) BOB compta (completer-forcer'!F727,2)="15",7,"Erreur Compte")))),FALSE)))</f>
        <v/>
      </c>
      <c r="I727" s="26" t="str">
        <f>IF(A727="","",IF(H727="70100000",'1) Import fichier Remi (coller)'!J727,'1) Import fichier Remi (coller)'!U727))</f>
        <v/>
      </c>
      <c r="J727" s="26" t="str">
        <f>IF(A727="","",'1) Import fichier Remi (coller)'!U727)</f>
        <v/>
      </c>
      <c r="K727" s="17" t="str">
        <f t="shared" si="3"/>
        <v/>
      </c>
      <c r="L727" t="str">
        <f t="shared" si="2"/>
        <v/>
      </c>
      <c r="M727" s="14" t="str">
        <f>IF(A727="","",'1) Import fichier Remi (coller)'!S727)</f>
        <v/>
      </c>
      <c r="N727" s="17" t="str">
        <f>IF($A727="","",IF(OR($A727="NCV",$A727="NC15"),-'1) Import fichier Remi (coller)'!R727,'1) Import fichier Remi (coller)'!R727))</f>
        <v/>
      </c>
      <c r="O727" s="17" t="str">
        <f>IF($A727="","",IF(OR($A727="NCV",$A727="NC15"),-'1) Import fichier Remi (coller)'!T727,'1) Import fichier Remi (coller)'!T727))</f>
        <v/>
      </c>
      <c r="R727" t="str">
        <f>IF($A727="","",IF(ISERROR(VLOOKUP(LEFT('1) Import fichier Remi (coller)'!$A727,9),'Concordance client liv et fact'!$A:$H,8,FALSE))=TRUE,VLOOKUP(LEFT('1) Import fichier Remi (coller)'!$A727,9)+0,'Clients R2'!$A:$CY,2,FALSE),VLOOKUP(VLOOKUP(LEFT('1) Import fichier Remi (coller)'!$A727,9),'Concordance client liv et fact'!$A:$H,7,FALSE)+0,'Clients R2'!$A:$CY,2,FALSE)))</f>
        <v/>
      </c>
      <c r="S727" t="str">
        <f>IF($A727="","",PROPER(IF(ISERROR(VLOOKUP(LEFT('1) Import fichier Remi (coller)'!$A727,9),'Concordance client liv et fact'!$A:$H,8,FALSE))=TRUE,VLOOKUP(LEFT('1) Import fichier Remi (coller)'!$A727,9)+0,'Clients R2'!$A:$CY,27,FALSE),VLOOKUP(VLOOKUP(LEFT('1) Import fichier Remi (coller)'!$A727,9),'Concordance client liv et fact'!$A:$H,7,FALSE)+0,'Clients R2'!$A:$CY,27,FALSE))))</f>
        <v/>
      </c>
      <c r="T727" t="str">
        <f>IF($A727="","",LEFT(UPPER(IF(ISERROR(VLOOKUP(LEFT('1) Import fichier Remi (coller)'!$A727,9),'Concordance client liv et fact'!$A:$H,8,FALSE))=TRUE,VLOOKUP(LEFT('1) Import fichier Remi (coller)'!$A727,9)+0,'Clients R2'!$A:$CY,28,FALSE),VLOOKUP(VLOOKUP(LEFT('1) Import fichier Remi (coller)'!$A727,9),'Concordance client liv et fact'!$A:$H,7,FALSE)+0,'Clients R2'!$A:$CY,28,FALSE))),2)&amp;UPPER(IF(ISERROR(VLOOKUP(LEFT('1) Import fichier Remi (coller)'!$A727,9),'Concordance client liv et fact'!$A:$H,8,FALSE))=TRUE,VLOOKUP(LEFT('1) Import fichier Remi (coller)'!$A727,9)+0,'Clients R2'!$A:$CY,29,FALSE),VLOOKUP(VLOOKUP(LEFT('1) Import fichier Remi (coller)'!$A727,9),'Concordance client liv et fact'!$A:$H,7,FALSE)+0,'Clients R2'!$A:$CY,29,FALSE))))</f>
        <v/>
      </c>
      <c r="U727" t="str">
        <f>IF($A727="","",PROPER(IF(ISERROR(VLOOKUP(LEFT('1) Import fichier Remi (coller)'!$A727,9),'Concordance client liv et fact'!$A:$H,8,FALSE))=TRUE,VLOOKUP(LEFT('1) Import fichier Remi (coller)'!$A727,9)+0,'Clients R2'!$A:$CY,30,FALSE),VLOOKUP(VLOOKUP(LEFT('1) Import fichier Remi (coller)'!$A727,9),'Concordance client liv et fact'!$A:$H,7,FALSE)+0,'Clients R2'!$A:$CY,30,FALSE))))</f>
        <v/>
      </c>
      <c r="V727" t="str">
        <f>IF($A727="","",LEFT(UPPER(IF(ISERROR(VLOOKUP(LEFT('1) Import fichier Remi (coller)'!$A727,9),'Concordance client liv et fact'!$A:$H,8,FALSE))=TRUE,IF(VLOOKUP(LEFT('1) Import fichier Remi (coller)'!$A727,9)+0,'Clients R2'!$A:$CY,22,FALSE)=4,"NA",VLOOKUP(LEFT('1) Import fichier Remi (coller)'!$A727,9)+0,'Clients R2'!$A:$CY,3,FALSE)),IF(VLOOKUP(VLOOKUP(LEFT('1) Import fichier Remi (coller)'!$A727,9),'Concordance client liv et fact'!$A:$H,7,FALSE)+0,'Clients R2'!$A:$CY,22,FALSE)=4,"NA",VLOOKUP(VLOOKUP(LEFT('1) Import fichier Remi (coller)'!$A727,9),'Concordance client liv et fact'!$A:$H,7,FALSE)+0,'Clients R2'!$A:$CY,3,FALSE)))),2))</f>
        <v/>
      </c>
      <c r="W727" s="27"/>
      <c r="X727" s="27"/>
      <c r="Y727" t="str">
        <f>IF(A727="","",VLOOKUP(A727,'Libellés PDF'!$A$2:$B$5,2,FALSE)&amp;F727&amp;".PDF")</f>
        <v/>
      </c>
      <c r="Z727" t="s">
        <v>467</v>
      </c>
      <c r="AA727" t="str">
        <f>IF($A727="VE11","",IF(LEFT($H727,4)="7050","",IF('1) Import fichier Remi (coller)'!M727="","",'1) Import fichier Remi (coller)'!M727)))</f>
        <v/>
      </c>
      <c r="AB727" t="str">
        <f>IF($A727="VE11","",IF(LEFT($H727,4)="7050","",IF('1) Import fichier Remi (coller)'!N727="","",'1) Import fichier Remi (coller)'!N727)))</f>
        <v/>
      </c>
      <c r="AC727" t="str">
        <f>IF(A727="","",VLOOKUP(LEFT('1) Import fichier Remi (coller)'!A727,9)+0,'Concordance Client R2 BOB'!$B:$C,2,FALSE))</f>
        <v/>
      </c>
    </row>
    <row r="728" spans="1:29" ht="18.75" customHeight="1" x14ac:dyDescent="0.25">
      <c r="A728" t="str">
        <f>IF('1) Import fichier Remi (coller)'!D728="","",'1) Import fichier Remi (coller)'!D728)</f>
        <v/>
      </c>
      <c r="B728" t="str">
        <f>IF(A728="","",YEAR('1) Import fichier Remi (coller)'!F728))</f>
        <v/>
      </c>
      <c r="C728" t="str">
        <f>IF(A728="","",MONTH('1) Import fichier Remi (coller)'!F728))</f>
        <v/>
      </c>
      <c r="D728" s="1" t="str">
        <f>IF(A728="","",'1) Import fichier Remi (coller)'!F728)</f>
        <v/>
      </c>
      <c r="E728" s="1" t="str">
        <f>IF(A728="","",'1) Import fichier Remi (coller)'!G728)</f>
        <v/>
      </c>
      <c r="F728" t="str">
        <f>IF(A728="","",'1) Import fichier Remi (coller)'!E728)</f>
        <v/>
      </c>
      <c r="G728" t="str">
        <f>IF(A728="","",IF(ISERROR(VLOOKUP(LEFT('1) Import fichier Remi (coller)'!A728,9),'Concordance client liv et fact'!$A:$H,8,FALSE))=TRUE,'1) Import fichier Remi (coller)'!B728,VLOOKUP(LEFT('1) Import fichier Remi (coller)'!A728,9),'Concordance client liv et fact'!$A:$H,8,FALSE)))</f>
        <v/>
      </c>
      <c r="H728" t="str">
        <f>IF(A728="","",IF(ISERROR(VLOOKUP('1) Import fichier Remi (coller)'!K728&amp;" - "&amp;'1) Import fichier Remi (coller)'!L728,'Spécifique comptes'!$A:$G,1,FALSE))=TRUE,'1) Import fichier Remi (coller)'!V728,VLOOKUP('1) Import fichier Remi (coller)'!K728&amp;" - "&amp;'1) Import fichier Remi (coller)'!L728,'Spécifique comptes'!$A:$G,IF(LEFT('2) BOB compta (completer-forcer'!F728,2)="11",4,IF(LEFT('2) BOB compta (completer-forcer'!F728,2)="12",5,IF(LEFT('2) BOB compta (completer-forcer'!F728,2)="13",6,IF(LEFT('2) BOB compta (completer-forcer'!F728,2)="15",7,"Erreur Compte")))),FALSE)))</f>
        <v/>
      </c>
      <c r="I728" s="26" t="str">
        <f>IF(A728="","",IF(H728="70100000",'1) Import fichier Remi (coller)'!J728,'1) Import fichier Remi (coller)'!U728))</f>
        <v/>
      </c>
      <c r="J728" s="26" t="str">
        <f>IF(A728="","",'1) Import fichier Remi (coller)'!U728)</f>
        <v/>
      </c>
      <c r="K728" s="17" t="str">
        <f t="shared" si="3"/>
        <v/>
      </c>
      <c r="L728" t="str">
        <f t="shared" si="2"/>
        <v/>
      </c>
      <c r="M728" s="14" t="str">
        <f>IF(A728="","",'1) Import fichier Remi (coller)'!S728)</f>
        <v/>
      </c>
      <c r="N728" s="17" t="str">
        <f>IF($A728="","",IF(OR($A728="NCV",$A728="NC15"),-'1) Import fichier Remi (coller)'!R728,'1) Import fichier Remi (coller)'!R728))</f>
        <v/>
      </c>
      <c r="O728" s="17" t="str">
        <f>IF($A728="","",IF(OR($A728="NCV",$A728="NC15"),-'1) Import fichier Remi (coller)'!T728,'1) Import fichier Remi (coller)'!T728))</f>
        <v/>
      </c>
      <c r="R728" t="str">
        <f>IF($A728="","",IF(ISERROR(VLOOKUP(LEFT('1) Import fichier Remi (coller)'!$A728,9),'Concordance client liv et fact'!$A:$H,8,FALSE))=TRUE,VLOOKUP(LEFT('1) Import fichier Remi (coller)'!$A728,9)+0,'Clients R2'!$A:$CY,2,FALSE),VLOOKUP(VLOOKUP(LEFT('1) Import fichier Remi (coller)'!$A728,9),'Concordance client liv et fact'!$A:$H,7,FALSE)+0,'Clients R2'!$A:$CY,2,FALSE)))</f>
        <v/>
      </c>
      <c r="S728" t="str">
        <f>IF($A728="","",PROPER(IF(ISERROR(VLOOKUP(LEFT('1) Import fichier Remi (coller)'!$A728,9),'Concordance client liv et fact'!$A:$H,8,FALSE))=TRUE,VLOOKUP(LEFT('1) Import fichier Remi (coller)'!$A728,9)+0,'Clients R2'!$A:$CY,27,FALSE),VLOOKUP(VLOOKUP(LEFT('1) Import fichier Remi (coller)'!$A728,9),'Concordance client liv et fact'!$A:$H,7,FALSE)+0,'Clients R2'!$A:$CY,27,FALSE))))</f>
        <v/>
      </c>
      <c r="T728" t="str">
        <f>IF($A728="","",LEFT(UPPER(IF(ISERROR(VLOOKUP(LEFT('1) Import fichier Remi (coller)'!$A728,9),'Concordance client liv et fact'!$A:$H,8,FALSE))=TRUE,VLOOKUP(LEFT('1) Import fichier Remi (coller)'!$A728,9)+0,'Clients R2'!$A:$CY,28,FALSE),VLOOKUP(VLOOKUP(LEFT('1) Import fichier Remi (coller)'!$A728,9),'Concordance client liv et fact'!$A:$H,7,FALSE)+0,'Clients R2'!$A:$CY,28,FALSE))),2)&amp;UPPER(IF(ISERROR(VLOOKUP(LEFT('1) Import fichier Remi (coller)'!$A728,9),'Concordance client liv et fact'!$A:$H,8,FALSE))=TRUE,VLOOKUP(LEFT('1) Import fichier Remi (coller)'!$A728,9)+0,'Clients R2'!$A:$CY,29,FALSE),VLOOKUP(VLOOKUP(LEFT('1) Import fichier Remi (coller)'!$A728,9),'Concordance client liv et fact'!$A:$H,7,FALSE)+0,'Clients R2'!$A:$CY,29,FALSE))))</f>
        <v/>
      </c>
      <c r="U728" t="str">
        <f>IF($A728="","",PROPER(IF(ISERROR(VLOOKUP(LEFT('1) Import fichier Remi (coller)'!$A728,9),'Concordance client liv et fact'!$A:$H,8,FALSE))=TRUE,VLOOKUP(LEFT('1) Import fichier Remi (coller)'!$A728,9)+0,'Clients R2'!$A:$CY,30,FALSE),VLOOKUP(VLOOKUP(LEFT('1) Import fichier Remi (coller)'!$A728,9),'Concordance client liv et fact'!$A:$H,7,FALSE)+0,'Clients R2'!$A:$CY,30,FALSE))))</f>
        <v/>
      </c>
      <c r="V728" t="str">
        <f>IF($A728="","",LEFT(UPPER(IF(ISERROR(VLOOKUP(LEFT('1) Import fichier Remi (coller)'!$A728,9),'Concordance client liv et fact'!$A:$H,8,FALSE))=TRUE,IF(VLOOKUP(LEFT('1) Import fichier Remi (coller)'!$A728,9)+0,'Clients R2'!$A:$CY,22,FALSE)=4,"NA",VLOOKUP(LEFT('1) Import fichier Remi (coller)'!$A728,9)+0,'Clients R2'!$A:$CY,3,FALSE)),IF(VLOOKUP(VLOOKUP(LEFT('1) Import fichier Remi (coller)'!$A728,9),'Concordance client liv et fact'!$A:$H,7,FALSE)+0,'Clients R2'!$A:$CY,22,FALSE)=4,"NA",VLOOKUP(VLOOKUP(LEFT('1) Import fichier Remi (coller)'!$A728,9),'Concordance client liv et fact'!$A:$H,7,FALSE)+0,'Clients R2'!$A:$CY,3,FALSE)))),2))</f>
        <v/>
      </c>
      <c r="W728" s="27"/>
      <c r="X728" s="27"/>
      <c r="Y728" t="str">
        <f>IF(A728="","",VLOOKUP(A728,'Libellés PDF'!$A$2:$B$5,2,FALSE)&amp;F728&amp;".PDF")</f>
        <v/>
      </c>
      <c r="Z728" t="s">
        <v>467</v>
      </c>
      <c r="AA728" t="str">
        <f>IF($A728="VE11","",IF(LEFT($H728,4)="7050","",IF('1) Import fichier Remi (coller)'!M728="","",'1) Import fichier Remi (coller)'!M728)))</f>
        <v/>
      </c>
      <c r="AB728" t="str">
        <f>IF($A728="VE11","",IF(LEFT($H728,4)="7050","",IF('1) Import fichier Remi (coller)'!N728="","",'1) Import fichier Remi (coller)'!N728)))</f>
        <v/>
      </c>
      <c r="AC728" t="str">
        <f>IF(A728="","",VLOOKUP(LEFT('1) Import fichier Remi (coller)'!A728,9)+0,'Concordance Client R2 BOB'!$B:$C,2,FALSE))</f>
        <v/>
      </c>
    </row>
    <row r="729" spans="1:29" ht="18.75" customHeight="1" x14ac:dyDescent="0.25">
      <c r="A729" t="str">
        <f>IF('1) Import fichier Remi (coller)'!D729="","",'1) Import fichier Remi (coller)'!D729)</f>
        <v/>
      </c>
      <c r="B729" t="str">
        <f>IF(A729="","",YEAR('1) Import fichier Remi (coller)'!F729))</f>
        <v/>
      </c>
      <c r="C729" t="str">
        <f>IF(A729="","",MONTH('1) Import fichier Remi (coller)'!F729))</f>
        <v/>
      </c>
      <c r="D729" s="1" t="str">
        <f>IF(A729="","",'1) Import fichier Remi (coller)'!F729)</f>
        <v/>
      </c>
      <c r="E729" s="1" t="str">
        <f>IF(A729="","",'1) Import fichier Remi (coller)'!G729)</f>
        <v/>
      </c>
      <c r="F729" t="str">
        <f>IF(A729="","",'1) Import fichier Remi (coller)'!E729)</f>
        <v/>
      </c>
      <c r="G729" t="str">
        <f>IF(A729="","",IF(ISERROR(VLOOKUP(LEFT('1) Import fichier Remi (coller)'!A729,9),'Concordance client liv et fact'!$A:$H,8,FALSE))=TRUE,'1) Import fichier Remi (coller)'!B729,VLOOKUP(LEFT('1) Import fichier Remi (coller)'!A729,9),'Concordance client liv et fact'!$A:$H,8,FALSE)))</f>
        <v/>
      </c>
      <c r="H729" t="str">
        <f>IF(A729="","",IF(ISERROR(VLOOKUP('1) Import fichier Remi (coller)'!K729&amp;" - "&amp;'1) Import fichier Remi (coller)'!L729,'Spécifique comptes'!$A:$G,1,FALSE))=TRUE,'1) Import fichier Remi (coller)'!V729,VLOOKUP('1) Import fichier Remi (coller)'!K729&amp;" - "&amp;'1) Import fichier Remi (coller)'!L729,'Spécifique comptes'!$A:$G,IF(LEFT('2) BOB compta (completer-forcer'!F729,2)="11",4,IF(LEFT('2) BOB compta (completer-forcer'!F729,2)="12",5,IF(LEFT('2) BOB compta (completer-forcer'!F729,2)="13",6,IF(LEFT('2) BOB compta (completer-forcer'!F729,2)="15",7,"Erreur Compte")))),FALSE)))</f>
        <v/>
      </c>
      <c r="I729" s="26" t="str">
        <f>IF(A729="","",IF(H729="70100000",'1) Import fichier Remi (coller)'!J729,'1) Import fichier Remi (coller)'!U729))</f>
        <v/>
      </c>
      <c r="J729" s="26" t="str">
        <f>IF(A729="","",'1) Import fichier Remi (coller)'!U729)</f>
        <v/>
      </c>
      <c r="K729" s="17" t="str">
        <f t="shared" si="3"/>
        <v/>
      </c>
      <c r="L729" t="str">
        <f t="shared" si="2"/>
        <v/>
      </c>
      <c r="M729" s="14" t="str">
        <f>IF(A729="","",'1) Import fichier Remi (coller)'!S729)</f>
        <v/>
      </c>
      <c r="N729" s="17" t="str">
        <f>IF($A729="","",IF(OR($A729="NCV",$A729="NC15"),-'1) Import fichier Remi (coller)'!R729,'1) Import fichier Remi (coller)'!R729))</f>
        <v/>
      </c>
      <c r="O729" s="17" t="str">
        <f>IF($A729="","",IF(OR($A729="NCV",$A729="NC15"),-'1) Import fichier Remi (coller)'!T729,'1) Import fichier Remi (coller)'!T729))</f>
        <v/>
      </c>
      <c r="R729" t="str">
        <f>IF($A729="","",IF(ISERROR(VLOOKUP(LEFT('1) Import fichier Remi (coller)'!$A729,9),'Concordance client liv et fact'!$A:$H,8,FALSE))=TRUE,VLOOKUP(LEFT('1) Import fichier Remi (coller)'!$A729,9)+0,'Clients R2'!$A:$CY,2,FALSE),VLOOKUP(VLOOKUP(LEFT('1) Import fichier Remi (coller)'!$A729,9),'Concordance client liv et fact'!$A:$H,7,FALSE)+0,'Clients R2'!$A:$CY,2,FALSE)))</f>
        <v/>
      </c>
      <c r="S729" t="str">
        <f>IF($A729="","",PROPER(IF(ISERROR(VLOOKUP(LEFT('1) Import fichier Remi (coller)'!$A729,9),'Concordance client liv et fact'!$A:$H,8,FALSE))=TRUE,VLOOKUP(LEFT('1) Import fichier Remi (coller)'!$A729,9)+0,'Clients R2'!$A:$CY,27,FALSE),VLOOKUP(VLOOKUP(LEFT('1) Import fichier Remi (coller)'!$A729,9),'Concordance client liv et fact'!$A:$H,7,FALSE)+0,'Clients R2'!$A:$CY,27,FALSE))))</f>
        <v/>
      </c>
      <c r="T729" t="str">
        <f>IF($A729="","",LEFT(UPPER(IF(ISERROR(VLOOKUP(LEFT('1) Import fichier Remi (coller)'!$A729,9),'Concordance client liv et fact'!$A:$H,8,FALSE))=TRUE,VLOOKUP(LEFT('1) Import fichier Remi (coller)'!$A729,9)+0,'Clients R2'!$A:$CY,28,FALSE),VLOOKUP(VLOOKUP(LEFT('1) Import fichier Remi (coller)'!$A729,9),'Concordance client liv et fact'!$A:$H,7,FALSE)+0,'Clients R2'!$A:$CY,28,FALSE))),2)&amp;UPPER(IF(ISERROR(VLOOKUP(LEFT('1) Import fichier Remi (coller)'!$A729,9),'Concordance client liv et fact'!$A:$H,8,FALSE))=TRUE,VLOOKUP(LEFT('1) Import fichier Remi (coller)'!$A729,9)+0,'Clients R2'!$A:$CY,29,FALSE),VLOOKUP(VLOOKUP(LEFT('1) Import fichier Remi (coller)'!$A729,9),'Concordance client liv et fact'!$A:$H,7,FALSE)+0,'Clients R2'!$A:$CY,29,FALSE))))</f>
        <v/>
      </c>
      <c r="U729" t="str">
        <f>IF($A729="","",PROPER(IF(ISERROR(VLOOKUP(LEFT('1) Import fichier Remi (coller)'!$A729,9),'Concordance client liv et fact'!$A:$H,8,FALSE))=TRUE,VLOOKUP(LEFT('1) Import fichier Remi (coller)'!$A729,9)+0,'Clients R2'!$A:$CY,30,FALSE),VLOOKUP(VLOOKUP(LEFT('1) Import fichier Remi (coller)'!$A729,9),'Concordance client liv et fact'!$A:$H,7,FALSE)+0,'Clients R2'!$A:$CY,30,FALSE))))</f>
        <v/>
      </c>
      <c r="V729" t="str">
        <f>IF($A729="","",LEFT(UPPER(IF(ISERROR(VLOOKUP(LEFT('1) Import fichier Remi (coller)'!$A729,9),'Concordance client liv et fact'!$A:$H,8,FALSE))=TRUE,IF(VLOOKUP(LEFT('1) Import fichier Remi (coller)'!$A729,9)+0,'Clients R2'!$A:$CY,22,FALSE)=4,"NA",VLOOKUP(LEFT('1) Import fichier Remi (coller)'!$A729,9)+0,'Clients R2'!$A:$CY,3,FALSE)),IF(VLOOKUP(VLOOKUP(LEFT('1) Import fichier Remi (coller)'!$A729,9),'Concordance client liv et fact'!$A:$H,7,FALSE)+0,'Clients R2'!$A:$CY,22,FALSE)=4,"NA",VLOOKUP(VLOOKUP(LEFT('1) Import fichier Remi (coller)'!$A729,9),'Concordance client liv et fact'!$A:$H,7,FALSE)+0,'Clients R2'!$A:$CY,3,FALSE)))),2))</f>
        <v/>
      </c>
      <c r="W729" s="27"/>
      <c r="X729" s="27"/>
      <c r="Y729" t="str">
        <f>IF(A729="","",VLOOKUP(A729,'Libellés PDF'!$A$2:$B$5,2,FALSE)&amp;F729&amp;".PDF")</f>
        <v/>
      </c>
      <c r="Z729" t="s">
        <v>7752</v>
      </c>
      <c r="AA729" t="str">
        <f>IF($A729="VE11","",IF(LEFT($H729,4)="7050","",IF('1) Import fichier Remi (coller)'!M729="","",'1) Import fichier Remi (coller)'!M729)))</f>
        <v/>
      </c>
      <c r="AB729" t="str">
        <f>IF($A729="VE11","",IF(LEFT($H729,4)="7050","",IF('1) Import fichier Remi (coller)'!N729="","",'1) Import fichier Remi (coller)'!N729)))</f>
        <v/>
      </c>
      <c r="AC729" t="str">
        <f>IF(A729="","",VLOOKUP(LEFT('1) Import fichier Remi (coller)'!A729,9)+0,'Concordance Client R2 BOB'!$B:$C,2,FALSE))</f>
        <v/>
      </c>
    </row>
    <row r="730" spans="1:29" ht="18.75" customHeight="1" x14ac:dyDescent="0.25">
      <c r="A730" t="str">
        <f>IF('1) Import fichier Remi (coller)'!D730="","",'1) Import fichier Remi (coller)'!D730)</f>
        <v/>
      </c>
      <c r="B730" t="str">
        <f>IF(A730="","",YEAR('1) Import fichier Remi (coller)'!F730))</f>
        <v/>
      </c>
      <c r="C730" t="str">
        <f>IF(A730="","",MONTH('1) Import fichier Remi (coller)'!F730))</f>
        <v/>
      </c>
      <c r="D730" s="1" t="str">
        <f>IF(A730="","",'1) Import fichier Remi (coller)'!F730)</f>
        <v/>
      </c>
      <c r="E730" s="1" t="str">
        <f>IF(A730="","",'1) Import fichier Remi (coller)'!G730)</f>
        <v/>
      </c>
      <c r="F730" t="str">
        <f>IF(A730="","",'1) Import fichier Remi (coller)'!E730)</f>
        <v/>
      </c>
      <c r="G730" t="str">
        <f>IF(A730="","",IF(ISERROR(VLOOKUP(LEFT('1) Import fichier Remi (coller)'!A730,9),'Concordance client liv et fact'!$A:$H,8,FALSE))=TRUE,'1) Import fichier Remi (coller)'!B730,VLOOKUP(LEFT('1) Import fichier Remi (coller)'!A730,9),'Concordance client liv et fact'!$A:$H,8,FALSE)))</f>
        <v/>
      </c>
      <c r="H730" t="str">
        <f>IF(A730="","",IF(ISERROR(VLOOKUP('1) Import fichier Remi (coller)'!K730&amp;" - "&amp;'1) Import fichier Remi (coller)'!L730,'Spécifique comptes'!$A:$G,1,FALSE))=TRUE,'1) Import fichier Remi (coller)'!V730,VLOOKUP('1) Import fichier Remi (coller)'!K730&amp;" - "&amp;'1) Import fichier Remi (coller)'!L730,'Spécifique comptes'!$A:$G,IF(LEFT('2) BOB compta (completer-forcer'!F730,2)="11",4,IF(LEFT('2) BOB compta (completer-forcer'!F730,2)="12",5,IF(LEFT('2) BOB compta (completer-forcer'!F730,2)="13",6,IF(LEFT('2) BOB compta (completer-forcer'!F730,2)="15",7,"Erreur Compte")))),FALSE)))</f>
        <v/>
      </c>
      <c r="I730" s="26" t="str">
        <f>IF(A730="","",IF(H730="70100000",'1) Import fichier Remi (coller)'!J730,'1) Import fichier Remi (coller)'!U730))</f>
        <v/>
      </c>
      <c r="J730" s="26" t="str">
        <f>IF(A730="","",'1) Import fichier Remi (coller)'!U730)</f>
        <v/>
      </c>
      <c r="K730" s="17" t="str">
        <f t="shared" si="3"/>
        <v/>
      </c>
      <c r="L730" t="str">
        <f t="shared" si="2"/>
        <v/>
      </c>
      <c r="M730" s="14" t="str">
        <f>IF(A730="","",'1) Import fichier Remi (coller)'!S730)</f>
        <v/>
      </c>
      <c r="N730" s="17" t="str">
        <f>IF($A730="","",IF(OR($A730="NCV",$A730="NC15"),-'1) Import fichier Remi (coller)'!R730,'1) Import fichier Remi (coller)'!R730))</f>
        <v/>
      </c>
      <c r="O730" s="17" t="str">
        <f>IF($A730="","",IF(OR($A730="NCV",$A730="NC15"),-'1) Import fichier Remi (coller)'!T730,'1) Import fichier Remi (coller)'!T730))</f>
        <v/>
      </c>
      <c r="R730" t="str">
        <f>IF($A730="","",IF(ISERROR(VLOOKUP(LEFT('1) Import fichier Remi (coller)'!$A730,9),'Concordance client liv et fact'!$A:$H,8,FALSE))=TRUE,VLOOKUP(LEFT('1) Import fichier Remi (coller)'!$A730,9)+0,'Clients R2'!$A:$CY,2,FALSE),VLOOKUP(VLOOKUP(LEFT('1) Import fichier Remi (coller)'!$A730,9),'Concordance client liv et fact'!$A:$H,7,FALSE)+0,'Clients R2'!$A:$CY,2,FALSE)))</f>
        <v/>
      </c>
      <c r="S730" t="str">
        <f>IF($A730="","",PROPER(IF(ISERROR(VLOOKUP(LEFT('1) Import fichier Remi (coller)'!$A730,9),'Concordance client liv et fact'!$A:$H,8,FALSE))=TRUE,VLOOKUP(LEFT('1) Import fichier Remi (coller)'!$A730,9)+0,'Clients R2'!$A:$CY,27,FALSE),VLOOKUP(VLOOKUP(LEFT('1) Import fichier Remi (coller)'!$A730,9),'Concordance client liv et fact'!$A:$H,7,FALSE)+0,'Clients R2'!$A:$CY,27,FALSE))))</f>
        <v/>
      </c>
      <c r="T730" t="str">
        <f>IF($A730="","",LEFT(UPPER(IF(ISERROR(VLOOKUP(LEFT('1) Import fichier Remi (coller)'!$A730,9),'Concordance client liv et fact'!$A:$H,8,FALSE))=TRUE,VLOOKUP(LEFT('1) Import fichier Remi (coller)'!$A730,9)+0,'Clients R2'!$A:$CY,28,FALSE),VLOOKUP(VLOOKUP(LEFT('1) Import fichier Remi (coller)'!$A730,9),'Concordance client liv et fact'!$A:$H,7,FALSE)+0,'Clients R2'!$A:$CY,28,FALSE))),2)&amp;UPPER(IF(ISERROR(VLOOKUP(LEFT('1) Import fichier Remi (coller)'!$A730,9),'Concordance client liv et fact'!$A:$H,8,FALSE))=TRUE,VLOOKUP(LEFT('1) Import fichier Remi (coller)'!$A730,9)+0,'Clients R2'!$A:$CY,29,FALSE),VLOOKUP(VLOOKUP(LEFT('1) Import fichier Remi (coller)'!$A730,9),'Concordance client liv et fact'!$A:$H,7,FALSE)+0,'Clients R2'!$A:$CY,29,FALSE))))</f>
        <v/>
      </c>
      <c r="U730" t="str">
        <f>IF($A730="","",PROPER(IF(ISERROR(VLOOKUP(LEFT('1) Import fichier Remi (coller)'!$A730,9),'Concordance client liv et fact'!$A:$H,8,FALSE))=TRUE,VLOOKUP(LEFT('1) Import fichier Remi (coller)'!$A730,9)+0,'Clients R2'!$A:$CY,30,FALSE),VLOOKUP(VLOOKUP(LEFT('1) Import fichier Remi (coller)'!$A730,9),'Concordance client liv et fact'!$A:$H,7,FALSE)+0,'Clients R2'!$A:$CY,30,FALSE))))</f>
        <v/>
      </c>
      <c r="V730" t="str">
        <f>IF($A730="","",LEFT(UPPER(IF(ISERROR(VLOOKUP(LEFT('1) Import fichier Remi (coller)'!$A730,9),'Concordance client liv et fact'!$A:$H,8,FALSE))=TRUE,IF(VLOOKUP(LEFT('1) Import fichier Remi (coller)'!$A730,9)+0,'Clients R2'!$A:$CY,22,FALSE)=4,"NA",VLOOKUP(LEFT('1) Import fichier Remi (coller)'!$A730,9)+0,'Clients R2'!$A:$CY,3,FALSE)),IF(VLOOKUP(VLOOKUP(LEFT('1) Import fichier Remi (coller)'!$A730,9),'Concordance client liv et fact'!$A:$H,7,FALSE)+0,'Clients R2'!$A:$CY,22,FALSE)=4,"NA",VLOOKUP(VLOOKUP(LEFT('1) Import fichier Remi (coller)'!$A730,9),'Concordance client liv et fact'!$A:$H,7,FALSE)+0,'Clients R2'!$A:$CY,3,FALSE)))),2))</f>
        <v/>
      </c>
      <c r="W730" s="27"/>
      <c r="X730" s="48" t="s">
        <v>8196</v>
      </c>
      <c r="Y730" t="str">
        <f>IF(A730="","",VLOOKUP(A730,'Libellés PDF'!$A$2:$B$5,2,FALSE)&amp;F730&amp;".PDF")</f>
        <v/>
      </c>
      <c r="Z730" t="s">
        <v>7752</v>
      </c>
      <c r="AA730" t="str">
        <f>IF($A730="VE11","",IF(LEFT($H730,4)="7050","",IF('1) Import fichier Remi (coller)'!M730="","",'1) Import fichier Remi (coller)'!M730)))</f>
        <v/>
      </c>
      <c r="AB730" t="str">
        <f>IF($A730="VE11","",IF(LEFT($H730,4)="7050","",IF('1) Import fichier Remi (coller)'!N730="","",'1) Import fichier Remi (coller)'!N730)))</f>
        <v/>
      </c>
      <c r="AC730" t="str">
        <f>IF(A730="","",VLOOKUP(LEFT('1) Import fichier Remi (coller)'!A730,9)+0,'Concordance Client R2 BOB'!$B:$C,2,FALSE))</f>
        <v/>
      </c>
    </row>
    <row r="731" spans="1:29" ht="18.75" customHeight="1" x14ac:dyDescent="0.25">
      <c r="A731" t="str">
        <f>IF('1) Import fichier Remi (coller)'!D731="","",'1) Import fichier Remi (coller)'!D731)</f>
        <v/>
      </c>
      <c r="B731" t="str">
        <f>IF(A731="","",YEAR('1) Import fichier Remi (coller)'!F731))</f>
        <v/>
      </c>
      <c r="C731" t="str">
        <f>IF(A731="","",MONTH('1) Import fichier Remi (coller)'!F731))</f>
        <v/>
      </c>
      <c r="D731" s="1" t="str">
        <f>IF(A731="","",'1) Import fichier Remi (coller)'!F731)</f>
        <v/>
      </c>
      <c r="E731" s="1" t="str">
        <f>IF(A731="","",'1) Import fichier Remi (coller)'!G731)</f>
        <v/>
      </c>
      <c r="F731" t="str">
        <f>IF(A731="","",'1) Import fichier Remi (coller)'!E731)</f>
        <v/>
      </c>
      <c r="G731" t="str">
        <f>IF(A731="","",IF(ISERROR(VLOOKUP(LEFT('1) Import fichier Remi (coller)'!A731,9),'Concordance client liv et fact'!$A:$H,8,FALSE))=TRUE,'1) Import fichier Remi (coller)'!B731,VLOOKUP(LEFT('1) Import fichier Remi (coller)'!A731,9),'Concordance client liv et fact'!$A:$H,8,FALSE)))</f>
        <v/>
      </c>
      <c r="H731" t="str">
        <f>IF(A731="","",IF(ISERROR(VLOOKUP('1) Import fichier Remi (coller)'!K731&amp;" - "&amp;'1) Import fichier Remi (coller)'!L731,'Spécifique comptes'!$A:$G,1,FALSE))=TRUE,'1) Import fichier Remi (coller)'!V731,VLOOKUP('1) Import fichier Remi (coller)'!K731&amp;" - "&amp;'1) Import fichier Remi (coller)'!L731,'Spécifique comptes'!$A:$G,IF(LEFT('2) BOB compta (completer-forcer'!F731,2)="11",4,IF(LEFT('2) BOB compta (completer-forcer'!F731,2)="12",5,IF(LEFT('2) BOB compta (completer-forcer'!F731,2)="13",6,IF(LEFT('2) BOB compta (completer-forcer'!F731,2)="15",7,"Erreur Compte")))),FALSE)))</f>
        <v/>
      </c>
      <c r="I731" s="26" t="str">
        <f>IF(A731="","",IF(H731="70100000",'1) Import fichier Remi (coller)'!J731,'1) Import fichier Remi (coller)'!U731))</f>
        <v/>
      </c>
      <c r="J731" s="26" t="str">
        <f>IF(A731="","",'1) Import fichier Remi (coller)'!U731)</f>
        <v/>
      </c>
      <c r="K731" s="17" t="str">
        <f t="shared" si="3"/>
        <v/>
      </c>
      <c r="L731" t="str">
        <f t="shared" si="2"/>
        <v/>
      </c>
      <c r="M731" s="14" t="str">
        <f>IF(A731="","",'1) Import fichier Remi (coller)'!S731)</f>
        <v/>
      </c>
      <c r="N731" s="17" t="str">
        <f>IF($A731="","",IF(OR($A731="NCV",$A731="NC15"),-'1) Import fichier Remi (coller)'!R731,'1) Import fichier Remi (coller)'!R731))</f>
        <v/>
      </c>
      <c r="O731" s="17" t="str">
        <f>IF($A731="","",IF(OR($A731="NCV",$A731="NC15"),-'1) Import fichier Remi (coller)'!T731,'1) Import fichier Remi (coller)'!T731))</f>
        <v/>
      </c>
      <c r="R731" t="str">
        <f>IF($A731="","",IF(ISERROR(VLOOKUP(LEFT('1) Import fichier Remi (coller)'!$A731,9),'Concordance client liv et fact'!$A:$H,8,FALSE))=TRUE,VLOOKUP(LEFT('1) Import fichier Remi (coller)'!$A731,9)+0,'Clients R2'!$A:$CY,2,FALSE),VLOOKUP(VLOOKUP(LEFT('1) Import fichier Remi (coller)'!$A731,9),'Concordance client liv et fact'!$A:$H,7,FALSE)+0,'Clients R2'!$A:$CY,2,FALSE)))</f>
        <v/>
      </c>
      <c r="S731" t="str">
        <f>IF($A731="","",PROPER(IF(ISERROR(VLOOKUP(LEFT('1) Import fichier Remi (coller)'!$A731,9),'Concordance client liv et fact'!$A:$H,8,FALSE))=TRUE,VLOOKUP(LEFT('1) Import fichier Remi (coller)'!$A731,9)+0,'Clients R2'!$A:$CY,27,FALSE),VLOOKUP(VLOOKUP(LEFT('1) Import fichier Remi (coller)'!$A731,9),'Concordance client liv et fact'!$A:$H,7,FALSE)+0,'Clients R2'!$A:$CY,27,FALSE))))</f>
        <v/>
      </c>
      <c r="T731" t="str">
        <f>IF($A731="","",LEFT(UPPER(IF(ISERROR(VLOOKUP(LEFT('1) Import fichier Remi (coller)'!$A731,9),'Concordance client liv et fact'!$A:$H,8,FALSE))=TRUE,VLOOKUP(LEFT('1) Import fichier Remi (coller)'!$A731,9)+0,'Clients R2'!$A:$CY,28,FALSE),VLOOKUP(VLOOKUP(LEFT('1) Import fichier Remi (coller)'!$A731,9),'Concordance client liv et fact'!$A:$H,7,FALSE)+0,'Clients R2'!$A:$CY,28,FALSE))),2)&amp;UPPER(IF(ISERROR(VLOOKUP(LEFT('1) Import fichier Remi (coller)'!$A731,9),'Concordance client liv et fact'!$A:$H,8,FALSE))=TRUE,VLOOKUP(LEFT('1) Import fichier Remi (coller)'!$A731,9)+0,'Clients R2'!$A:$CY,29,FALSE),VLOOKUP(VLOOKUP(LEFT('1) Import fichier Remi (coller)'!$A731,9),'Concordance client liv et fact'!$A:$H,7,FALSE)+0,'Clients R2'!$A:$CY,29,FALSE))))</f>
        <v/>
      </c>
      <c r="U731" t="str">
        <f>IF($A731="","",PROPER(IF(ISERROR(VLOOKUP(LEFT('1) Import fichier Remi (coller)'!$A731,9),'Concordance client liv et fact'!$A:$H,8,FALSE))=TRUE,VLOOKUP(LEFT('1) Import fichier Remi (coller)'!$A731,9)+0,'Clients R2'!$A:$CY,30,FALSE),VLOOKUP(VLOOKUP(LEFT('1) Import fichier Remi (coller)'!$A731,9),'Concordance client liv et fact'!$A:$H,7,FALSE)+0,'Clients R2'!$A:$CY,30,FALSE))))</f>
        <v/>
      </c>
      <c r="V731" t="str">
        <f>IF($A731="","",LEFT(UPPER(IF(ISERROR(VLOOKUP(LEFT('1) Import fichier Remi (coller)'!$A731,9),'Concordance client liv et fact'!$A:$H,8,FALSE))=TRUE,IF(VLOOKUP(LEFT('1) Import fichier Remi (coller)'!$A731,9)+0,'Clients R2'!$A:$CY,22,FALSE)=4,"NA",VLOOKUP(LEFT('1) Import fichier Remi (coller)'!$A731,9)+0,'Clients R2'!$A:$CY,3,FALSE)),IF(VLOOKUP(VLOOKUP(LEFT('1) Import fichier Remi (coller)'!$A731,9),'Concordance client liv et fact'!$A:$H,7,FALSE)+0,'Clients R2'!$A:$CY,22,FALSE)=4,"NA",VLOOKUP(VLOOKUP(LEFT('1) Import fichier Remi (coller)'!$A731,9),'Concordance client liv et fact'!$A:$H,7,FALSE)+0,'Clients R2'!$A:$CY,3,FALSE)))),2))</f>
        <v/>
      </c>
      <c r="W731" s="27"/>
      <c r="X731" s="27"/>
      <c r="Y731" t="str">
        <f>IF(A731="","",VLOOKUP(A731,'Libellés PDF'!$A$2:$B$5,2,FALSE)&amp;F731&amp;".PDF")</f>
        <v/>
      </c>
      <c r="Z731" t="str">
        <f>IF(A731="","",IF(OR(H731="705099999",H731="705001002"),VLOOKUP('1) Import fichier Remi (coller)'!J731,'Analytique personnel'!$A:$B,2,FALSE),""))</f>
        <v/>
      </c>
      <c r="AA731" t="str">
        <f>IF($A731="VE11","",IF(LEFT($H731,4)="7050","",IF('1) Import fichier Remi (coller)'!M731="","",'1) Import fichier Remi (coller)'!M731)))</f>
        <v/>
      </c>
      <c r="AB731" t="str">
        <f>IF($A731="VE11","",IF(LEFT($H731,4)="7050","",IF('1) Import fichier Remi (coller)'!N731="","",'1) Import fichier Remi (coller)'!N731)))</f>
        <v/>
      </c>
      <c r="AC731" t="str">
        <f>IF(A731="","",VLOOKUP(LEFT('1) Import fichier Remi (coller)'!A731,9)+0,'Concordance Client R2 BOB'!$B:$C,2,FALSE))</f>
        <v/>
      </c>
    </row>
    <row r="732" spans="1:29" ht="18.75" customHeight="1" x14ac:dyDescent="0.25">
      <c r="A732" t="str">
        <f>IF('1) Import fichier Remi (coller)'!D732="","",'1) Import fichier Remi (coller)'!D732)</f>
        <v/>
      </c>
      <c r="B732" t="str">
        <f>IF(A732="","",YEAR('1) Import fichier Remi (coller)'!F732))</f>
        <v/>
      </c>
      <c r="C732" t="str">
        <f>IF(A732="","",MONTH('1) Import fichier Remi (coller)'!F732))</f>
        <v/>
      </c>
      <c r="D732" s="1" t="str">
        <f>IF(A732="","",'1) Import fichier Remi (coller)'!F732)</f>
        <v/>
      </c>
      <c r="E732" s="1" t="str">
        <f>IF(A732="","",'1) Import fichier Remi (coller)'!G732)</f>
        <v/>
      </c>
      <c r="F732" t="str">
        <f>IF(A732="","",'1) Import fichier Remi (coller)'!E732)</f>
        <v/>
      </c>
      <c r="G732" t="str">
        <f>IF(A732="","",IF(ISERROR(VLOOKUP(LEFT('1) Import fichier Remi (coller)'!A732,9),'Concordance client liv et fact'!$A:$H,8,FALSE))=TRUE,'1) Import fichier Remi (coller)'!B732,VLOOKUP(LEFT('1) Import fichier Remi (coller)'!A732,9),'Concordance client liv et fact'!$A:$H,8,FALSE)))</f>
        <v/>
      </c>
      <c r="H732" t="str">
        <f>IF(A732="","",IF(ISERROR(VLOOKUP('1) Import fichier Remi (coller)'!K732&amp;" - "&amp;'1) Import fichier Remi (coller)'!L732,'Spécifique comptes'!$A:$G,1,FALSE))=TRUE,'1) Import fichier Remi (coller)'!V732,VLOOKUP('1) Import fichier Remi (coller)'!K732&amp;" - "&amp;'1) Import fichier Remi (coller)'!L732,'Spécifique comptes'!$A:$G,IF(LEFT('2) BOB compta (completer-forcer'!F732,2)="11",4,IF(LEFT('2) BOB compta (completer-forcer'!F732,2)="12",5,IF(LEFT('2) BOB compta (completer-forcer'!F732,2)="13",6,IF(LEFT('2) BOB compta (completer-forcer'!F732,2)="15",7,"Erreur Compte")))),FALSE)))</f>
        <v/>
      </c>
      <c r="I732" s="26" t="str">
        <f>IF(A732="","",IF(H732="70100000",'1) Import fichier Remi (coller)'!J732,'1) Import fichier Remi (coller)'!U732))</f>
        <v/>
      </c>
      <c r="J732" s="26" t="str">
        <f>IF(A732="","",'1) Import fichier Remi (coller)'!U732)</f>
        <v/>
      </c>
      <c r="K732" s="17" t="str">
        <f t="shared" si="3"/>
        <v/>
      </c>
      <c r="L732" t="str">
        <f t="shared" si="2"/>
        <v/>
      </c>
      <c r="M732" s="14" t="str">
        <f>IF(A732="","",'1) Import fichier Remi (coller)'!S732)</f>
        <v/>
      </c>
      <c r="N732" s="17" t="str">
        <f>IF($A732="","",IF(OR($A732="NCV",$A732="NC15"),-'1) Import fichier Remi (coller)'!R732,'1) Import fichier Remi (coller)'!R732))</f>
        <v/>
      </c>
      <c r="O732" s="17" t="str">
        <f>IF($A732="","",IF(OR($A732="NCV",$A732="NC15"),-'1) Import fichier Remi (coller)'!T732,'1) Import fichier Remi (coller)'!T732))</f>
        <v/>
      </c>
      <c r="R732" t="str">
        <f>IF($A732="","",IF(ISERROR(VLOOKUP(LEFT('1) Import fichier Remi (coller)'!$A732,9),'Concordance client liv et fact'!$A:$H,8,FALSE))=TRUE,VLOOKUP(LEFT('1) Import fichier Remi (coller)'!$A732,9)+0,'Clients R2'!$A:$CY,2,FALSE),VLOOKUP(VLOOKUP(LEFT('1) Import fichier Remi (coller)'!$A732,9),'Concordance client liv et fact'!$A:$H,7,FALSE)+0,'Clients R2'!$A:$CY,2,FALSE)))</f>
        <v/>
      </c>
      <c r="S732" t="str">
        <f>IF($A732="","",PROPER(IF(ISERROR(VLOOKUP(LEFT('1) Import fichier Remi (coller)'!$A732,9),'Concordance client liv et fact'!$A:$H,8,FALSE))=TRUE,VLOOKUP(LEFT('1) Import fichier Remi (coller)'!$A732,9)+0,'Clients R2'!$A:$CY,27,FALSE),VLOOKUP(VLOOKUP(LEFT('1) Import fichier Remi (coller)'!$A732,9),'Concordance client liv et fact'!$A:$H,7,FALSE)+0,'Clients R2'!$A:$CY,27,FALSE))))</f>
        <v/>
      </c>
      <c r="T732" t="str">
        <f>IF($A732="","",LEFT(UPPER(IF(ISERROR(VLOOKUP(LEFT('1) Import fichier Remi (coller)'!$A732,9),'Concordance client liv et fact'!$A:$H,8,FALSE))=TRUE,VLOOKUP(LEFT('1) Import fichier Remi (coller)'!$A732,9)+0,'Clients R2'!$A:$CY,28,FALSE),VLOOKUP(VLOOKUP(LEFT('1) Import fichier Remi (coller)'!$A732,9),'Concordance client liv et fact'!$A:$H,7,FALSE)+0,'Clients R2'!$A:$CY,28,FALSE))),2)&amp;UPPER(IF(ISERROR(VLOOKUP(LEFT('1) Import fichier Remi (coller)'!$A732,9),'Concordance client liv et fact'!$A:$H,8,FALSE))=TRUE,VLOOKUP(LEFT('1) Import fichier Remi (coller)'!$A732,9)+0,'Clients R2'!$A:$CY,29,FALSE),VLOOKUP(VLOOKUP(LEFT('1) Import fichier Remi (coller)'!$A732,9),'Concordance client liv et fact'!$A:$H,7,FALSE)+0,'Clients R2'!$A:$CY,29,FALSE))))</f>
        <v/>
      </c>
      <c r="U732" t="str">
        <f>IF($A732="","",PROPER(IF(ISERROR(VLOOKUP(LEFT('1) Import fichier Remi (coller)'!$A732,9),'Concordance client liv et fact'!$A:$H,8,FALSE))=TRUE,VLOOKUP(LEFT('1) Import fichier Remi (coller)'!$A732,9)+0,'Clients R2'!$A:$CY,30,FALSE),VLOOKUP(VLOOKUP(LEFT('1) Import fichier Remi (coller)'!$A732,9),'Concordance client liv et fact'!$A:$H,7,FALSE)+0,'Clients R2'!$A:$CY,30,FALSE))))</f>
        <v/>
      </c>
      <c r="V732" t="str">
        <f>IF($A732="","",LEFT(UPPER(IF(ISERROR(VLOOKUP(LEFT('1) Import fichier Remi (coller)'!$A732,9),'Concordance client liv et fact'!$A:$H,8,FALSE))=TRUE,IF(VLOOKUP(LEFT('1) Import fichier Remi (coller)'!$A732,9)+0,'Clients R2'!$A:$CY,22,FALSE)=4,"NA",VLOOKUP(LEFT('1) Import fichier Remi (coller)'!$A732,9)+0,'Clients R2'!$A:$CY,3,FALSE)),IF(VLOOKUP(VLOOKUP(LEFT('1) Import fichier Remi (coller)'!$A732,9),'Concordance client liv et fact'!$A:$H,7,FALSE)+0,'Clients R2'!$A:$CY,22,FALSE)=4,"NA",VLOOKUP(VLOOKUP(LEFT('1) Import fichier Remi (coller)'!$A732,9),'Concordance client liv et fact'!$A:$H,7,FALSE)+0,'Clients R2'!$A:$CY,3,FALSE)))),2))</f>
        <v/>
      </c>
      <c r="W732" s="27"/>
      <c r="X732" s="27"/>
      <c r="Y732" t="str">
        <f>IF(A732="","",VLOOKUP(A732,'Libellés PDF'!$A$2:$B$5,2,FALSE)&amp;F732&amp;".PDF")</f>
        <v/>
      </c>
      <c r="Z732" t="str">
        <f>IF(A732="","",IF(OR(H732="705099999",H732="705001002"),VLOOKUP('1) Import fichier Remi (coller)'!J732,'Analytique personnel'!$A:$B,2,FALSE),""))</f>
        <v/>
      </c>
      <c r="AA732" t="str">
        <f>IF($A732="VE11","",IF(LEFT($H732,4)="7050","",IF('1) Import fichier Remi (coller)'!M732="","",'1) Import fichier Remi (coller)'!M732)))</f>
        <v/>
      </c>
      <c r="AB732" t="str">
        <f>IF($A732="VE11","",IF(LEFT($H732,4)="7050","",IF('1) Import fichier Remi (coller)'!N732="","",'1) Import fichier Remi (coller)'!N732)))</f>
        <v/>
      </c>
      <c r="AC732" t="str">
        <f>IF(A732="","",VLOOKUP(LEFT('1) Import fichier Remi (coller)'!A732,9)+0,'Concordance Client R2 BOB'!$B:$C,2,FALSE))</f>
        <v/>
      </c>
    </row>
    <row r="733" spans="1:29" ht="18.75" customHeight="1" x14ac:dyDescent="0.25">
      <c r="A733" t="str">
        <f>IF('1) Import fichier Remi (coller)'!D733="","",'1) Import fichier Remi (coller)'!D733)</f>
        <v/>
      </c>
      <c r="B733" t="str">
        <f>IF(A733="","",YEAR('1) Import fichier Remi (coller)'!F733))</f>
        <v/>
      </c>
      <c r="C733" t="str">
        <f>IF(A733="","",MONTH('1) Import fichier Remi (coller)'!F733))</f>
        <v/>
      </c>
      <c r="D733" s="1" t="str">
        <f>IF(A733="","",'1) Import fichier Remi (coller)'!F733)</f>
        <v/>
      </c>
      <c r="E733" s="1" t="str">
        <f>IF(A733="","",'1) Import fichier Remi (coller)'!G733)</f>
        <v/>
      </c>
      <c r="F733" t="str">
        <f>IF(A733="","",'1) Import fichier Remi (coller)'!E733)</f>
        <v/>
      </c>
      <c r="G733" t="str">
        <f>IF(A733="","",IF(ISERROR(VLOOKUP(LEFT('1) Import fichier Remi (coller)'!A733,9),'Concordance client liv et fact'!$A:$H,8,FALSE))=TRUE,'1) Import fichier Remi (coller)'!B733,VLOOKUP(LEFT('1) Import fichier Remi (coller)'!A733,9),'Concordance client liv et fact'!$A:$H,8,FALSE)))</f>
        <v/>
      </c>
      <c r="H733" t="str">
        <f>IF(A733="","",IF(ISERROR(VLOOKUP('1) Import fichier Remi (coller)'!K733&amp;" - "&amp;'1) Import fichier Remi (coller)'!L733,'Spécifique comptes'!$A:$G,1,FALSE))=TRUE,'1) Import fichier Remi (coller)'!V733,VLOOKUP('1) Import fichier Remi (coller)'!K733&amp;" - "&amp;'1) Import fichier Remi (coller)'!L733,'Spécifique comptes'!$A:$G,IF(LEFT('2) BOB compta (completer-forcer'!F733,2)="11",4,IF(LEFT('2) BOB compta (completer-forcer'!F733,2)="12",5,IF(LEFT('2) BOB compta (completer-forcer'!F733,2)="13",6,IF(LEFT('2) BOB compta (completer-forcer'!F733,2)="15",7,"Erreur Compte")))),FALSE)))</f>
        <v/>
      </c>
      <c r="I733" s="26" t="str">
        <f>IF(A733="","",IF(H733="70100000",'1) Import fichier Remi (coller)'!J733,'1) Import fichier Remi (coller)'!U733))</f>
        <v/>
      </c>
      <c r="J733" s="26" t="str">
        <f>IF(A733="","",'1) Import fichier Remi (coller)'!U733)</f>
        <v/>
      </c>
      <c r="K733" s="17" t="str">
        <f t="shared" si="3"/>
        <v/>
      </c>
      <c r="L733" t="str">
        <f t="shared" si="2"/>
        <v/>
      </c>
      <c r="M733" s="14" t="str">
        <f>IF(A733="","",'1) Import fichier Remi (coller)'!S733)</f>
        <v/>
      </c>
      <c r="N733" s="17" t="str">
        <f>IF($A733="","",IF(OR($A733="NCV",$A733="NC15"),-'1) Import fichier Remi (coller)'!R733,'1) Import fichier Remi (coller)'!R733))</f>
        <v/>
      </c>
      <c r="O733" s="17" t="str">
        <f>IF($A733="","",IF(OR($A733="NCV",$A733="NC15"),-'1) Import fichier Remi (coller)'!T733,'1) Import fichier Remi (coller)'!T733))</f>
        <v/>
      </c>
      <c r="R733" t="str">
        <f>IF($A733="","",IF(ISERROR(VLOOKUP(LEFT('1) Import fichier Remi (coller)'!$A733,9),'Concordance client liv et fact'!$A:$H,8,FALSE))=TRUE,VLOOKUP(LEFT('1) Import fichier Remi (coller)'!$A733,9)+0,'Clients R2'!$A:$CY,2,FALSE),VLOOKUP(VLOOKUP(LEFT('1) Import fichier Remi (coller)'!$A733,9),'Concordance client liv et fact'!$A:$H,7,FALSE)+0,'Clients R2'!$A:$CY,2,FALSE)))</f>
        <v/>
      </c>
      <c r="S733" t="str">
        <f>IF($A733="","",PROPER(IF(ISERROR(VLOOKUP(LEFT('1) Import fichier Remi (coller)'!$A733,9),'Concordance client liv et fact'!$A:$H,8,FALSE))=TRUE,VLOOKUP(LEFT('1) Import fichier Remi (coller)'!$A733,9)+0,'Clients R2'!$A:$CY,27,FALSE),VLOOKUP(VLOOKUP(LEFT('1) Import fichier Remi (coller)'!$A733,9),'Concordance client liv et fact'!$A:$H,7,FALSE)+0,'Clients R2'!$A:$CY,27,FALSE))))</f>
        <v/>
      </c>
      <c r="T733" t="str">
        <f>IF($A733="","",LEFT(UPPER(IF(ISERROR(VLOOKUP(LEFT('1) Import fichier Remi (coller)'!$A733,9),'Concordance client liv et fact'!$A:$H,8,FALSE))=TRUE,VLOOKUP(LEFT('1) Import fichier Remi (coller)'!$A733,9)+0,'Clients R2'!$A:$CY,28,FALSE),VLOOKUP(VLOOKUP(LEFT('1) Import fichier Remi (coller)'!$A733,9),'Concordance client liv et fact'!$A:$H,7,FALSE)+0,'Clients R2'!$A:$CY,28,FALSE))),2)&amp;UPPER(IF(ISERROR(VLOOKUP(LEFT('1) Import fichier Remi (coller)'!$A733,9),'Concordance client liv et fact'!$A:$H,8,FALSE))=TRUE,VLOOKUP(LEFT('1) Import fichier Remi (coller)'!$A733,9)+0,'Clients R2'!$A:$CY,29,FALSE),VLOOKUP(VLOOKUP(LEFT('1) Import fichier Remi (coller)'!$A733,9),'Concordance client liv et fact'!$A:$H,7,FALSE)+0,'Clients R2'!$A:$CY,29,FALSE))))</f>
        <v/>
      </c>
      <c r="U733" t="str">
        <f>IF($A733="","",PROPER(IF(ISERROR(VLOOKUP(LEFT('1) Import fichier Remi (coller)'!$A733,9),'Concordance client liv et fact'!$A:$H,8,FALSE))=TRUE,VLOOKUP(LEFT('1) Import fichier Remi (coller)'!$A733,9)+0,'Clients R2'!$A:$CY,30,FALSE),VLOOKUP(VLOOKUP(LEFT('1) Import fichier Remi (coller)'!$A733,9),'Concordance client liv et fact'!$A:$H,7,FALSE)+0,'Clients R2'!$A:$CY,30,FALSE))))</f>
        <v/>
      </c>
      <c r="V733" t="str">
        <f>IF($A733="","",LEFT(UPPER(IF(ISERROR(VLOOKUP(LEFT('1) Import fichier Remi (coller)'!$A733,9),'Concordance client liv et fact'!$A:$H,8,FALSE))=TRUE,IF(VLOOKUP(LEFT('1) Import fichier Remi (coller)'!$A733,9)+0,'Clients R2'!$A:$CY,22,FALSE)=4,"NA",VLOOKUP(LEFT('1) Import fichier Remi (coller)'!$A733,9)+0,'Clients R2'!$A:$CY,3,FALSE)),IF(VLOOKUP(VLOOKUP(LEFT('1) Import fichier Remi (coller)'!$A733,9),'Concordance client liv et fact'!$A:$H,7,FALSE)+0,'Clients R2'!$A:$CY,22,FALSE)=4,"NA",VLOOKUP(VLOOKUP(LEFT('1) Import fichier Remi (coller)'!$A733,9),'Concordance client liv et fact'!$A:$H,7,FALSE)+0,'Clients R2'!$A:$CY,3,FALSE)))),2))</f>
        <v/>
      </c>
      <c r="W733" s="27"/>
      <c r="X733" s="27"/>
      <c r="Y733" t="str">
        <f>IF(A733="","",VLOOKUP(A733,'Libellés PDF'!$A$2:$B$5,2,FALSE)&amp;F733&amp;".PDF")</f>
        <v/>
      </c>
      <c r="Z733" t="str">
        <f>IF(A733="","",IF(OR(H733="705099999",H733="705001002"),VLOOKUP('1) Import fichier Remi (coller)'!J733,'Analytique personnel'!$A:$B,2,FALSE),""))</f>
        <v/>
      </c>
      <c r="AA733" t="str">
        <f>IF($A733="VE11","",IF(LEFT($H733,4)="7050","",IF('1) Import fichier Remi (coller)'!M733="","",'1) Import fichier Remi (coller)'!M733)))</f>
        <v/>
      </c>
      <c r="AB733" t="str">
        <f>IF($A733="VE11","",IF(LEFT($H733,4)="7050","",IF('1) Import fichier Remi (coller)'!N733="","",'1) Import fichier Remi (coller)'!N733)))</f>
        <v/>
      </c>
      <c r="AC733" t="str">
        <f>IF(A733="","",VLOOKUP(LEFT('1) Import fichier Remi (coller)'!A733,9)+0,'Concordance Client R2 BOB'!$B:$C,2,FALSE))</f>
        <v/>
      </c>
    </row>
    <row r="734" spans="1:29" ht="18.75" customHeight="1" x14ac:dyDescent="0.25">
      <c r="A734" t="str">
        <f>IF('1) Import fichier Remi (coller)'!D734="","",'1) Import fichier Remi (coller)'!D734)</f>
        <v/>
      </c>
      <c r="B734" t="str">
        <f>IF(A734="","",YEAR('1) Import fichier Remi (coller)'!F734))</f>
        <v/>
      </c>
      <c r="C734" t="str">
        <f>IF(A734="","",MONTH('1) Import fichier Remi (coller)'!F734))</f>
        <v/>
      </c>
      <c r="D734" s="1" t="str">
        <f>IF(A734="","",'1) Import fichier Remi (coller)'!F734)</f>
        <v/>
      </c>
      <c r="E734" s="1" t="str">
        <f>IF(A734="","",'1) Import fichier Remi (coller)'!G734)</f>
        <v/>
      </c>
      <c r="F734" t="str">
        <f>IF(A734="","",'1) Import fichier Remi (coller)'!E734)</f>
        <v/>
      </c>
      <c r="G734" t="str">
        <f>IF(A734="","",IF(ISERROR(VLOOKUP(LEFT('1) Import fichier Remi (coller)'!A734,9),'Concordance client liv et fact'!$A:$H,8,FALSE))=TRUE,'1) Import fichier Remi (coller)'!B734,VLOOKUP(LEFT('1) Import fichier Remi (coller)'!A734,9),'Concordance client liv et fact'!$A:$H,8,FALSE)))</f>
        <v/>
      </c>
      <c r="H734" t="str">
        <f>IF(A734="","",IF(ISERROR(VLOOKUP('1) Import fichier Remi (coller)'!K734&amp;" - "&amp;'1) Import fichier Remi (coller)'!L734,'Spécifique comptes'!$A:$G,1,FALSE))=TRUE,'1) Import fichier Remi (coller)'!V734,VLOOKUP('1) Import fichier Remi (coller)'!K734&amp;" - "&amp;'1) Import fichier Remi (coller)'!L734,'Spécifique comptes'!$A:$G,IF(LEFT('2) BOB compta (completer-forcer'!F734,2)="11",4,IF(LEFT('2) BOB compta (completer-forcer'!F734,2)="12",5,IF(LEFT('2) BOB compta (completer-forcer'!F734,2)="13",6,IF(LEFT('2) BOB compta (completer-forcer'!F734,2)="15",7,"Erreur Compte")))),FALSE)))</f>
        <v/>
      </c>
      <c r="I734" s="26" t="str">
        <f>IF(A734="","",IF(H734="70100000",'1) Import fichier Remi (coller)'!J734,'1) Import fichier Remi (coller)'!U734))</f>
        <v/>
      </c>
      <c r="J734" s="26" t="str">
        <f>IF(A734="","",'1) Import fichier Remi (coller)'!U734)</f>
        <v/>
      </c>
      <c r="K734" s="17" t="str">
        <f t="shared" si="3"/>
        <v/>
      </c>
      <c r="L734" t="str">
        <f t="shared" si="2"/>
        <v/>
      </c>
      <c r="M734" s="14" t="str">
        <f>IF(A734="","",'1) Import fichier Remi (coller)'!S734)</f>
        <v/>
      </c>
      <c r="N734" s="17" t="str">
        <f>IF($A734="","",IF(OR($A734="NCV",$A734="NC15"),-'1) Import fichier Remi (coller)'!R734,'1) Import fichier Remi (coller)'!R734))</f>
        <v/>
      </c>
      <c r="O734" s="17" t="str">
        <f>IF($A734="","",IF(OR($A734="NCV",$A734="NC15"),-'1) Import fichier Remi (coller)'!T734,'1) Import fichier Remi (coller)'!T734))</f>
        <v/>
      </c>
      <c r="R734" t="str">
        <f>IF($A734="","",IF(ISERROR(VLOOKUP(LEFT('1) Import fichier Remi (coller)'!$A734,9),'Concordance client liv et fact'!$A:$H,8,FALSE))=TRUE,VLOOKUP(LEFT('1) Import fichier Remi (coller)'!$A734,9)+0,'Clients R2'!$A:$CY,2,FALSE),VLOOKUP(VLOOKUP(LEFT('1) Import fichier Remi (coller)'!$A734,9),'Concordance client liv et fact'!$A:$H,7,FALSE)+0,'Clients R2'!$A:$CY,2,FALSE)))</f>
        <v/>
      </c>
      <c r="S734" t="str">
        <f>IF($A734="","",PROPER(IF(ISERROR(VLOOKUP(LEFT('1) Import fichier Remi (coller)'!$A734,9),'Concordance client liv et fact'!$A:$H,8,FALSE))=TRUE,VLOOKUP(LEFT('1) Import fichier Remi (coller)'!$A734,9)+0,'Clients R2'!$A:$CY,27,FALSE),VLOOKUP(VLOOKUP(LEFT('1) Import fichier Remi (coller)'!$A734,9),'Concordance client liv et fact'!$A:$H,7,FALSE)+0,'Clients R2'!$A:$CY,27,FALSE))))</f>
        <v/>
      </c>
      <c r="T734" t="str">
        <f>IF($A734="","",LEFT(UPPER(IF(ISERROR(VLOOKUP(LEFT('1) Import fichier Remi (coller)'!$A734,9),'Concordance client liv et fact'!$A:$H,8,FALSE))=TRUE,VLOOKUP(LEFT('1) Import fichier Remi (coller)'!$A734,9)+0,'Clients R2'!$A:$CY,28,FALSE),VLOOKUP(VLOOKUP(LEFT('1) Import fichier Remi (coller)'!$A734,9),'Concordance client liv et fact'!$A:$H,7,FALSE)+0,'Clients R2'!$A:$CY,28,FALSE))),2)&amp;UPPER(IF(ISERROR(VLOOKUP(LEFT('1) Import fichier Remi (coller)'!$A734,9),'Concordance client liv et fact'!$A:$H,8,FALSE))=TRUE,VLOOKUP(LEFT('1) Import fichier Remi (coller)'!$A734,9)+0,'Clients R2'!$A:$CY,29,FALSE),VLOOKUP(VLOOKUP(LEFT('1) Import fichier Remi (coller)'!$A734,9),'Concordance client liv et fact'!$A:$H,7,FALSE)+0,'Clients R2'!$A:$CY,29,FALSE))))</f>
        <v/>
      </c>
      <c r="U734" t="str">
        <f>IF($A734="","",PROPER(IF(ISERROR(VLOOKUP(LEFT('1) Import fichier Remi (coller)'!$A734,9),'Concordance client liv et fact'!$A:$H,8,FALSE))=TRUE,VLOOKUP(LEFT('1) Import fichier Remi (coller)'!$A734,9)+0,'Clients R2'!$A:$CY,30,FALSE),VLOOKUP(VLOOKUP(LEFT('1) Import fichier Remi (coller)'!$A734,9),'Concordance client liv et fact'!$A:$H,7,FALSE)+0,'Clients R2'!$A:$CY,30,FALSE))))</f>
        <v/>
      </c>
      <c r="V734" t="str">
        <f>IF($A734="","",LEFT(UPPER(IF(ISERROR(VLOOKUP(LEFT('1) Import fichier Remi (coller)'!$A734,9),'Concordance client liv et fact'!$A:$H,8,FALSE))=TRUE,IF(VLOOKUP(LEFT('1) Import fichier Remi (coller)'!$A734,9)+0,'Clients R2'!$A:$CY,22,FALSE)=4,"NA",VLOOKUP(LEFT('1) Import fichier Remi (coller)'!$A734,9)+0,'Clients R2'!$A:$CY,3,FALSE)),IF(VLOOKUP(VLOOKUP(LEFT('1) Import fichier Remi (coller)'!$A734,9),'Concordance client liv et fact'!$A:$H,7,FALSE)+0,'Clients R2'!$A:$CY,22,FALSE)=4,"NA",VLOOKUP(VLOOKUP(LEFT('1) Import fichier Remi (coller)'!$A734,9),'Concordance client liv et fact'!$A:$H,7,FALSE)+0,'Clients R2'!$A:$CY,3,FALSE)))),2))</f>
        <v/>
      </c>
      <c r="W734" s="27"/>
      <c r="X734" s="27"/>
      <c r="Y734" t="str">
        <f>IF(A734="","",VLOOKUP(A734,'Libellés PDF'!$A$2:$B$5,2,FALSE)&amp;F734&amp;".PDF")</f>
        <v/>
      </c>
      <c r="Z734" t="str">
        <f>IF(A734="","",IF(OR(H734="705099999",H734="705001002"),VLOOKUP('1) Import fichier Remi (coller)'!J734,'Analytique personnel'!$A:$B,2,FALSE),""))</f>
        <v/>
      </c>
      <c r="AA734" t="str">
        <f>IF($A734="VE11","",IF(LEFT($H734,4)="7050","",IF('1) Import fichier Remi (coller)'!M734="","",'1) Import fichier Remi (coller)'!M734)))</f>
        <v/>
      </c>
      <c r="AB734" t="str">
        <f>IF($A734="VE11","",IF(LEFT($H734,4)="7050","",IF('1) Import fichier Remi (coller)'!N734="","",'1) Import fichier Remi (coller)'!N734)))</f>
        <v/>
      </c>
      <c r="AC734" t="str">
        <f>IF(A734="","",VLOOKUP(LEFT('1) Import fichier Remi (coller)'!A734,9)+0,'Concordance Client R2 BOB'!$B:$C,2,FALSE))</f>
        <v/>
      </c>
    </row>
    <row r="735" spans="1:29" ht="18.75" customHeight="1" x14ac:dyDescent="0.25">
      <c r="A735" t="str">
        <f>IF('1) Import fichier Remi (coller)'!D735="","",'1) Import fichier Remi (coller)'!D735)</f>
        <v/>
      </c>
      <c r="B735" t="str">
        <f>IF(A735="","",YEAR('1) Import fichier Remi (coller)'!F735))</f>
        <v/>
      </c>
      <c r="C735" t="str">
        <f>IF(A735="","",MONTH('1) Import fichier Remi (coller)'!F735))</f>
        <v/>
      </c>
      <c r="D735" s="1" t="str">
        <f>IF(A735="","",'1) Import fichier Remi (coller)'!F735)</f>
        <v/>
      </c>
      <c r="E735" s="1" t="str">
        <f>IF(A735="","",'1) Import fichier Remi (coller)'!G735)</f>
        <v/>
      </c>
      <c r="F735" t="str">
        <f>IF(A735="","",'1) Import fichier Remi (coller)'!E735)</f>
        <v/>
      </c>
      <c r="G735" t="str">
        <f>IF(A735="","",IF(ISERROR(VLOOKUP(LEFT('1) Import fichier Remi (coller)'!A735,9),'Concordance client liv et fact'!$A:$H,8,FALSE))=TRUE,'1) Import fichier Remi (coller)'!B735,VLOOKUP(LEFT('1) Import fichier Remi (coller)'!A735,9),'Concordance client liv et fact'!$A:$H,8,FALSE)))</f>
        <v/>
      </c>
      <c r="H735" t="str">
        <f>IF(A735="","",IF(ISERROR(VLOOKUP('1) Import fichier Remi (coller)'!K735&amp;" - "&amp;'1) Import fichier Remi (coller)'!L735,'Spécifique comptes'!$A:$G,1,FALSE))=TRUE,'1) Import fichier Remi (coller)'!V735,VLOOKUP('1) Import fichier Remi (coller)'!K735&amp;" - "&amp;'1) Import fichier Remi (coller)'!L735,'Spécifique comptes'!$A:$G,IF(LEFT('2) BOB compta (completer-forcer'!F735,2)="11",4,IF(LEFT('2) BOB compta (completer-forcer'!F735,2)="12",5,IF(LEFT('2) BOB compta (completer-forcer'!F735,2)="13",6,IF(LEFT('2) BOB compta (completer-forcer'!F735,2)="15",7,"Erreur Compte")))),FALSE)))</f>
        <v/>
      </c>
      <c r="I735" s="26" t="str">
        <f>IF(A735="","",IF(H735="70100000",'1) Import fichier Remi (coller)'!J735,'1) Import fichier Remi (coller)'!U735))</f>
        <v/>
      </c>
      <c r="J735" s="26" t="str">
        <f>IF(A735="","",'1) Import fichier Remi (coller)'!U735)</f>
        <v/>
      </c>
      <c r="K735" s="17" t="str">
        <f t="shared" si="3"/>
        <v/>
      </c>
      <c r="L735" t="str">
        <f t="shared" si="2"/>
        <v/>
      </c>
      <c r="M735" s="14" t="str">
        <f>IF(A735="","",'1) Import fichier Remi (coller)'!S735)</f>
        <v/>
      </c>
      <c r="N735" s="17" t="str">
        <f>IF($A735="","",IF(OR($A735="NCV",$A735="NC15"),-'1) Import fichier Remi (coller)'!R735,'1) Import fichier Remi (coller)'!R735))</f>
        <v/>
      </c>
      <c r="O735" s="17" t="str">
        <f>IF($A735="","",IF(OR($A735="NCV",$A735="NC15"),-'1) Import fichier Remi (coller)'!T735,'1) Import fichier Remi (coller)'!T735))</f>
        <v/>
      </c>
      <c r="R735" t="str">
        <f>IF($A735="","",IF(ISERROR(VLOOKUP(LEFT('1) Import fichier Remi (coller)'!$A735,9),'Concordance client liv et fact'!$A:$H,8,FALSE))=TRUE,VLOOKUP(LEFT('1) Import fichier Remi (coller)'!$A735,9)+0,'Clients R2'!$A:$CY,2,FALSE),VLOOKUP(VLOOKUP(LEFT('1) Import fichier Remi (coller)'!$A735,9),'Concordance client liv et fact'!$A:$H,7,FALSE)+0,'Clients R2'!$A:$CY,2,FALSE)))</f>
        <v/>
      </c>
      <c r="S735" t="str">
        <f>IF($A735="","",PROPER(IF(ISERROR(VLOOKUP(LEFT('1) Import fichier Remi (coller)'!$A735,9),'Concordance client liv et fact'!$A:$H,8,FALSE))=TRUE,VLOOKUP(LEFT('1) Import fichier Remi (coller)'!$A735,9)+0,'Clients R2'!$A:$CY,27,FALSE),VLOOKUP(VLOOKUP(LEFT('1) Import fichier Remi (coller)'!$A735,9),'Concordance client liv et fact'!$A:$H,7,FALSE)+0,'Clients R2'!$A:$CY,27,FALSE))))</f>
        <v/>
      </c>
      <c r="T735" t="str">
        <f>IF($A735="","",LEFT(UPPER(IF(ISERROR(VLOOKUP(LEFT('1) Import fichier Remi (coller)'!$A735,9),'Concordance client liv et fact'!$A:$H,8,FALSE))=TRUE,VLOOKUP(LEFT('1) Import fichier Remi (coller)'!$A735,9)+0,'Clients R2'!$A:$CY,28,FALSE),VLOOKUP(VLOOKUP(LEFT('1) Import fichier Remi (coller)'!$A735,9),'Concordance client liv et fact'!$A:$H,7,FALSE)+0,'Clients R2'!$A:$CY,28,FALSE))),2)&amp;UPPER(IF(ISERROR(VLOOKUP(LEFT('1) Import fichier Remi (coller)'!$A735,9),'Concordance client liv et fact'!$A:$H,8,FALSE))=TRUE,VLOOKUP(LEFT('1) Import fichier Remi (coller)'!$A735,9)+0,'Clients R2'!$A:$CY,29,FALSE),VLOOKUP(VLOOKUP(LEFT('1) Import fichier Remi (coller)'!$A735,9),'Concordance client liv et fact'!$A:$H,7,FALSE)+0,'Clients R2'!$A:$CY,29,FALSE))))</f>
        <v/>
      </c>
      <c r="U735" t="str">
        <f>IF($A735="","",PROPER(IF(ISERROR(VLOOKUP(LEFT('1) Import fichier Remi (coller)'!$A735,9),'Concordance client liv et fact'!$A:$H,8,FALSE))=TRUE,VLOOKUP(LEFT('1) Import fichier Remi (coller)'!$A735,9)+0,'Clients R2'!$A:$CY,30,FALSE),VLOOKUP(VLOOKUP(LEFT('1) Import fichier Remi (coller)'!$A735,9),'Concordance client liv et fact'!$A:$H,7,FALSE)+0,'Clients R2'!$A:$CY,30,FALSE))))</f>
        <v/>
      </c>
      <c r="V735" t="str">
        <f>IF($A735="","",LEFT(UPPER(IF(ISERROR(VLOOKUP(LEFT('1) Import fichier Remi (coller)'!$A735,9),'Concordance client liv et fact'!$A:$H,8,FALSE))=TRUE,IF(VLOOKUP(LEFT('1) Import fichier Remi (coller)'!$A735,9)+0,'Clients R2'!$A:$CY,22,FALSE)=4,"NA",VLOOKUP(LEFT('1) Import fichier Remi (coller)'!$A735,9)+0,'Clients R2'!$A:$CY,3,FALSE)),IF(VLOOKUP(VLOOKUP(LEFT('1) Import fichier Remi (coller)'!$A735,9),'Concordance client liv et fact'!$A:$H,7,FALSE)+0,'Clients R2'!$A:$CY,22,FALSE)=4,"NA",VLOOKUP(VLOOKUP(LEFT('1) Import fichier Remi (coller)'!$A735,9),'Concordance client liv et fact'!$A:$H,7,FALSE)+0,'Clients R2'!$A:$CY,3,FALSE)))),2))</f>
        <v/>
      </c>
      <c r="W735" s="27"/>
      <c r="X735" s="27"/>
      <c r="Y735" t="str">
        <f>IF(A735="","",VLOOKUP(A735,'Libellés PDF'!$A$2:$B$5,2,FALSE)&amp;F735&amp;".PDF")</f>
        <v/>
      </c>
      <c r="Z735" t="s">
        <v>7752</v>
      </c>
      <c r="AA735" t="str">
        <f>IF($A735="VE11","",IF(LEFT($H735,4)="7050","",IF('1) Import fichier Remi (coller)'!M735="","",'1) Import fichier Remi (coller)'!M735)))</f>
        <v/>
      </c>
      <c r="AB735" t="str">
        <f>IF($A735="VE11","",IF(LEFT($H735,4)="7050","",IF('1) Import fichier Remi (coller)'!N735="","",'1) Import fichier Remi (coller)'!N735)))</f>
        <v/>
      </c>
      <c r="AC735" t="str">
        <f>IF(A735="","",VLOOKUP(LEFT('1) Import fichier Remi (coller)'!A735,9)+0,'Concordance Client R2 BOB'!$B:$C,2,FALSE))</f>
        <v/>
      </c>
    </row>
    <row r="736" spans="1:29" ht="18.75" customHeight="1" x14ac:dyDescent="0.25">
      <c r="A736" t="str">
        <f>IF('1) Import fichier Remi (coller)'!D736="","",'1) Import fichier Remi (coller)'!D736)</f>
        <v/>
      </c>
      <c r="B736" t="str">
        <f>IF(A736="","",YEAR('1) Import fichier Remi (coller)'!F736))</f>
        <v/>
      </c>
      <c r="C736" t="str">
        <f>IF(A736="","",MONTH('1) Import fichier Remi (coller)'!F736))</f>
        <v/>
      </c>
      <c r="D736" s="1" t="str">
        <f>IF(A736="","",'1) Import fichier Remi (coller)'!F736)</f>
        <v/>
      </c>
      <c r="E736" s="1" t="str">
        <f>IF(A736="","",'1) Import fichier Remi (coller)'!G736)</f>
        <v/>
      </c>
      <c r="F736" t="str">
        <f>IF(A736="","",'1) Import fichier Remi (coller)'!E736)</f>
        <v/>
      </c>
      <c r="G736" t="str">
        <f>IF(A736="","",IF(ISERROR(VLOOKUP(LEFT('1) Import fichier Remi (coller)'!A736,9),'Concordance client liv et fact'!$A:$H,8,FALSE))=TRUE,'1) Import fichier Remi (coller)'!B736,VLOOKUP(LEFT('1) Import fichier Remi (coller)'!A736,9),'Concordance client liv et fact'!$A:$H,8,FALSE)))</f>
        <v/>
      </c>
      <c r="H736" t="str">
        <f>IF(A736="","",IF(ISERROR(VLOOKUP('1) Import fichier Remi (coller)'!K736&amp;" - "&amp;'1) Import fichier Remi (coller)'!L736,'Spécifique comptes'!$A:$G,1,FALSE))=TRUE,'1) Import fichier Remi (coller)'!V736,VLOOKUP('1) Import fichier Remi (coller)'!K736&amp;" - "&amp;'1) Import fichier Remi (coller)'!L736,'Spécifique comptes'!$A:$G,IF(LEFT('2) BOB compta (completer-forcer'!F736,2)="11",4,IF(LEFT('2) BOB compta (completer-forcer'!F736,2)="12",5,IF(LEFT('2) BOB compta (completer-forcer'!F736,2)="13",6,IF(LEFT('2) BOB compta (completer-forcer'!F736,2)="15",7,"Erreur Compte")))),FALSE)))</f>
        <v/>
      </c>
      <c r="I736" s="26" t="str">
        <f>IF(A736="","",IF(H736="70100000",'1) Import fichier Remi (coller)'!J736,'1) Import fichier Remi (coller)'!U736))</f>
        <v/>
      </c>
      <c r="J736" s="26" t="str">
        <f>IF(A736="","",'1) Import fichier Remi (coller)'!U736)</f>
        <v/>
      </c>
      <c r="K736" s="17" t="str">
        <f t="shared" si="3"/>
        <v/>
      </c>
      <c r="L736" t="str">
        <f t="shared" si="2"/>
        <v/>
      </c>
      <c r="M736" s="14" t="str">
        <f>IF(A736="","",'1) Import fichier Remi (coller)'!S736)</f>
        <v/>
      </c>
      <c r="N736" s="17" t="str">
        <f>IF($A736="","",IF(OR($A736="NCV",$A736="NC15"),-'1) Import fichier Remi (coller)'!R736,'1) Import fichier Remi (coller)'!R736))</f>
        <v/>
      </c>
      <c r="O736" s="17" t="str">
        <f>IF($A736="","",IF(OR($A736="NCV",$A736="NC15"),-'1) Import fichier Remi (coller)'!T736,'1) Import fichier Remi (coller)'!T736))</f>
        <v/>
      </c>
      <c r="R736" t="str">
        <f>IF($A736="","",IF(ISERROR(VLOOKUP(LEFT('1) Import fichier Remi (coller)'!$A736,9),'Concordance client liv et fact'!$A:$H,8,FALSE))=TRUE,VLOOKUP(LEFT('1) Import fichier Remi (coller)'!$A736,9)+0,'Clients R2'!$A:$CY,2,FALSE),VLOOKUP(VLOOKUP(LEFT('1) Import fichier Remi (coller)'!$A736,9),'Concordance client liv et fact'!$A:$H,7,FALSE)+0,'Clients R2'!$A:$CY,2,FALSE)))</f>
        <v/>
      </c>
      <c r="S736" t="str">
        <f>IF($A736="","",PROPER(IF(ISERROR(VLOOKUP(LEFT('1) Import fichier Remi (coller)'!$A736,9),'Concordance client liv et fact'!$A:$H,8,FALSE))=TRUE,VLOOKUP(LEFT('1) Import fichier Remi (coller)'!$A736,9)+0,'Clients R2'!$A:$CY,27,FALSE),VLOOKUP(VLOOKUP(LEFT('1) Import fichier Remi (coller)'!$A736,9),'Concordance client liv et fact'!$A:$H,7,FALSE)+0,'Clients R2'!$A:$CY,27,FALSE))))</f>
        <v/>
      </c>
      <c r="T736" t="str">
        <f>IF($A736="","",LEFT(UPPER(IF(ISERROR(VLOOKUP(LEFT('1) Import fichier Remi (coller)'!$A736,9),'Concordance client liv et fact'!$A:$H,8,FALSE))=TRUE,VLOOKUP(LEFT('1) Import fichier Remi (coller)'!$A736,9)+0,'Clients R2'!$A:$CY,28,FALSE),VLOOKUP(VLOOKUP(LEFT('1) Import fichier Remi (coller)'!$A736,9),'Concordance client liv et fact'!$A:$H,7,FALSE)+0,'Clients R2'!$A:$CY,28,FALSE))),2)&amp;UPPER(IF(ISERROR(VLOOKUP(LEFT('1) Import fichier Remi (coller)'!$A736,9),'Concordance client liv et fact'!$A:$H,8,FALSE))=TRUE,VLOOKUP(LEFT('1) Import fichier Remi (coller)'!$A736,9)+0,'Clients R2'!$A:$CY,29,FALSE),VLOOKUP(VLOOKUP(LEFT('1) Import fichier Remi (coller)'!$A736,9),'Concordance client liv et fact'!$A:$H,7,FALSE)+0,'Clients R2'!$A:$CY,29,FALSE))))</f>
        <v/>
      </c>
      <c r="U736" t="str">
        <f>IF($A736="","",PROPER(IF(ISERROR(VLOOKUP(LEFT('1) Import fichier Remi (coller)'!$A736,9),'Concordance client liv et fact'!$A:$H,8,FALSE))=TRUE,VLOOKUP(LEFT('1) Import fichier Remi (coller)'!$A736,9)+0,'Clients R2'!$A:$CY,30,FALSE),VLOOKUP(VLOOKUP(LEFT('1) Import fichier Remi (coller)'!$A736,9),'Concordance client liv et fact'!$A:$H,7,FALSE)+0,'Clients R2'!$A:$CY,30,FALSE))))</f>
        <v/>
      </c>
      <c r="V736" t="str">
        <f>IF($A736="","",LEFT(UPPER(IF(ISERROR(VLOOKUP(LEFT('1) Import fichier Remi (coller)'!$A736,9),'Concordance client liv et fact'!$A:$H,8,FALSE))=TRUE,IF(VLOOKUP(LEFT('1) Import fichier Remi (coller)'!$A736,9)+0,'Clients R2'!$A:$CY,22,FALSE)=4,"NA",VLOOKUP(LEFT('1) Import fichier Remi (coller)'!$A736,9)+0,'Clients R2'!$A:$CY,3,FALSE)),IF(VLOOKUP(VLOOKUP(LEFT('1) Import fichier Remi (coller)'!$A736,9),'Concordance client liv et fact'!$A:$H,7,FALSE)+0,'Clients R2'!$A:$CY,22,FALSE)=4,"NA",VLOOKUP(VLOOKUP(LEFT('1) Import fichier Remi (coller)'!$A736,9),'Concordance client liv et fact'!$A:$H,7,FALSE)+0,'Clients R2'!$A:$CY,3,FALSE)))),2))</f>
        <v/>
      </c>
      <c r="W736" s="27"/>
      <c r="X736" s="27"/>
      <c r="Y736" t="str">
        <f>IF(A736="","",VLOOKUP(A736,'Libellés PDF'!$A$2:$B$5,2,FALSE)&amp;F736&amp;".PDF")</f>
        <v/>
      </c>
      <c r="Z736" t="str">
        <f>IF(A736="","",IF(OR(H736="705099999",H736="705001002"),VLOOKUP('1) Import fichier Remi (coller)'!J736,'Analytique personnel'!$A:$B,2,FALSE),""))</f>
        <v/>
      </c>
      <c r="AA736" t="str">
        <f>IF($A736="VE11","",IF(LEFT($H736,4)="7050","",IF('1) Import fichier Remi (coller)'!M736="","",'1) Import fichier Remi (coller)'!M736)))</f>
        <v/>
      </c>
      <c r="AB736" t="str">
        <f>IF($A736="VE11","",IF(LEFT($H736,4)="7050","",IF('1) Import fichier Remi (coller)'!N736="","",'1) Import fichier Remi (coller)'!N736)))</f>
        <v/>
      </c>
      <c r="AC736" t="str">
        <f>IF(A736="","",VLOOKUP(LEFT('1) Import fichier Remi (coller)'!A736,9)+0,'Concordance Client R2 BOB'!$B:$C,2,FALSE))</f>
        <v/>
      </c>
    </row>
    <row r="737" spans="1:29" ht="18.75" customHeight="1" x14ac:dyDescent="0.25">
      <c r="A737" t="str">
        <f>IF('1) Import fichier Remi (coller)'!D737="","",'1) Import fichier Remi (coller)'!D737)</f>
        <v/>
      </c>
      <c r="B737" t="str">
        <f>IF(A737="","",YEAR('1) Import fichier Remi (coller)'!F737))</f>
        <v/>
      </c>
      <c r="C737" t="str">
        <f>IF(A737="","",MONTH('1) Import fichier Remi (coller)'!F737))</f>
        <v/>
      </c>
      <c r="D737" s="1" t="str">
        <f>IF(A737="","",'1) Import fichier Remi (coller)'!F737)</f>
        <v/>
      </c>
      <c r="E737" s="1" t="str">
        <f>IF(A737="","",'1) Import fichier Remi (coller)'!G737)</f>
        <v/>
      </c>
      <c r="F737" t="str">
        <f>IF(A737="","",'1) Import fichier Remi (coller)'!E737)</f>
        <v/>
      </c>
      <c r="G737" t="str">
        <f>IF(A737="","",IF(ISERROR(VLOOKUP(LEFT('1) Import fichier Remi (coller)'!A737,9),'Concordance client liv et fact'!$A:$H,8,FALSE))=TRUE,'1) Import fichier Remi (coller)'!B737,VLOOKUP(LEFT('1) Import fichier Remi (coller)'!A737,9),'Concordance client liv et fact'!$A:$H,8,FALSE)))</f>
        <v/>
      </c>
      <c r="H737" t="str">
        <f>IF(A737="","",IF(ISERROR(VLOOKUP('1) Import fichier Remi (coller)'!K737&amp;" - "&amp;'1) Import fichier Remi (coller)'!L737,'Spécifique comptes'!$A:$G,1,FALSE))=TRUE,'1) Import fichier Remi (coller)'!V737,VLOOKUP('1) Import fichier Remi (coller)'!K737&amp;" - "&amp;'1) Import fichier Remi (coller)'!L737,'Spécifique comptes'!$A:$G,IF(LEFT('2) BOB compta (completer-forcer'!F737,2)="11",4,IF(LEFT('2) BOB compta (completer-forcer'!F737,2)="12",5,IF(LEFT('2) BOB compta (completer-forcer'!F737,2)="13",6,IF(LEFT('2) BOB compta (completer-forcer'!F737,2)="15",7,"Erreur Compte")))),FALSE)))</f>
        <v/>
      </c>
      <c r="I737" s="26" t="str">
        <f>IF(A737="","",IF(H737="70100000",'1) Import fichier Remi (coller)'!J737,'1) Import fichier Remi (coller)'!U737))</f>
        <v/>
      </c>
      <c r="J737" s="26" t="str">
        <f>IF(A737="","",'1) Import fichier Remi (coller)'!U737)</f>
        <v/>
      </c>
      <c r="K737" s="17" t="str">
        <f t="shared" si="3"/>
        <v/>
      </c>
      <c r="L737" t="str">
        <f t="shared" si="2"/>
        <v/>
      </c>
      <c r="M737" s="14" t="str">
        <f>IF(A737="","",'1) Import fichier Remi (coller)'!S737)</f>
        <v/>
      </c>
      <c r="N737" s="17" t="str">
        <f>IF($A737="","",IF(OR($A737="NCV",$A737="NC15"),-'1) Import fichier Remi (coller)'!R737,'1) Import fichier Remi (coller)'!R737))</f>
        <v/>
      </c>
      <c r="O737" s="17" t="str">
        <f>IF($A737="","",IF(OR($A737="NCV",$A737="NC15"),-'1) Import fichier Remi (coller)'!T737,'1) Import fichier Remi (coller)'!T737))</f>
        <v/>
      </c>
      <c r="R737" t="str">
        <f>IF($A737="","",IF(ISERROR(VLOOKUP(LEFT('1) Import fichier Remi (coller)'!$A737,9),'Concordance client liv et fact'!$A:$H,8,FALSE))=TRUE,VLOOKUP(LEFT('1) Import fichier Remi (coller)'!$A737,9)+0,'Clients R2'!$A:$CY,2,FALSE),VLOOKUP(VLOOKUP(LEFT('1) Import fichier Remi (coller)'!$A737,9),'Concordance client liv et fact'!$A:$H,7,FALSE)+0,'Clients R2'!$A:$CY,2,FALSE)))</f>
        <v/>
      </c>
      <c r="S737" t="str">
        <f>IF($A737="","",PROPER(IF(ISERROR(VLOOKUP(LEFT('1) Import fichier Remi (coller)'!$A737,9),'Concordance client liv et fact'!$A:$H,8,FALSE))=TRUE,VLOOKUP(LEFT('1) Import fichier Remi (coller)'!$A737,9)+0,'Clients R2'!$A:$CY,27,FALSE),VLOOKUP(VLOOKUP(LEFT('1) Import fichier Remi (coller)'!$A737,9),'Concordance client liv et fact'!$A:$H,7,FALSE)+0,'Clients R2'!$A:$CY,27,FALSE))))</f>
        <v/>
      </c>
      <c r="T737" t="str">
        <f>IF($A737="","",LEFT(UPPER(IF(ISERROR(VLOOKUP(LEFT('1) Import fichier Remi (coller)'!$A737,9),'Concordance client liv et fact'!$A:$H,8,FALSE))=TRUE,VLOOKUP(LEFT('1) Import fichier Remi (coller)'!$A737,9)+0,'Clients R2'!$A:$CY,28,FALSE),VLOOKUP(VLOOKUP(LEFT('1) Import fichier Remi (coller)'!$A737,9),'Concordance client liv et fact'!$A:$H,7,FALSE)+0,'Clients R2'!$A:$CY,28,FALSE))),2)&amp;UPPER(IF(ISERROR(VLOOKUP(LEFT('1) Import fichier Remi (coller)'!$A737,9),'Concordance client liv et fact'!$A:$H,8,FALSE))=TRUE,VLOOKUP(LEFT('1) Import fichier Remi (coller)'!$A737,9)+0,'Clients R2'!$A:$CY,29,FALSE),VLOOKUP(VLOOKUP(LEFT('1) Import fichier Remi (coller)'!$A737,9),'Concordance client liv et fact'!$A:$H,7,FALSE)+0,'Clients R2'!$A:$CY,29,FALSE))))</f>
        <v/>
      </c>
      <c r="U737" t="str">
        <f>IF($A737="","",PROPER(IF(ISERROR(VLOOKUP(LEFT('1) Import fichier Remi (coller)'!$A737,9),'Concordance client liv et fact'!$A:$H,8,FALSE))=TRUE,VLOOKUP(LEFT('1) Import fichier Remi (coller)'!$A737,9)+0,'Clients R2'!$A:$CY,30,FALSE),VLOOKUP(VLOOKUP(LEFT('1) Import fichier Remi (coller)'!$A737,9),'Concordance client liv et fact'!$A:$H,7,FALSE)+0,'Clients R2'!$A:$CY,30,FALSE))))</f>
        <v/>
      </c>
      <c r="V737" t="str">
        <f>IF($A737="","",LEFT(UPPER(IF(ISERROR(VLOOKUP(LEFT('1) Import fichier Remi (coller)'!$A737,9),'Concordance client liv et fact'!$A:$H,8,FALSE))=TRUE,IF(VLOOKUP(LEFT('1) Import fichier Remi (coller)'!$A737,9)+0,'Clients R2'!$A:$CY,22,FALSE)=4,"NA",VLOOKUP(LEFT('1) Import fichier Remi (coller)'!$A737,9)+0,'Clients R2'!$A:$CY,3,FALSE)),IF(VLOOKUP(VLOOKUP(LEFT('1) Import fichier Remi (coller)'!$A737,9),'Concordance client liv et fact'!$A:$H,7,FALSE)+0,'Clients R2'!$A:$CY,22,FALSE)=4,"NA",VLOOKUP(VLOOKUP(LEFT('1) Import fichier Remi (coller)'!$A737,9),'Concordance client liv et fact'!$A:$H,7,FALSE)+0,'Clients R2'!$A:$CY,3,FALSE)))),2))</f>
        <v/>
      </c>
      <c r="W737" s="27"/>
      <c r="X737" s="27"/>
      <c r="Y737" t="str">
        <f>IF(A737="","",VLOOKUP(A737,'Libellés PDF'!$A$2:$B$5,2,FALSE)&amp;F737&amp;".PDF")</f>
        <v/>
      </c>
      <c r="Z737" t="str">
        <f>IF(A737="","",IF(OR(H737="705099999",H737="705001002"),VLOOKUP('1) Import fichier Remi (coller)'!J737,'Analytique personnel'!$A:$B,2,FALSE),""))</f>
        <v/>
      </c>
      <c r="AA737" t="str">
        <f>IF($A737="VE11","",IF(LEFT($H737,4)="7050","",IF('1) Import fichier Remi (coller)'!M737="","",'1) Import fichier Remi (coller)'!M737)))</f>
        <v/>
      </c>
      <c r="AB737" t="str">
        <f>IF($A737="VE11","",IF(LEFT($H737,4)="7050","",IF('1) Import fichier Remi (coller)'!N737="","",'1) Import fichier Remi (coller)'!N737)))</f>
        <v/>
      </c>
      <c r="AC737" t="str">
        <f>IF(A737="","",VLOOKUP(LEFT('1) Import fichier Remi (coller)'!A737,9)+0,'Concordance Client R2 BOB'!$B:$C,2,FALSE))</f>
        <v/>
      </c>
    </row>
    <row r="738" spans="1:29" ht="18.75" customHeight="1" x14ac:dyDescent="0.25">
      <c r="A738" t="str">
        <f>IF('1) Import fichier Remi (coller)'!D738="","",'1) Import fichier Remi (coller)'!D738)</f>
        <v/>
      </c>
      <c r="B738" t="str">
        <f>IF(A738="","",YEAR('1) Import fichier Remi (coller)'!F738))</f>
        <v/>
      </c>
      <c r="C738" t="str">
        <f>IF(A738="","",MONTH('1) Import fichier Remi (coller)'!F738))</f>
        <v/>
      </c>
      <c r="D738" s="1" t="str">
        <f>IF(A738="","",'1) Import fichier Remi (coller)'!F738)</f>
        <v/>
      </c>
      <c r="E738" s="1" t="str">
        <f>IF(A738="","",'1) Import fichier Remi (coller)'!G738)</f>
        <v/>
      </c>
      <c r="F738" t="str">
        <f>IF(A738="","",'1) Import fichier Remi (coller)'!E738)</f>
        <v/>
      </c>
      <c r="G738" t="str">
        <f>IF(A738="","",IF(ISERROR(VLOOKUP(LEFT('1) Import fichier Remi (coller)'!A738,9),'Concordance client liv et fact'!$A:$H,8,FALSE))=TRUE,'1) Import fichier Remi (coller)'!B738,VLOOKUP(LEFT('1) Import fichier Remi (coller)'!A738,9),'Concordance client liv et fact'!$A:$H,8,FALSE)))</f>
        <v/>
      </c>
      <c r="H738" t="str">
        <f>IF(A738="","",IF(ISERROR(VLOOKUP('1) Import fichier Remi (coller)'!K738&amp;" - "&amp;'1) Import fichier Remi (coller)'!L738,'Spécifique comptes'!$A:$G,1,FALSE))=TRUE,'1) Import fichier Remi (coller)'!V738,VLOOKUP('1) Import fichier Remi (coller)'!K738&amp;" - "&amp;'1) Import fichier Remi (coller)'!L738,'Spécifique comptes'!$A:$G,IF(LEFT('2) BOB compta (completer-forcer'!F738,2)="11",4,IF(LEFT('2) BOB compta (completer-forcer'!F738,2)="12",5,IF(LEFT('2) BOB compta (completer-forcer'!F738,2)="13",6,IF(LEFT('2) BOB compta (completer-forcer'!F738,2)="15",7,"Erreur Compte")))),FALSE)))</f>
        <v/>
      </c>
      <c r="I738" s="26" t="str">
        <f>IF(A738="","",IF(H738="70100000",'1) Import fichier Remi (coller)'!J738,'1) Import fichier Remi (coller)'!U738))</f>
        <v/>
      </c>
      <c r="J738" s="26" t="str">
        <f>IF(A738="","",'1) Import fichier Remi (coller)'!U738)</f>
        <v/>
      </c>
      <c r="K738" s="17" t="str">
        <f t="shared" si="3"/>
        <v/>
      </c>
      <c r="L738" t="str">
        <f t="shared" si="2"/>
        <v/>
      </c>
      <c r="M738" s="14" t="str">
        <f>IF(A738="","",'1) Import fichier Remi (coller)'!S738)</f>
        <v/>
      </c>
      <c r="N738" s="17" t="str">
        <f>IF($A738="","",IF(OR($A738="NCV",$A738="NC15"),-'1) Import fichier Remi (coller)'!R738,'1) Import fichier Remi (coller)'!R738))</f>
        <v/>
      </c>
      <c r="O738" s="17" t="str">
        <f>IF($A738="","",IF(OR($A738="NCV",$A738="NC15"),-'1) Import fichier Remi (coller)'!T738,'1) Import fichier Remi (coller)'!T738))</f>
        <v/>
      </c>
      <c r="R738" t="str">
        <f>IF($A738="","",IF(ISERROR(VLOOKUP(LEFT('1) Import fichier Remi (coller)'!$A738,9),'Concordance client liv et fact'!$A:$H,8,FALSE))=TRUE,VLOOKUP(LEFT('1) Import fichier Remi (coller)'!$A738,9)+0,'Clients R2'!$A:$CY,2,FALSE),VLOOKUP(VLOOKUP(LEFT('1) Import fichier Remi (coller)'!$A738,9),'Concordance client liv et fact'!$A:$H,7,FALSE)+0,'Clients R2'!$A:$CY,2,FALSE)))</f>
        <v/>
      </c>
      <c r="S738" t="str">
        <f>IF($A738="","",PROPER(IF(ISERROR(VLOOKUP(LEFT('1) Import fichier Remi (coller)'!$A738,9),'Concordance client liv et fact'!$A:$H,8,FALSE))=TRUE,VLOOKUP(LEFT('1) Import fichier Remi (coller)'!$A738,9)+0,'Clients R2'!$A:$CY,27,FALSE),VLOOKUP(VLOOKUP(LEFT('1) Import fichier Remi (coller)'!$A738,9),'Concordance client liv et fact'!$A:$H,7,FALSE)+0,'Clients R2'!$A:$CY,27,FALSE))))</f>
        <v/>
      </c>
      <c r="T738" t="str">
        <f>IF($A738="","",LEFT(UPPER(IF(ISERROR(VLOOKUP(LEFT('1) Import fichier Remi (coller)'!$A738,9),'Concordance client liv et fact'!$A:$H,8,FALSE))=TRUE,VLOOKUP(LEFT('1) Import fichier Remi (coller)'!$A738,9)+0,'Clients R2'!$A:$CY,28,FALSE),VLOOKUP(VLOOKUP(LEFT('1) Import fichier Remi (coller)'!$A738,9),'Concordance client liv et fact'!$A:$H,7,FALSE)+0,'Clients R2'!$A:$CY,28,FALSE))),2)&amp;UPPER(IF(ISERROR(VLOOKUP(LEFT('1) Import fichier Remi (coller)'!$A738,9),'Concordance client liv et fact'!$A:$H,8,FALSE))=TRUE,VLOOKUP(LEFT('1) Import fichier Remi (coller)'!$A738,9)+0,'Clients R2'!$A:$CY,29,FALSE),VLOOKUP(VLOOKUP(LEFT('1) Import fichier Remi (coller)'!$A738,9),'Concordance client liv et fact'!$A:$H,7,FALSE)+0,'Clients R2'!$A:$CY,29,FALSE))))</f>
        <v/>
      </c>
      <c r="U738" t="str">
        <f>IF($A738="","",PROPER(IF(ISERROR(VLOOKUP(LEFT('1) Import fichier Remi (coller)'!$A738,9),'Concordance client liv et fact'!$A:$H,8,FALSE))=TRUE,VLOOKUP(LEFT('1) Import fichier Remi (coller)'!$A738,9)+0,'Clients R2'!$A:$CY,30,FALSE),VLOOKUP(VLOOKUP(LEFT('1) Import fichier Remi (coller)'!$A738,9),'Concordance client liv et fact'!$A:$H,7,FALSE)+0,'Clients R2'!$A:$CY,30,FALSE))))</f>
        <v/>
      </c>
      <c r="V738" t="str">
        <f>IF($A738="","",LEFT(UPPER(IF(ISERROR(VLOOKUP(LEFT('1) Import fichier Remi (coller)'!$A738,9),'Concordance client liv et fact'!$A:$H,8,FALSE))=TRUE,IF(VLOOKUP(LEFT('1) Import fichier Remi (coller)'!$A738,9)+0,'Clients R2'!$A:$CY,22,FALSE)=4,"NA",VLOOKUP(LEFT('1) Import fichier Remi (coller)'!$A738,9)+0,'Clients R2'!$A:$CY,3,FALSE)),IF(VLOOKUP(VLOOKUP(LEFT('1) Import fichier Remi (coller)'!$A738,9),'Concordance client liv et fact'!$A:$H,7,FALSE)+0,'Clients R2'!$A:$CY,22,FALSE)=4,"NA",VLOOKUP(VLOOKUP(LEFT('1) Import fichier Remi (coller)'!$A738,9),'Concordance client liv et fact'!$A:$H,7,FALSE)+0,'Clients R2'!$A:$CY,3,FALSE)))),2))</f>
        <v/>
      </c>
      <c r="W738" s="27"/>
      <c r="X738" s="27"/>
      <c r="Y738" t="str">
        <f>IF(A738="","",VLOOKUP(A738,'Libellés PDF'!$A$2:$B$5,2,FALSE)&amp;F738&amp;".PDF")</f>
        <v/>
      </c>
      <c r="Z738" t="str">
        <f>IF(A738="","",IF(OR(H738="705099999",H738="705001002"),VLOOKUP('1) Import fichier Remi (coller)'!J738,'Analytique personnel'!$A:$B,2,FALSE),""))</f>
        <v/>
      </c>
      <c r="AA738" t="str">
        <f>IF($A738="VE11","",IF(LEFT($H738,4)="7050","",IF('1) Import fichier Remi (coller)'!M738="","",'1) Import fichier Remi (coller)'!M738)))</f>
        <v/>
      </c>
      <c r="AB738" t="str">
        <f>IF($A738="VE11","",IF(LEFT($H738,4)="7050","",IF('1) Import fichier Remi (coller)'!N738="","",'1) Import fichier Remi (coller)'!N738)))</f>
        <v/>
      </c>
      <c r="AC738" t="str">
        <f>IF(A738="","",VLOOKUP(LEFT('1) Import fichier Remi (coller)'!A738,9)+0,'Concordance Client R2 BOB'!$B:$C,2,FALSE))</f>
        <v/>
      </c>
    </row>
    <row r="739" spans="1:29" ht="18.75" customHeight="1" x14ac:dyDescent="0.25">
      <c r="A739" t="str">
        <f>IF('1) Import fichier Remi (coller)'!D739="","",'1) Import fichier Remi (coller)'!D739)</f>
        <v/>
      </c>
      <c r="B739" t="str">
        <f>IF(A739="","",YEAR('1) Import fichier Remi (coller)'!F739))</f>
        <v/>
      </c>
      <c r="C739" t="str">
        <f>IF(A739="","",MONTH('1) Import fichier Remi (coller)'!F739))</f>
        <v/>
      </c>
      <c r="D739" s="1" t="str">
        <f>IF(A739="","",'1) Import fichier Remi (coller)'!F739)</f>
        <v/>
      </c>
      <c r="E739" s="1" t="str">
        <f>IF(A739="","",'1) Import fichier Remi (coller)'!G739)</f>
        <v/>
      </c>
      <c r="F739" t="str">
        <f>IF(A739="","",'1) Import fichier Remi (coller)'!E739)</f>
        <v/>
      </c>
      <c r="G739" t="str">
        <f>IF(A739="","",IF(ISERROR(VLOOKUP(LEFT('1) Import fichier Remi (coller)'!A739,9),'Concordance client liv et fact'!$A:$H,8,FALSE))=TRUE,'1) Import fichier Remi (coller)'!B739,VLOOKUP(LEFT('1) Import fichier Remi (coller)'!A739,9),'Concordance client liv et fact'!$A:$H,8,FALSE)))</f>
        <v/>
      </c>
      <c r="H739" t="str">
        <f>IF(A739="","",IF(ISERROR(VLOOKUP('1) Import fichier Remi (coller)'!K739&amp;" - "&amp;'1) Import fichier Remi (coller)'!L739,'Spécifique comptes'!$A:$G,1,FALSE))=TRUE,'1) Import fichier Remi (coller)'!V739,VLOOKUP('1) Import fichier Remi (coller)'!K739&amp;" - "&amp;'1) Import fichier Remi (coller)'!L739,'Spécifique comptes'!$A:$G,IF(LEFT('2) BOB compta (completer-forcer'!F739,2)="11",4,IF(LEFT('2) BOB compta (completer-forcer'!F739,2)="12",5,IF(LEFT('2) BOB compta (completer-forcer'!F739,2)="13",6,IF(LEFT('2) BOB compta (completer-forcer'!F739,2)="15",7,"Erreur Compte")))),FALSE)))</f>
        <v/>
      </c>
      <c r="I739" s="26" t="str">
        <f>IF(A739="","",IF(H739="70100000",'1) Import fichier Remi (coller)'!J739,'1) Import fichier Remi (coller)'!U739))</f>
        <v/>
      </c>
      <c r="J739" s="26" t="str">
        <f>IF(A739="","",'1) Import fichier Remi (coller)'!U739)</f>
        <v/>
      </c>
      <c r="K739" s="17" t="str">
        <f t="shared" si="3"/>
        <v/>
      </c>
      <c r="L739" t="str">
        <f t="shared" si="2"/>
        <v/>
      </c>
      <c r="M739" s="14" t="str">
        <f>IF(A739="","",'1) Import fichier Remi (coller)'!S739)</f>
        <v/>
      </c>
      <c r="N739" s="17" t="str">
        <f>IF($A739="","",IF(OR($A739="NCV",$A739="NC15"),-'1) Import fichier Remi (coller)'!R739,'1) Import fichier Remi (coller)'!R739))</f>
        <v/>
      </c>
      <c r="O739" s="17" t="str">
        <f>IF($A739="","",IF(OR($A739="NCV",$A739="NC15"),-'1) Import fichier Remi (coller)'!T739,'1) Import fichier Remi (coller)'!T739))</f>
        <v/>
      </c>
      <c r="R739" t="str">
        <f>IF($A739="","",IF(ISERROR(VLOOKUP(LEFT('1) Import fichier Remi (coller)'!$A739,9),'Concordance client liv et fact'!$A:$H,8,FALSE))=TRUE,VLOOKUP(LEFT('1) Import fichier Remi (coller)'!$A739,9)+0,'Clients R2'!$A:$CY,2,FALSE),VLOOKUP(VLOOKUP(LEFT('1) Import fichier Remi (coller)'!$A739,9),'Concordance client liv et fact'!$A:$H,7,FALSE)+0,'Clients R2'!$A:$CY,2,FALSE)))</f>
        <v/>
      </c>
      <c r="S739" t="str">
        <f>IF($A739="","",PROPER(IF(ISERROR(VLOOKUP(LEFT('1) Import fichier Remi (coller)'!$A739,9),'Concordance client liv et fact'!$A:$H,8,FALSE))=TRUE,VLOOKUP(LEFT('1) Import fichier Remi (coller)'!$A739,9)+0,'Clients R2'!$A:$CY,27,FALSE),VLOOKUP(VLOOKUP(LEFT('1) Import fichier Remi (coller)'!$A739,9),'Concordance client liv et fact'!$A:$H,7,FALSE)+0,'Clients R2'!$A:$CY,27,FALSE))))</f>
        <v/>
      </c>
      <c r="T739" t="str">
        <f>IF($A739="","",LEFT(UPPER(IF(ISERROR(VLOOKUP(LEFT('1) Import fichier Remi (coller)'!$A739,9),'Concordance client liv et fact'!$A:$H,8,FALSE))=TRUE,VLOOKUP(LEFT('1) Import fichier Remi (coller)'!$A739,9)+0,'Clients R2'!$A:$CY,28,FALSE),VLOOKUP(VLOOKUP(LEFT('1) Import fichier Remi (coller)'!$A739,9),'Concordance client liv et fact'!$A:$H,7,FALSE)+0,'Clients R2'!$A:$CY,28,FALSE))),2)&amp;UPPER(IF(ISERROR(VLOOKUP(LEFT('1) Import fichier Remi (coller)'!$A739,9),'Concordance client liv et fact'!$A:$H,8,FALSE))=TRUE,VLOOKUP(LEFT('1) Import fichier Remi (coller)'!$A739,9)+0,'Clients R2'!$A:$CY,29,FALSE),VLOOKUP(VLOOKUP(LEFT('1) Import fichier Remi (coller)'!$A739,9),'Concordance client liv et fact'!$A:$H,7,FALSE)+0,'Clients R2'!$A:$CY,29,FALSE))))</f>
        <v/>
      </c>
      <c r="U739" t="str">
        <f>IF($A739="","",PROPER(IF(ISERROR(VLOOKUP(LEFT('1) Import fichier Remi (coller)'!$A739,9),'Concordance client liv et fact'!$A:$H,8,FALSE))=TRUE,VLOOKUP(LEFT('1) Import fichier Remi (coller)'!$A739,9)+0,'Clients R2'!$A:$CY,30,FALSE),VLOOKUP(VLOOKUP(LEFT('1) Import fichier Remi (coller)'!$A739,9),'Concordance client liv et fact'!$A:$H,7,FALSE)+0,'Clients R2'!$A:$CY,30,FALSE))))</f>
        <v/>
      </c>
      <c r="V739" t="str">
        <f>IF($A739="","",LEFT(UPPER(IF(ISERROR(VLOOKUP(LEFT('1) Import fichier Remi (coller)'!$A739,9),'Concordance client liv et fact'!$A:$H,8,FALSE))=TRUE,IF(VLOOKUP(LEFT('1) Import fichier Remi (coller)'!$A739,9)+0,'Clients R2'!$A:$CY,22,FALSE)=4,"NA",VLOOKUP(LEFT('1) Import fichier Remi (coller)'!$A739,9)+0,'Clients R2'!$A:$CY,3,FALSE)),IF(VLOOKUP(VLOOKUP(LEFT('1) Import fichier Remi (coller)'!$A739,9),'Concordance client liv et fact'!$A:$H,7,FALSE)+0,'Clients R2'!$A:$CY,22,FALSE)=4,"NA",VLOOKUP(VLOOKUP(LEFT('1) Import fichier Remi (coller)'!$A739,9),'Concordance client liv et fact'!$A:$H,7,FALSE)+0,'Clients R2'!$A:$CY,3,FALSE)))),2))</f>
        <v/>
      </c>
      <c r="W739" s="27"/>
      <c r="X739" s="27"/>
      <c r="Y739" t="str">
        <f>IF(A739="","",VLOOKUP(A739,'Libellés PDF'!$A$2:$B$5,2,FALSE)&amp;F739&amp;".PDF")</f>
        <v/>
      </c>
      <c r="Z739" t="str">
        <f>IF(A739="","",IF(OR(H739="705099999",H739="705001002"),VLOOKUP('1) Import fichier Remi (coller)'!J739,'Analytique personnel'!$A:$B,2,FALSE),""))</f>
        <v/>
      </c>
      <c r="AA739" t="str">
        <f>IF($A739="VE11","",IF(LEFT($H739,4)="7050","",IF('1) Import fichier Remi (coller)'!M739="","",'1) Import fichier Remi (coller)'!M739)))</f>
        <v/>
      </c>
      <c r="AB739" t="str">
        <f>IF($A739="VE11","",IF(LEFT($H739,4)="7050","",IF('1) Import fichier Remi (coller)'!N739="","",'1) Import fichier Remi (coller)'!N739)))</f>
        <v/>
      </c>
      <c r="AC739" t="str">
        <f>IF(A739="","",VLOOKUP(LEFT('1) Import fichier Remi (coller)'!A739,9)+0,'Concordance Client R2 BOB'!$B:$C,2,FALSE))</f>
        <v/>
      </c>
    </row>
    <row r="740" spans="1:29" ht="18.75" customHeight="1" x14ac:dyDescent="0.25">
      <c r="A740" t="str">
        <f>IF('1) Import fichier Remi (coller)'!D740="","",'1) Import fichier Remi (coller)'!D740)</f>
        <v/>
      </c>
      <c r="B740" t="str">
        <f>IF(A740="","",YEAR('1) Import fichier Remi (coller)'!F740))</f>
        <v/>
      </c>
      <c r="C740" t="str">
        <f>IF(A740="","",MONTH('1) Import fichier Remi (coller)'!F740))</f>
        <v/>
      </c>
      <c r="D740" s="1" t="str">
        <f>IF(A740="","",'1) Import fichier Remi (coller)'!F740)</f>
        <v/>
      </c>
      <c r="E740" s="1" t="str">
        <f>IF(A740="","",'1) Import fichier Remi (coller)'!G740)</f>
        <v/>
      </c>
      <c r="F740" t="str">
        <f>IF(A740="","",'1) Import fichier Remi (coller)'!E740)</f>
        <v/>
      </c>
      <c r="G740" t="str">
        <f>IF(A740="","",IF(ISERROR(VLOOKUP(LEFT('1) Import fichier Remi (coller)'!A740,9),'Concordance client liv et fact'!$A:$H,8,FALSE))=TRUE,'1) Import fichier Remi (coller)'!B740,VLOOKUP(LEFT('1) Import fichier Remi (coller)'!A740,9),'Concordance client liv et fact'!$A:$H,8,FALSE)))</f>
        <v/>
      </c>
      <c r="H740" t="str">
        <f>IF(A740="","",IF(ISERROR(VLOOKUP('1) Import fichier Remi (coller)'!K740&amp;" - "&amp;'1) Import fichier Remi (coller)'!L740,'Spécifique comptes'!$A:$G,1,FALSE))=TRUE,'1) Import fichier Remi (coller)'!V740,VLOOKUP('1) Import fichier Remi (coller)'!K740&amp;" - "&amp;'1) Import fichier Remi (coller)'!L740,'Spécifique comptes'!$A:$G,IF(LEFT('2) BOB compta (completer-forcer'!F740,2)="11",4,IF(LEFT('2) BOB compta (completer-forcer'!F740,2)="12",5,IF(LEFT('2) BOB compta (completer-forcer'!F740,2)="13",6,IF(LEFT('2) BOB compta (completer-forcer'!F740,2)="15",7,"Erreur Compte")))),FALSE)))</f>
        <v/>
      </c>
      <c r="I740" s="26" t="str">
        <f>IF(A740="","",IF(H740="70100000",'1) Import fichier Remi (coller)'!J740,'1) Import fichier Remi (coller)'!U740))</f>
        <v/>
      </c>
      <c r="J740" s="26" t="str">
        <f>IF(A740="","",'1) Import fichier Remi (coller)'!U740)</f>
        <v/>
      </c>
      <c r="K740" s="17" t="str">
        <f t="shared" si="3"/>
        <v/>
      </c>
      <c r="L740" t="str">
        <f t="shared" si="2"/>
        <v/>
      </c>
      <c r="M740" s="14" t="str">
        <f>IF(A740="","",'1) Import fichier Remi (coller)'!S740)</f>
        <v/>
      </c>
      <c r="N740" s="17" t="str">
        <f>IF($A740="","",IF(OR($A740="NCV",$A740="NC15"),-'1) Import fichier Remi (coller)'!R740,'1) Import fichier Remi (coller)'!R740))</f>
        <v/>
      </c>
      <c r="O740" s="17" t="str">
        <f>IF($A740="","",IF(OR($A740="NCV",$A740="NC15"),-'1) Import fichier Remi (coller)'!T740,'1) Import fichier Remi (coller)'!T740))</f>
        <v/>
      </c>
      <c r="R740" t="str">
        <f>IF($A740="","",IF(ISERROR(VLOOKUP(LEFT('1) Import fichier Remi (coller)'!$A740,9),'Concordance client liv et fact'!$A:$H,8,FALSE))=TRUE,VLOOKUP(LEFT('1) Import fichier Remi (coller)'!$A740,9)+0,'Clients R2'!$A:$CY,2,FALSE),VLOOKUP(VLOOKUP(LEFT('1) Import fichier Remi (coller)'!$A740,9),'Concordance client liv et fact'!$A:$H,7,FALSE)+0,'Clients R2'!$A:$CY,2,FALSE)))</f>
        <v/>
      </c>
      <c r="S740" t="str">
        <f>IF($A740="","",PROPER(IF(ISERROR(VLOOKUP(LEFT('1) Import fichier Remi (coller)'!$A740,9),'Concordance client liv et fact'!$A:$H,8,FALSE))=TRUE,VLOOKUP(LEFT('1) Import fichier Remi (coller)'!$A740,9)+0,'Clients R2'!$A:$CY,27,FALSE),VLOOKUP(VLOOKUP(LEFT('1) Import fichier Remi (coller)'!$A740,9),'Concordance client liv et fact'!$A:$H,7,FALSE)+0,'Clients R2'!$A:$CY,27,FALSE))))</f>
        <v/>
      </c>
      <c r="T740" t="str">
        <f>IF($A740="","",LEFT(UPPER(IF(ISERROR(VLOOKUP(LEFT('1) Import fichier Remi (coller)'!$A740,9),'Concordance client liv et fact'!$A:$H,8,FALSE))=TRUE,VLOOKUP(LEFT('1) Import fichier Remi (coller)'!$A740,9)+0,'Clients R2'!$A:$CY,28,FALSE),VLOOKUP(VLOOKUP(LEFT('1) Import fichier Remi (coller)'!$A740,9),'Concordance client liv et fact'!$A:$H,7,FALSE)+0,'Clients R2'!$A:$CY,28,FALSE))),2)&amp;UPPER(IF(ISERROR(VLOOKUP(LEFT('1) Import fichier Remi (coller)'!$A740,9),'Concordance client liv et fact'!$A:$H,8,FALSE))=TRUE,VLOOKUP(LEFT('1) Import fichier Remi (coller)'!$A740,9)+0,'Clients R2'!$A:$CY,29,FALSE),VLOOKUP(VLOOKUP(LEFT('1) Import fichier Remi (coller)'!$A740,9),'Concordance client liv et fact'!$A:$H,7,FALSE)+0,'Clients R2'!$A:$CY,29,FALSE))))</f>
        <v/>
      </c>
      <c r="U740" t="str">
        <f>IF($A740="","",PROPER(IF(ISERROR(VLOOKUP(LEFT('1) Import fichier Remi (coller)'!$A740,9),'Concordance client liv et fact'!$A:$H,8,FALSE))=TRUE,VLOOKUP(LEFT('1) Import fichier Remi (coller)'!$A740,9)+0,'Clients R2'!$A:$CY,30,FALSE),VLOOKUP(VLOOKUP(LEFT('1) Import fichier Remi (coller)'!$A740,9),'Concordance client liv et fact'!$A:$H,7,FALSE)+0,'Clients R2'!$A:$CY,30,FALSE))))</f>
        <v/>
      </c>
      <c r="V740" t="str">
        <f>IF($A740="","",LEFT(UPPER(IF(ISERROR(VLOOKUP(LEFT('1) Import fichier Remi (coller)'!$A740,9),'Concordance client liv et fact'!$A:$H,8,FALSE))=TRUE,IF(VLOOKUP(LEFT('1) Import fichier Remi (coller)'!$A740,9)+0,'Clients R2'!$A:$CY,22,FALSE)=4,"NA",VLOOKUP(LEFT('1) Import fichier Remi (coller)'!$A740,9)+0,'Clients R2'!$A:$CY,3,FALSE)),IF(VLOOKUP(VLOOKUP(LEFT('1) Import fichier Remi (coller)'!$A740,9),'Concordance client liv et fact'!$A:$H,7,FALSE)+0,'Clients R2'!$A:$CY,22,FALSE)=4,"NA",VLOOKUP(VLOOKUP(LEFT('1) Import fichier Remi (coller)'!$A740,9),'Concordance client liv et fact'!$A:$H,7,FALSE)+0,'Clients R2'!$A:$CY,3,FALSE)))),2))</f>
        <v/>
      </c>
      <c r="W740" s="27"/>
      <c r="X740" s="27"/>
      <c r="Y740" t="str">
        <f>IF(A740="","",VLOOKUP(A740,'Libellés PDF'!$A$2:$B$5,2,FALSE)&amp;F740&amp;".PDF")</f>
        <v/>
      </c>
      <c r="Z740" t="str">
        <f>IF(A740="","",IF(OR(H740="705099999",H740="705001002"),VLOOKUP('1) Import fichier Remi (coller)'!J740,'Analytique personnel'!$A:$B,2,FALSE),""))</f>
        <v/>
      </c>
      <c r="AA740" t="str">
        <f>IF($A740="VE11","",IF(LEFT($H740,4)="7050","",IF('1) Import fichier Remi (coller)'!M740="","",'1) Import fichier Remi (coller)'!M740)))</f>
        <v/>
      </c>
      <c r="AB740" t="str">
        <f>IF($A740="VE11","",IF(LEFT($H740,4)="7050","",IF('1) Import fichier Remi (coller)'!N740="","",'1) Import fichier Remi (coller)'!N740)))</f>
        <v/>
      </c>
      <c r="AC740" t="str">
        <f>IF(A740="","",VLOOKUP(LEFT('1) Import fichier Remi (coller)'!A740,9)+0,'Concordance Client R2 BOB'!$B:$C,2,FALSE))</f>
        <v/>
      </c>
    </row>
    <row r="741" spans="1:29" ht="18.75" customHeight="1" x14ac:dyDescent="0.25">
      <c r="A741" t="str">
        <f>IF('1) Import fichier Remi (coller)'!D741="","",'1) Import fichier Remi (coller)'!D741)</f>
        <v/>
      </c>
      <c r="B741" t="str">
        <f>IF(A741="","",YEAR('1) Import fichier Remi (coller)'!F741))</f>
        <v/>
      </c>
      <c r="C741" t="str">
        <f>IF(A741="","",MONTH('1) Import fichier Remi (coller)'!F741))</f>
        <v/>
      </c>
      <c r="D741" s="1" t="str">
        <f>IF(A741="","",'1) Import fichier Remi (coller)'!F741)</f>
        <v/>
      </c>
      <c r="E741" s="1" t="str">
        <f>IF(A741="","",'1) Import fichier Remi (coller)'!G741)</f>
        <v/>
      </c>
      <c r="F741" t="str">
        <f>IF(A741="","",'1) Import fichier Remi (coller)'!E741)</f>
        <v/>
      </c>
      <c r="G741" t="str">
        <f>IF(A741="","",IF(ISERROR(VLOOKUP(LEFT('1) Import fichier Remi (coller)'!A741,9),'Concordance client liv et fact'!$A:$H,8,FALSE))=TRUE,'1) Import fichier Remi (coller)'!B741,VLOOKUP(LEFT('1) Import fichier Remi (coller)'!A741,9),'Concordance client liv et fact'!$A:$H,8,FALSE)))</f>
        <v/>
      </c>
      <c r="H741" t="str">
        <f>IF(A741="","",IF(ISERROR(VLOOKUP('1) Import fichier Remi (coller)'!K741&amp;" - "&amp;'1) Import fichier Remi (coller)'!L741,'Spécifique comptes'!$A:$G,1,FALSE))=TRUE,'1) Import fichier Remi (coller)'!V741,VLOOKUP('1) Import fichier Remi (coller)'!K741&amp;" - "&amp;'1) Import fichier Remi (coller)'!L741,'Spécifique comptes'!$A:$G,IF(LEFT('2) BOB compta (completer-forcer'!F741,2)="11",4,IF(LEFT('2) BOB compta (completer-forcer'!F741,2)="12",5,IF(LEFT('2) BOB compta (completer-forcer'!F741,2)="13",6,IF(LEFT('2) BOB compta (completer-forcer'!F741,2)="15",7,"Erreur Compte")))),FALSE)))</f>
        <v/>
      </c>
      <c r="I741" s="26" t="str">
        <f>IF(A741="","",IF(H741="70100000",'1) Import fichier Remi (coller)'!J741,'1) Import fichier Remi (coller)'!U741))</f>
        <v/>
      </c>
      <c r="J741" s="26" t="str">
        <f>IF(A741="","",'1) Import fichier Remi (coller)'!U741)</f>
        <v/>
      </c>
      <c r="K741" s="17" t="str">
        <f t="shared" si="3"/>
        <v/>
      </c>
      <c r="L741" t="str">
        <f t="shared" si="2"/>
        <v/>
      </c>
      <c r="M741" s="14" t="str">
        <f>IF(A741="","",'1) Import fichier Remi (coller)'!S741)</f>
        <v/>
      </c>
      <c r="N741" s="17" t="str">
        <f>IF($A741="","",IF(OR($A741="NCV",$A741="NC15"),-'1) Import fichier Remi (coller)'!R741,'1) Import fichier Remi (coller)'!R741))</f>
        <v/>
      </c>
      <c r="O741" s="17" t="str">
        <f>IF($A741="","",IF(OR($A741="NCV",$A741="NC15"),-'1) Import fichier Remi (coller)'!T741,'1) Import fichier Remi (coller)'!T741))</f>
        <v/>
      </c>
      <c r="R741" t="str">
        <f>IF($A741="","",IF(ISERROR(VLOOKUP(LEFT('1) Import fichier Remi (coller)'!$A741,9),'Concordance client liv et fact'!$A:$H,8,FALSE))=TRUE,VLOOKUP(LEFT('1) Import fichier Remi (coller)'!$A741,9)+0,'Clients R2'!$A:$CY,2,FALSE),VLOOKUP(VLOOKUP(LEFT('1) Import fichier Remi (coller)'!$A741,9),'Concordance client liv et fact'!$A:$H,7,FALSE)+0,'Clients R2'!$A:$CY,2,FALSE)))</f>
        <v/>
      </c>
      <c r="S741" t="str">
        <f>IF($A741="","",PROPER(IF(ISERROR(VLOOKUP(LEFT('1) Import fichier Remi (coller)'!$A741,9),'Concordance client liv et fact'!$A:$H,8,FALSE))=TRUE,VLOOKUP(LEFT('1) Import fichier Remi (coller)'!$A741,9)+0,'Clients R2'!$A:$CY,27,FALSE),VLOOKUP(VLOOKUP(LEFT('1) Import fichier Remi (coller)'!$A741,9),'Concordance client liv et fact'!$A:$H,7,FALSE)+0,'Clients R2'!$A:$CY,27,FALSE))))</f>
        <v/>
      </c>
      <c r="T741" t="str">
        <f>IF($A741="","",LEFT(UPPER(IF(ISERROR(VLOOKUP(LEFT('1) Import fichier Remi (coller)'!$A741,9),'Concordance client liv et fact'!$A:$H,8,FALSE))=TRUE,VLOOKUP(LEFT('1) Import fichier Remi (coller)'!$A741,9)+0,'Clients R2'!$A:$CY,28,FALSE),VLOOKUP(VLOOKUP(LEFT('1) Import fichier Remi (coller)'!$A741,9),'Concordance client liv et fact'!$A:$H,7,FALSE)+0,'Clients R2'!$A:$CY,28,FALSE))),2)&amp;UPPER(IF(ISERROR(VLOOKUP(LEFT('1) Import fichier Remi (coller)'!$A741,9),'Concordance client liv et fact'!$A:$H,8,FALSE))=TRUE,VLOOKUP(LEFT('1) Import fichier Remi (coller)'!$A741,9)+0,'Clients R2'!$A:$CY,29,FALSE),VLOOKUP(VLOOKUP(LEFT('1) Import fichier Remi (coller)'!$A741,9),'Concordance client liv et fact'!$A:$H,7,FALSE)+0,'Clients R2'!$A:$CY,29,FALSE))))</f>
        <v/>
      </c>
      <c r="U741" t="str">
        <f>IF($A741="","",PROPER(IF(ISERROR(VLOOKUP(LEFT('1) Import fichier Remi (coller)'!$A741,9),'Concordance client liv et fact'!$A:$H,8,FALSE))=TRUE,VLOOKUP(LEFT('1) Import fichier Remi (coller)'!$A741,9)+0,'Clients R2'!$A:$CY,30,FALSE),VLOOKUP(VLOOKUP(LEFT('1) Import fichier Remi (coller)'!$A741,9),'Concordance client liv et fact'!$A:$H,7,FALSE)+0,'Clients R2'!$A:$CY,30,FALSE))))</f>
        <v/>
      </c>
      <c r="V741" t="str">
        <f>IF($A741="","",LEFT(UPPER(IF(ISERROR(VLOOKUP(LEFT('1) Import fichier Remi (coller)'!$A741,9),'Concordance client liv et fact'!$A:$H,8,FALSE))=TRUE,IF(VLOOKUP(LEFT('1) Import fichier Remi (coller)'!$A741,9)+0,'Clients R2'!$A:$CY,22,FALSE)=4,"NA",VLOOKUP(LEFT('1) Import fichier Remi (coller)'!$A741,9)+0,'Clients R2'!$A:$CY,3,FALSE)),IF(VLOOKUP(VLOOKUP(LEFT('1) Import fichier Remi (coller)'!$A741,9),'Concordance client liv et fact'!$A:$H,7,FALSE)+0,'Clients R2'!$A:$CY,22,FALSE)=4,"NA",VLOOKUP(VLOOKUP(LEFT('1) Import fichier Remi (coller)'!$A741,9),'Concordance client liv et fact'!$A:$H,7,FALSE)+0,'Clients R2'!$A:$CY,3,FALSE)))),2))</f>
        <v/>
      </c>
      <c r="W741" s="27"/>
      <c r="X741" s="27"/>
      <c r="Y741" t="str">
        <f>IF(A741="","",VLOOKUP(A741,'Libellés PDF'!$A$2:$B$5,2,FALSE)&amp;F741&amp;".PDF")</f>
        <v/>
      </c>
      <c r="Z741" t="str">
        <f>IF(A741="","",IF(OR(H741="705099999",H741="705001002"),VLOOKUP('1) Import fichier Remi (coller)'!J741,'Analytique personnel'!$A:$B,2,FALSE),""))</f>
        <v/>
      </c>
      <c r="AA741" t="str">
        <f>IF($A741="VE11","",IF(LEFT($H741,4)="7050","",IF('1) Import fichier Remi (coller)'!M741="","",'1) Import fichier Remi (coller)'!M741)))</f>
        <v/>
      </c>
      <c r="AB741" t="str">
        <f>IF($A741="VE11","",IF(LEFT($H741,4)="7050","",IF('1) Import fichier Remi (coller)'!N741="","",'1) Import fichier Remi (coller)'!N741)))</f>
        <v/>
      </c>
      <c r="AC741" t="str">
        <f>IF(A741="","",VLOOKUP(LEFT('1) Import fichier Remi (coller)'!A741,9)+0,'Concordance Client R2 BOB'!$B:$C,2,FALSE))</f>
        <v/>
      </c>
    </row>
    <row r="742" spans="1:29" ht="18.75" customHeight="1" x14ac:dyDescent="0.25">
      <c r="A742" t="str">
        <f>IF('1) Import fichier Remi (coller)'!D742="","",'1) Import fichier Remi (coller)'!D742)</f>
        <v/>
      </c>
      <c r="B742" t="str">
        <f>IF(A742="","",YEAR('1) Import fichier Remi (coller)'!F742))</f>
        <v/>
      </c>
      <c r="C742" t="str">
        <f>IF(A742="","",MONTH('1) Import fichier Remi (coller)'!F742))</f>
        <v/>
      </c>
      <c r="D742" s="1" t="str">
        <f>IF(A742="","",'1) Import fichier Remi (coller)'!F742)</f>
        <v/>
      </c>
      <c r="E742" s="1" t="str">
        <f>IF(A742="","",'1) Import fichier Remi (coller)'!G742)</f>
        <v/>
      </c>
      <c r="F742" t="str">
        <f>IF(A742="","",'1) Import fichier Remi (coller)'!E742)</f>
        <v/>
      </c>
      <c r="G742" t="str">
        <f>IF(A742="","",IF(ISERROR(VLOOKUP(LEFT('1) Import fichier Remi (coller)'!A742,9),'Concordance client liv et fact'!$A:$H,8,FALSE))=TRUE,'1) Import fichier Remi (coller)'!B742,VLOOKUP(LEFT('1) Import fichier Remi (coller)'!A742,9),'Concordance client liv et fact'!$A:$H,8,FALSE)))</f>
        <v/>
      </c>
      <c r="H742" t="str">
        <f>IF(A742="","",IF(ISERROR(VLOOKUP('1) Import fichier Remi (coller)'!K742&amp;" - "&amp;'1) Import fichier Remi (coller)'!L742,'Spécifique comptes'!$A:$G,1,FALSE))=TRUE,'1) Import fichier Remi (coller)'!V742,VLOOKUP('1) Import fichier Remi (coller)'!K742&amp;" - "&amp;'1) Import fichier Remi (coller)'!L742,'Spécifique comptes'!$A:$G,IF(LEFT('2) BOB compta (completer-forcer'!F742,2)="11",4,IF(LEFT('2) BOB compta (completer-forcer'!F742,2)="12",5,IF(LEFT('2) BOB compta (completer-forcer'!F742,2)="13",6,IF(LEFT('2) BOB compta (completer-forcer'!F742,2)="15",7,"Erreur Compte")))),FALSE)))</f>
        <v/>
      </c>
      <c r="I742" s="26" t="str">
        <f>IF(A742="","",IF(H742="70100000",'1) Import fichier Remi (coller)'!J742,'1) Import fichier Remi (coller)'!U742))</f>
        <v/>
      </c>
      <c r="J742" s="26" t="str">
        <f>IF(A742="","",'1) Import fichier Remi (coller)'!U742)</f>
        <v/>
      </c>
      <c r="K742" s="17" t="str">
        <f t="shared" si="3"/>
        <v/>
      </c>
      <c r="L742" t="str">
        <f t="shared" si="2"/>
        <v/>
      </c>
      <c r="M742" s="14" t="str">
        <f>IF(A742="","",'1) Import fichier Remi (coller)'!S742)</f>
        <v/>
      </c>
      <c r="N742" s="17" t="str">
        <f>IF($A742="","",IF(OR($A742="NCV",$A742="NC15"),-'1) Import fichier Remi (coller)'!R742,'1) Import fichier Remi (coller)'!R742))</f>
        <v/>
      </c>
      <c r="O742" s="17" t="str">
        <f>IF($A742="","",IF(OR($A742="NCV",$A742="NC15"),-'1) Import fichier Remi (coller)'!T742,'1) Import fichier Remi (coller)'!T742))</f>
        <v/>
      </c>
      <c r="R742" t="str">
        <f>IF($A742="","",IF(ISERROR(VLOOKUP(LEFT('1) Import fichier Remi (coller)'!$A742,9),'Concordance client liv et fact'!$A:$H,8,FALSE))=TRUE,VLOOKUP(LEFT('1) Import fichier Remi (coller)'!$A742,9)+0,'Clients R2'!$A:$CY,2,FALSE),VLOOKUP(VLOOKUP(LEFT('1) Import fichier Remi (coller)'!$A742,9),'Concordance client liv et fact'!$A:$H,7,FALSE)+0,'Clients R2'!$A:$CY,2,FALSE)))</f>
        <v/>
      </c>
      <c r="S742" t="str">
        <f>IF($A742="","",PROPER(IF(ISERROR(VLOOKUP(LEFT('1) Import fichier Remi (coller)'!$A742,9),'Concordance client liv et fact'!$A:$H,8,FALSE))=TRUE,VLOOKUP(LEFT('1) Import fichier Remi (coller)'!$A742,9)+0,'Clients R2'!$A:$CY,27,FALSE),VLOOKUP(VLOOKUP(LEFT('1) Import fichier Remi (coller)'!$A742,9),'Concordance client liv et fact'!$A:$H,7,FALSE)+0,'Clients R2'!$A:$CY,27,FALSE))))</f>
        <v/>
      </c>
      <c r="T742" t="str">
        <f>IF($A742="","",LEFT(UPPER(IF(ISERROR(VLOOKUP(LEFT('1) Import fichier Remi (coller)'!$A742,9),'Concordance client liv et fact'!$A:$H,8,FALSE))=TRUE,VLOOKUP(LEFT('1) Import fichier Remi (coller)'!$A742,9)+0,'Clients R2'!$A:$CY,28,FALSE),VLOOKUP(VLOOKUP(LEFT('1) Import fichier Remi (coller)'!$A742,9),'Concordance client liv et fact'!$A:$H,7,FALSE)+0,'Clients R2'!$A:$CY,28,FALSE))),2)&amp;UPPER(IF(ISERROR(VLOOKUP(LEFT('1) Import fichier Remi (coller)'!$A742,9),'Concordance client liv et fact'!$A:$H,8,FALSE))=TRUE,VLOOKUP(LEFT('1) Import fichier Remi (coller)'!$A742,9)+0,'Clients R2'!$A:$CY,29,FALSE),VLOOKUP(VLOOKUP(LEFT('1) Import fichier Remi (coller)'!$A742,9),'Concordance client liv et fact'!$A:$H,7,FALSE)+0,'Clients R2'!$A:$CY,29,FALSE))))</f>
        <v/>
      </c>
      <c r="U742" t="str">
        <f>IF($A742="","",PROPER(IF(ISERROR(VLOOKUP(LEFT('1) Import fichier Remi (coller)'!$A742,9),'Concordance client liv et fact'!$A:$H,8,FALSE))=TRUE,VLOOKUP(LEFT('1) Import fichier Remi (coller)'!$A742,9)+0,'Clients R2'!$A:$CY,30,FALSE),VLOOKUP(VLOOKUP(LEFT('1) Import fichier Remi (coller)'!$A742,9),'Concordance client liv et fact'!$A:$H,7,FALSE)+0,'Clients R2'!$A:$CY,30,FALSE))))</f>
        <v/>
      </c>
      <c r="V742" t="str">
        <f>IF($A742="","",LEFT(UPPER(IF(ISERROR(VLOOKUP(LEFT('1) Import fichier Remi (coller)'!$A742,9),'Concordance client liv et fact'!$A:$H,8,FALSE))=TRUE,IF(VLOOKUP(LEFT('1) Import fichier Remi (coller)'!$A742,9)+0,'Clients R2'!$A:$CY,22,FALSE)=4,"NA",VLOOKUP(LEFT('1) Import fichier Remi (coller)'!$A742,9)+0,'Clients R2'!$A:$CY,3,FALSE)),IF(VLOOKUP(VLOOKUP(LEFT('1) Import fichier Remi (coller)'!$A742,9),'Concordance client liv et fact'!$A:$H,7,FALSE)+0,'Clients R2'!$A:$CY,22,FALSE)=4,"NA",VLOOKUP(VLOOKUP(LEFT('1) Import fichier Remi (coller)'!$A742,9),'Concordance client liv et fact'!$A:$H,7,FALSE)+0,'Clients R2'!$A:$CY,3,FALSE)))),2))</f>
        <v/>
      </c>
      <c r="W742" s="27"/>
      <c r="X742" s="27"/>
      <c r="Y742" t="str">
        <f>IF(A742="","",VLOOKUP(A742,'Libellés PDF'!$A$2:$B$5,2,FALSE)&amp;F742&amp;".PDF")</f>
        <v/>
      </c>
      <c r="Z742" t="s">
        <v>7752</v>
      </c>
      <c r="AA742" t="str">
        <f>IF($A742="VE11","",IF(LEFT($H742,4)="7050","",IF('1) Import fichier Remi (coller)'!M742="","",'1) Import fichier Remi (coller)'!M742)))</f>
        <v/>
      </c>
      <c r="AB742" t="str">
        <f>IF($A742="VE11","",IF(LEFT($H742,4)="7050","",IF('1) Import fichier Remi (coller)'!N742="","",'1) Import fichier Remi (coller)'!N742)))</f>
        <v/>
      </c>
      <c r="AC742" t="str">
        <f>IF(A742="","",VLOOKUP(LEFT('1) Import fichier Remi (coller)'!A742,9)+0,'Concordance Client R2 BOB'!$B:$C,2,FALSE))</f>
        <v/>
      </c>
    </row>
    <row r="743" spans="1:29" ht="18.75" customHeight="1" x14ac:dyDescent="0.25">
      <c r="A743" t="str">
        <f>IF('1) Import fichier Remi (coller)'!D743="","",'1) Import fichier Remi (coller)'!D743)</f>
        <v/>
      </c>
      <c r="B743" t="str">
        <f>IF(A743="","",YEAR('1) Import fichier Remi (coller)'!F743))</f>
        <v/>
      </c>
      <c r="C743" t="str">
        <f>IF(A743="","",MONTH('1) Import fichier Remi (coller)'!F743))</f>
        <v/>
      </c>
      <c r="D743" s="1" t="str">
        <f>IF(A743="","",'1) Import fichier Remi (coller)'!F743)</f>
        <v/>
      </c>
      <c r="E743" s="1" t="str">
        <f>IF(A743="","",'1) Import fichier Remi (coller)'!G743)</f>
        <v/>
      </c>
      <c r="F743" t="str">
        <f>IF(A743="","",'1) Import fichier Remi (coller)'!E743)</f>
        <v/>
      </c>
      <c r="G743" t="str">
        <f>IF(A743="","",IF(ISERROR(VLOOKUP(LEFT('1) Import fichier Remi (coller)'!A743,9),'Concordance client liv et fact'!$A:$H,8,FALSE))=TRUE,'1) Import fichier Remi (coller)'!B743,VLOOKUP(LEFT('1) Import fichier Remi (coller)'!A743,9),'Concordance client liv et fact'!$A:$H,8,FALSE)))</f>
        <v/>
      </c>
      <c r="H743" t="str">
        <f>IF(A743="","",IF(ISERROR(VLOOKUP('1) Import fichier Remi (coller)'!K743&amp;" - "&amp;'1) Import fichier Remi (coller)'!L743,'Spécifique comptes'!$A:$G,1,FALSE))=TRUE,'1) Import fichier Remi (coller)'!V743,VLOOKUP('1) Import fichier Remi (coller)'!K743&amp;" - "&amp;'1) Import fichier Remi (coller)'!L743,'Spécifique comptes'!$A:$G,IF(LEFT('2) BOB compta (completer-forcer'!F743,2)="11",4,IF(LEFT('2) BOB compta (completer-forcer'!F743,2)="12",5,IF(LEFT('2) BOB compta (completer-forcer'!F743,2)="13",6,IF(LEFT('2) BOB compta (completer-forcer'!F743,2)="15",7,"Erreur Compte")))),FALSE)))</f>
        <v/>
      </c>
      <c r="I743" s="26" t="str">
        <f>IF(A743="","",IF(H743="70100000",'1) Import fichier Remi (coller)'!J743,'1) Import fichier Remi (coller)'!U743))</f>
        <v/>
      </c>
      <c r="J743" s="26" t="str">
        <f>IF(A743="","",'1) Import fichier Remi (coller)'!U743)</f>
        <v/>
      </c>
      <c r="K743" s="17" t="str">
        <f t="shared" si="3"/>
        <v/>
      </c>
      <c r="L743" t="str">
        <f t="shared" si="2"/>
        <v/>
      </c>
      <c r="M743" s="14" t="str">
        <f>IF(A743="","",'1) Import fichier Remi (coller)'!S743)</f>
        <v/>
      </c>
      <c r="N743" s="17" t="str">
        <f>IF($A743="","",IF(OR($A743="NCV",$A743="NC15"),-'1) Import fichier Remi (coller)'!R743,'1) Import fichier Remi (coller)'!R743))</f>
        <v/>
      </c>
      <c r="O743" s="17" t="str">
        <f>IF($A743="","",IF(OR($A743="NCV",$A743="NC15"),-'1) Import fichier Remi (coller)'!T743,'1) Import fichier Remi (coller)'!T743))</f>
        <v/>
      </c>
      <c r="R743" t="str">
        <f>IF($A743="","",IF(ISERROR(VLOOKUP(LEFT('1) Import fichier Remi (coller)'!$A743,9),'Concordance client liv et fact'!$A:$H,8,FALSE))=TRUE,VLOOKUP(LEFT('1) Import fichier Remi (coller)'!$A743,9)+0,'Clients R2'!$A:$CY,2,FALSE),VLOOKUP(VLOOKUP(LEFT('1) Import fichier Remi (coller)'!$A743,9),'Concordance client liv et fact'!$A:$H,7,FALSE)+0,'Clients R2'!$A:$CY,2,FALSE)))</f>
        <v/>
      </c>
      <c r="S743" t="str">
        <f>IF($A743="","",PROPER(IF(ISERROR(VLOOKUP(LEFT('1) Import fichier Remi (coller)'!$A743,9),'Concordance client liv et fact'!$A:$H,8,FALSE))=TRUE,VLOOKUP(LEFT('1) Import fichier Remi (coller)'!$A743,9)+0,'Clients R2'!$A:$CY,27,FALSE),VLOOKUP(VLOOKUP(LEFT('1) Import fichier Remi (coller)'!$A743,9),'Concordance client liv et fact'!$A:$H,7,FALSE)+0,'Clients R2'!$A:$CY,27,FALSE))))</f>
        <v/>
      </c>
      <c r="T743" t="str">
        <f>IF($A743="","",LEFT(UPPER(IF(ISERROR(VLOOKUP(LEFT('1) Import fichier Remi (coller)'!$A743,9),'Concordance client liv et fact'!$A:$H,8,FALSE))=TRUE,VLOOKUP(LEFT('1) Import fichier Remi (coller)'!$A743,9)+0,'Clients R2'!$A:$CY,28,FALSE),VLOOKUP(VLOOKUP(LEFT('1) Import fichier Remi (coller)'!$A743,9),'Concordance client liv et fact'!$A:$H,7,FALSE)+0,'Clients R2'!$A:$CY,28,FALSE))),2)&amp;UPPER(IF(ISERROR(VLOOKUP(LEFT('1) Import fichier Remi (coller)'!$A743,9),'Concordance client liv et fact'!$A:$H,8,FALSE))=TRUE,VLOOKUP(LEFT('1) Import fichier Remi (coller)'!$A743,9)+0,'Clients R2'!$A:$CY,29,FALSE),VLOOKUP(VLOOKUP(LEFT('1) Import fichier Remi (coller)'!$A743,9),'Concordance client liv et fact'!$A:$H,7,FALSE)+0,'Clients R2'!$A:$CY,29,FALSE))))</f>
        <v/>
      </c>
      <c r="U743" t="str">
        <f>IF($A743="","",PROPER(IF(ISERROR(VLOOKUP(LEFT('1) Import fichier Remi (coller)'!$A743,9),'Concordance client liv et fact'!$A:$H,8,FALSE))=TRUE,VLOOKUP(LEFT('1) Import fichier Remi (coller)'!$A743,9)+0,'Clients R2'!$A:$CY,30,FALSE),VLOOKUP(VLOOKUP(LEFT('1) Import fichier Remi (coller)'!$A743,9),'Concordance client liv et fact'!$A:$H,7,FALSE)+0,'Clients R2'!$A:$CY,30,FALSE))))</f>
        <v/>
      </c>
      <c r="V743" t="str">
        <f>IF($A743="","",LEFT(UPPER(IF(ISERROR(VLOOKUP(LEFT('1) Import fichier Remi (coller)'!$A743,9),'Concordance client liv et fact'!$A:$H,8,FALSE))=TRUE,IF(VLOOKUP(LEFT('1) Import fichier Remi (coller)'!$A743,9)+0,'Clients R2'!$A:$CY,22,FALSE)=4,"NA",VLOOKUP(LEFT('1) Import fichier Remi (coller)'!$A743,9)+0,'Clients R2'!$A:$CY,3,FALSE)),IF(VLOOKUP(VLOOKUP(LEFT('1) Import fichier Remi (coller)'!$A743,9),'Concordance client liv et fact'!$A:$H,7,FALSE)+0,'Clients R2'!$A:$CY,22,FALSE)=4,"NA",VLOOKUP(VLOOKUP(LEFT('1) Import fichier Remi (coller)'!$A743,9),'Concordance client liv et fact'!$A:$H,7,FALSE)+0,'Clients R2'!$A:$CY,3,FALSE)))),2))</f>
        <v/>
      </c>
      <c r="W743" s="27"/>
      <c r="X743" s="27"/>
      <c r="Y743" t="str">
        <f>IF(A743="","",VLOOKUP(A743,'Libellés PDF'!$A$2:$B$5,2,FALSE)&amp;F743&amp;".PDF")</f>
        <v/>
      </c>
      <c r="Z743" t="s">
        <v>265</v>
      </c>
      <c r="AA743" t="str">
        <f>IF($A743="VE11","",IF(LEFT($H743,4)="7050","",IF('1) Import fichier Remi (coller)'!M743="","",'1) Import fichier Remi (coller)'!M743)))</f>
        <v/>
      </c>
      <c r="AB743" t="str">
        <f>IF($A743="VE11","",IF(LEFT($H743,4)="7050","",IF('1) Import fichier Remi (coller)'!N743="","",'1) Import fichier Remi (coller)'!N743)))</f>
        <v/>
      </c>
      <c r="AC743" t="str">
        <f>IF(A743="","",VLOOKUP(LEFT('1) Import fichier Remi (coller)'!A743,9)+0,'Concordance Client R2 BOB'!$B:$C,2,FALSE))</f>
        <v/>
      </c>
    </row>
    <row r="744" spans="1:29" ht="18.75" customHeight="1" x14ac:dyDescent="0.25">
      <c r="A744" t="str">
        <f>IF('1) Import fichier Remi (coller)'!D744="","",'1) Import fichier Remi (coller)'!D744)</f>
        <v/>
      </c>
      <c r="B744" t="str">
        <f>IF(A744="","",YEAR('1) Import fichier Remi (coller)'!F744))</f>
        <v/>
      </c>
      <c r="C744" t="str">
        <f>IF(A744="","",MONTH('1) Import fichier Remi (coller)'!F744))</f>
        <v/>
      </c>
      <c r="D744" s="1" t="str">
        <f>IF(A744="","",'1) Import fichier Remi (coller)'!F744)</f>
        <v/>
      </c>
      <c r="E744" s="1" t="str">
        <f>IF(A744="","",'1) Import fichier Remi (coller)'!G744)</f>
        <v/>
      </c>
      <c r="F744" t="str">
        <f>IF(A744="","",'1) Import fichier Remi (coller)'!E744)</f>
        <v/>
      </c>
      <c r="G744" t="str">
        <f>IF(A744="","",IF(ISERROR(VLOOKUP(LEFT('1) Import fichier Remi (coller)'!A744,9),'Concordance client liv et fact'!$A:$H,8,FALSE))=TRUE,'1) Import fichier Remi (coller)'!B744,VLOOKUP(LEFT('1) Import fichier Remi (coller)'!A744,9),'Concordance client liv et fact'!$A:$H,8,FALSE)))</f>
        <v/>
      </c>
      <c r="H744" t="str">
        <f>IF(A744="","",IF(ISERROR(VLOOKUP('1) Import fichier Remi (coller)'!K744&amp;" - "&amp;'1) Import fichier Remi (coller)'!L744,'Spécifique comptes'!$A:$G,1,FALSE))=TRUE,'1) Import fichier Remi (coller)'!V744,VLOOKUP('1) Import fichier Remi (coller)'!K744&amp;" - "&amp;'1) Import fichier Remi (coller)'!L744,'Spécifique comptes'!$A:$G,IF(LEFT('2) BOB compta (completer-forcer'!F744,2)="11",4,IF(LEFT('2) BOB compta (completer-forcer'!F744,2)="12",5,IF(LEFT('2) BOB compta (completer-forcer'!F744,2)="13",6,IF(LEFT('2) BOB compta (completer-forcer'!F744,2)="15",7,"Erreur Compte")))),FALSE)))</f>
        <v/>
      </c>
      <c r="I744" s="26" t="str">
        <f>IF(A744="","",IF(H744="70100000",'1) Import fichier Remi (coller)'!J744,'1) Import fichier Remi (coller)'!U744))</f>
        <v/>
      </c>
      <c r="J744" s="26" t="str">
        <f>IF(A744="","",'1) Import fichier Remi (coller)'!U744)</f>
        <v/>
      </c>
      <c r="K744" s="17" t="str">
        <f t="shared" si="3"/>
        <v/>
      </c>
      <c r="L744" t="str">
        <f t="shared" si="2"/>
        <v/>
      </c>
      <c r="M744" s="14" t="str">
        <f>IF(A744="","",'1) Import fichier Remi (coller)'!S744)</f>
        <v/>
      </c>
      <c r="N744" s="17" t="str">
        <f>IF($A744="","",IF(OR($A744="NCV",$A744="NC15"),-'1) Import fichier Remi (coller)'!R744,'1) Import fichier Remi (coller)'!R744))</f>
        <v/>
      </c>
      <c r="O744" s="17" t="str">
        <f>IF($A744="","",IF(OR($A744="NCV",$A744="NC15"),-'1) Import fichier Remi (coller)'!T744,'1) Import fichier Remi (coller)'!T744))</f>
        <v/>
      </c>
      <c r="R744" t="str">
        <f>IF($A744="","",IF(ISERROR(VLOOKUP(LEFT('1) Import fichier Remi (coller)'!$A744,9),'Concordance client liv et fact'!$A:$H,8,FALSE))=TRUE,VLOOKUP(LEFT('1) Import fichier Remi (coller)'!$A744,9)+0,'Clients R2'!$A:$CY,2,FALSE),VLOOKUP(VLOOKUP(LEFT('1) Import fichier Remi (coller)'!$A744,9),'Concordance client liv et fact'!$A:$H,7,FALSE)+0,'Clients R2'!$A:$CY,2,FALSE)))</f>
        <v/>
      </c>
      <c r="S744" t="str">
        <f>IF($A744="","",PROPER(IF(ISERROR(VLOOKUP(LEFT('1) Import fichier Remi (coller)'!$A744,9),'Concordance client liv et fact'!$A:$H,8,FALSE))=TRUE,VLOOKUP(LEFT('1) Import fichier Remi (coller)'!$A744,9)+0,'Clients R2'!$A:$CY,27,FALSE),VLOOKUP(VLOOKUP(LEFT('1) Import fichier Remi (coller)'!$A744,9),'Concordance client liv et fact'!$A:$H,7,FALSE)+0,'Clients R2'!$A:$CY,27,FALSE))))</f>
        <v/>
      </c>
      <c r="T744" t="str">
        <f>IF($A744="","",LEFT(UPPER(IF(ISERROR(VLOOKUP(LEFT('1) Import fichier Remi (coller)'!$A744,9),'Concordance client liv et fact'!$A:$H,8,FALSE))=TRUE,VLOOKUP(LEFT('1) Import fichier Remi (coller)'!$A744,9)+0,'Clients R2'!$A:$CY,28,FALSE),VLOOKUP(VLOOKUP(LEFT('1) Import fichier Remi (coller)'!$A744,9),'Concordance client liv et fact'!$A:$H,7,FALSE)+0,'Clients R2'!$A:$CY,28,FALSE))),2)&amp;UPPER(IF(ISERROR(VLOOKUP(LEFT('1) Import fichier Remi (coller)'!$A744,9),'Concordance client liv et fact'!$A:$H,8,FALSE))=TRUE,VLOOKUP(LEFT('1) Import fichier Remi (coller)'!$A744,9)+0,'Clients R2'!$A:$CY,29,FALSE),VLOOKUP(VLOOKUP(LEFT('1) Import fichier Remi (coller)'!$A744,9),'Concordance client liv et fact'!$A:$H,7,FALSE)+0,'Clients R2'!$A:$CY,29,FALSE))))</f>
        <v/>
      </c>
      <c r="U744" t="str">
        <f>IF($A744="","",PROPER(IF(ISERROR(VLOOKUP(LEFT('1) Import fichier Remi (coller)'!$A744,9),'Concordance client liv et fact'!$A:$H,8,FALSE))=TRUE,VLOOKUP(LEFT('1) Import fichier Remi (coller)'!$A744,9)+0,'Clients R2'!$A:$CY,30,FALSE),VLOOKUP(VLOOKUP(LEFT('1) Import fichier Remi (coller)'!$A744,9),'Concordance client liv et fact'!$A:$H,7,FALSE)+0,'Clients R2'!$A:$CY,30,FALSE))))</f>
        <v/>
      </c>
      <c r="V744" t="str">
        <f>IF($A744="","",LEFT(UPPER(IF(ISERROR(VLOOKUP(LEFT('1) Import fichier Remi (coller)'!$A744,9),'Concordance client liv et fact'!$A:$H,8,FALSE))=TRUE,IF(VLOOKUP(LEFT('1) Import fichier Remi (coller)'!$A744,9)+0,'Clients R2'!$A:$CY,22,FALSE)=4,"NA",VLOOKUP(LEFT('1) Import fichier Remi (coller)'!$A744,9)+0,'Clients R2'!$A:$CY,3,FALSE)),IF(VLOOKUP(VLOOKUP(LEFT('1) Import fichier Remi (coller)'!$A744,9),'Concordance client liv et fact'!$A:$H,7,FALSE)+0,'Clients R2'!$A:$CY,22,FALSE)=4,"NA",VLOOKUP(VLOOKUP(LEFT('1) Import fichier Remi (coller)'!$A744,9),'Concordance client liv et fact'!$A:$H,7,FALSE)+0,'Clients R2'!$A:$CY,3,FALSE)))),2))</f>
        <v/>
      </c>
      <c r="W744" s="27"/>
      <c r="X744" s="27"/>
      <c r="Y744" t="str">
        <f>IF(A744="","",VLOOKUP(A744,'Libellés PDF'!$A$2:$B$5,2,FALSE)&amp;F744&amp;".PDF")</f>
        <v/>
      </c>
      <c r="Z744" t="str">
        <f>IF(A744="","",IF(OR(H744="705099999",H744="705001002"),VLOOKUP('1) Import fichier Remi (coller)'!J744,'Analytique personnel'!$A:$B,2,FALSE),""))</f>
        <v/>
      </c>
      <c r="AA744" t="str">
        <f>IF($A744="VE11","",IF(LEFT($H744,4)="7050","",IF('1) Import fichier Remi (coller)'!M744="","",'1) Import fichier Remi (coller)'!M744)))</f>
        <v/>
      </c>
      <c r="AB744" t="str">
        <f>IF($A744="VE11","",IF(LEFT($H744,4)="7050","",IF('1) Import fichier Remi (coller)'!N744="","",'1) Import fichier Remi (coller)'!N744)))</f>
        <v/>
      </c>
      <c r="AC744" t="str">
        <f>IF(A744="","",VLOOKUP(LEFT('1) Import fichier Remi (coller)'!A744,9)+0,'Concordance Client R2 BOB'!$B:$C,2,FALSE))</f>
        <v/>
      </c>
    </row>
    <row r="745" spans="1:29" ht="18.75" customHeight="1" x14ac:dyDescent="0.25">
      <c r="A745" t="str">
        <f>IF('1) Import fichier Remi (coller)'!D745="","",'1) Import fichier Remi (coller)'!D745)</f>
        <v/>
      </c>
      <c r="B745" t="str">
        <f>IF(A745="","",YEAR('1) Import fichier Remi (coller)'!F745))</f>
        <v/>
      </c>
      <c r="C745" t="str">
        <f>IF(A745="","",MONTH('1) Import fichier Remi (coller)'!F745))</f>
        <v/>
      </c>
      <c r="D745" s="1" t="str">
        <f>IF(A745="","",'1) Import fichier Remi (coller)'!F745)</f>
        <v/>
      </c>
      <c r="E745" s="1" t="str">
        <f>IF(A745="","",'1) Import fichier Remi (coller)'!G745)</f>
        <v/>
      </c>
      <c r="F745" t="str">
        <f>IF(A745="","",'1) Import fichier Remi (coller)'!E745)</f>
        <v/>
      </c>
      <c r="G745" t="str">
        <f>IF(A745="","",IF(ISERROR(VLOOKUP(LEFT('1) Import fichier Remi (coller)'!A745,9),'Concordance client liv et fact'!$A:$H,8,FALSE))=TRUE,'1) Import fichier Remi (coller)'!B745,VLOOKUP(LEFT('1) Import fichier Remi (coller)'!A745,9),'Concordance client liv et fact'!$A:$H,8,FALSE)))</f>
        <v/>
      </c>
      <c r="H745" t="str">
        <f>IF(A745="","",IF(ISERROR(VLOOKUP('1) Import fichier Remi (coller)'!K745&amp;" - "&amp;'1) Import fichier Remi (coller)'!L745,'Spécifique comptes'!$A:$G,1,FALSE))=TRUE,'1) Import fichier Remi (coller)'!V745,VLOOKUP('1) Import fichier Remi (coller)'!K745&amp;" - "&amp;'1) Import fichier Remi (coller)'!L745,'Spécifique comptes'!$A:$G,IF(LEFT('2) BOB compta (completer-forcer'!F745,2)="11",4,IF(LEFT('2) BOB compta (completer-forcer'!F745,2)="12",5,IF(LEFT('2) BOB compta (completer-forcer'!F745,2)="13",6,IF(LEFT('2) BOB compta (completer-forcer'!F745,2)="15",7,"Erreur Compte")))),FALSE)))</f>
        <v/>
      </c>
      <c r="I745" s="26" t="str">
        <f>IF(A745="","",IF(H745="70100000",'1) Import fichier Remi (coller)'!J745,'1) Import fichier Remi (coller)'!U745))</f>
        <v/>
      </c>
      <c r="J745" s="26" t="str">
        <f>IF(A745="","",'1) Import fichier Remi (coller)'!U745)</f>
        <v/>
      </c>
      <c r="K745" s="17" t="str">
        <f t="shared" si="3"/>
        <v/>
      </c>
      <c r="L745" t="str">
        <f t="shared" si="2"/>
        <v/>
      </c>
      <c r="M745" s="14" t="str">
        <f>IF(A745="","",'1) Import fichier Remi (coller)'!S745)</f>
        <v/>
      </c>
      <c r="N745" s="17" t="str">
        <f>IF($A745="","",IF(OR($A745="NCV",$A745="NC15"),-'1) Import fichier Remi (coller)'!R745,'1) Import fichier Remi (coller)'!R745))</f>
        <v/>
      </c>
      <c r="O745" s="17" t="str">
        <f>IF($A745="","",IF(OR($A745="NCV",$A745="NC15"),-'1) Import fichier Remi (coller)'!T745,'1) Import fichier Remi (coller)'!T745))</f>
        <v/>
      </c>
      <c r="R745" t="str">
        <f>IF($A745="","",IF(ISERROR(VLOOKUP(LEFT('1) Import fichier Remi (coller)'!$A745,9),'Concordance client liv et fact'!$A:$H,8,FALSE))=TRUE,VLOOKUP(LEFT('1) Import fichier Remi (coller)'!$A745,9)+0,'Clients R2'!$A:$CY,2,FALSE),VLOOKUP(VLOOKUP(LEFT('1) Import fichier Remi (coller)'!$A745,9),'Concordance client liv et fact'!$A:$H,7,FALSE)+0,'Clients R2'!$A:$CY,2,FALSE)))</f>
        <v/>
      </c>
      <c r="S745" t="str">
        <f>IF($A745="","",PROPER(IF(ISERROR(VLOOKUP(LEFT('1) Import fichier Remi (coller)'!$A745,9),'Concordance client liv et fact'!$A:$H,8,FALSE))=TRUE,VLOOKUP(LEFT('1) Import fichier Remi (coller)'!$A745,9)+0,'Clients R2'!$A:$CY,27,FALSE),VLOOKUP(VLOOKUP(LEFT('1) Import fichier Remi (coller)'!$A745,9),'Concordance client liv et fact'!$A:$H,7,FALSE)+0,'Clients R2'!$A:$CY,27,FALSE))))</f>
        <v/>
      </c>
      <c r="T745" t="str">
        <f>IF($A745="","",LEFT(UPPER(IF(ISERROR(VLOOKUP(LEFT('1) Import fichier Remi (coller)'!$A745,9),'Concordance client liv et fact'!$A:$H,8,FALSE))=TRUE,VLOOKUP(LEFT('1) Import fichier Remi (coller)'!$A745,9)+0,'Clients R2'!$A:$CY,28,FALSE),VLOOKUP(VLOOKUP(LEFT('1) Import fichier Remi (coller)'!$A745,9),'Concordance client liv et fact'!$A:$H,7,FALSE)+0,'Clients R2'!$A:$CY,28,FALSE))),2)&amp;UPPER(IF(ISERROR(VLOOKUP(LEFT('1) Import fichier Remi (coller)'!$A745,9),'Concordance client liv et fact'!$A:$H,8,FALSE))=TRUE,VLOOKUP(LEFT('1) Import fichier Remi (coller)'!$A745,9)+0,'Clients R2'!$A:$CY,29,FALSE),VLOOKUP(VLOOKUP(LEFT('1) Import fichier Remi (coller)'!$A745,9),'Concordance client liv et fact'!$A:$H,7,FALSE)+0,'Clients R2'!$A:$CY,29,FALSE))))</f>
        <v/>
      </c>
      <c r="U745" t="str">
        <f>IF($A745="","",PROPER(IF(ISERROR(VLOOKUP(LEFT('1) Import fichier Remi (coller)'!$A745,9),'Concordance client liv et fact'!$A:$H,8,FALSE))=TRUE,VLOOKUP(LEFT('1) Import fichier Remi (coller)'!$A745,9)+0,'Clients R2'!$A:$CY,30,FALSE),VLOOKUP(VLOOKUP(LEFT('1) Import fichier Remi (coller)'!$A745,9),'Concordance client liv et fact'!$A:$H,7,FALSE)+0,'Clients R2'!$A:$CY,30,FALSE))))</f>
        <v/>
      </c>
      <c r="V745" t="str">
        <f>IF($A745="","",LEFT(UPPER(IF(ISERROR(VLOOKUP(LEFT('1) Import fichier Remi (coller)'!$A745,9),'Concordance client liv et fact'!$A:$H,8,FALSE))=TRUE,IF(VLOOKUP(LEFT('1) Import fichier Remi (coller)'!$A745,9)+0,'Clients R2'!$A:$CY,22,FALSE)=4,"NA",VLOOKUP(LEFT('1) Import fichier Remi (coller)'!$A745,9)+0,'Clients R2'!$A:$CY,3,FALSE)),IF(VLOOKUP(VLOOKUP(LEFT('1) Import fichier Remi (coller)'!$A745,9),'Concordance client liv et fact'!$A:$H,7,FALSE)+0,'Clients R2'!$A:$CY,22,FALSE)=4,"NA",VLOOKUP(VLOOKUP(LEFT('1) Import fichier Remi (coller)'!$A745,9),'Concordance client liv et fact'!$A:$H,7,FALSE)+0,'Clients R2'!$A:$CY,3,FALSE)))),2))</f>
        <v/>
      </c>
      <c r="W745" s="27"/>
      <c r="X745" s="27"/>
      <c r="Y745" t="str">
        <f>IF(A745="","",VLOOKUP(A745,'Libellés PDF'!$A$2:$B$5,2,FALSE)&amp;F745&amp;".PDF")</f>
        <v/>
      </c>
      <c r="Z745" t="str">
        <f>IF(A745="","",IF(OR(H745="705099999",H745="705001002"),VLOOKUP('1) Import fichier Remi (coller)'!J745,'Analytique personnel'!$A:$B,2,FALSE),""))</f>
        <v/>
      </c>
      <c r="AA745" t="str">
        <f>IF($A745="VE11","",IF(LEFT($H745,4)="7050","",IF('1) Import fichier Remi (coller)'!M745="","",'1) Import fichier Remi (coller)'!M745)))</f>
        <v/>
      </c>
      <c r="AB745" t="str">
        <f>IF($A745="VE11","",IF(LEFT($H745,4)="7050","",IF('1) Import fichier Remi (coller)'!N745="","",'1) Import fichier Remi (coller)'!N745)))</f>
        <v/>
      </c>
      <c r="AC745" t="str">
        <f>IF(A745="","",VLOOKUP(LEFT('1) Import fichier Remi (coller)'!A745,9)+0,'Concordance Client R2 BOB'!$B:$C,2,FALSE))</f>
        <v/>
      </c>
    </row>
    <row r="746" spans="1:29" ht="18.75" customHeight="1" x14ac:dyDescent="0.25">
      <c r="A746" t="str">
        <f>IF('1) Import fichier Remi (coller)'!D746="","",'1) Import fichier Remi (coller)'!D746)</f>
        <v/>
      </c>
      <c r="B746" t="str">
        <f>IF(A746="","",YEAR('1) Import fichier Remi (coller)'!F746))</f>
        <v/>
      </c>
      <c r="C746" t="str">
        <f>IF(A746="","",MONTH('1) Import fichier Remi (coller)'!F746))</f>
        <v/>
      </c>
      <c r="D746" s="1" t="str">
        <f>IF(A746="","",'1) Import fichier Remi (coller)'!F746)</f>
        <v/>
      </c>
      <c r="E746" s="1" t="str">
        <f>IF(A746="","",'1) Import fichier Remi (coller)'!G746)</f>
        <v/>
      </c>
      <c r="F746" t="str">
        <f>IF(A746="","",'1) Import fichier Remi (coller)'!E746)</f>
        <v/>
      </c>
      <c r="G746" t="str">
        <f>IF(A746="","",IF(ISERROR(VLOOKUP(LEFT('1) Import fichier Remi (coller)'!A746,9),'Concordance client liv et fact'!$A:$H,8,FALSE))=TRUE,'1) Import fichier Remi (coller)'!B746,VLOOKUP(LEFT('1) Import fichier Remi (coller)'!A746,9),'Concordance client liv et fact'!$A:$H,8,FALSE)))</f>
        <v/>
      </c>
      <c r="H746" t="str">
        <f>IF(A746="","",IF(ISERROR(VLOOKUP('1) Import fichier Remi (coller)'!K746&amp;" - "&amp;'1) Import fichier Remi (coller)'!L746,'Spécifique comptes'!$A:$G,1,FALSE))=TRUE,'1) Import fichier Remi (coller)'!V746,VLOOKUP('1) Import fichier Remi (coller)'!K746&amp;" - "&amp;'1) Import fichier Remi (coller)'!L746,'Spécifique comptes'!$A:$G,IF(LEFT('2) BOB compta (completer-forcer'!F746,2)="11",4,IF(LEFT('2) BOB compta (completer-forcer'!F746,2)="12",5,IF(LEFT('2) BOB compta (completer-forcer'!F746,2)="13",6,IF(LEFT('2) BOB compta (completer-forcer'!F746,2)="15",7,"Erreur Compte")))),FALSE)))</f>
        <v/>
      </c>
      <c r="I746" s="26" t="str">
        <f>IF(A746="","",IF(H746="70100000",'1) Import fichier Remi (coller)'!J746,'1) Import fichier Remi (coller)'!U746))</f>
        <v/>
      </c>
      <c r="J746" s="26" t="str">
        <f>IF(A746="","",'1) Import fichier Remi (coller)'!U746)</f>
        <v/>
      </c>
      <c r="K746" s="17" t="str">
        <f t="shared" si="3"/>
        <v/>
      </c>
      <c r="L746" t="str">
        <f t="shared" si="2"/>
        <v/>
      </c>
      <c r="M746" s="14" t="str">
        <f>IF(A746="","",'1) Import fichier Remi (coller)'!S746)</f>
        <v/>
      </c>
      <c r="N746" s="17" t="str">
        <f>IF($A746="","",IF(OR($A746="NCV",$A746="NC15"),-'1) Import fichier Remi (coller)'!R746,'1) Import fichier Remi (coller)'!R746))</f>
        <v/>
      </c>
      <c r="O746" s="17" t="str">
        <f>IF($A746="","",IF(OR($A746="NCV",$A746="NC15"),-'1) Import fichier Remi (coller)'!T746,'1) Import fichier Remi (coller)'!T746))</f>
        <v/>
      </c>
      <c r="R746" t="str">
        <f>IF($A746="","",IF(ISERROR(VLOOKUP(LEFT('1) Import fichier Remi (coller)'!$A746,9),'Concordance client liv et fact'!$A:$H,8,FALSE))=TRUE,VLOOKUP(LEFT('1) Import fichier Remi (coller)'!$A746,9)+0,'Clients R2'!$A:$CY,2,FALSE),VLOOKUP(VLOOKUP(LEFT('1) Import fichier Remi (coller)'!$A746,9),'Concordance client liv et fact'!$A:$H,7,FALSE)+0,'Clients R2'!$A:$CY,2,FALSE)))</f>
        <v/>
      </c>
      <c r="S746" t="str">
        <f>IF($A746="","",PROPER(IF(ISERROR(VLOOKUP(LEFT('1) Import fichier Remi (coller)'!$A746,9),'Concordance client liv et fact'!$A:$H,8,FALSE))=TRUE,VLOOKUP(LEFT('1) Import fichier Remi (coller)'!$A746,9)+0,'Clients R2'!$A:$CY,27,FALSE),VLOOKUP(VLOOKUP(LEFT('1) Import fichier Remi (coller)'!$A746,9),'Concordance client liv et fact'!$A:$H,7,FALSE)+0,'Clients R2'!$A:$CY,27,FALSE))))</f>
        <v/>
      </c>
      <c r="T746" t="str">
        <f>IF($A746="","",LEFT(UPPER(IF(ISERROR(VLOOKUP(LEFT('1) Import fichier Remi (coller)'!$A746,9),'Concordance client liv et fact'!$A:$H,8,FALSE))=TRUE,VLOOKUP(LEFT('1) Import fichier Remi (coller)'!$A746,9)+0,'Clients R2'!$A:$CY,28,FALSE),VLOOKUP(VLOOKUP(LEFT('1) Import fichier Remi (coller)'!$A746,9),'Concordance client liv et fact'!$A:$H,7,FALSE)+0,'Clients R2'!$A:$CY,28,FALSE))),2)&amp;UPPER(IF(ISERROR(VLOOKUP(LEFT('1) Import fichier Remi (coller)'!$A746,9),'Concordance client liv et fact'!$A:$H,8,FALSE))=TRUE,VLOOKUP(LEFT('1) Import fichier Remi (coller)'!$A746,9)+0,'Clients R2'!$A:$CY,29,FALSE),VLOOKUP(VLOOKUP(LEFT('1) Import fichier Remi (coller)'!$A746,9),'Concordance client liv et fact'!$A:$H,7,FALSE)+0,'Clients R2'!$A:$CY,29,FALSE))))</f>
        <v/>
      </c>
      <c r="U746" t="str">
        <f>IF($A746="","",PROPER(IF(ISERROR(VLOOKUP(LEFT('1) Import fichier Remi (coller)'!$A746,9),'Concordance client liv et fact'!$A:$H,8,FALSE))=TRUE,VLOOKUP(LEFT('1) Import fichier Remi (coller)'!$A746,9)+0,'Clients R2'!$A:$CY,30,FALSE),VLOOKUP(VLOOKUP(LEFT('1) Import fichier Remi (coller)'!$A746,9),'Concordance client liv et fact'!$A:$H,7,FALSE)+0,'Clients R2'!$A:$CY,30,FALSE))))</f>
        <v/>
      </c>
      <c r="V746" t="str">
        <f>IF($A746="","",LEFT(UPPER(IF(ISERROR(VLOOKUP(LEFT('1) Import fichier Remi (coller)'!$A746,9),'Concordance client liv et fact'!$A:$H,8,FALSE))=TRUE,IF(VLOOKUP(LEFT('1) Import fichier Remi (coller)'!$A746,9)+0,'Clients R2'!$A:$CY,22,FALSE)=4,"NA",VLOOKUP(LEFT('1) Import fichier Remi (coller)'!$A746,9)+0,'Clients R2'!$A:$CY,3,FALSE)),IF(VLOOKUP(VLOOKUP(LEFT('1) Import fichier Remi (coller)'!$A746,9),'Concordance client liv et fact'!$A:$H,7,FALSE)+0,'Clients R2'!$A:$CY,22,FALSE)=4,"NA",VLOOKUP(VLOOKUP(LEFT('1) Import fichier Remi (coller)'!$A746,9),'Concordance client liv et fact'!$A:$H,7,FALSE)+0,'Clients R2'!$A:$CY,3,FALSE)))),2))</f>
        <v/>
      </c>
      <c r="W746" s="27"/>
      <c r="X746" s="27"/>
      <c r="Y746" t="str">
        <f>IF(A746="","",VLOOKUP(A746,'Libellés PDF'!$A$2:$B$5,2,FALSE)&amp;F746&amp;".PDF")</f>
        <v/>
      </c>
      <c r="Z746" t="str">
        <f>IF(A746="","",IF(OR(H746="705099999",H746="705001002"),VLOOKUP('1) Import fichier Remi (coller)'!J746,'Analytique personnel'!$A:$B,2,FALSE),""))</f>
        <v/>
      </c>
      <c r="AA746" t="str">
        <f>IF($A746="VE11","",IF(LEFT($H746,4)="7050","",IF('1) Import fichier Remi (coller)'!M746="","",'1) Import fichier Remi (coller)'!M746)))</f>
        <v/>
      </c>
      <c r="AB746" t="str">
        <f>IF($A746="VE11","",IF(LEFT($H746,4)="7050","",IF('1) Import fichier Remi (coller)'!N746="","",'1) Import fichier Remi (coller)'!N746)))</f>
        <v/>
      </c>
      <c r="AC746" t="str">
        <f>IF(A746="","",VLOOKUP(LEFT('1) Import fichier Remi (coller)'!A746,9)+0,'Concordance Client R2 BOB'!$B:$C,2,FALSE))</f>
        <v/>
      </c>
    </row>
    <row r="747" spans="1:29" ht="18.75" customHeight="1" x14ac:dyDescent="0.25">
      <c r="A747" t="str">
        <f>IF('1) Import fichier Remi (coller)'!D747="","",'1) Import fichier Remi (coller)'!D747)</f>
        <v/>
      </c>
      <c r="B747" t="str">
        <f>IF(A747="","",YEAR('1) Import fichier Remi (coller)'!F747))</f>
        <v/>
      </c>
      <c r="C747" t="str">
        <f>IF(A747="","",MONTH('1) Import fichier Remi (coller)'!F747))</f>
        <v/>
      </c>
      <c r="D747" s="1" t="str">
        <f>IF(A747="","",'1) Import fichier Remi (coller)'!F747)</f>
        <v/>
      </c>
      <c r="E747" s="1" t="str">
        <f>IF(A747="","",'1) Import fichier Remi (coller)'!G747)</f>
        <v/>
      </c>
      <c r="F747" t="str">
        <f>IF(A747="","",'1) Import fichier Remi (coller)'!E747)</f>
        <v/>
      </c>
      <c r="G747" t="str">
        <f>IF(A747="","",IF(ISERROR(VLOOKUP(LEFT('1) Import fichier Remi (coller)'!A747,9),'Concordance client liv et fact'!$A:$H,8,FALSE))=TRUE,'1) Import fichier Remi (coller)'!B747,VLOOKUP(LEFT('1) Import fichier Remi (coller)'!A747,9),'Concordance client liv et fact'!$A:$H,8,FALSE)))</f>
        <v/>
      </c>
      <c r="H747" t="str">
        <f>IF(A747="","",IF(ISERROR(VLOOKUP('1) Import fichier Remi (coller)'!K747&amp;" - "&amp;'1) Import fichier Remi (coller)'!L747,'Spécifique comptes'!$A:$G,1,FALSE))=TRUE,'1) Import fichier Remi (coller)'!V747,VLOOKUP('1) Import fichier Remi (coller)'!K747&amp;" - "&amp;'1) Import fichier Remi (coller)'!L747,'Spécifique comptes'!$A:$G,IF(LEFT('2) BOB compta (completer-forcer'!F747,2)="11",4,IF(LEFT('2) BOB compta (completer-forcer'!F747,2)="12",5,IF(LEFT('2) BOB compta (completer-forcer'!F747,2)="13",6,IF(LEFT('2) BOB compta (completer-forcer'!F747,2)="15",7,"Erreur Compte")))),FALSE)))</f>
        <v/>
      </c>
      <c r="I747" s="26" t="str">
        <f>IF(A747="","",IF(H747="70100000",'1) Import fichier Remi (coller)'!J747,'1) Import fichier Remi (coller)'!U747))</f>
        <v/>
      </c>
      <c r="J747" s="26" t="str">
        <f>IF(A747="","",'1) Import fichier Remi (coller)'!U747)</f>
        <v/>
      </c>
      <c r="K747" s="17" t="str">
        <f t="shared" si="3"/>
        <v/>
      </c>
      <c r="L747" t="str">
        <f t="shared" si="2"/>
        <v/>
      </c>
      <c r="M747" s="14" t="str">
        <f>IF(A747="","",'1) Import fichier Remi (coller)'!S747)</f>
        <v/>
      </c>
      <c r="N747" s="17" t="str">
        <f>IF($A747="","",IF(OR($A747="NCV",$A747="NC15"),-'1) Import fichier Remi (coller)'!R747,'1) Import fichier Remi (coller)'!R747))</f>
        <v/>
      </c>
      <c r="O747" s="17" t="str">
        <f>IF($A747="","",IF(OR($A747="NCV",$A747="NC15"),-'1) Import fichier Remi (coller)'!T747,'1) Import fichier Remi (coller)'!T747))</f>
        <v/>
      </c>
      <c r="R747" t="str">
        <f>IF($A747="","",IF(ISERROR(VLOOKUP(LEFT('1) Import fichier Remi (coller)'!$A747,9),'Concordance client liv et fact'!$A:$H,8,FALSE))=TRUE,VLOOKUP(LEFT('1) Import fichier Remi (coller)'!$A747,9)+0,'Clients R2'!$A:$CY,2,FALSE),VLOOKUP(VLOOKUP(LEFT('1) Import fichier Remi (coller)'!$A747,9),'Concordance client liv et fact'!$A:$H,7,FALSE)+0,'Clients R2'!$A:$CY,2,FALSE)))</f>
        <v/>
      </c>
      <c r="S747" t="str">
        <f>IF($A747="","",PROPER(IF(ISERROR(VLOOKUP(LEFT('1) Import fichier Remi (coller)'!$A747,9),'Concordance client liv et fact'!$A:$H,8,FALSE))=TRUE,VLOOKUP(LEFT('1) Import fichier Remi (coller)'!$A747,9)+0,'Clients R2'!$A:$CY,27,FALSE),VLOOKUP(VLOOKUP(LEFT('1) Import fichier Remi (coller)'!$A747,9),'Concordance client liv et fact'!$A:$H,7,FALSE)+0,'Clients R2'!$A:$CY,27,FALSE))))</f>
        <v/>
      </c>
      <c r="T747" t="str">
        <f>IF($A747="","",LEFT(UPPER(IF(ISERROR(VLOOKUP(LEFT('1) Import fichier Remi (coller)'!$A747,9),'Concordance client liv et fact'!$A:$H,8,FALSE))=TRUE,VLOOKUP(LEFT('1) Import fichier Remi (coller)'!$A747,9)+0,'Clients R2'!$A:$CY,28,FALSE),VLOOKUP(VLOOKUP(LEFT('1) Import fichier Remi (coller)'!$A747,9),'Concordance client liv et fact'!$A:$H,7,FALSE)+0,'Clients R2'!$A:$CY,28,FALSE))),2)&amp;UPPER(IF(ISERROR(VLOOKUP(LEFT('1) Import fichier Remi (coller)'!$A747,9),'Concordance client liv et fact'!$A:$H,8,FALSE))=TRUE,VLOOKUP(LEFT('1) Import fichier Remi (coller)'!$A747,9)+0,'Clients R2'!$A:$CY,29,FALSE),VLOOKUP(VLOOKUP(LEFT('1) Import fichier Remi (coller)'!$A747,9),'Concordance client liv et fact'!$A:$H,7,FALSE)+0,'Clients R2'!$A:$CY,29,FALSE))))</f>
        <v/>
      </c>
      <c r="U747" t="str">
        <f>IF($A747="","",PROPER(IF(ISERROR(VLOOKUP(LEFT('1) Import fichier Remi (coller)'!$A747,9),'Concordance client liv et fact'!$A:$H,8,FALSE))=TRUE,VLOOKUP(LEFT('1) Import fichier Remi (coller)'!$A747,9)+0,'Clients R2'!$A:$CY,30,FALSE),VLOOKUP(VLOOKUP(LEFT('1) Import fichier Remi (coller)'!$A747,9),'Concordance client liv et fact'!$A:$H,7,FALSE)+0,'Clients R2'!$A:$CY,30,FALSE))))</f>
        <v/>
      </c>
      <c r="V747" t="str">
        <f>IF($A747="","",LEFT(UPPER(IF(ISERROR(VLOOKUP(LEFT('1) Import fichier Remi (coller)'!$A747,9),'Concordance client liv et fact'!$A:$H,8,FALSE))=TRUE,IF(VLOOKUP(LEFT('1) Import fichier Remi (coller)'!$A747,9)+0,'Clients R2'!$A:$CY,22,FALSE)=4,"NA",VLOOKUP(LEFT('1) Import fichier Remi (coller)'!$A747,9)+0,'Clients R2'!$A:$CY,3,FALSE)),IF(VLOOKUP(VLOOKUP(LEFT('1) Import fichier Remi (coller)'!$A747,9),'Concordance client liv et fact'!$A:$H,7,FALSE)+0,'Clients R2'!$A:$CY,22,FALSE)=4,"NA",VLOOKUP(VLOOKUP(LEFT('1) Import fichier Remi (coller)'!$A747,9),'Concordance client liv et fact'!$A:$H,7,FALSE)+0,'Clients R2'!$A:$CY,3,FALSE)))),2))</f>
        <v/>
      </c>
      <c r="W747" s="27"/>
      <c r="X747" s="27"/>
      <c r="Y747" t="str">
        <f>IF(A747="","",VLOOKUP(A747,'Libellés PDF'!$A$2:$B$5,2,FALSE)&amp;F747&amp;".PDF")</f>
        <v/>
      </c>
      <c r="Z747" t="str">
        <f>IF(A747="","",IF(OR(H747="705099999",H747="705001002"),VLOOKUP('1) Import fichier Remi (coller)'!J747,'Analytique personnel'!$A:$B,2,FALSE),""))</f>
        <v/>
      </c>
      <c r="AA747" t="str">
        <f>IF($A747="VE11","",IF(LEFT($H747,4)="7050","",IF('1) Import fichier Remi (coller)'!M747="","",'1) Import fichier Remi (coller)'!M747)))</f>
        <v/>
      </c>
      <c r="AB747" t="str">
        <f>IF($A747="VE11","",IF(LEFT($H747,4)="7050","",IF('1) Import fichier Remi (coller)'!N747="","",'1) Import fichier Remi (coller)'!N747)))</f>
        <v/>
      </c>
      <c r="AC747" t="str">
        <f>IF(A747="","",VLOOKUP(LEFT('1) Import fichier Remi (coller)'!A747,9)+0,'Concordance Client R2 BOB'!$B:$C,2,FALSE))</f>
        <v/>
      </c>
    </row>
    <row r="748" spans="1:29" ht="18.75" customHeight="1" x14ac:dyDescent="0.25">
      <c r="A748" t="str">
        <f>IF('1) Import fichier Remi (coller)'!D748="","",'1) Import fichier Remi (coller)'!D748)</f>
        <v/>
      </c>
      <c r="B748" t="str">
        <f>IF(A748="","",YEAR('1) Import fichier Remi (coller)'!F748))</f>
        <v/>
      </c>
      <c r="C748" t="str">
        <f>IF(A748="","",MONTH('1) Import fichier Remi (coller)'!F748))</f>
        <v/>
      </c>
      <c r="D748" s="1" t="str">
        <f>IF(A748="","",'1) Import fichier Remi (coller)'!F748)</f>
        <v/>
      </c>
      <c r="E748" s="1" t="str">
        <f>IF(A748="","",'1) Import fichier Remi (coller)'!G748)</f>
        <v/>
      </c>
      <c r="F748" t="str">
        <f>IF(A748="","",'1) Import fichier Remi (coller)'!E748)</f>
        <v/>
      </c>
      <c r="G748" t="str">
        <f>IF(A748="","",IF(ISERROR(VLOOKUP(LEFT('1) Import fichier Remi (coller)'!A748,9),'Concordance client liv et fact'!$A:$H,8,FALSE))=TRUE,'1) Import fichier Remi (coller)'!B748,VLOOKUP(LEFT('1) Import fichier Remi (coller)'!A748,9),'Concordance client liv et fact'!$A:$H,8,FALSE)))</f>
        <v/>
      </c>
      <c r="H748" t="str">
        <f>IF(A748="","",IF(ISERROR(VLOOKUP('1) Import fichier Remi (coller)'!K748&amp;" - "&amp;'1) Import fichier Remi (coller)'!L748,'Spécifique comptes'!$A:$G,1,FALSE))=TRUE,'1) Import fichier Remi (coller)'!V748,VLOOKUP('1) Import fichier Remi (coller)'!K748&amp;" - "&amp;'1) Import fichier Remi (coller)'!L748,'Spécifique comptes'!$A:$G,IF(LEFT('2) BOB compta (completer-forcer'!F748,2)="11",4,IF(LEFT('2) BOB compta (completer-forcer'!F748,2)="12",5,IF(LEFT('2) BOB compta (completer-forcer'!F748,2)="13",6,IF(LEFT('2) BOB compta (completer-forcer'!F748,2)="15",7,"Erreur Compte")))),FALSE)))</f>
        <v/>
      </c>
      <c r="I748" s="26" t="str">
        <f>IF(A748="","",IF(H748="70100000",'1) Import fichier Remi (coller)'!J748,'1) Import fichier Remi (coller)'!U748))</f>
        <v/>
      </c>
      <c r="J748" s="26" t="str">
        <f>IF(A748="","",'1) Import fichier Remi (coller)'!U748)</f>
        <v/>
      </c>
      <c r="K748" s="17" t="str">
        <f t="shared" si="3"/>
        <v/>
      </c>
      <c r="L748" t="str">
        <f t="shared" si="2"/>
        <v/>
      </c>
      <c r="M748" s="14" t="str">
        <f>IF(A748="","",'1) Import fichier Remi (coller)'!S748)</f>
        <v/>
      </c>
      <c r="N748" s="17" t="str">
        <f>IF($A748="","",IF(OR($A748="NCV",$A748="NC15"),-'1) Import fichier Remi (coller)'!R748,'1) Import fichier Remi (coller)'!R748))</f>
        <v/>
      </c>
      <c r="O748" s="17" t="str">
        <f>IF($A748="","",IF(OR($A748="NCV",$A748="NC15"),-'1) Import fichier Remi (coller)'!T748,'1) Import fichier Remi (coller)'!T748))</f>
        <v/>
      </c>
      <c r="R748" t="str">
        <f>IF($A748="","",IF(ISERROR(VLOOKUP(LEFT('1) Import fichier Remi (coller)'!$A748,9),'Concordance client liv et fact'!$A:$H,8,FALSE))=TRUE,VLOOKUP(LEFT('1) Import fichier Remi (coller)'!$A748,9)+0,'Clients R2'!$A:$CY,2,FALSE),VLOOKUP(VLOOKUP(LEFT('1) Import fichier Remi (coller)'!$A748,9),'Concordance client liv et fact'!$A:$H,7,FALSE)+0,'Clients R2'!$A:$CY,2,FALSE)))</f>
        <v/>
      </c>
      <c r="S748" t="str">
        <f>IF($A748="","",PROPER(IF(ISERROR(VLOOKUP(LEFT('1) Import fichier Remi (coller)'!$A748,9),'Concordance client liv et fact'!$A:$H,8,FALSE))=TRUE,VLOOKUP(LEFT('1) Import fichier Remi (coller)'!$A748,9)+0,'Clients R2'!$A:$CY,27,FALSE),VLOOKUP(VLOOKUP(LEFT('1) Import fichier Remi (coller)'!$A748,9),'Concordance client liv et fact'!$A:$H,7,FALSE)+0,'Clients R2'!$A:$CY,27,FALSE))))</f>
        <v/>
      </c>
      <c r="T748" t="str">
        <f>IF($A748="","",LEFT(UPPER(IF(ISERROR(VLOOKUP(LEFT('1) Import fichier Remi (coller)'!$A748,9),'Concordance client liv et fact'!$A:$H,8,FALSE))=TRUE,VLOOKUP(LEFT('1) Import fichier Remi (coller)'!$A748,9)+0,'Clients R2'!$A:$CY,28,FALSE),VLOOKUP(VLOOKUP(LEFT('1) Import fichier Remi (coller)'!$A748,9),'Concordance client liv et fact'!$A:$H,7,FALSE)+0,'Clients R2'!$A:$CY,28,FALSE))),2)&amp;UPPER(IF(ISERROR(VLOOKUP(LEFT('1) Import fichier Remi (coller)'!$A748,9),'Concordance client liv et fact'!$A:$H,8,FALSE))=TRUE,VLOOKUP(LEFT('1) Import fichier Remi (coller)'!$A748,9)+0,'Clients R2'!$A:$CY,29,FALSE),VLOOKUP(VLOOKUP(LEFT('1) Import fichier Remi (coller)'!$A748,9),'Concordance client liv et fact'!$A:$H,7,FALSE)+0,'Clients R2'!$A:$CY,29,FALSE))))</f>
        <v/>
      </c>
      <c r="U748" t="str">
        <f>IF($A748="","",PROPER(IF(ISERROR(VLOOKUP(LEFT('1) Import fichier Remi (coller)'!$A748,9),'Concordance client liv et fact'!$A:$H,8,FALSE))=TRUE,VLOOKUP(LEFT('1) Import fichier Remi (coller)'!$A748,9)+0,'Clients R2'!$A:$CY,30,FALSE),VLOOKUP(VLOOKUP(LEFT('1) Import fichier Remi (coller)'!$A748,9),'Concordance client liv et fact'!$A:$H,7,FALSE)+0,'Clients R2'!$A:$CY,30,FALSE))))</f>
        <v/>
      </c>
      <c r="V748" t="str">
        <f>IF($A748="","",LEFT(UPPER(IF(ISERROR(VLOOKUP(LEFT('1) Import fichier Remi (coller)'!$A748,9),'Concordance client liv et fact'!$A:$H,8,FALSE))=TRUE,IF(VLOOKUP(LEFT('1) Import fichier Remi (coller)'!$A748,9)+0,'Clients R2'!$A:$CY,22,FALSE)=4,"NA",VLOOKUP(LEFT('1) Import fichier Remi (coller)'!$A748,9)+0,'Clients R2'!$A:$CY,3,FALSE)),IF(VLOOKUP(VLOOKUP(LEFT('1) Import fichier Remi (coller)'!$A748,9),'Concordance client liv et fact'!$A:$H,7,FALSE)+0,'Clients R2'!$A:$CY,22,FALSE)=4,"NA",VLOOKUP(VLOOKUP(LEFT('1) Import fichier Remi (coller)'!$A748,9),'Concordance client liv et fact'!$A:$H,7,FALSE)+0,'Clients R2'!$A:$CY,3,FALSE)))),2))</f>
        <v/>
      </c>
      <c r="W748" s="27"/>
      <c r="X748" s="27"/>
      <c r="Y748" t="str">
        <f>IF(A748="","",VLOOKUP(A748,'Libellés PDF'!$A$2:$B$5,2,FALSE)&amp;F748&amp;".PDF")</f>
        <v/>
      </c>
      <c r="Z748" t="str">
        <f>IF(A748="","",IF(OR(H748="705099999",H748="705001002"),VLOOKUP('1) Import fichier Remi (coller)'!J748,'Analytique personnel'!$A:$B,2,FALSE),""))</f>
        <v/>
      </c>
      <c r="AA748" t="str">
        <f>IF($A748="VE11","",IF(LEFT($H748,4)="7050","",IF('1) Import fichier Remi (coller)'!M748="","",'1) Import fichier Remi (coller)'!M748)))</f>
        <v/>
      </c>
      <c r="AB748" t="str">
        <f>IF($A748="VE11","",IF(LEFT($H748,4)="7050","",IF('1) Import fichier Remi (coller)'!N748="","",'1) Import fichier Remi (coller)'!N748)))</f>
        <v/>
      </c>
      <c r="AC748" t="str">
        <f>IF(A748="","",VLOOKUP(LEFT('1) Import fichier Remi (coller)'!A748,9)+0,'Concordance Client R2 BOB'!$B:$C,2,FALSE))</f>
        <v/>
      </c>
    </row>
    <row r="749" spans="1:29" ht="18.75" customHeight="1" x14ac:dyDescent="0.25">
      <c r="A749" t="str">
        <f>IF('1) Import fichier Remi (coller)'!D749="","",'1) Import fichier Remi (coller)'!D749)</f>
        <v/>
      </c>
      <c r="B749" t="str">
        <f>IF(A749="","",YEAR('1) Import fichier Remi (coller)'!F749))</f>
        <v/>
      </c>
      <c r="C749" t="str">
        <f>IF(A749="","",MONTH('1) Import fichier Remi (coller)'!F749))</f>
        <v/>
      </c>
      <c r="D749" s="1" t="str">
        <f>IF(A749="","",'1) Import fichier Remi (coller)'!F749)</f>
        <v/>
      </c>
      <c r="E749" s="1" t="str">
        <f>IF(A749="","",'1) Import fichier Remi (coller)'!G749)</f>
        <v/>
      </c>
      <c r="F749" t="str">
        <f>IF(A749="","",'1) Import fichier Remi (coller)'!E749)</f>
        <v/>
      </c>
      <c r="G749" t="str">
        <f>IF(A749="","",IF(ISERROR(VLOOKUP(LEFT('1) Import fichier Remi (coller)'!A749,9),'Concordance client liv et fact'!$A:$H,8,FALSE))=TRUE,'1) Import fichier Remi (coller)'!B749,VLOOKUP(LEFT('1) Import fichier Remi (coller)'!A749,9),'Concordance client liv et fact'!$A:$H,8,FALSE)))</f>
        <v/>
      </c>
      <c r="H749" t="str">
        <f>IF(A749="","",IF(ISERROR(VLOOKUP('1) Import fichier Remi (coller)'!K749&amp;" - "&amp;'1) Import fichier Remi (coller)'!L749,'Spécifique comptes'!$A:$G,1,FALSE))=TRUE,'1) Import fichier Remi (coller)'!V749,VLOOKUP('1) Import fichier Remi (coller)'!K749&amp;" - "&amp;'1) Import fichier Remi (coller)'!L749,'Spécifique comptes'!$A:$G,IF(LEFT('2) BOB compta (completer-forcer'!F749,2)="11",4,IF(LEFT('2) BOB compta (completer-forcer'!F749,2)="12",5,IF(LEFT('2) BOB compta (completer-forcer'!F749,2)="13",6,IF(LEFT('2) BOB compta (completer-forcer'!F749,2)="15",7,"Erreur Compte")))),FALSE)))</f>
        <v/>
      </c>
      <c r="I749" s="26" t="str">
        <f>IF(A749="","",IF(H749="70100000",'1) Import fichier Remi (coller)'!J749,'1) Import fichier Remi (coller)'!U749))</f>
        <v/>
      </c>
      <c r="J749" s="26" t="str">
        <f>IF(A749="","",'1) Import fichier Remi (coller)'!U749)</f>
        <v/>
      </c>
      <c r="K749" s="17" t="str">
        <f t="shared" si="3"/>
        <v/>
      </c>
      <c r="L749" t="str">
        <f t="shared" si="2"/>
        <v/>
      </c>
      <c r="M749" s="14" t="str">
        <f>IF(A749="","",'1) Import fichier Remi (coller)'!S749)</f>
        <v/>
      </c>
      <c r="N749" s="17" t="str">
        <f>IF($A749="","",IF(OR($A749="NCV",$A749="NC15"),-'1) Import fichier Remi (coller)'!R749,'1) Import fichier Remi (coller)'!R749))</f>
        <v/>
      </c>
      <c r="O749" s="17" t="str">
        <f>IF($A749="","",IF(OR($A749="NCV",$A749="NC15"),-'1) Import fichier Remi (coller)'!T749,'1) Import fichier Remi (coller)'!T749))</f>
        <v/>
      </c>
      <c r="R749" t="str">
        <f>IF($A749="","",IF(ISERROR(VLOOKUP(LEFT('1) Import fichier Remi (coller)'!$A749,9),'Concordance client liv et fact'!$A:$H,8,FALSE))=TRUE,VLOOKUP(LEFT('1) Import fichier Remi (coller)'!$A749,9)+0,'Clients R2'!$A:$CY,2,FALSE),VLOOKUP(VLOOKUP(LEFT('1) Import fichier Remi (coller)'!$A749,9),'Concordance client liv et fact'!$A:$H,7,FALSE)+0,'Clients R2'!$A:$CY,2,FALSE)))</f>
        <v/>
      </c>
      <c r="S749" t="str">
        <f>IF($A749="","",PROPER(IF(ISERROR(VLOOKUP(LEFT('1) Import fichier Remi (coller)'!$A749,9),'Concordance client liv et fact'!$A:$H,8,FALSE))=TRUE,VLOOKUP(LEFT('1) Import fichier Remi (coller)'!$A749,9)+0,'Clients R2'!$A:$CY,27,FALSE),VLOOKUP(VLOOKUP(LEFT('1) Import fichier Remi (coller)'!$A749,9),'Concordance client liv et fact'!$A:$H,7,FALSE)+0,'Clients R2'!$A:$CY,27,FALSE))))</f>
        <v/>
      </c>
      <c r="T749" t="str">
        <f>IF($A749="","",LEFT(UPPER(IF(ISERROR(VLOOKUP(LEFT('1) Import fichier Remi (coller)'!$A749,9),'Concordance client liv et fact'!$A:$H,8,FALSE))=TRUE,VLOOKUP(LEFT('1) Import fichier Remi (coller)'!$A749,9)+0,'Clients R2'!$A:$CY,28,FALSE),VLOOKUP(VLOOKUP(LEFT('1) Import fichier Remi (coller)'!$A749,9),'Concordance client liv et fact'!$A:$H,7,FALSE)+0,'Clients R2'!$A:$CY,28,FALSE))),2)&amp;UPPER(IF(ISERROR(VLOOKUP(LEFT('1) Import fichier Remi (coller)'!$A749,9),'Concordance client liv et fact'!$A:$H,8,FALSE))=TRUE,VLOOKUP(LEFT('1) Import fichier Remi (coller)'!$A749,9)+0,'Clients R2'!$A:$CY,29,FALSE),VLOOKUP(VLOOKUP(LEFT('1) Import fichier Remi (coller)'!$A749,9),'Concordance client liv et fact'!$A:$H,7,FALSE)+0,'Clients R2'!$A:$CY,29,FALSE))))</f>
        <v/>
      </c>
      <c r="U749" t="str">
        <f>IF($A749="","",PROPER(IF(ISERROR(VLOOKUP(LEFT('1) Import fichier Remi (coller)'!$A749,9),'Concordance client liv et fact'!$A:$H,8,FALSE))=TRUE,VLOOKUP(LEFT('1) Import fichier Remi (coller)'!$A749,9)+0,'Clients R2'!$A:$CY,30,FALSE),VLOOKUP(VLOOKUP(LEFT('1) Import fichier Remi (coller)'!$A749,9),'Concordance client liv et fact'!$A:$H,7,FALSE)+0,'Clients R2'!$A:$CY,30,FALSE))))</f>
        <v/>
      </c>
      <c r="V749" t="str">
        <f>IF($A749="","",LEFT(UPPER(IF(ISERROR(VLOOKUP(LEFT('1) Import fichier Remi (coller)'!$A749,9),'Concordance client liv et fact'!$A:$H,8,FALSE))=TRUE,IF(VLOOKUP(LEFT('1) Import fichier Remi (coller)'!$A749,9)+0,'Clients R2'!$A:$CY,22,FALSE)=4,"NA",VLOOKUP(LEFT('1) Import fichier Remi (coller)'!$A749,9)+0,'Clients R2'!$A:$CY,3,FALSE)),IF(VLOOKUP(VLOOKUP(LEFT('1) Import fichier Remi (coller)'!$A749,9),'Concordance client liv et fact'!$A:$H,7,FALSE)+0,'Clients R2'!$A:$CY,22,FALSE)=4,"NA",VLOOKUP(VLOOKUP(LEFT('1) Import fichier Remi (coller)'!$A749,9),'Concordance client liv et fact'!$A:$H,7,FALSE)+0,'Clients R2'!$A:$CY,3,FALSE)))),2))</f>
        <v/>
      </c>
      <c r="W749" s="27"/>
      <c r="X749" s="27"/>
      <c r="Y749" t="str">
        <f>IF(A749="","",VLOOKUP(A749,'Libellés PDF'!$A$2:$B$5,2,FALSE)&amp;F749&amp;".PDF")</f>
        <v/>
      </c>
      <c r="Z749" t="str">
        <f>IF(A749="","",IF(OR(H749="705099999",H749="705001002"),VLOOKUP('1) Import fichier Remi (coller)'!J749,'Analytique personnel'!$A:$B,2,FALSE),""))</f>
        <v/>
      </c>
      <c r="AA749" t="str">
        <f>IF($A749="VE11","",IF(LEFT($H749,4)="7050","",IF('1) Import fichier Remi (coller)'!M749="","",'1) Import fichier Remi (coller)'!M749)))</f>
        <v/>
      </c>
      <c r="AB749" t="str">
        <f>IF($A749="VE11","",IF(LEFT($H749,4)="7050","",IF('1) Import fichier Remi (coller)'!N749="","",'1) Import fichier Remi (coller)'!N749)))</f>
        <v/>
      </c>
      <c r="AC749" t="str">
        <f>IF(A749="","",VLOOKUP(LEFT('1) Import fichier Remi (coller)'!A749,9)+0,'Concordance Client R2 BOB'!$B:$C,2,FALSE))</f>
        <v/>
      </c>
    </row>
    <row r="750" spans="1:29" ht="18.75" customHeight="1" x14ac:dyDescent="0.25">
      <c r="A750" t="str">
        <f>IF('1) Import fichier Remi (coller)'!D750="","",'1) Import fichier Remi (coller)'!D750)</f>
        <v/>
      </c>
      <c r="B750" t="str">
        <f>IF(A750="","",YEAR('1) Import fichier Remi (coller)'!F750))</f>
        <v/>
      </c>
      <c r="C750" t="str">
        <f>IF(A750="","",MONTH('1) Import fichier Remi (coller)'!F750))</f>
        <v/>
      </c>
      <c r="D750" s="1" t="str">
        <f>IF(A750="","",'1) Import fichier Remi (coller)'!F750)</f>
        <v/>
      </c>
      <c r="E750" s="1" t="str">
        <f>IF(A750="","",'1) Import fichier Remi (coller)'!G750)</f>
        <v/>
      </c>
      <c r="F750" t="str">
        <f>IF(A750="","",'1) Import fichier Remi (coller)'!E750)</f>
        <v/>
      </c>
      <c r="G750" t="str">
        <f>IF(A750="","",IF(ISERROR(VLOOKUP(LEFT('1) Import fichier Remi (coller)'!A750,9),'Concordance client liv et fact'!$A:$H,8,FALSE))=TRUE,'1) Import fichier Remi (coller)'!B750,VLOOKUP(LEFT('1) Import fichier Remi (coller)'!A750,9),'Concordance client liv et fact'!$A:$H,8,FALSE)))</f>
        <v/>
      </c>
      <c r="H750" t="str">
        <f>IF(A750="","",IF(ISERROR(VLOOKUP('1) Import fichier Remi (coller)'!K750&amp;" - "&amp;'1) Import fichier Remi (coller)'!L750,'Spécifique comptes'!$A:$G,1,FALSE))=TRUE,'1) Import fichier Remi (coller)'!V750,VLOOKUP('1) Import fichier Remi (coller)'!K750&amp;" - "&amp;'1) Import fichier Remi (coller)'!L750,'Spécifique comptes'!$A:$G,IF(LEFT('2) BOB compta (completer-forcer'!F750,2)="11",4,IF(LEFT('2) BOB compta (completer-forcer'!F750,2)="12",5,IF(LEFT('2) BOB compta (completer-forcer'!F750,2)="13",6,IF(LEFT('2) BOB compta (completer-forcer'!F750,2)="15",7,"Erreur Compte")))),FALSE)))</f>
        <v/>
      </c>
      <c r="I750" s="26" t="str">
        <f>IF(A750="","",IF(H750="70100000",'1) Import fichier Remi (coller)'!J750,'1) Import fichier Remi (coller)'!U750))</f>
        <v/>
      </c>
      <c r="J750" s="26" t="str">
        <f>IF(A750="","",'1) Import fichier Remi (coller)'!U750)</f>
        <v/>
      </c>
      <c r="K750" s="17" t="str">
        <f t="shared" si="3"/>
        <v/>
      </c>
      <c r="L750" t="str">
        <f t="shared" si="2"/>
        <v/>
      </c>
      <c r="M750" s="14" t="str">
        <f>IF(A750="","",'1) Import fichier Remi (coller)'!S750)</f>
        <v/>
      </c>
      <c r="N750" s="17" t="str">
        <f>IF($A750="","",IF(OR($A750="NCV",$A750="NC15"),-'1) Import fichier Remi (coller)'!R750,'1) Import fichier Remi (coller)'!R750))</f>
        <v/>
      </c>
      <c r="O750" s="17" t="str">
        <f>IF($A750="","",IF(OR($A750="NCV",$A750="NC15"),-'1) Import fichier Remi (coller)'!T750,'1) Import fichier Remi (coller)'!T750))</f>
        <v/>
      </c>
      <c r="R750" t="str">
        <f>IF($A750="","",IF(ISERROR(VLOOKUP(LEFT('1) Import fichier Remi (coller)'!$A750,9),'Concordance client liv et fact'!$A:$H,8,FALSE))=TRUE,VLOOKUP(LEFT('1) Import fichier Remi (coller)'!$A750,9)+0,'Clients R2'!$A:$CY,2,FALSE),VLOOKUP(VLOOKUP(LEFT('1) Import fichier Remi (coller)'!$A750,9),'Concordance client liv et fact'!$A:$H,7,FALSE)+0,'Clients R2'!$A:$CY,2,FALSE)))</f>
        <v/>
      </c>
      <c r="S750" t="str">
        <f>IF($A750="","",PROPER(IF(ISERROR(VLOOKUP(LEFT('1) Import fichier Remi (coller)'!$A750,9),'Concordance client liv et fact'!$A:$H,8,FALSE))=TRUE,VLOOKUP(LEFT('1) Import fichier Remi (coller)'!$A750,9)+0,'Clients R2'!$A:$CY,27,FALSE),VLOOKUP(VLOOKUP(LEFT('1) Import fichier Remi (coller)'!$A750,9),'Concordance client liv et fact'!$A:$H,7,FALSE)+0,'Clients R2'!$A:$CY,27,FALSE))))</f>
        <v/>
      </c>
      <c r="T750" t="str">
        <f>IF($A750="","",LEFT(UPPER(IF(ISERROR(VLOOKUP(LEFT('1) Import fichier Remi (coller)'!$A750,9),'Concordance client liv et fact'!$A:$H,8,FALSE))=TRUE,VLOOKUP(LEFT('1) Import fichier Remi (coller)'!$A750,9)+0,'Clients R2'!$A:$CY,28,FALSE),VLOOKUP(VLOOKUP(LEFT('1) Import fichier Remi (coller)'!$A750,9),'Concordance client liv et fact'!$A:$H,7,FALSE)+0,'Clients R2'!$A:$CY,28,FALSE))),2)&amp;UPPER(IF(ISERROR(VLOOKUP(LEFT('1) Import fichier Remi (coller)'!$A750,9),'Concordance client liv et fact'!$A:$H,8,FALSE))=TRUE,VLOOKUP(LEFT('1) Import fichier Remi (coller)'!$A750,9)+0,'Clients R2'!$A:$CY,29,FALSE),VLOOKUP(VLOOKUP(LEFT('1) Import fichier Remi (coller)'!$A750,9),'Concordance client liv et fact'!$A:$H,7,FALSE)+0,'Clients R2'!$A:$CY,29,FALSE))))</f>
        <v/>
      </c>
      <c r="U750" t="str">
        <f>IF($A750="","",PROPER(IF(ISERROR(VLOOKUP(LEFT('1) Import fichier Remi (coller)'!$A750,9),'Concordance client liv et fact'!$A:$H,8,FALSE))=TRUE,VLOOKUP(LEFT('1) Import fichier Remi (coller)'!$A750,9)+0,'Clients R2'!$A:$CY,30,FALSE),VLOOKUP(VLOOKUP(LEFT('1) Import fichier Remi (coller)'!$A750,9),'Concordance client liv et fact'!$A:$H,7,FALSE)+0,'Clients R2'!$A:$CY,30,FALSE))))</f>
        <v/>
      </c>
      <c r="V750" t="str">
        <f>IF($A750="","",LEFT(UPPER(IF(ISERROR(VLOOKUP(LEFT('1) Import fichier Remi (coller)'!$A750,9),'Concordance client liv et fact'!$A:$H,8,FALSE))=TRUE,IF(VLOOKUP(LEFT('1) Import fichier Remi (coller)'!$A750,9)+0,'Clients R2'!$A:$CY,22,FALSE)=4,"NA",VLOOKUP(LEFT('1) Import fichier Remi (coller)'!$A750,9)+0,'Clients R2'!$A:$CY,3,FALSE)),IF(VLOOKUP(VLOOKUP(LEFT('1) Import fichier Remi (coller)'!$A750,9),'Concordance client liv et fact'!$A:$H,7,FALSE)+0,'Clients R2'!$A:$CY,22,FALSE)=4,"NA",VLOOKUP(VLOOKUP(LEFT('1) Import fichier Remi (coller)'!$A750,9),'Concordance client liv et fact'!$A:$H,7,FALSE)+0,'Clients R2'!$A:$CY,3,FALSE)))),2))</f>
        <v/>
      </c>
      <c r="W750" s="27"/>
      <c r="X750" s="27"/>
      <c r="Y750" t="str">
        <f>IF(A750="","",VLOOKUP(A750,'Libellés PDF'!$A$2:$B$5,2,FALSE)&amp;F750&amp;".PDF")</f>
        <v/>
      </c>
      <c r="Z750" t="str">
        <f>IF(A750="","",IF(OR(H750="705099999",H750="705001002"),VLOOKUP('1) Import fichier Remi (coller)'!J750,'Analytique personnel'!$A:$B,2,FALSE),""))</f>
        <v/>
      </c>
      <c r="AA750" t="str">
        <f>IF($A750="VE11","",IF(LEFT($H750,4)="7050","",IF('1) Import fichier Remi (coller)'!M750="","",'1) Import fichier Remi (coller)'!M750)))</f>
        <v/>
      </c>
      <c r="AB750" t="str">
        <f>IF($A750="VE11","",IF(LEFT($H750,4)="7050","",IF('1) Import fichier Remi (coller)'!N750="","",'1) Import fichier Remi (coller)'!N750)))</f>
        <v/>
      </c>
      <c r="AC750" t="str">
        <f>IF(A750="","",VLOOKUP(LEFT('1) Import fichier Remi (coller)'!A750,9)+0,'Concordance Client R2 BOB'!$B:$C,2,FALSE))</f>
        <v/>
      </c>
    </row>
    <row r="751" spans="1:29" ht="18.75" customHeight="1" x14ac:dyDescent="0.25">
      <c r="A751" t="str">
        <f>IF('1) Import fichier Remi (coller)'!D751="","",'1) Import fichier Remi (coller)'!D751)</f>
        <v/>
      </c>
      <c r="B751" t="str">
        <f>IF(A751="","",YEAR('1) Import fichier Remi (coller)'!F751))</f>
        <v/>
      </c>
      <c r="C751" t="str">
        <f>IF(A751="","",MONTH('1) Import fichier Remi (coller)'!F751))</f>
        <v/>
      </c>
      <c r="D751" s="1" t="str">
        <f>IF(A751="","",'1) Import fichier Remi (coller)'!F751)</f>
        <v/>
      </c>
      <c r="E751" s="1" t="str">
        <f>IF(A751="","",'1) Import fichier Remi (coller)'!G751)</f>
        <v/>
      </c>
      <c r="F751" t="str">
        <f>IF(A751="","",'1) Import fichier Remi (coller)'!E751)</f>
        <v/>
      </c>
      <c r="G751" t="str">
        <f>IF(A751="","",IF(ISERROR(VLOOKUP(LEFT('1) Import fichier Remi (coller)'!A751,9),'Concordance client liv et fact'!$A:$H,8,FALSE))=TRUE,'1) Import fichier Remi (coller)'!B751,VLOOKUP(LEFT('1) Import fichier Remi (coller)'!A751,9),'Concordance client liv et fact'!$A:$H,8,FALSE)))</f>
        <v/>
      </c>
      <c r="H751" t="str">
        <f>IF(A751="","",IF(ISERROR(VLOOKUP('1) Import fichier Remi (coller)'!K751&amp;" - "&amp;'1) Import fichier Remi (coller)'!L751,'Spécifique comptes'!$A:$G,1,FALSE))=TRUE,'1) Import fichier Remi (coller)'!V751,VLOOKUP('1) Import fichier Remi (coller)'!K751&amp;" - "&amp;'1) Import fichier Remi (coller)'!L751,'Spécifique comptes'!$A:$G,IF(LEFT('2) BOB compta (completer-forcer'!F751,2)="11",4,IF(LEFT('2) BOB compta (completer-forcer'!F751,2)="12",5,IF(LEFT('2) BOB compta (completer-forcer'!F751,2)="13",6,IF(LEFT('2) BOB compta (completer-forcer'!F751,2)="15",7,"Erreur Compte")))),FALSE)))</f>
        <v/>
      </c>
      <c r="I751" s="26" t="str">
        <f>IF(A751="","",IF(H751="70100000",'1) Import fichier Remi (coller)'!J751,'1) Import fichier Remi (coller)'!U751))</f>
        <v/>
      </c>
      <c r="J751" s="26" t="str">
        <f>IF(A751="","",'1) Import fichier Remi (coller)'!U751)</f>
        <v/>
      </c>
      <c r="K751" s="17" t="str">
        <f t="shared" si="3"/>
        <v/>
      </c>
      <c r="L751" t="str">
        <f t="shared" si="2"/>
        <v/>
      </c>
      <c r="M751" s="14" t="str">
        <f>IF(A751="","",'1) Import fichier Remi (coller)'!S751)</f>
        <v/>
      </c>
      <c r="N751" s="17" t="str">
        <f>IF($A751="","",IF(OR($A751="NCV",$A751="NC15"),-'1) Import fichier Remi (coller)'!R751,'1) Import fichier Remi (coller)'!R751))</f>
        <v/>
      </c>
      <c r="O751" s="17" t="str">
        <f>IF($A751="","",IF(OR($A751="NCV",$A751="NC15"),-'1) Import fichier Remi (coller)'!T751,'1) Import fichier Remi (coller)'!T751))</f>
        <v/>
      </c>
      <c r="R751" t="str">
        <f>IF($A751="","",IF(ISERROR(VLOOKUP(LEFT('1) Import fichier Remi (coller)'!$A751,9),'Concordance client liv et fact'!$A:$H,8,FALSE))=TRUE,VLOOKUP(LEFT('1) Import fichier Remi (coller)'!$A751,9)+0,'Clients R2'!$A:$CY,2,FALSE),VLOOKUP(VLOOKUP(LEFT('1) Import fichier Remi (coller)'!$A751,9),'Concordance client liv et fact'!$A:$H,7,FALSE)+0,'Clients R2'!$A:$CY,2,FALSE)))</f>
        <v/>
      </c>
      <c r="S751" t="str">
        <f>IF($A751="","",PROPER(IF(ISERROR(VLOOKUP(LEFT('1) Import fichier Remi (coller)'!$A751,9),'Concordance client liv et fact'!$A:$H,8,FALSE))=TRUE,VLOOKUP(LEFT('1) Import fichier Remi (coller)'!$A751,9)+0,'Clients R2'!$A:$CY,27,FALSE),VLOOKUP(VLOOKUP(LEFT('1) Import fichier Remi (coller)'!$A751,9),'Concordance client liv et fact'!$A:$H,7,FALSE)+0,'Clients R2'!$A:$CY,27,FALSE))))</f>
        <v/>
      </c>
      <c r="T751" t="str">
        <f>IF($A751="","",LEFT(UPPER(IF(ISERROR(VLOOKUP(LEFT('1) Import fichier Remi (coller)'!$A751,9),'Concordance client liv et fact'!$A:$H,8,FALSE))=TRUE,VLOOKUP(LEFT('1) Import fichier Remi (coller)'!$A751,9)+0,'Clients R2'!$A:$CY,28,FALSE),VLOOKUP(VLOOKUP(LEFT('1) Import fichier Remi (coller)'!$A751,9),'Concordance client liv et fact'!$A:$H,7,FALSE)+0,'Clients R2'!$A:$CY,28,FALSE))),2)&amp;UPPER(IF(ISERROR(VLOOKUP(LEFT('1) Import fichier Remi (coller)'!$A751,9),'Concordance client liv et fact'!$A:$H,8,FALSE))=TRUE,VLOOKUP(LEFT('1) Import fichier Remi (coller)'!$A751,9)+0,'Clients R2'!$A:$CY,29,FALSE),VLOOKUP(VLOOKUP(LEFT('1) Import fichier Remi (coller)'!$A751,9),'Concordance client liv et fact'!$A:$H,7,FALSE)+0,'Clients R2'!$A:$CY,29,FALSE))))</f>
        <v/>
      </c>
      <c r="U751" t="str">
        <f>IF($A751="","",PROPER(IF(ISERROR(VLOOKUP(LEFT('1) Import fichier Remi (coller)'!$A751,9),'Concordance client liv et fact'!$A:$H,8,FALSE))=TRUE,VLOOKUP(LEFT('1) Import fichier Remi (coller)'!$A751,9)+0,'Clients R2'!$A:$CY,30,FALSE),VLOOKUP(VLOOKUP(LEFT('1) Import fichier Remi (coller)'!$A751,9),'Concordance client liv et fact'!$A:$H,7,FALSE)+0,'Clients R2'!$A:$CY,30,FALSE))))</f>
        <v/>
      </c>
      <c r="V751" t="str">
        <f>IF($A751="","",LEFT(UPPER(IF(ISERROR(VLOOKUP(LEFT('1) Import fichier Remi (coller)'!$A751,9),'Concordance client liv et fact'!$A:$H,8,FALSE))=TRUE,IF(VLOOKUP(LEFT('1) Import fichier Remi (coller)'!$A751,9)+0,'Clients R2'!$A:$CY,22,FALSE)=4,"NA",VLOOKUP(LEFT('1) Import fichier Remi (coller)'!$A751,9)+0,'Clients R2'!$A:$CY,3,FALSE)),IF(VLOOKUP(VLOOKUP(LEFT('1) Import fichier Remi (coller)'!$A751,9),'Concordance client liv et fact'!$A:$H,7,FALSE)+0,'Clients R2'!$A:$CY,22,FALSE)=4,"NA",VLOOKUP(VLOOKUP(LEFT('1) Import fichier Remi (coller)'!$A751,9),'Concordance client liv et fact'!$A:$H,7,FALSE)+0,'Clients R2'!$A:$CY,3,FALSE)))),2))</f>
        <v/>
      </c>
      <c r="W751" s="27"/>
      <c r="X751" s="27"/>
      <c r="Y751" t="str">
        <f>IF(A751="","",VLOOKUP(A751,'Libellés PDF'!$A$2:$B$5,2,FALSE)&amp;F751&amp;".PDF")</f>
        <v/>
      </c>
      <c r="Z751" t="str">
        <f>IF(A751="","",IF(OR(H751="705099999",H751="705001002"),VLOOKUP('1) Import fichier Remi (coller)'!J751,'Analytique personnel'!$A:$B,2,FALSE),""))</f>
        <v/>
      </c>
      <c r="AA751" t="str">
        <f>IF($A751="VE11","",IF(LEFT($H751,4)="7050","",IF('1) Import fichier Remi (coller)'!M751="","",'1) Import fichier Remi (coller)'!M751)))</f>
        <v/>
      </c>
      <c r="AB751" t="str">
        <f>IF($A751="VE11","",IF(LEFT($H751,4)="7050","",IF('1) Import fichier Remi (coller)'!N751="","",'1) Import fichier Remi (coller)'!N751)))</f>
        <v/>
      </c>
      <c r="AC751" t="str">
        <f>IF(A751="","",VLOOKUP(LEFT('1) Import fichier Remi (coller)'!A751,9)+0,'Concordance Client R2 BOB'!$B:$C,2,FALSE))</f>
        <v/>
      </c>
    </row>
    <row r="752" spans="1:29" ht="18.75" customHeight="1" x14ac:dyDescent="0.25">
      <c r="A752" t="str">
        <f>IF('1) Import fichier Remi (coller)'!D752="","",'1) Import fichier Remi (coller)'!D752)</f>
        <v/>
      </c>
      <c r="B752" t="str">
        <f>IF(A752="","",YEAR('1) Import fichier Remi (coller)'!F752))</f>
        <v/>
      </c>
      <c r="C752" t="str">
        <f>IF(A752="","",MONTH('1) Import fichier Remi (coller)'!F752))</f>
        <v/>
      </c>
      <c r="D752" s="1" t="str">
        <f>IF(A752="","",'1) Import fichier Remi (coller)'!F752)</f>
        <v/>
      </c>
      <c r="E752" s="1" t="str">
        <f>IF(A752="","",'1) Import fichier Remi (coller)'!G752)</f>
        <v/>
      </c>
      <c r="F752" t="str">
        <f>IF(A752="","",'1) Import fichier Remi (coller)'!E752)</f>
        <v/>
      </c>
      <c r="G752" t="str">
        <f>IF(A752="","",IF(ISERROR(VLOOKUP(LEFT('1) Import fichier Remi (coller)'!A752,9),'Concordance client liv et fact'!$A:$H,8,FALSE))=TRUE,'1) Import fichier Remi (coller)'!B752,VLOOKUP(LEFT('1) Import fichier Remi (coller)'!A752,9),'Concordance client liv et fact'!$A:$H,8,FALSE)))</f>
        <v/>
      </c>
      <c r="H752" t="str">
        <f>IF(A752="","",IF(ISERROR(VLOOKUP('1) Import fichier Remi (coller)'!K752&amp;" - "&amp;'1) Import fichier Remi (coller)'!L752,'Spécifique comptes'!$A:$G,1,FALSE))=TRUE,'1) Import fichier Remi (coller)'!V752,VLOOKUP('1) Import fichier Remi (coller)'!K752&amp;" - "&amp;'1) Import fichier Remi (coller)'!L752,'Spécifique comptes'!$A:$G,IF(LEFT('2) BOB compta (completer-forcer'!F752,2)="11",4,IF(LEFT('2) BOB compta (completer-forcer'!F752,2)="12",5,IF(LEFT('2) BOB compta (completer-forcer'!F752,2)="13",6,IF(LEFT('2) BOB compta (completer-forcer'!F752,2)="15",7,"Erreur Compte")))),FALSE)))</f>
        <v/>
      </c>
      <c r="I752" s="26" t="str">
        <f>IF(A752="","",IF(H752="70100000",'1) Import fichier Remi (coller)'!J752,'1) Import fichier Remi (coller)'!U752))</f>
        <v/>
      </c>
      <c r="J752" s="26" t="str">
        <f>IF(A752="","",'1) Import fichier Remi (coller)'!U752)</f>
        <v/>
      </c>
      <c r="K752" s="17" t="str">
        <f t="shared" si="3"/>
        <v/>
      </c>
      <c r="L752" t="str">
        <f t="shared" si="2"/>
        <v/>
      </c>
      <c r="M752" s="14" t="str">
        <f>IF(A752="","",'1) Import fichier Remi (coller)'!S752)</f>
        <v/>
      </c>
      <c r="N752" s="17" t="str">
        <f>IF($A752="","",IF(OR($A752="NCV",$A752="NC15"),-'1) Import fichier Remi (coller)'!R752,'1) Import fichier Remi (coller)'!R752))</f>
        <v/>
      </c>
      <c r="O752" s="17" t="str">
        <f>IF($A752="","",IF(OR($A752="NCV",$A752="NC15"),-'1) Import fichier Remi (coller)'!T752,'1) Import fichier Remi (coller)'!T752))</f>
        <v/>
      </c>
      <c r="R752" t="str">
        <f>IF($A752="","",IF(ISERROR(VLOOKUP(LEFT('1) Import fichier Remi (coller)'!$A752,9),'Concordance client liv et fact'!$A:$H,8,FALSE))=TRUE,VLOOKUP(LEFT('1) Import fichier Remi (coller)'!$A752,9)+0,'Clients R2'!$A:$CY,2,FALSE),VLOOKUP(VLOOKUP(LEFT('1) Import fichier Remi (coller)'!$A752,9),'Concordance client liv et fact'!$A:$H,7,FALSE)+0,'Clients R2'!$A:$CY,2,FALSE)))</f>
        <v/>
      </c>
      <c r="S752" t="str">
        <f>IF($A752="","",PROPER(IF(ISERROR(VLOOKUP(LEFT('1) Import fichier Remi (coller)'!$A752,9),'Concordance client liv et fact'!$A:$H,8,FALSE))=TRUE,VLOOKUP(LEFT('1) Import fichier Remi (coller)'!$A752,9)+0,'Clients R2'!$A:$CY,27,FALSE),VLOOKUP(VLOOKUP(LEFT('1) Import fichier Remi (coller)'!$A752,9),'Concordance client liv et fact'!$A:$H,7,FALSE)+0,'Clients R2'!$A:$CY,27,FALSE))))</f>
        <v/>
      </c>
      <c r="T752" t="str">
        <f>IF($A752="","",LEFT(UPPER(IF(ISERROR(VLOOKUP(LEFT('1) Import fichier Remi (coller)'!$A752,9),'Concordance client liv et fact'!$A:$H,8,FALSE))=TRUE,VLOOKUP(LEFT('1) Import fichier Remi (coller)'!$A752,9)+0,'Clients R2'!$A:$CY,28,FALSE),VLOOKUP(VLOOKUP(LEFT('1) Import fichier Remi (coller)'!$A752,9),'Concordance client liv et fact'!$A:$H,7,FALSE)+0,'Clients R2'!$A:$CY,28,FALSE))),2)&amp;UPPER(IF(ISERROR(VLOOKUP(LEFT('1) Import fichier Remi (coller)'!$A752,9),'Concordance client liv et fact'!$A:$H,8,FALSE))=TRUE,VLOOKUP(LEFT('1) Import fichier Remi (coller)'!$A752,9)+0,'Clients R2'!$A:$CY,29,FALSE),VLOOKUP(VLOOKUP(LEFT('1) Import fichier Remi (coller)'!$A752,9),'Concordance client liv et fact'!$A:$H,7,FALSE)+0,'Clients R2'!$A:$CY,29,FALSE))))</f>
        <v/>
      </c>
      <c r="U752" t="str">
        <f>IF($A752="","",PROPER(IF(ISERROR(VLOOKUP(LEFT('1) Import fichier Remi (coller)'!$A752,9),'Concordance client liv et fact'!$A:$H,8,FALSE))=TRUE,VLOOKUP(LEFT('1) Import fichier Remi (coller)'!$A752,9)+0,'Clients R2'!$A:$CY,30,FALSE),VLOOKUP(VLOOKUP(LEFT('1) Import fichier Remi (coller)'!$A752,9),'Concordance client liv et fact'!$A:$H,7,FALSE)+0,'Clients R2'!$A:$CY,30,FALSE))))</f>
        <v/>
      </c>
      <c r="V752" t="str">
        <f>IF($A752="","",LEFT(UPPER(IF(ISERROR(VLOOKUP(LEFT('1) Import fichier Remi (coller)'!$A752,9),'Concordance client liv et fact'!$A:$H,8,FALSE))=TRUE,IF(VLOOKUP(LEFT('1) Import fichier Remi (coller)'!$A752,9)+0,'Clients R2'!$A:$CY,22,FALSE)=4,"NA",VLOOKUP(LEFT('1) Import fichier Remi (coller)'!$A752,9)+0,'Clients R2'!$A:$CY,3,FALSE)),IF(VLOOKUP(VLOOKUP(LEFT('1) Import fichier Remi (coller)'!$A752,9),'Concordance client liv et fact'!$A:$H,7,FALSE)+0,'Clients R2'!$A:$CY,22,FALSE)=4,"NA",VLOOKUP(VLOOKUP(LEFT('1) Import fichier Remi (coller)'!$A752,9),'Concordance client liv et fact'!$A:$H,7,FALSE)+0,'Clients R2'!$A:$CY,3,FALSE)))),2))</f>
        <v/>
      </c>
      <c r="W752" s="27"/>
      <c r="X752" s="27"/>
      <c r="Y752" t="str">
        <f>IF(A752="","",VLOOKUP(A752,'Libellés PDF'!$A$2:$B$5,2,FALSE)&amp;F752&amp;".PDF")</f>
        <v/>
      </c>
      <c r="Z752" t="str">
        <f>IF(A752="","",IF(OR(H752="705099999",H752="705001002"),VLOOKUP('1) Import fichier Remi (coller)'!J752,'Analytique personnel'!$A:$B,2,FALSE),""))</f>
        <v/>
      </c>
      <c r="AA752" t="str">
        <f>IF($A752="VE11","",IF(LEFT($H752,4)="7050","",IF('1) Import fichier Remi (coller)'!M752="","",'1) Import fichier Remi (coller)'!M752)))</f>
        <v/>
      </c>
      <c r="AB752" t="str">
        <f>IF($A752="VE11","",IF(LEFT($H752,4)="7050","",IF('1) Import fichier Remi (coller)'!N752="","",'1) Import fichier Remi (coller)'!N752)))</f>
        <v/>
      </c>
      <c r="AC752" t="str">
        <f>IF(A752="","",VLOOKUP(LEFT('1) Import fichier Remi (coller)'!A752,9)+0,'Concordance Client R2 BOB'!$B:$C,2,FALSE))</f>
        <v/>
      </c>
    </row>
    <row r="753" spans="1:29" ht="18.75" customHeight="1" x14ac:dyDescent="0.25">
      <c r="A753" t="str">
        <f>IF('1) Import fichier Remi (coller)'!D753="","",'1) Import fichier Remi (coller)'!D753)</f>
        <v/>
      </c>
      <c r="B753" t="str">
        <f>IF(A753="","",YEAR('1) Import fichier Remi (coller)'!F753))</f>
        <v/>
      </c>
      <c r="C753" t="str">
        <f>IF(A753="","",MONTH('1) Import fichier Remi (coller)'!F753))</f>
        <v/>
      </c>
      <c r="D753" s="1" t="str">
        <f>IF(A753="","",'1) Import fichier Remi (coller)'!F753)</f>
        <v/>
      </c>
      <c r="E753" s="1" t="str">
        <f>IF(A753="","",'1) Import fichier Remi (coller)'!G753)</f>
        <v/>
      </c>
      <c r="F753" t="str">
        <f>IF(A753="","",'1) Import fichier Remi (coller)'!E753)</f>
        <v/>
      </c>
      <c r="G753" t="str">
        <f>IF(A753="","",IF(ISERROR(VLOOKUP(LEFT('1) Import fichier Remi (coller)'!A753,9),'Concordance client liv et fact'!$A:$H,8,FALSE))=TRUE,'1) Import fichier Remi (coller)'!B753,VLOOKUP(LEFT('1) Import fichier Remi (coller)'!A753,9),'Concordance client liv et fact'!$A:$H,8,FALSE)))</f>
        <v/>
      </c>
      <c r="H753" t="str">
        <f>IF(A753="","",IF(ISERROR(VLOOKUP('1) Import fichier Remi (coller)'!K753&amp;" - "&amp;'1) Import fichier Remi (coller)'!L753,'Spécifique comptes'!$A:$G,1,FALSE))=TRUE,'1) Import fichier Remi (coller)'!V753,VLOOKUP('1) Import fichier Remi (coller)'!K753&amp;" - "&amp;'1) Import fichier Remi (coller)'!L753,'Spécifique comptes'!$A:$G,IF(LEFT('2) BOB compta (completer-forcer'!F753,2)="11",4,IF(LEFT('2) BOB compta (completer-forcer'!F753,2)="12",5,IF(LEFT('2) BOB compta (completer-forcer'!F753,2)="13",6,IF(LEFT('2) BOB compta (completer-forcer'!F753,2)="15",7,"Erreur Compte")))),FALSE)))</f>
        <v/>
      </c>
      <c r="I753" s="26" t="str">
        <f>IF(A753="","",IF(H753="70100000",'1) Import fichier Remi (coller)'!J753,'1) Import fichier Remi (coller)'!U753))</f>
        <v/>
      </c>
      <c r="J753" s="26" t="str">
        <f>IF(A753="","",'1) Import fichier Remi (coller)'!U753)</f>
        <v/>
      </c>
      <c r="K753" s="17" t="str">
        <f t="shared" si="3"/>
        <v/>
      </c>
      <c r="L753" t="str">
        <f t="shared" si="2"/>
        <v/>
      </c>
      <c r="M753" s="14" t="str">
        <f>IF(A753="","",'1) Import fichier Remi (coller)'!S753)</f>
        <v/>
      </c>
      <c r="N753" s="17" t="str">
        <f>IF($A753="","",IF(OR($A753="NCV",$A753="NC15"),-'1) Import fichier Remi (coller)'!R753,'1) Import fichier Remi (coller)'!R753))</f>
        <v/>
      </c>
      <c r="O753" s="17" t="str">
        <f>IF($A753="","",IF(OR($A753="NCV",$A753="NC15"),-'1) Import fichier Remi (coller)'!T753,'1) Import fichier Remi (coller)'!T753))</f>
        <v/>
      </c>
      <c r="R753" t="str">
        <f>IF($A753="","",IF(ISERROR(VLOOKUP(LEFT('1) Import fichier Remi (coller)'!$A753,9),'Concordance client liv et fact'!$A:$H,8,FALSE))=TRUE,VLOOKUP(LEFT('1) Import fichier Remi (coller)'!$A753,9)+0,'Clients R2'!$A:$CY,2,FALSE),VLOOKUP(VLOOKUP(LEFT('1) Import fichier Remi (coller)'!$A753,9),'Concordance client liv et fact'!$A:$H,7,FALSE)+0,'Clients R2'!$A:$CY,2,FALSE)))</f>
        <v/>
      </c>
      <c r="S753" t="str">
        <f>IF($A753="","",PROPER(IF(ISERROR(VLOOKUP(LEFT('1) Import fichier Remi (coller)'!$A753,9),'Concordance client liv et fact'!$A:$H,8,FALSE))=TRUE,VLOOKUP(LEFT('1) Import fichier Remi (coller)'!$A753,9)+0,'Clients R2'!$A:$CY,27,FALSE),VLOOKUP(VLOOKUP(LEFT('1) Import fichier Remi (coller)'!$A753,9),'Concordance client liv et fact'!$A:$H,7,FALSE)+0,'Clients R2'!$A:$CY,27,FALSE))))</f>
        <v/>
      </c>
      <c r="T753" t="str">
        <f>IF($A753="","",LEFT(UPPER(IF(ISERROR(VLOOKUP(LEFT('1) Import fichier Remi (coller)'!$A753,9),'Concordance client liv et fact'!$A:$H,8,FALSE))=TRUE,VLOOKUP(LEFT('1) Import fichier Remi (coller)'!$A753,9)+0,'Clients R2'!$A:$CY,28,FALSE),VLOOKUP(VLOOKUP(LEFT('1) Import fichier Remi (coller)'!$A753,9),'Concordance client liv et fact'!$A:$H,7,FALSE)+0,'Clients R2'!$A:$CY,28,FALSE))),2)&amp;UPPER(IF(ISERROR(VLOOKUP(LEFT('1) Import fichier Remi (coller)'!$A753,9),'Concordance client liv et fact'!$A:$H,8,FALSE))=TRUE,VLOOKUP(LEFT('1) Import fichier Remi (coller)'!$A753,9)+0,'Clients R2'!$A:$CY,29,FALSE),VLOOKUP(VLOOKUP(LEFT('1) Import fichier Remi (coller)'!$A753,9),'Concordance client liv et fact'!$A:$H,7,FALSE)+0,'Clients R2'!$A:$CY,29,FALSE))))</f>
        <v/>
      </c>
      <c r="U753" t="str">
        <f>IF($A753="","",PROPER(IF(ISERROR(VLOOKUP(LEFT('1) Import fichier Remi (coller)'!$A753,9),'Concordance client liv et fact'!$A:$H,8,FALSE))=TRUE,VLOOKUP(LEFT('1) Import fichier Remi (coller)'!$A753,9)+0,'Clients R2'!$A:$CY,30,FALSE),VLOOKUP(VLOOKUP(LEFT('1) Import fichier Remi (coller)'!$A753,9),'Concordance client liv et fact'!$A:$H,7,FALSE)+0,'Clients R2'!$A:$CY,30,FALSE))))</f>
        <v/>
      </c>
      <c r="V753" t="str">
        <f>IF($A753="","",LEFT(UPPER(IF(ISERROR(VLOOKUP(LEFT('1) Import fichier Remi (coller)'!$A753,9),'Concordance client liv et fact'!$A:$H,8,FALSE))=TRUE,IF(VLOOKUP(LEFT('1) Import fichier Remi (coller)'!$A753,9)+0,'Clients R2'!$A:$CY,22,FALSE)=4,"NA",VLOOKUP(LEFT('1) Import fichier Remi (coller)'!$A753,9)+0,'Clients R2'!$A:$CY,3,FALSE)),IF(VLOOKUP(VLOOKUP(LEFT('1) Import fichier Remi (coller)'!$A753,9),'Concordance client liv et fact'!$A:$H,7,FALSE)+0,'Clients R2'!$A:$CY,22,FALSE)=4,"NA",VLOOKUP(VLOOKUP(LEFT('1) Import fichier Remi (coller)'!$A753,9),'Concordance client liv et fact'!$A:$H,7,FALSE)+0,'Clients R2'!$A:$CY,3,FALSE)))),2))</f>
        <v/>
      </c>
      <c r="W753" s="27"/>
      <c r="X753" s="27"/>
      <c r="Y753" t="str">
        <f>IF(A753="","",VLOOKUP(A753,'Libellés PDF'!$A$2:$B$5,2,FALSE)&amp;F753&amp;".PDF")</f>
        <v/>
      </c>
      <c r="Z753" t="str">
        <f>IF(A753="","",IF(OR(H753="705099999",H753="705001002"),VLOOKUP('1) Import fichier Remi (coller)'!J753,'Analytique personnel'!$A:$B,2,FALSE),""))</f>
        <v/>
      </c>
      <c r="AA753" t="str">
        <f>IF($A753="VE11","",IF(LEFT($H753,4)="7050","",IF('1) Import fichier Remi (coller)'!M753="","",'1) Import fichier Remi (coller)'!M753)))</f>
        <v/>
      </c>
      <c r="AB753" t="str">
        <f>IF($A753="VE11","",IF(LEFT($H753,4)="7050","",IF('1) Import fichier Remi (coller)'!N753="","",'1) Import fichier Remi (coller)'!N753)))</f>
        <v/>
      </c>
      <c r="AC753" t="str">
        <f>IF(A753="","",VLOOKUP(LEFT('1) Import fichier Remi (coller)'!A753,9)+0,'Concordance Client R2 BOB'!$B:$C,2,FALSE))</f>
        <v/>
      </c>
    </row>
    <row r="754" spans="1:29" ht="18.75" customHeight="1" x14ac:dyDescent="0.25">
      <c r="A754" t="str">
        <f>IF('1) Import fichier Remi (coller)'!D754="","",'1) Import fichier Remi (coller)'!D754)</f>
        <v/>
      </c>
      <c r="B754" t="str">
        <f>IF(A754="","",YEAR('1) Import fichier Remi (coller)'!F754))</f>
        <v/>
      </c>
      <c r="C754" t="str">
        <f>IF(A754="","",MONTH('1) Import fichier Remi (coller)'!F754))</f>
        <v/>
      </c>
      <c r="D754" s="1" t="str">
        <f>IF(A754="","",'1) Import fichier Remi (coller)'!F754)</f>
        <v/>
      </c>
      <c r="E754" s="1" t="str">
        <f>IF(A754="","",'1) Import fichier Remi (coller)'!G754)</f>
        <v/>
      </c>
      <c r="F754" t="str">
        <f>IF(A754="","",'1) Import fichier Remi (coller)'!E754)</f>
        <v/>
      </c>
      <c r="G754" t="str">
        <f>IF(A754="","",IF(ISERROR(VLOOKUP(LEFT('1) Import fichier Remi (coller)'!A754,9),'Concordance client liv et fact'!$A:$H,8,FALSE))=TRUE,'1) Import fichier Remi (coller)'!B754,VLOOKUP(LEFT('1) Import fichier Remi (coller)'!A754,9),'Concordance client liv et fact'!$A:$H,8,FALSE)))</f>
        <v/>
      </c>
      <c r="H754" t="str">
        <f>IF(A754="","",IF(ISERROR(VLOOKUP('1) Import fichier Remi (coller)'!K754&amp;" - "&amp;'1) Import fichier Remi (coller)'!L754,'Spécifique comptes'!$A:$G,1,FALSE))=TRUE,'1) Import fichier Remi (coller)'!V754,VLOOKUP('1) Import fichier Remi (coller)'!K754&amp;" - "&amp;'1) Import fichier Remi (coller)'!L754,'Spécifique comptes'!$A:$G,IF(LEFT('2) BOB compta (completer-forcer'!F754,2)="11",4,IF(LEFT('2) BOB compta (completer-forcer'!F754,2)="12",5,IF(LEFT('2) BOB compta (completer-forcer'!F754,2)="13",6,IF(LEFT('2) BOB compta (completer-forcer'!F754,2)="15",7,"Erreur Compte")))),FALSE)))</f>
        <v/>
      </c>
      <c r="I754" s="26" t="str">
        <f>IF(A754="","",IF(H754="70100000",'1) Import fichier Remi (coller)'!J754,'1) Import fichier Remi (coller)'!U754))</f>
        <v/>
      </c>
      <c r="J754" s="26" t="str">
        <f>IF(A754="","",'1) Import fichier Remi (coller)'!U754)</f>
        <v/>
      </c>
      <c r="K754" s="17" t="str">
        <f t="shared" si="3"/>
        <v/>
      </c>
      <c r="L754" t="str">
        <f t="shared" si="2"/>
        <v/>
      </c>
      <c r="M754" s="14" t="str">
        <f>IF(A754="","",'1) Import fichier Remi (coller)'!S754)</f>
        <v/>
      </c>
      <c r="N754" s="17" t="str">
        <f>IF($A754="","",IF(OR($A754="NCV",$A754="NC15"),-'1) Import fichier Remi (coller)'!R754,'1) Import fichier Remi (coller)'!R754))</f>
        <v/>
      </c>
      <c r="O754" s="17" t="str">
        <f>IF($A754="","",IF(OR($A754="NCV",$A754="NC15"),-'1) Import fichier Remi (coller)'!T754,'1) Import fichier Remi (coller)'!T754))</f>
        <v/>
      </c>
      <c r="R754" t="str">
        <f>IF($A754="","",IF(ISERROR(VLOOKUP(LEFT('1) Import fichier Remi (coller)'!$A754,9),'Concordance client liv et fact'!$A:$H,8,FALSE))=TRUE,VLOOKUP(LEFT('1) Import fichier Remi (coller)'!$A754,9)+0,'Clients R2'!$A:$CY,2,FALSE),VLOOKUP(VLOOKUP(LEFT('1) Import fichier Remi (coller)'!$A754,9),'Concordance client liv et fact'!$A:$H,7,FALSE)+0,'Clients R2'!$A:$CY,2,FALSE)))</f>
        <v/>
      </c>
      <c r="S754" t="str">
        <f>IF($A754="","",PROPER(IF(ISERROR(VLOOKUP(LEFT('1) Import fichier Remi (coller)'!$A754,9),'Concordance client liv et fact'!$A:$H,8,FALSE))=TRUE,VLOOKUP(LEFT('1) Import fichier Remi (coller)'!$A754,9)+0,'Clients R2'!$A:$CY,27,FALSE),VLOOKUP(VLOOKUP(LEFT('1) Import fichier Remi (coller)'!$A754,9),'Concordance client liv et fact'!$A:$H,7,FALSE)+0,'Clients R2'!$A:$CY,27,FALSE))))</f>
        <v/>
      </c>
      <c r="T754" t="str">
        <f>IF($A754="","",LEFT(UPPER(IF(ISERROR(VLOOKUP(LEFT('1) Import fichier Remi (coller)'!$A754,9),'Concordance client liv et fact'!$A:$H,8,FALSE))=TRUE,VLOOKUP(LEFT('1) Import fichier Remi (coller)'!$A754,9)+0,'Clients R2'!$A:$CY,28,FALSE),VLOOKUP(VLOOKUP(LEFT('1) Import fichier Remi (coller)'!$A754,9),'Concordance client liv et fact'!$A:$H,7,FALSE)+0,'Clients R2'!$A:$CY,28,FALSE))),2)&amp;UPPER(IF(ISERROR(VLOOKUP(LEFT('1) Import fichier Remi (coller)'!$A754,9),'Concordance client liv et fact'!$A:$H,8,FALSE))=TRUE,VLOOKUP(LEFT('1) Import fichier Remi (coller)'!$A754,9)+0,'Clients R2'!$A:$CY,29,FALSE),VLOOKUP(VLOOKUP(LEFT('1) Import fichier Remi (coller)'!$A754,9),'Concordance client liv et fact'!$A:$H,7,FALSE)+0,'Clients R2'!$A:$CY,29,FALSE))))</f>
        <v/>
      </c>
      <c r="U754" t="str">
        <f>IF($A754="","",PROPER(IF(ISERROR(VLOOKUP(LEFT('1) Import fichier Remi (coller)'!$A754,9),'Concordance client liv et fact'!$A:$H,8,FALSE))=TRUE,VLOOKUP(LEFT('1) Import fichier Remi (coller)'!$A754,9)+0,'Clients R2'!$A:$CY,30,FALSE),VLOOKUP(VLOOKUP(LEFT('1) Import fichier Remi (coller)'!$A754,9),'Concordance client liv et fact'!$A:$H,7,FALSE)+0,'Clients R2'!$A:$CY,30,FALSE))))</f>
        <v/>
      </c>
      <c r="V754" t="str">
        <f>IF($A754="","",LEFT(UPPER(IF(ISERROR(VLOOKUP(LEFT('1) Import fichier Remi (coller)'!$A754,9),'Concordance client liv et fact'!$A:$H,8,FALSE))=TRUE,IF(VLOOKUP(LEFT('1) Import fichier Remi (coller)'!$A754,9)+0,'Clients R2'!$A:$CY,22,FALSE)=4,"NA",VLOOKUP(LEFT('1) Import fichier Remi (coller)'!$A754,9)+0,'Clients R2'!$A:$CY,3,FALSE)),IF(VLOOKUP(VLOOKUP(LEFT('1) Import fichier Remi (coller)'!$A754,9),'Concordance client liv et fact'!$A:$H,7,FALSE)+0,'Clients R2'!$A:$CY,22,FALSE)=4,"NA",VLOOKUP(VLOOKUP(LEFT('1) Import fichier Remi (coller)'!$A754,9),'Concordance client liv et fact'!$A:$H,7,FALSE)+0,'Clients R2'!$A:$CY,3,FALSE)))),2))</f>
        <v/>
      </c>
      <c r="W754" s="27"/>
      <c r="X754" s="27"/>
      <c r="Y754" t="str">
        <f>IF(A754="","",VLOOKUP(A754,'Libellés PDF'!$A$2:$B$5,2,FALSE)&amp;F754&amp;".PDF")</f>
        <v/>
      </c>
      <c r="Z754" t="str">
        <f>IF(A754="","",IF(OR(H754="705099999",H754="705001002"),VLOOKUP('1) Import fichier Remi (coller)'!J754,'Analytique personnel'!$A:$B,2,FALSE),""))</f>
        <v/>
      </c>
      <c r="AA754" t="str">
        <f>IF($A754="VE11","",IF(LEFT($H754,4)="7050","",IF('1) Import fichier Remi (coller)'!M754="","",'1) Import fichier Remi (coller)'!M754)))</f>
        <v/>
      </c>
      <c r="AB754" t="str">
        <f>IF($A754="VE11","",IF(LEFT($H754,4)="7050","",IF('1) Import fichier Remi (coller)'!N754="","",'1) Import fichier Remi (coller)'!N754)))</f>
        <v/>
      </c>
      <c r="AC754" t="str">
        <f>IF(A754="","",VLOOKUP(LEFT('1) Import fichier Remi (coller)'!A754,9)+0,'Concordance Client R2 BOB'!$B:$C,2,FALSE))</f>
        <v/>
      </c>
    </row>
    <row r="755" spans="1:29" ht="18.75" customHeight="1" x14ac:dyDescent="0.25">
      <c r="A755" t="str">
        <f>IF('1) Import fichier Remi (coller)'!D755="","",'1) Import fichier Remi (coller)'!D755)</f>
        <v/>
      </c>
      <c r="B755" t="str">
        <f>IF(A755="","",YEAR('1) Import fichier Remi (coller)'!F755))</f>
        <v/>
      </c>
      <c r="C755" t="str">
        <f>IF(A755="","",MONTH('1) Import fichier Remi (coller)'!F755))</f>
        <v/>
      </c>
      <c r="D755" s="1" t="str">
        <f>IF(A755="","",'1) Import fichier Remi (coller)'!F755)</f>
        <v/>
      </c>
      <c r="E755" s="1" t="str">
        <f>IF(A755="","",'1) Import fichier Remi (coller)'!G755)</f>
        <v/>
      </c>
      <c r="F755" t="str">
        <f>IF(A755="","",'1) Import fichier Remi (coller)'!E755)</f>
        <v/>
      </c>
      <c r="G755" t="str">
        <f>IF(A755="","",IF(ISERROR(VLOOKUP(LEFT('1) Import fichier Remi (coller)'!A755,9),'Concordance client liv et fact'!$A:$H,8,FALSE))=TRUE,'1) Import fichier Remi (coller)'!B755,VLOOKUP(LEFT('1) Import fichier Remi (coller)'!A755,9),'Concordance client liv et fact'!$A:$H,8,FALSE)))</f>
        <v/>
      </c>
      <c r="H755" t="str">
        <f>IF(A755="","",IF(ISERROR(VLOOKUP('1) Import fichier Remi (coller)'!K755&amp;" - "&amp;'1) Import fichier Remi (coller)'!L755,'Spécifique comptes'!$A:$G,1,FALSE))=TRUE,'1) Import fichier Remi (coller)'!V755,VLOOKUP('1) Import fichier Remi (coller)'!K755&amp;" - "&amp;'1) Import fichier Remi (coller)'!L755,'Spécifique comptes'!$A:$G,IF(LEFT('2) BOB compta (completer-forcer'!F755,2)="11",4,IF(LEFT('2) BOB compta (completer-forcer'!F755,2)="12",5,IF(LEFT('2) BOB compta (completer-forcer'!F755,2)="13",6,IF(LEFT('2) BOB compta (completer-forcer'!F755,2)="15",7,"Erreur Compte")))),FALSE)))</f>
        <v/>
      </c>
      <c r="I755" s="26" t="str">
        <f>IF(A755="","",IF(H755="70100000",'1) Import fichier Remi (coller)'!J755,'1) Import fichier Remi (coller)'!U755))</f>
        <v/>
      </c>
      <c r="J755" s="26" t="str">
        <f>IF(A755="","",'1) Import fichier Remi (coller)'!U755)</f>
        <v/>
      </c>
      <c r="K755" s="17" t="str">
        <f t="shared" si="3"/>
        <v/>
      </c>
      <c r="L755" t="str">
        <f t="shared" si="2"/>
        <v/>
      </c>
      <c r="M755" s="14" t="str">
        <f>IF(A755="","",'1) Import fichier Remi (coller)'!S755)</f>
        <v/>
      </c>
      <c r="N755" s="17" t="str">
        <f>IF($A755="","",IF(OR($A755="NCV",$A755="NC15"),-'1) Import fichier Remi (coller)'!R755,'1) Import fichier Remi (coller)'!R755))</f>
        <v/>
      </c>
      <c r="O755" s="17" t="str">
        <f>IF($A755="","",IF(OR($A755="NCV",$A755="NC15"),-'1) Import fichier Remi (coller)'!T755,'1) Import fichier Remi (coller)'!T755))</f>
        <v/>
      </c>
      <c r="R755" t="str">
        <f>IF($A755="","",IF(ISERROR(VLOOKUP(LEFT('1) Import fichier Remi (coller)'!$A755,9),'Concordance client liv et fact'!$A:$H,8,FALSE))=TRUE,VLOOKUP(LEFT('1) Import fichier Remi (coller)'!$A755,9)+0,'Clients R2'!$A:$CY,2,FALSE),VLOOKUP(VLOOKUP(LEFT('1) Import fichier Remi (coller)'!$A755,9),'Concordance client liv et fact'!$A:$H,7,FALSE)+0,'Clients R2'!$A:$CY,2,FALSE)))</f>
        <v/>
      </c>
      <c r="S755" t="str">
        <f>IF($A755="","",PROPER(IF(ISERROR(VLOOKUP(LEFT('1) Import fichier Remi (coller)'!$A755,9),'Concordance client liv et fact'!$A:$H,8,FALSE))=TRUE,VLOOKUP(LEFT('1) Import fichier Remi (coller)'!$A755,9)+0,'Clients R2'!$A:$CY,27,FALSE),VLOOKUP(VLOOKUP(LEFT('1) Import fichier Remi (coller)'!$A755,9),'Concordance client liv et fact'!$A:$H,7,FALSE)+0,'Clients R2'!$A:$CY,27,FALSE))))</f>
        <v/>
      </c>
      <c r="T755" t="str">
        <f>IF($A755="","",LEFT(UPPER(IF(ISERROR(VLOOKUP(LEFT('1) Import fichier Remi (coller)'!$A755,9),'Concordance client liv et fact'!$A:$H,8,FALSE))=TRUE,VLOOKUP(LEFT('1) Import fichier Remi (coller)'!$A755,9)+0,'Clients R2'!$A:$CY,28,FALSE),VLOOKUP(VLOOKUP(LEFT('1) Import fichier Remi (coller)'!$A755,9),'Concordance client liv et fact'!$A:$H,7,FALSE)+0,'Clients R2'!$A:$CY,28,FALSE))),2)&amp;UPPER(IF(ISERROR(VLOOKUP(LEFT('1) Import fichier Remi (coller)'!$A755,9),'Concordance client liv et fact'!$A:$H,8,FALSE))=TRUE,VLOOKUP(LEFT('1) Import fichier Remi (coller)'!$A755,9)+0,'Clients R2'!$A:$CY,29,FALSE),VLOOKUP(VLOOKUP(LEFT('1) Import fichier Remi (coller)'!$A755,9),'Concordance client liv et fact'!$A:$H,7,FALSE)+0,'Clients R2'!$A:$CY,29,FALSE))))</f>
        <v/>
      </c>
      <c r="U755" t="str">
        <f>IF($A755="","",PROPER(IF(ISERROR(VLOOKUP(LEFT('1) Import fichier Remi (coller)'!$A755,9),'Concordance client liv et fact'!$A:$H,8,FALSE))=TRUE,VLOOKUP(LEFT('1) Import fichier Remi (coller)'!$A755,9)+0,'Clients R2'!$A:$CY,30,FALSE),VLOOKUP(VLOOKUP(LEFT('1) Import fichier Remi (coller)'!$A755,9),'Concordance client liv et fact'!$A:$H,7,FALSE)+0,'Clients R2'!$A:$CY,30,FALSE))))</f>
        <v/>
      </c>
      <c r="V755" t="str">
        <f>IF($A755="","",LEFT(UPPER(IF(ISERROR(VLOOKUP(LEFT('1) Import fichier Remi (coller)'!$A755,9),'Concordance client liv et fact'!$A:$H,8,FALSE))=TRUE,IF(VLOOKUP(LEFT('1) Import fichier Remi (coller)'!$A755,9)+0,'Clients R2'!$A:$CY,22,FALSE)=4,"NA",VLOOKUP(LEFT('1) Import fichier Remi (coller)'!$A755,9)+0,'Clients R2'!$A:$CY,3,FALSE)),IF(VLOOKUP(VLOOKUP(LEFT('1) Import fichier Remi (coller)'!$A755,9),'Concordance client liv et fact'!$A:$H,7,FALSE)+0,'Clients R2'!$A:$CY,22,FALSE)=4,"NA",VLOOKUP(VLOOKUP(LEFT('1) Import fichier Remi (coller)'!$A755,9),'Concordance client liv et fact'!$A:$H,7,FALSE)+0,'Clients R2'!$A:$CY,3,FALSE)))),2))</f>
        <v/>
      </c>
      <c r="W755" s="27"/>
      <c r="X755" s="27"/>
      <c r="Y755" t="str">
        <f>IF(A755="","",VLOOKUP(A755,'Libellés PDF'!$A$2:$B$5,2,FALSE)&amp;F755&amp;".PDF")</f>
        <v/>
      </c>
      <c r="Z755" t="str">
        <f>IF(A755="","",IF(OR(H755="705099999",H755="705001002"),VLOOKUP('1) Import fichier Remi (coller)'!J755,'Analytique personnel'!$A:$B,2,FALSE),""))</f>
        <v/>
      </c>
      <c r="AA755" t="str">
        <f>IF($A755="VE11","",IF(LEFT($H755,4)="7050","",IF('1) Import fichier Remi (coller)'!M755="","",'1) Import fichier Remi (coller)'!M755)))</f>
        <v/>
      </c>
      <c r="AB755" t="str">
        <f>IF($A755="VE11","",IF(LEFT($H755,4)="7050","",IF('1) Import fichier Remi (coller)'!N755="","",'1) Import fichier Remi (coller)'!N755)))</f>
        <v/>
      </c>
      <c r="AC755" t="str">
        <f>IF(A755="","",VLOOKUP(LEFT('1) Import fichier Remi (coller)'!A755,9)+0,'Concordance Client R2 BOB'!$B:$C,2,FALSE))</f>
        <v/>
      </c>
    </row>
    <row r="756" spans="1:29" ht="18.75" customHeight="1" x14ac:dyDescent="0.25">
      <c r="A756" t="str">
        <f>IF('1) Import fichier Remi (coller)'!D756="","",'1) Import fichier Remi (coller)'!D756)</f>
        <v/>
      </c>
      <c r="B756" t="str">
        <f>IF(A756="","",YEAR('1) Import fichier Remi (coller)'!F756))</f>
        <v/>
      </c>
      <c r="C756" t="str">
        <f>IF(A756="","",MONTH('1) Import fichier Remi (coller)'!F756))</f>
        <v/>
      </c>
      <c r="D756" s="1" t="str">
        <f>IF(A756="","",'1) Import fichier Remi (coller)'!F756)</f>
        <v/>
      </c>
      <c r="E756" s="1" t="str">
        <f>IF(A756="","",'1) Import fichier Remi (coller)'!G756)</f>
        <v/>
      </c>
      <c r="F756" t="str">
        <f>IF(A756="","",'1) Import fichier Remi (coller)'!E756)</f>
        <v/>
      </c>
      <c r="G756" t="str">
        <f>IF(A756="","",IF(ISERROR(VLOOKUP(LEFT('1) Import fichier Remi (coller)'!A756,9),'Concordance client liv et fact'!$A:$H,8,FALSE))=TRUE,'1) Import fichier Remi (coller)'!B756,VLOOKUP(LEFT('1) Import fichier Remi (coller)'!A756,9),'Concordance client liv et fact'!$A:$H,8,FALSE)))</f>
        <v/>
      </c>
      <c r="H756" t="str">
        <f>IF(A756="","",IF(ISERROR(VLOOKUP('1) Import fichier Remi (coller)'!K756&amp;" - "&amp;'1) Import fichier Remi (coller)'!L756,'Spécifique comptes'!$A:$G,1,FALSE))=TRUE,'1) Import fichier Remi (coller)'!V756,VLOOKUP('1) Import fichier Remi (coller)'!K756&amp;" - "&amp;'1) Import fichier Remi (coller)'!L756,'Spécifique comptes'!$A:$G,IF(LEFT('2) BOB compta (completer-forcer'!F756,2)="11",4,IF(LEFT('2) BOB compta (completer-forcer'!F756,2)="12",5,IF(LEFT('2) BOB compta (completer-forcer'!F756,2)="13",6,IF(LEFT('2) BOB compta (completer-forcer'!F756,2)="15",7,"Erreur Compte")))),FALSE)))</f>
        <v/>
      </c>
      <c r="I756" s="26" t="str">
        <f>IF(A756="","",IF(H756="70100000",'1) Import fichier Remi (coller)'!J756,'1) Import fichier Remi (coller)'!U756))</f>
        <v/>
      </c>
      <c r="J756" s="26" t="str">
        <f>IF(A756="","",'1) Import fichier Remi (coller)'!U756)</f>
        <v/>
      </c>
      <c r="K756" s="17" t="str">
        <f t="shared" si="3"/>
        <v/>
      </c>
      <c r="L756" t="str">
        <f t="shared" si="2"/>
        <v/>
      </c>
      <c r="M756" s="14" t="str">
        <f>IF(A756="","",'1) Import fichier Remi (coller)'!S756)</f>
        <v/>
      </c>
      <c r="N756" s="17" t="str">
        <f>IF($A756="","",IF(OR($A756="NCV",$A756="NC15"),-'1) Import fichier Remi (coller)'!R756,'1) Import fichier Remi (coller)'!R756))</f>
        <v/>
      </c>
      <c r="O756" s="17" t="str">
        <f>IF($A756="","",IF(OR($A756="NCV",$A756="NC15"),-'1) Import fichier Remi (coller)'!T756,'1) Import fichier Remi (coller)'!T756))</f>
        <v/>
      </c>
      <c r="R756" t="str">
        <f>IF($A756="","",IF(ISERROR(VLOOKUP(LEFT('1) Import fichier Remi (coller)'!$A756,9),'Concordance client liv et fact'!$A:$H,8,FALSE))=TRUE,VLOOKUP(LEFT('1) Import fichier Remi (coller)'!$A756,9)+0,'Clients R2'!$A:$CY,2,FALSE),VLOOKUP(VLOOKUP(LEFT('1) Import fichier Remi (coller)'!$A756,9),'Concordance client liv et fact'!$A:$H,7,FALSE)+0,'Clients R2'!$A:$CY,2,FALSE)))</f>
        <v/>
      </c>
      <c r="S756" t="str">
        <f>IF($A756="","",PROPER(IF(ISERROR(VLOOKUP(LEFT('1) Import fichier Remi (coller)'!$A756,9),'Concordance client liv et fact'!$A:$H,8,FALSE))=TRUE,VLOOKUP(LEFT('1) Import fichier Remi (coller)'!$A756,9)+0,'Clients R2'!$A:$CY,27,FALSE),VLOOKUP(VLOOKUP(LEFT('1) Import fichier Remi (coller)'!$A756,9),'Concordance client liv et fact'!$A:$H,7,FALSE)+0,'Clients R2'!$A:$CY,27,FALSE))))</f>
        <v/>
      </c>
      <c r="T756" t="str">
        <f>IF($A756="","",LEFT(UPPER(IF(ISERROR(VLOOKUP(LEFT('1) Import fichier Remi (coller)'!$A756,9),'Concordance client liv et fact'!$A:$H,8,FALSE))=TRUE,VLOOKUP(LEFT('1) Import fichier Remi (coller)'!$A756,9)+0,'Clients R2'!$A:$CY,28,FALSE),VLOOKUP(VLOOKUP(LEFT('1) Import fichier Remi (coller)'!$A756,9),'Concordance client liv et fact'!$A:$H,7,FALSE)+0,'Clients R2'!$A:$CY,28,FALSE))),2)&amp;UPPER(IF(ISERROR(VLOOKUP(LEFT('1) Import fichier Remi (coller)'!$A756,9),'Concordance client liv et fact'!$A:$H,8,FALSE))=TRUE,VLOOKUP(LEFT('1) Import fichier Remi (coller)'!$A756,9)+0,'Clients R2'!$A:$CY,29,FALSE),VLOOKUP(VLOOKUP(LEFT('1) Import fichier Remi (coller)'!$A756,9),'Concordance client liv et fact'!$A:$H,7,FALSE)+0,'Clients R2'!$A:$CY,29,FALSE))))</f>
        <v/>
      </c>
      <c r="U756" t="str">
        <f>IF($A756="","",PROPER(IF(ISERROR(VLOOKUP(LEFT('1) Import fichier Remi (coller)'!$A756,9),'Concordance client liv et fact'!$A:$H,8,FALSE))=TRUE,VLOOKUP(LEFT('1) Import fichier Remi (coller)'!$A756,9)+0,'Clients R2'!$A:$CY,30,FALSE),VLOOKUP(VLOOKUP(LEFT('1) Import fichier Remi (coller)'!$A756,9),'Concordance client liv et fact'!$A:$H,7,FALSE)+0,'Clients R2'!$A:$CY,30,FALSE))))</f>
        <v/>
      </c>
      <c r="V756" t="str">
        <f>IF($A756="","",LEFT(UPPER(IF(ISERROR(VLOOKUP(LEFT('1) Import fichier Remi (coller)'!$A756,9),'Concordance client liv et fact'!$A:$H,8,FALSE))=TRUE,IF(VLOOKUP(LEFT('1) Import fichier Remi (coller)'!$A756,9)+0,'Clients R2'!$A:$CY,22,FALSE)=4,"NA",VLOOKUP(LEFT('1) Import fichier Remi (coller)'!$A756,9)+0,'Clients R2'!$A:$CY,3,FALSE)),IF(VLOOKUP(VLOOKUP(LEFT('1) Import fichier Remi (coller)'!$A756,9),'Concordance client liv et fact'!$A:$H,7,FALSE)+0,'Clients R2'!$A:$CY,22,FALSE)=4,"NA",VLOOKUP(VLOOKUP(LEFT('1) Import fichier Remi (coller)'!$A756,9),'Concordance client liv et fact'!$A:$H,7,FALSE)+0,'Clients R2'!$A:$CY,3,FALSE)))),2))</f>
        <v/>
      </c>
      <c r="W756" s="27"/>
      <c r="X756" s="27"/>
      <c r="Y756" t="str">
        <f>IF(A756="","",VLOOKUP(A756,'Libellés PDF'!$A$2:$B$5,2,FALSE)&amp;F756&amp;".PDF")</f>
        <v/>
      </c>
      <c r="Z756" t="str">
        <f>IF(A756="","",IF(OR(H756="705099999",H756="705001002"),VLOOKUP('1) Import fichier Remi (coller)'!J756,'Analytique personnel'!$A:$B,2,FALSE),""))</f>
        <v/>
      </c>
      <c r="AA756" t="str">
        <f>IF($A756="VE11","",IF(LEFT($H756,4)="7050","",IF('1) Import fichier Remi (coller)'!M756="","",'1) Import fichier Remi (coller)'!M756)))</f>
        <v/>
      </c>
      <c r="AB756" t="str">
        <f>IF($A756="VE11","",IF(LEFT($H756,4)="7050","",IF('1) Import fichier Remi (coller)'!N756="","",'1) Import fichier Remi (coller)'!N756)))</f>
        <v/>
      </c>
      <c r="AC756" t="str">
        <f>IF(A756="","",VLOOKUP(LEFT('1) Import fichier Remi (coller)'!A756,9)+0,'Concordance Client R2 BOB'!$B:$C,2,FALSE))</f>
        <v/>
      </c>
    </row>
    <row r="757" spans="1:29" ht="18.75" customHeight="1" x14ac:dyDescent="0.25">
      <c r="A757" t="str">
        <f>IF('1) Import fichier Remi (coller)'!D757="","",'1) Import fichier Remi (coller)'!D757)</f>
        <v/>
      </c>
      <c r="B757" t="str">
        <f>IF(A757="","",YEAR('1) Import fichier Remi (coller)'!F757))</f>
        <v/>
      </c>
      <c r="C757" t="str">
        <f>IF(A757="","",MONTH('1) Import fichier Remi (coller)'!F757))</f>
        <v/>
      </c>
      <c r="D757" s="1" t="str">
        <f>IF(A757="","",'1) Import fichier Remi (coller)'!F757)</f>
        <v/>
      </c>
      <c r="E757" s="1" t="str">
        <f>IF(A757="","",'1) Import fichier Remi (coller)'!G757)</f>
        <v/>
      </c>
      <c r="F757" t="str">
        <f>IF(A757="","",'1) Import fichier Remi (coller)'!E757)</f>
        <v/>
      </c>
      <c r="G757" t="str">
        <f>IF(A757="","",IF(ISERROR(VLOOKUP(LEFT('1) Import fichier Remi (coller)'!A757,9),'Concordance client liv et fact'!$A:$H,8,FALSE))=TRUE,'1) Import fichier Remi (coller)'!B757,VLOOKUP(LEFT('1) Import fichier Remi (coller)'!A757,9),'Concordance client liv et fact'!$A:$H,8,FALSE)))</f>
        <v/>
      </c>
      <c r="H757" t="str">
        <f>IF(A757="","",IF(ISERROR(VLOOKUP('1) Import fichier Remi (coller)'!K757&amp;" - "&amp;'1) Import fichier Remi (coller)'!L757,'Spécifique comptes'!$A:$G,1,FALSE))=TRUE,'1) Import fichier Remi (coller)'!V757,VLOOKUP('1) Import fichier Remi (coller)'!K757&amp;" - "&amp;'1) Import fichier Remi (coller)'!L757,'Spécifique comptes'!$A:$G,IF(LEFT('2) BOB compta (completer-forcer'!F757,2)="11",4,IF(LEFT('2) BOB compta (completer-forcer'!F757,2)="12",5,IF(LEFT('2) BOB compta (completer-forcer'!F757,2)="13",6,IF(LEFT('2) BOB compta (completer-forcer'!F757,2)="15",7,"Erreur Compte")))),FALSE)))</f>
        <v/>
      </c>
      <c r="I757" s="26" t="str">
        <f>IF(A757="","",IF(H757="70100000",'1) Import fichier Remi (coller)'!J757,'1) Import fichier Remi (coller)'!U757))</f>
        <v/>
      </c>
      <c r="J757" s="26" t="str">
        <f>IF(A757="","",'1) Import fichier Remi (coller)'!U757)</f>
        <v/>
      </c>
      <c r="K757" s="17" t="str">
        <f t="shared" si="3"/>
        <v/>
      </c>
      <c r="L757" t="str">
        <f t="shared" si="2"/>
        <v/>
      </c>
      <c r="M757" s="14" t="str">
        <f>IF(A757="","",'1) Import fichier Remi (coller)'!S757)</f>
        <v/>
      </c>
      <c r="N757" s="17" t="str">
        <f>IF($A757="","",IF(OR($A757="NCV",$A757="NC15"),-'1) Import fichier Remi (coller)'!R757,'1) Import fichier Remi (coller)'!R757))</f>
        <v/>
      </c>
      <c r="O757" s="17" t="str">
        <f>IF($A757="","",IF(OR($A757="NCV",$A757="NC15"),-'1) Import fichier Remi (coller)'!T757,'1) Import fichier Remi (coller)'!T757))</f>
        <v/>
      </c>
      <c r="R757" t="str">
        <f>IF($A757="","",IF(ISERROR(VLOOKUP(LEFT('1) Import fichier Remi (coller)'!$A757,9),'Concordance client liv et fact'!$A:$H,8,FALSE))=TRUE,VLOOKUP(LEFT('1) Import fichier Remi (coller)'!$A757,9)+0,'Clients R2'!$A:$CY,2,FALSE),VLOOKUP(VLOOKUP(LEFT('1) Import fichier Remi (coller)'!$A757,9),'Concordance client liv et fact'!$A:$H,7,FALSE)+0,'Clients R2'!$A:$CY,2,FALSE)))</f>
        <v/>
      </c>
      <c r="S757" t="str">
        <f>IF($A757="","",PROPER(IF(ISERROR(VLOOKUP(LEFT('1) Import fichier Remi (coller)'!$A757,9),'Concordance client liv et fact'!$A:$H,8,FALSE))=TRUE,VLOOKUP(LEFT('1) Import fichier Remi (coller)'!$A757,9)+0,'Clients R2'!$A:$CY,27,FALSE),VLOOKUP(VLOOKUP(LEFT('1) Import fichier Remi (coller)'!$A757,9),'Concordance client liv et fact'!$A:$H,7,FALSE)+0,'Clients R2'!$A:$CY,27,FALSE))))</f>
        <v/>
      </c>
      <c r="T757" t="str">
        <f>IF($A757="","",LEFT(UPPER(IF(ISERROR(VLOOKUP(LEFT('1) Import fichier Remi (coller)'!$A757,9),'Concordance client liv et fact'!$A:$H,8,FALSE))=TRUE,VLOOKUP(LEFT('1) Import fichier Remi (coller)'!$A757,9)+0,'Clients R2'!$A:$CY,28,FALSE),VLOOKUP(VLOOKUP(LEFT('1) Import fichier Remi (coller)'!$A757,9),'Concordance client liv et fact'!$A:$H,7,FALSE)+0,'Clients R2'!$A:$CY,28,FALSE))),2)&amp;UPPER(IF(ISERROR(VLOOKUP(LEFT('1) Import fichier Remi (coller)'!$A757,9),'Concordance client liv et fact'!$A:$H,8,FALSE))=TRUE,VLOOKUP(LEFT('1) Import fichier Remi (coller)'!$A757,9)+0,'Clients R2'!$A:$CY,29,FALSE),VLOOKUP(VLOOKUP(LEFT('1) Import fichier Remi (coller)'!$A757,9),'Concordance client liv et fact'!$A:$H,7,FALSE)+0,'Clients R2'!$A:$CY,29,FALSE))))</f>
        <v/>
      </c>
      <c r="U757" t="str">
        <f>IF($A757="","",PROPER(IF(ISERROR(VLOOKUP(LEFT('1) Import fichier Remi (coller)'!$A757,9),'Concordance client liv et fact'!$A:$H,8,FALSE))=TRUE,VLOOKUP(LEFT('1) Import fichier Remi (coller)'!$A757,9)+0,'Clients R2'!$A:$CY,30,FALSE),VLOOKUP(VLOOKUP(LEFT('1) Import fichier Remi (coller)'!$A757,9),'Concordance client liv et fact'!$A:$H,7,FALSE)+0,'Clients R2'!$A:$CY,30,FALSE))))</f>
        <v/>
      </c>
      <c r="V757" t="str">
        <f>IF($A757="","",LEFT(UPPER(IF(ISERROR(VLOOKUP(LEFT('1) Import fichier Remi (coller)'!$A757,9),'Concordance client liv et fact'!$A:$H,8,FALSE))=TRUE,IF(VLOOKUP(LEFT('1) Import fichier Remi (coller)'!$A757,9)+0,'Clients R2'!$A:$CY,22,FALSE)=4,"NA",VLOOKUP(LEFT('1) Import fichier Remi (coller)'!$A757,9)+0,'Clients R2'!$A:$CY,3,FALSE)),IF(VLOOKUP(VLOOKUP(LEFT('1) Import fichier Remi (coller)'!$A757,9),'Concordance client liv et fact'!$A:$H,7,FALSE)+0,'Clients R2'!$A:$CY,22,FALSE)=4,"NA",VLOOKUP(VLOOKUP(LEFT('1) Import fichier Remi (coller)'!$A757,9),'Concordance client liv et fact'!$A:$H,7,FALSE)+0,'Clients R2'!$A:$CY,3,FALSE)))),2))</f>
        <v/>
      </c>
      <c r="W757" s="27"/>
      <c r="X757" s="27"/>
      <c r="Y757" t="str">
        <f>IF(A757="","",VLOOKUP(A757,'Libellés PDF'!$A$2:$B$5,2,FALSE)&amp;F757&amp;".PDF")</f>
        <v/>
      </c>
      <c r="Z757" t="str">
        <f>IF(A757="","",IF(OR(H757="705099999",H757="705001002"),VLOOKUP('1) Import fichier Remi (coller)'!J757,'Analytique personnel'!$A:$B,2,FALSE),""))</f>
        <v/>
      </c>
      <c r="AA757" t="str">
        <f>IF($A757="VE11","",IF(LEFT($H757,4)="7050","",IF('1) Import fichier Remi (coller)'!M757="","",'1) Import fichier Remi (coller)'!M757)))</f>
        <v/>
      </c>
      <c r="AB757" t="str">
        <f>IF($A757="VE11","",IF(LEFT($H757,4)="7050","",IF('1) Import fichier Remi (coller)'!N757="","",'1) Import fichier Remi (coller)'!N757)))</f>
        <v/>
      </c>
      <c r="AC757" t="str">
        <f>IF(A757="","",VLOOKUP(LEFT('1) Import fichier Remi (coller)'!A757,9)+0,'Concordance Client R2 BOB'!$B:$C,2,FALSE))</f>
        <v/>
      </c>
    </row>
    <row r="758" spans="1:29" ht="18.75" customHeight="1" x14ac:dyDescent="0.25">
      <c r="A758" t="str">
        <f>IF('1) Import fichier Remi (coller)'!D758="","",'1) Import fichier Remi (coller)'!D758)</f>
        <v/>
      </c>
      <c r="B758" t="str">
        <f>IF(A758="","",YEAR('1) Import fichier Remi (coller)'!F758))</f>
        <v/>
      </c>
      <c r="C758" t="str">
        <f>IF(A758="","",MONTH('1) Import fichier Remi (coller)'!F758))</f>
        <v/>
      </c>
      <c r="D758" s="1" t="str">
        <f>IF(A758="","",'1) Import fichier Remi (coller)'!F758)</f>
        <v/>
      </c>
      <c r="E758" s="1" t="str">
        <f>IF(A758="","",'1) Import fichier Remi (coller)'!G758)</f>
        <v/>
      </c>
      <c r="F758" t="str">
        <f>IF(A758="","",'1) Import fichier Remi (coller)'!E758)</f>
        <v/>
      </c>
      <c r="G758" t="str">
        <f>IF(A758="","",IF(ISERROR(VLOOKUP(LEFT('1) Import fichier Remi (coller)'!A758,9),'Concordance client liv et fact'!$A:$H,8,FALSE))=TRUE,'1) Import fichier Remi (coller)'!B758,VLOOKUP(LEFT('1) Import fichier Remi (coller)'!A758,9),'Concordance client liv et fact'!$A:$H,8,FALSE)))</f>
        <v/>
      </c>
      <c r="H758" t="str">
        <f>IF(A758="","",IF(ISERROR(VLOOKUP('1) Import fichier Remi (coller)'!K758&amp;" - "&amp;'1) Import fichier Remi (coller)'!L758,'Spécifique comptes'!$A:$G,1,FALSE))=TRUE,'1) Import fichier Remi (coller)'!V758,VLOOKUP('1) Import fichier Remi (coller)'!K758&amp;" - "&amp;'1) Import fichier Remi (coller)'!L758,'Spécifique comptes'!$A:$G,IF(LEFT('2) BOB compta (completer-forcer'!F758,2)="11",4,IF(LEFT('2) BOB compta (completer-forcer'!F758,2)="12",5,IF(LEFT('2) BOB compta (completer-forcer'!F758,2)="13",6,IF(LEFT('2) BOB compta (completer-forcer'!F758,2)="15",7,"Erreur Compte")))),FALSE)))</f>
        <v/>
      </c>
      <c r="I758" s="26" t="str">
        <f>IF(A758="","",IF(H758="70100000",'1) Import fichier Remi (coller)'!J758,'1) Import fichier Remi (coller)'!U758))</f>
        <v/>
      </c>
      <c r="J758" s="26" t="str">
        <f>IF(A758="","",'1) Import fichier Remi (coller)'!U758)</f>
        <v/>
      </c>
      <c r="K758" s="17" t="str">
        <f t="shared" si="3"/>
        <v/>
      </c>
      <c r="L758" t="str">
        <f t="shared" si="2"/>
        <v/>
      </c>
      <c r="M758" s="14" t="str">
        <f>IF(A758="","",'1) Import fichier Remi (coller)'!S758)</f>
        <v/>
      </c>
      <c r="N758" s="17" t="str">
        <f>IF($A758="","",IF(OR($A758="NCV",$A758="NC15"),-'1) Import fichier Remi (coller)'!R758,'1) Import fichier Remi (coller)'!R758))</f>
        <v/>
      </c>
      <c r="O758" s="17" t="str">
        <f>IF($A758="","",IF(OR($A758="NCV",$A758="NC15"),-'1) Import fichier Remi (coller)'!T758,'1) Import fichier Remi (coller)'!T758))</f>
        <v/>
      </c>
      <c r="R758" t="str">
        <f>IF($A758="","",IF(ISERROR(VLOOKUP(LEFT('1) Import fichier Remi (coller)'!$A758,9),'Concordance client liv et fact'!$A:$H,8,FALSE))=TRUE,VLOOKUP(LEFT('1) Import fichier Remi (coller)'!$A758,9)+0,'Clients R2'!$A:$CY,2,FALSE),VLOOKUP(VLOOKUP(LEFT('1) Import fichier Remi (coller)'!$A758,9),'Concordance client liv et fact'!$A:$H,7,FALSE)+0,'Clients R2'!$A:$CY,2,FALSE)))</f>
        <v/>
      </c>
      <c r="S758" t="str">
        <f>IF($A758="","",PROPER(IF(ISERROR(VLOOKUP(LEFT('1) Import fichier Remi (coller)'!$A758,9),'Concordance client liv et fact'!$A:$H,8,FALSE))=TRUE,VLOOKUP(LEFT('1) Import fichier Remi (coller)'!$A758,9)+0,'Clients R2'!$A:$CY,27,FALSE),VLOOKUP(VLOOKUP(LEFT('1) Import fichier Remi (coller)'!$A758,9),'Concordance client liv et fact'!$A:$H,7,FALSE)+0,'Clients R2'!$A:$CY,27,FALSE))))</f>
        <v/>
      </c>
      <c r="T758" t="str">
        <f>IF($A758="","",LEFT(UPPER(IF(ISERROR(VLOOKUP(LEFT('1) Import fichier Remi (coller)'!$A758,9),'Concordance client liv et fact'!$A:$H,8,FALSE))=TRUE,VLOOKUP(LEFT('1) Import fichier Remi (coller)'!$A758,9)+0,'Clients R2'!$A:$CY,28,FALSE),VLOOKUP(VLOOKUP(LEFT('1) Import fichier Remi (coller)'!$A758,9),'Concordance client liv et fact'!$A:$H,7,FALSE)+0,'Clients R2'!$A:$CY,28,FALSE))),2)&amp;UPPER(IF(ISERROR(VLOOKUP(LEFT('1) Import fichier Remi (coller)'!$A758,9),'Concordance client liv et fact'!$A:$H,8,FALSE))=TRUE,VLOOKUP(LEFT('1) Import fichier Remi (coller)'!$A758,9)+0,'Clients R2'!$A:$CY,29,FALSE),VLOOKUP(VLOOKUP(LEFT('1) Import fichier Remi (coller)'!$A758,9),'Concordance client liv et fact'!$A:$H,7,FALSE)+0,'Clients R2'!$A:$CY,29,FALSE))))</f>
        <v/>
      </c>
      <c r="U758" t="str">
        <f>IF($A758="","",PROPER(IF(ISERROR(VLOOKUP(LEFT('1) Import fichier Remi (coller)'!$A758,9),'Concordance client liv et fact'!$A:$H,8,FALSE))=TRUE,VLOOKUP(LEFT('1) Import fichier Remi (coller)'!$A758,9)+0,'Clients R2'!$A:$CY,30,FALSE),VLOOKUP(VLOOKUP(LEFT('1) Import fichier Remi (coller)'!$A758,9),'Concordance client liv et fact'!$A:$H,7,FALSE)+0,'Clients R2'!$A:$CY,30,FALSE))))</f>
        <v/>
      </c>
      <c r="V758" t="str">
        <f>IF($A758="","",LEFT(UPPER(IF(ISERROR(VLOOKUP(LEFT('1) Import fichier Remi (coller)'!$A758,9),'Concordance client liv et fact'!$A:$H,8,FALSE))=TRUE,IF(VLOOKUP(LEFT('1) Import fichier Remi (coller)'!$A758,9)+0,'Clients R2'!$A:$CY,22,FALSE)=4,"NA",VLOOKUP(LEFT('1) Import fichier Remi (coller)'!$A758,9)+0,'Clients R2'!$A:$CY,3,FALSE)),IF(VLOOKUP(VLOOKUP(LEFT('1) Import fichier Remi (coller)'!$A758,9),'Concordance client liv et fact'!$A:$H,7,FALSE)+0,'Clients R2'!$A:$CY,22,FALSE)=4,"NA",VLOOKUP(VLOOKUP(LEFT('1) Import fichier Remi (coller)'!$A758,9),'Concordance client liv et fact'!$A:$H,7,FALSE)+0,'Clients R2'!$A:$CY,3,FALSE)))),2))</f>
        <v/>
      </c>
      <c r="W758" s="27"/>
      <c r="X758" s="27"/>
      <c r="Y758" t="str">
        <f>IF(A758="","",VLOOKUP(A758,'Libellés PDF'!$A$2:$B$5,2,FALSE)&amp;F758&amp;".PDF")</f>
        <v/>
      </c>
      <c r="Z758" t="str">
        <f>IF(A758="","",IF(OR(H758="705099999",H758="705001002"),VLOOKUP('1) Import fichier Remi (coller)'!J758,'Analytique personnel'!$A:$B,2,FALSE),""))</f>
        <v/>
      </c>
      <c r="AA758" t="str">
        <f>IF($A758="VE11","",IF(LEFT($H758,4)="7050","",IF('1) Import fichier Remi (coller)'!M758="","",'1) Import fichier Remi (coller)'!M758)))</f>
        <v/>
      </c>
      <c r="AB758" t="str">
        <f>IF($A758="VE11","",IF(LEFT($H758,4)="7050","",IF('1) Import fichier Remi (coller)'!N758="","",'1) Import fichier Remi (coller)'!N758)))</f>
        <v/>
      </c>
      <c r="AC758" t="str">
        <f>IF(A758="","",VLOOKUP(LEFT('1) Import fichier Remi (coller)'!A758,9)+0,'Concordance Client R2 BOB'!$B:$C,2,FALSE))</f>
        <v/>
      </c>
    </row>
    <row r="759" spans="1:29" ht="18.75" customHeight="1" x14ac:dyDescent="0.25">
      <c r="A759" t="str">
        <f>IF('1) Import fichier Remi (coller)'!D759="","",'1) Import fichier Remi (coller)'!D759)</f>
        <v/>
      </c>
      <c r="B759" t="str">
        <f>IF(A759="","",YEAR('1) Import fichier Remi (coller)'!F759))</f>
        <v/>
      </c>
      <c r="C759" t="str">
        <f>IF(A759="","",MONTH('1) Import fichier Remi (coller)'!F759))</f>
        <v/>
      </c>
      <c r="D759" s="1" t="str">
        <f>IF(A759="","",'1) Import fichier Remi (coller)'!F759)</f>
        <v/>
      </c>
      <c r="E759" s="1" t="str">
        <f>IF(A759="","",'1) Import fichier Remi (coller)'!G759)</f>
        <v/>
      </c>
      <c r="F759" t="str">
        <f>IF(A759="","",'1) Import fichier Remi (coller)'!E759)</f>
        <v/>
      </c>
      <c r="G759" t="str">
        <f>IF(A759="","",IF(ISERROR(VLOOKUP(LEFT('1) Import fichier Remi (coller)'!A759,9),'Concordance client liv et fact'!$A:$H,8,FALSE))=TRUE,'1) Import fichier Remi (coller)'!B759,VLOOKUP(LEFT('1) Import fichier Remi (coller)'!A759,9),'Concordance client liv et fact'!$A:$H,8,FALSE)))</f>
        <v/>
      </c>
      <c r="H759" t="str">
        <f>IF(A759="","",IF(ISERROR(VLOOKUP('1) Import fichier Remi (coller)'!K759&amp;" - "&amp;'1) Import fichier Remi (coller)'!L759,'Spécifique comptes'!$A:$G,1,FALSE))=TRUE,'1) Import fichier Remi (coller)'!V759,VLOOKUP('1) Import fichier Remi (coller)'!K759&amp;" - "&amp;'1) Import fichier Remi (coller)'!L759,'Spécifique comptes'!$A:$G,IF(LEFT('2) BOB compta (completer-forcer'!F759,2)="11",4,IF(LEFT('2) BOB compta (completer-forcer'!F759,2)="12",5,IF(LEFT('2) BOB compta (completer-forcer'!F759,2)="13",6,IF(LEFT('2) BOB compta (completer-forcer'!F759,2)="15",7,"Erreur Compte")))),FALSE)))</f>
        <v/>
      </c>
      <c r="I759" s="26" t="str">
        <f>IF(A759="","",IF(H759="70100000",'1) Import fichier Remi (coller)'!J759,'1) Import fichier Remi (coller)'!U759))</f>
        <v/>
      </c>
      <c r="J759" s="26" t="str">
        <f>IF(A759="","",'1) Import fichier Remi (coller)'!U759)</f>
        <v/>
      </c>
      <c r="K759" s="17" t="str">
        <f t="shared" si="3"/>
        <v/>
      </c>
      <c r="L759" t="str">
        <f t="shared" si="2"/>
        <v/>
      </c>
      <c r="M759" s="14" t="str">
        <f>IF(A759="","",'1) Import fichier Remi (coller)'!S759)</f>
        <v/>
      </c>
      <c r="N759" s="17" t="str">
        <f>IF($A759="","",IF(OR($A759="NCV",$A759="NC15"),-'1) Import fichier Remi (coller)'!R759,'1) Import fichier Remi (coller)'!R759))</f>
        <v/>
      </c>
      <c r="O759" s="17" t="str">
        <f>IF($A759="","",IF(OR($A759="NCV",$A759="NC15"),-'1) Import fichier Remi (coller)'!T759,'1) Import fichier Remi (coller)'!T759))</f>
        <v/>
      </c>
      <c r="R759" t="str">
        <f>IF($A759="","",IF(ISERROR(VLOOKUP(LEFT('1) Import fichier Remi (coller)'!$A759,9),'Concordance client liv et fact'!$A:$H,8,FALSE))=TRUE,VLOOKUP(LEFT('1) Import fichier Remi (coller)'!$A759,9)+0,'Clients R2'!$A:$CY,2,FALSE),VLOOKUP(VLOOKUP(LEFT('1) Import fichier Remi (coller)'!$A759,9),'Concordance client liv et fact'!$A:$H,7,FALSE)+0,'Clients R2'!$A:$CY,2,FALSE)))</f>
        <v/>
      </c>
      <c r="S759" t="str">
        <f>IF($A759="","",PROPER(IF(ISERROR(VLOOKUP(LEFT('1) Import fichier Remi (coller)'!$A759,9),'Concordance client liv et fact'!$A:$H,8,FALSE))=TRUE,VLOOKUP(LEFT('1) Import fichier Remi (coller)'!$A759,9)+0,'Clients R2'!$A:$CY,27,FALSE),VLOOKUP(VLOOKUP(LEFT('1) Import fichier Remi (coller)'!$A759,9),'Concordance client liv et fact'!$A:$H,7,FALSE)+0,'Clients R2'!$A:$CY,27,FALSE))))</f>
        <v/>
      </c>
      <c r="T759" t="str">
        <f>IF($A759="","",LEFT(UPPER(IF(ISERROR(VLOOKUP(LEFT('1) Import fichier Remi (coller)'!$A759,9),'Concordance client liv et fact'!$A:$H,8,FALSE))=TRUE,VLOOKUP(LEFT('1) Import fichier Remi (coller)'!$A759,9)+0,'Clients R2'!$A:$CY,28,FALSE),VLOOKUP(VLOOKUP(LEFT('1) Import fichier Remi (coller)'!$A759,9),'Concordance client liv et fact'!$A:$H,7,FALSE)+0,'Clients R2'!$A:$CY,28,FALSE))),2)&amp;UPPER(IF(ISERROR(VLOOKUP(LEFT('1) Import fichier Remi (coller)'!$A759,9),'Concordance client liv et fact'!$A:$H,8,FALSE))=TRUE,VLOOKUP(LEFT('1) Import fichier Remi (coller)'!$A759,9)+0,'Clients R2'!$A:$CY,29,FALSE),VLOOKUP(VLOOKUP(LEFT('1) Import fichier Remi (coller)'!$A759,9),'Concordance client liv et fact'!$A:$H,7,FALSE)+0,'Clients R2'!$A:$CY,29,FALSE))))</f>
        <v/>
      </c>
      <c r="U759" t="str">
        <f>IF($A759="","",PROPER(IF(ISERROR(VLOOKUP(LEFT('1) Import fichier Remi (coller)'!$A759,9),'Concordance client liv et fact'!$A:$H,8,FALSE))=TRUE,VLOOKUP(LEFT('1) Import fichier Remi (coller)'!$A759,9)+0,'Clients R2'!$A:$CY,30,FALSE),VLOOKUP(VLOOKUP(LEFT('1) Import fichier Remi (coller)'!$A759,9),'Concordance client liv et fact'!$A:$H,7,FALSE)+0,'Clients R2'!$A:$CY,30,FALSE))))</f>
        <v/>
      </c>
      <c r="V759" t="str">
        <f>IF($A759="","",LEFT(UPPER(IF(ISERROR(VLOOKUP(LEFT('1) Import fichier Remi (coller)'!$A759,9),'Concordance client liv et fact'!$A:$H,8,FALSE))=TRUE,IF(VLOOKUP(LEFT('1) Import fichier Remi (coller)'!$A759,9)+0,'Clients R2'!$A:$CY,22,FALSE)=4,"NA",VLOOKUP(LEFT('1) Import fichier Remi (coller)'!$A759,9)+0,'Clients R2'!$A:$CY,3,FALSE)),IF(VLOOKUP(VLOOKUP(LEFT('1) Import fichier Remi (coller)'!$A759,9),'Concordance client liv et fact'!$A:$H,7,FALSE)+0,'Clients R2'!$A:$CY,22,FALSE)=4,"NA",VLOOKUP(VLOOKUP(LEFT('1) Import fichier Remi (coller)'!$A759,9),'Concordance client liv et fact'!$A:$H,7,FALSE)+0,'Clients R2'!$A:$CY,3,FALSE)))),2))</f>
        <v/>
      </c>
      <c r="W759" s="27"/>
      <c r="X759" s="27"/>
      <c r="Y759" t="str">
        <f>IF(A759="","",VLOOKUP(A759,'Libellés PDF'!$A$2:$B$5,2,FALSE)&amp;F759&amp;".PDF")</f>
        <v/>
      </c>
      <c r="Z759" t="str">
        <f>IF(A759="","",IF(OR(H759="705099999",H759="705001002"),VLOOKUP('1) Import fichier Remi (coller)'!J759,'Analytique personnel'!$A:$B,2,FALSE),""))</f>
        <v/>
      </c>
      <c r="AA759" t="str">
        <f>IF($A759="VE11","",IF(LEFT($H759,4)="7050","",IF('1) Import fichier Remi (coller)'!M759="","",'1) Import fichier Remi (coller)'!M759)))</f>
        <v/>
      </c>
      <c r="AB759" t="str">
        <f>IF($A759="VE11","",IF(LEFT($H759,4)="7050","",IF('1) Import fichier Remi (coller)'!N759="","",'1) Import fichier Remi (coller)'!N759)))</f>
        <v/>
      </c>
      <c r="AC759" t="str">
        <f>IF(A759="","",VLOOKUP(LEFT('1) Import fichier Remi (coller)'!A759,9)+0,'Concordance Client R2 BOB'!$B:$C,2,FALSE))</f>
        <v/>
      </c>
    </row>
    <row r="760" spans="1:29" ht="18.75" customHeight="1" x14ac:dyDescent="0.25">
      <c r="A760" t="str">
        <f>IF('1) Import fichier Remi (coller)'!D760="","",'1) Import fichier Remi (coller)'!D760)</f>
        <v/>
      </c>
      <c r="B760" t="str">
        <f>IF(A760="","",YEAR('1) Import fichier Remi (coller)'!F760))</f>
        <v/>
      </c>
      <c r="C760" t="str">
        <f>IF(A760="","",MONTH('1) Import fichier Remi (coller)'!F760))</f>
        <v/>
      </c>
      <c r="D760" s="1" t="str">
        <f>IF(A760="","",'1) Import fichier Remi (coller)'!F760)</f>
        <v/>
      </c>
      <c r="E760" s="1" t="str">
        <f>IF(A760="","",'1) Import fichier Remi (coller)'!G760)</f>
        <v/>
      </c>
      <c r="F760" t="str">
        <f>IF(A760="","",'1) Import fichier Remi (coller)'!E760)</f>
        <v/>
      </c>
      <c r="G760" t="str">
        <f>IF(A760="","",IF(ISERROR(VLOOKUP(LEFT('1) Import fichier Remi (coller)'!A760,9),'Concordance client liv et fact'!$A:$H,8,FALSE))=TRUE,'1) Import fichier Remi (coller)'!B760,VLOOKUP(LEFT('1) Import fichier Remi (coller)'!A760,9),'Concordance client liv et fact'!$A:$H,8,FALSE)))</f>
        <v/>
      </c>
      <c r="H760" t="str">
        <f>IF(A760="","",IF(ISERROR(VLOOKUP('1) Import fichier Remi (coller)'!K760&amp;" - "&amp;'1) Import fichier Remi (coller)'!L760,'Spécifique comptes'!$A:$G,1,FALSE))=TRUE,'1) Import fichier Remi (coller)'!V760,VLOOKUP('1) Import fichier Remi (coller)'!K760&amp;" - "&amp;'1) Import fichier Remi (coller)'!L760,'Spécifique comptes'!$A:$G,IF(LEFT('2) BOB compta (completer-forcer'!F760,2)="11",4,IF(LEFT('2) BOB compta (completer-forcer'!F760,2)="12",5,IF(LEFT('2) BOB compta (completer-forcer'!F760,2)="13",6,IF(LEFT('2) BOB compta (completer-forcer'!F760,2)="15",7,"Erreur Compte")))),FALSE)))</f>
        <v/>
      </c>
      <c r="I760" s="26" t="str">
        <f>IF(A760="","",IF(H760="70100000",'1) Import fichier Remi (coller)'!J760,'1) Import fichier Remi (coller)'!U760))</f>
        <v/>
      </c>
      <c r="J760" s="26" t="str">
        <f>IF(A760="","",'1) Import fichier Remi (coller)'!U760)</f>
        <v/>
      </c>
      <c r="K760" s="17" t="str">
        <f t="shared" si="3"/>
        <v/>
      </c>
      <c r="L760" t="str">
        <f t="shared" si="2"/>
        <v/>
      </c>
      <c r="M760" s="14" t="str">
        <f>IF(A760="","",'1) Import fichier Remi (coller)'!S760)</f>
        <v/>
      </c>
      <c r="N760" s="17" t="str">
        <f>IF($A760="","",IF(OR($A760="NCV",$A760="NC15"),-'1) Import fichier Remi (coller)'!R760,'1) Import fichier Remi (coller)'!R760))</f>
        <v/>
      </c>
      <c r="O760" s="17" t="str">
        <f>IF($A760="","",IF(OR($A760="NCV",$A760="NC15"),-'1) Import fichier Remi (coller)'!T760,'1) Import fichier Remi (coller)'!T760))</f>
        <v/>
      </c>
      <c r="R760" t="str">
        <f>IF($A760="","",IF(ISERROR(VLOOKUP(LEFT('1) Import fichier Remi (coller)'!$A760,9),'Concordance client liv et fact'!$A:$H,8,FALSE))=TRUE,VLOOKUP(LEFT('1) Import fichier Remi (coller)'!$A760,9)+0,'Clients R2'!$A:$CY,2,FALSE),VLOOKUP(VLOOKUP(LEFT('1) Import fichier Remi (coller)'!$A760,9),'Concordance client liv et fact'!$A:$H,7,FALSE)+0,'Clients R2'!$A:$CY,2,FALSE)))</f>
        <v/>
      </c>
      <c r="S760" t="str">
        <f>IF($A760="","",PROPER(IF(ISERROR(VLOOKUP(LEFT('1) Import fichier Remi (coller)'!$A760,9),'Concordance client liv et fact'!$A:$H,8,FALSE))=TRUE,VLOOKUP(LEFT('1) Import fichier Remi (coller)'!$A760,9)+0,'Clients R2'!$A:$CY,27,FALSE),VLOOKUP(VLOOKUP(LEFT('1) Import fichier Remi (coller)'!$A760,9),'Concordance client liv et fact'!$A:$H,7,FALSE)+0,'Clients R2'!$A:$CY,27,FALSE))))</f>
        <v/>
      </c>
      <c r="T760" t="str">
        <f>IF($A760="","",LEFT(UPPER(IF(ISERROR(VLOOKUP(LEFT('1) Import fichier Remi (coller)'!$A760,9),'Concordance client liv et fact'!$A:$H,8,FALSE))=TRUE,VLOOKUP(LEFT('1) Import fichier Remi (coller)'!$A760,9)+0,'Clients R2'!$A:$CY,28,FALSE),VLOOKUP(VLOOKUP(LEFT('1) Import fichier Remi (coller)'!$A760,9),'Concordance client liv et fact'!$A:$H,7,FALSE)+0,'Clients R2'!$A:$CY,28,FALSE))),2)&amp;UPPER(IF(ISERROR(VLOOKUP(LEFT('1) Import fichier Remi (coller)'!$A760,9),'Concordance client liv et fact'!$A:$H,8,FALSE))=TRUE,VLOOKUP(LEFT('1) Import fichier Remi (coller)'!$A760,9)+0,'Clients R2'!$A:$CY,29,FALSE),VLOOKUP(VLOOKUP(LEFT('1) Import fichier Remi (coller)'!$A760,9),'Concordance client liv et fact'!$A:$H,7,FALSE)+0,'Clients R2'!$A:$CY,29,FALSE))))</f>
        <v/>
      </c>
      <c r="U760" t="str">
        <f>IF($A760="","",PROPER(IF(ISERROR(VLOOKUP(LEFT('1) Import fichier Remi (coller)'!$A760,9),'Concordance client liv et fact'!$A:$H,8,FALSE))=TRUE,VLOOKUP(LEFT('1) Import fichier Remi (coller)'!$A760,9)+0,'Clients R2'!$A:$CY,30,FALSE),VLOOKUP(VLOOKUP(LEFT('1) Import fichier Remi (coller)'!$A760,9),'Concordance client liv et fact'!$A:$H,7,FALSE)+0,'Clients R2'!$A:$CY,30,FALSE))))</f>
        <v/>
      </c>
      <c r="V760" t="str">
        <f>IF($A760="","",LEFT(UPPER(IF(ISERROR(VLOOKUP(LEFT('1) Import fichier Remi (coller)'!$A760,9),'Concordance client liv et fact'!$A:$H,8,FALSE))=TRUE,IF(VLOOKUP(LEFT('1) Import fichier Remi (coller)'!$A760,9)+0,'Clients R2'!$A:$CY,22,FALSE)=4,"NA",VLOOKUP(LEFT('1) Import fichier Remi (coller)'!$A760,9)+0,'Clients R2'!$A:$CY,3,FALSE)),IF(VLOOKUP(VLOOKUP(LEFT('1) Import fichier Remi (coller)'!$A760,9),'Concordance client liv et fact'!$A:$H,7,FALSE)+0,'Clients R2'!$A:$CY,22,FALSE)=4,"NA",VLOOKUP(VLOOKUP(LEFT('1) Import fichier Remi (coller)'!$A760,9),'Concordance client liv et fact'!$A:$H,7,FALSE)+0,'Clients R2'!$A:$CY,3,FALSE)))),2))</f>
        <v/>
      </c>
      <c r="W760" s="27"/>
      <c r="X760" s="27"/>
      <c r="Y760" t="str">
        <f>IF(A760="","",VLOOKUP(A760,'Libellés PDF'!$A$2:$B$5,2,FALSE)&amp;F760&amp;".PDF")</f>
        <v/>
      </c>
      <c r="Z760" t="str">
        <f>IF(A760="","",IF(OR(H760="705099999",H760="705001002"),VLOOKUP('1) Import fichier Remi (coller)'!J760,'Analytique personnel'!$A:$B,2,FALSE),""))</f>
        <v/>
      </c>
      <c r="AA760" t="str">
        <f>IF($A760="VE11","",IF(LEFT($H760,4)="7050","",IF('1) Import fichier Remi (coller)'!M760="","",'1) Import fichier Remi (coller)'!M760)))</f>
        <v/>
      </c>
      <c r="AB760" t="str">
        <f>IF($A760="VE11","",IF(LEFT($H760,4)="7050","",IF('1) Import fichier Remi (coller)'!N760="","",'1) Import fichier Remi (coller)'!N760)))</f>
        <v/>
      </c>
      <c r="AC760" t="str">
        <f>IF(A760="","",VLOOKUP(LEFT('1) Import fichier Remi (coller)'!A760,9)+0,'Concordance Client R2 BOB'!$B:$C,2,FALSE))</f>
        <v/>
      </c>
    </row>
    <row r="761" spans="1:29" ht="18.75" customHeight="1" x14ac:dyDescent="0.25">
      <c r="A761" t="str">
        <f>IF('1) Import fichier Remi (coller)'!D761="","",'1) Import fichier Remi (coller)'!D761)</f>
        <v/>
      </c>
      <c r="B761" t="str">
        <f>IF(A761="","",YEAR('1) Import fichier Remi (coller)'!F761))</f>
        <v/>
      </c>
      <c r="C761" t="str">
        <f>IF(A761="","",MONTH('1) Import fichier Remi (coller)'!F761))</f>
        <v/>
      </c>
      <c r="D761" s="1" t="str">
        <f>IF(A761="","",'1) Import fichier Remi (coller)'!F761)</f>
        <v/>
      </c>
      <c r="E761" s="1" t="str">
        <f>IF(A761="","",'1) Import fichier Remi (coller)'!G761)</f>
        <v/>
      </c>
      <c r="F761" t="str">
        <f>IF(A761="","",'1) Import fichier Remi (coller)'!E761)</f>
        <v/>
      </c>
      <c r="G761" t="str">
        <f>IF(A761="","",IF(ISERROR(VLOOKUP(LEFT('1) Import fichier Remi (coller)'!A761,9),'Concordance client liv et fact'!$A:$H,8,FALSE))=TRUE,'1) Import fichier Remi (coller)'!B761,VLOOKUP(LEFT('1) Import fichier Remi (coller)'!A761,9),'Concordance client liv et fact'!$A:$H,8,FALSE)))</f>
        <v/>
      </c>
      <c r="H761" t="str">
        <f>IF(A761="","",IF(ISERROR(VLOOKUP('1) Import fichier Remi (coller)'!K761&amp;" - "&amp;'1) Import fichier Remi (coller)'!L761,'Spécifique comptes'!$A:$G,1,FALSE))=TRUE,'1) Import fichier Remi (coller)'!V761,VLOOKUP('1) Import fichier Remi (coller)'!K761&amp;" - "&amp;'1) Import fichier Remi (coller)'!L761,'Spécifique comptes'!$A:$G,IF(LEFT('2) BOB compta (completer-forcer'!F761,2)="11",4,IF(LEFT('2) BOB compta (completer-forcer'!F761,2)="12",5,IF(LEFT('2) BOB compta (completer-forcer'!F761,2)="13",6,IF(LEFT('2) BOB compta (completer-forcer'!F761,2)="15",7,"Erreur Compte")))),FALSE)))</f>
        <v/>
      </c>
      <c r="I761" s="26" t="str">
        <f>IF(A761="","",IF(H761="70100000",'1) Import fichier Remi (coller)'!J761,'1) Import fichier Remi (coller)'!U761))</f>
        <v/>
      </c>
      <c r="J761" s="26" t="str">
        <f>IF(A761="","",'1) Import fichier Remi (coller)'!U761)</f>
        <v/>
      </c>
      <c r="K761" s="17" t="str">
        <f t="shared" si="3"/>
        <v/>
      </c>
      <c r="L761" t="str">
        <f t="shared" si="2"/>
        <v/>
      </c>
      <c r="M761" s="14" t="str">
        <f>IF(A761="","",'1) Import fichier Remi (coller)'!S761)</f>
        <v/>
      </c>
      <c r="N761" s="17" t="str">
        <f>IF($A761="","",IF(OR($A761="NCV",$A761="NC15"),-'1) Import fichier Remi (coller)'!R761,'1) Import fichier Remi (coller)'!R761))</f>
        <v/>
      </c>
      <c r="O761" s="17" t="str">
        <f>IF($A761="","",IF(OR($A761="NCV",$A761="NC15"),-'1) Import fichier Remi (coller)'!T761,'1) Import fichier Remi (coller)'!T761))</f>
        <v/>
      </c>
      <c r="R761" t="str">
        <f>IF($A761="","",IF(ISERROR(VLOOKUP(LEFT('1) Import fichier Remi (coller)'!$A761,9),'Concordance client liv et fact'!$A:$H,8,FALSE))=TRUE,VLOOKUP(LEFT('1) Import fichier Remi (coller)'!$A761,9)+0,'Clients R2'!$A:$CY,2,FALSE),VLOOKUP(VLOOKUP(LEFT('1) Import fichier Remi (coller)'!$A761,9),'Concordance client liv et fact'!$A:$H,7,FALSE)+0,'Clients R2'!$A:$CY,2,FALSE)))</f>
        <v/>
      </c>
      <c r="S761" t="str">
        <f>IF($A761="","",PROPER(IF(ISERROR(VLOOKUP(LEFT('1) Import fichier Remi (coller)'!$A761,9),'Concordance client liv et fact'!$A:$H,8,FALSE))=TRUE,VLOOKUP(LEFT('1) Import fichier Remi (coller)'!$A761,9)+0,'Clients R2'!$A:$CY,27,FALSE),VLOOKUP(VLOOKUP(LEFT('1) Import fichier Remi (coller)'!$A761,9),'Concordance client liv et fact'!$A:$H,7,FALSE)+0,'Clients R2'!$A:$CY,27,FALSE))))</f>
        <v/>
      </c>
      <c r="T761" t="str">
        <f>IF($A761="","",LEFT(UPPER(IF(ISERROR(VLOOKUP(LEFT('1) Import fichier Remi (coller)'!$A761,9),'Concordance client liv et fact'!$A:$H,8,FALSE))=TRUE,VLOOKUP(LEFT('1) Import fichier Remi (coller)'!$A761,9)+0,'Clients R2'!$A:$CY,28,FALSE),VLOOKUP(VLOOKUP(LEFT('1) Import fichier Remi (coller)'!$A761,9),'Concordance client liv et fact'!$A:$H,7,FALSE)+0,'Clients R2'!$A:$CY,28,FALSE))),2)&amp;UPPER(IF(ISERROR(VLOOKUP(LEFT('1) Import fichier Remi (coller)'!$A761,9),'Concordance client liv et fact'!$A:$H,8,FALSE))=TRUE,VLOOKUP(LEFT('1) Import fichier Remi (coller)'!$A761,9)+0,'Clients R2'!$A:$CY,29,FALSE),VLOOKUP(VLOOKUP(LEFT('1) Import fichier Remi (coller)'!$A761,9),'Concordance client liv et fact'!$A:$H,7,FALSE)+0,'Clients R2'!$A:$CY,29,FALSE))))</f>
        <v/>
      </c>
      <c r="U761" t="str">
        <f>IF($A761="","",PROPER(IF(ISERROR(VLOOKUP(LEFT('1) Import fichier Remi (coller)'!$A761,9),'Concordance client liv et fact'!$A:$H,8,FALSE))=TRUE,VLOOKUP(LEFT('1) Import fichier Remi (coller)'!$A761,9)+0,'Clients R2'!$A:$CY,30,FALSE),VLOOKUP(VLOOKUP(LEFT('1) Import fichier Remi (coller)'!$A761,9),'Concordance client liv et fact'!$A:$H,7,FALSE)+0,'Clients R2'!$A:$CY,30,FALSE))))</f>
        <v/>
      </c>
      <c r="V761" t="str">
        <f>IF($A761="","",LEFT(UPPER(IF(ISERROR(VLOOKUP(LEFT('1) Import fichier Remi (coller)'!$A761,9),'Concordance client liv et fact'!$A:$H,8,FALSE))=TRUE,IF(VLOOKUP(LEFT('1) Import fichier Remi (coller)'!$A761,9)+0,'Clients R2'!$A:$CY,22,FALSE)=4,"NA",VLOOKUP(LEFT('1) Import fichier Remi (coller)'!$A761,9)+0,'Clients R2'!$A:$CY,3,FALSE)),IF(VLOOKUP(VLOOKUP(LEFT('1) Import fichier Remi (coller)'!$A761,9),'Concordance client liv et fact'!$A:$H,7,FALSE)+0,'Clients R2'!$A:$CY,22,FALSE)=4,"NA",VLOOKUP(VLOOKUP(LEFT('1) Import fichier Remi (coller)'!$A761,9),'Concordance client liv et fact'!$A:$H,7,FALSE)+0,'Clients R2'!$A:$CY,3,FALSE)))),2))</f>
        <v/>
      </c>
      <c r="W761" s="27"/>
      <c r="X761" s="27"/>
      <c r="Y761" t="str">
        <f>IF(A761="","",VLOOKUP(A761,'Libellés PDF'!$A$2:$B$5,2,FALSE)&amp;F761&amp;".PDF")</f>
        <v/>
      </c>
      <c r="Z761" t="s">
        <v>464</v>
      </c>
      <c r="AA761" t="str">
        <f>IF($A761="VE11","",IF(LEFT($H761,4)="7050","",IF('1) Import fichier Remi (coller)'!M761="","",'1) Import fichier Remi (coller)'!M761)))</f>
        <v/>
      </c>
      <c r="AB761" t="str">
        <f>IF($A761="VE11","",IF(LEFT($H761,4)="7050","",IF('1) Import fichier Remi (coller)'!N761="","",'1) Import fichier Remi (coller)'!N761)))</f>
        <v/>
      </c>
      <c r="AC761" t="str">
        <f>IF(A761="","",VLOOKUP(LEFT('1) Import fichier Remi (coller)'!A761,9)+0,'Concordance Client R2 BOB'!$B:$C,2,FALSE))</f>
        <v/>
      </c>
    </row>
    <row r="762" spans="1:29" ht="18.75" customHeight="1" x14ac:dyDescent="0.25">
      <c r="A762" t="str">
        <f>IF('1) Import fichier Remi (coller)'!D762="","",'1) Import fichier Remi (coller)'!D762)</f>
        <v/>
      </c>
      <c r="B762" t="str">
        <f>IF(A762="","",YEAR('1) Import fichier Remi (coller)'!F762))</f>
        <v/>
      </c>
      <c r="C762" t="str">
        <f>IF(A762="","",MONTH('1) Import fichier Remi (coller)'!F762))</f>
        <v/>
      </c>
      <c r="D762" s="1" t="str">
        <f>IF(A762="","",'1) Import fichier Remi (coller)'!F762)</f>
        <v/>
      </c>
      <c r="E762" s="1" t="str">
        <f>IF(A762="","",'1) Import fichier Remi (coller)'!G762)</f>
        <v/>
      </c>
      <c r="F762" t="str">
        <f>IF(A762="","",'1) Import fichier Remi (coller)'!E762)</f>
        <v/>
      </c>
      <c r="G762" t="str">
        <f>IF(A762="","",IF(ISERROR(VLOOKUP(LEFT('1) Import fichier Remi (coller)'!A762,9),'Concordance client liv et fact'!$A:$H,8,FALSE))=TRUE,'1) Import fichier Remi (coller)'!B762,VLOOKUP(LEFT('1) Import fichier Remi (coller)'!A762,9),'Concordance client liv et fact'!$A:$H,8,FALSE)))</f>
        <v/>
      </c>
      <c r="H762" t="str">
        <f>IF(A762="","",IF(ISERROR(VLOOKUP('1) Import fichier Remi (coller)'!K762&amp;" - "&amp;'1) Import fichier Remi (coller)'!L762,'Spécifique comptes'!$A:$G,1,FALSE))=TRUE,'1) Import fichier Remi (coller)'!V762,VLOOKUP('1) Import fichier Remi (coller)'!K762&amp;" - "&amp;'1) Import fichier Remi (coller)'!L762,'Spécifique comptes'!$A:$G,IF(LEFT('2) BOB compta (completer-forcer'!F762,2)="11",4,IF(LEFT('2) BOB compta (completer-forcer'!F762,2)="12",5,IF(LEFT('2) BOB compta (completer-forcer'!F762,2)="13",6,IF(LEFT('2) BOB compta (completer-forcer'!F762,2)="15",7,"Erreur Compte")))),FALSE)))</f>
        <v/>
      </c>
      <c r="I762" s="26" t="str">
        <f>IF(A762="","",IF(H762="70100000",'1) Import fichier Remi (coller)'!J762,'1) Import fichier Remi (coller)'!U762))</f>
        <v/>
      </c>
      <c r="J762" s="26" t="str">
        <f>IF(A762="","",'1) Import fichier Remi (coller)'!U762)</f>
        <v/>
      </c>
      <c r="K762" s="17" t="str">
        <f t="shared" si="3"/>
        <v/>
      </c>
      <c r="L762" t="str">
        <f t="shared" si="2"/>
        <v/>
      </c>
      <c r="M762" s="14" t="str">
        <f>IF(A762="","",'1) Import fichier Remi (coller)'!S762)</f>
        <v/>
      </c>
      <c r="N762" s="17" t="str">
        <f>IF($A762="","",IF(OR($A762="NCV",$A762="NC15"),-'1) Import fichier Remi (coller)'!R762,'1) Import fichier Remi (coller)'!R762))</f>
        <v/>
      </c>
      <c r="O762" s="17" t="str">
        <f>IF($A762="","",IF(OR($A762="NCV",$A762="NC15"),-'1) Import fichier Remi (coller)'!T762,'1) Import fichier Remi (coller)'!T762))</f>
        <v/>
      </c>
      <c r="R762" t="str">
        <f>IF($A762="","",IF(ISERROR(VLOOKUP(LEFT('1) Import fichier Remi (coller)'!$A762,9),'Concordance client liv et fact'!$A:$H,8,FALSE))=TRUE,VLOOKUP(LEFT('1) Import fichier Remi (coller)'!$A762,9)+0,'Clients R2'!$A:$CY,2,FALSE),VLOOKUP(VLOOKUP(LEFT('1) Import fichier Remi (coller)'!$A762,9),'Concordance client liv et fact'!$A:$H,7,FALSE)+0,'Clients R2'!$A:$CY,2,FALSE)))</f>
        <v/>
      </c>
      <c r="S762" t="str">
        <f>IF($A762="","",PROPER(IF(ISERROR(VLOOKUP(LEFT('1) Import fichier Remi (coller)'!$A762,9),'Concordance client liv et fact'!$A:$H,8,FALSE))=TRUE,VLOOKUP(LEFT('1) Import fichier Remi (coller)'!$A762,9)+0,'Clients R2'!$A:$CY,27,FALSE),VLOOKUP(VLOOKUP(LEFT('1) Import fichier Remi (coller)'!$A762,9),'Concordance client liv et fact'!$A:$H,7,FALSE)+0,'Clients R2'!$A:$CY,27,FALSE))))</f>
        <v/>
      </c>
      <c r="T762" t="str">
        <f>IF($A762="","",LEFT(UPPER(IF(ISERROR(VLOOKUP(LEFT('1) Import fichier Remi (coller)'!$A762,9),'Concordance client liv et fact'!$A:$H,8,FALSE))=TRUE,VLOOKUP(LEFT('1) Import fichier Remi (coller)'!$A762,9)+0,'Clients R2'!$A:$CY,28,FALSE),VLOOKUP(VLOOKUP(LEFT('1) Import fichier Remi (coller)'!$A762,9),'Concordance client liv et fact'!$A:$H,7,FALSE)+0,'Clients R2'!$A:$CY,28,FALSE))),2)&amp;UPPER(IF(ISERROR(VLOOKUP(LEFT('1) Import fichier Remi (coller)'!$A762,9),'Concordance client liv et fact'!$A:$H,8,FALSE))=TRUE,VLOOKUP(LEFT('1) Import fichier Remi (coller)'!$A762,9)+0,'Clients R2'!$A:$CY,29,FALSE),VLOOKUP(VLOOKUP(LEFT('1) Import fichier Remi (coller)'!$A762,9),'Concordance client liv et fact'!$A:$H,7,FALSE)+0,'Clients R2'!$A:$CY,29,FALSE))))</f>
        <v/>
      </c>
      <c r="U762" t="str">
        <f>IF($A762="","",PROPER(IF(ISERROR(VLOOKUP(LEFT('1) Import fichier Remi (coller)'!$A762,9),'Concordance client liv et fact'!$A:$H,8,FALSE))=TRUE,VLOOKUP(LEFT('1) Import fichier Remi (coller)'!$A762,9)+0,'Clients R2'!$A:$CY,30,FALSE),VLOOKUP(VLOOKUP(LEFT('1) Import fichier Remi (coller)'!$A762,9),'Concordance client liv et fact'!$A:$H,7,FALSE)+0,'Clients R2'!$A:$CY,30,FALSE))))</f>
        <v/>
      </c>
      <c r="V762" t="str">
        <f>IF($A762="","",LEFT(UPPER(IF(ISERROR(VLOOKUP(LEFT('1) Import fichier Remi (coller)'!$A762,9),'Concordance client liv et fact'!$A:$H,8,FALSE))=TRUE,IF(VLOOKUP(LEFT('1) Import fichier Remi (coller)'!$A762,9)+0,'Clients R2'!$A:$CY,22,FALSE)=4,"NA",VLOOKUP(LEFT('1) Import fichier Remi (coller)'!$A762,9)+0,'Clients R2'!$A:$CY,3,FALSE)),IF(VLOOKUP(VLOOKUP(LEFT('1) Import fichier Remi (coller)'!$A762,9),'Concordance client liv et fact'!$A:$H,7,FALSE)+0,'Clients R2'!$A:$CY,22,FALSE)=4,"NA",VLOOKUP(VLOOKUP(LEFT('1) Import fichier Remi (coller)'!$A762,9),'Concordance client liv et fact'!$A:$H,7,FALSE)+0,'Clients R2'!$A:$CY,3,FALSE)))),2))</f>
        <v/>
      </c>
      <c r="W762" s="27"/>
      <c r="X762" s="27"/>
      <c r="Y762" t="str">
        <f>IF(A762="","",VLOOKUP(A762,'Libellés PDF'!$A$2:$B$5,2,FALSE)&amp;F762&amp;".PDF")</f>
        <v/>
      </c>
      <c r="Z762" t="str">
        <f>IF(A762="","",IF(OR(H762="705099999",H762="705001002"),VLOOKUP('1) Import fichier Remi (coller)'!J762,'Analytique personnel'!$A:$B,2,FALSE),""))</f>
        <v/>
      </c>
      <c r="AA762" t="str">
        <f>IF($A762="VE11","",IF(LEFT($H762,4)="7050","",IF('1) Import fichier Remi (coller)'!M762="","",'1) Import fichier Remi (coller)'!M762)))</f>
        <v/>
      </c>
      <c r="AB762" t="str">
        <f>IF($A762="VE11","",IF(LEFT($H762,4)="7050","",IF('1) Import fichier Remi (coller)'!N762="","",'1) Import fichier Remi (coller)'!N762)))</f>
        <v/>
      </c>
      <c r="AC762" t="str">
        <f>IF(A762="","",VLOOKUP(LEFT('1) Import fichier Remi (coller)'!A762,9)+0,'Concordance Client R2 BOB'!$B:$C,2,FALSE))</f>
        <v/>
      </c>
    </row>
    <row r="763" spans="1:29" ht="18.75" customHeight="1" x14ac:dyDescent="0.25">
      <c r="A763" t="str">
        <f>IF('1) Import fichier Remi (coller)'!D763="","",'1) Import fichier Remi (coller)'!D763)</f>
        <v/>
      </c>
      <c r="B763" t="str">
        <f>IF(A763="","",YEAR('1) Import fichier Remi (coller)'!F763))</f>
        <v/>
      </c>
      <c r="C763" t="str">
        <f>IF(A763="","",MONTH('1) Import fichier Remi (coller)'!F763))</f>
        <v/>
      </c>
      <c r="D763" s="1" t="str">
        <f>IF(A763="","",'1) Import fichier Remi (coller)'!F763)</f>
        <v/>
      </c>
      <c r="E763" s="1" t="str">
        <f>IF(A763="","",'1) Import fichier Remi (coller)'!G763)</f>
        <v/>
      </c>
      <c r="F763" t="str">
        <f>IF(A763="","",'1) Import fichier Remi (coller)'!E763)</f>
        <v/>
      </c>
      <c r="G763" t="str">
        <f>IF(A763="","",IF(ISERROR(VLOOKUP(LEFT('1) Import fichier Remi (coller)'!A763,9),'Concordance client liv et fact'!$A:$H,8,FALSE))=TRUE,'1) Import fichier Remi (coller)'!B763,VLOOKUP(LEFT('1) Import fichier Remi (coller)'!A763,9),'Concordance client liv et fact'!$A:$H,8,FALSE)))</f>
        <v/>
      </c>
      <c r="H763" t="str">
        <f>IF(A763="","",IF(ISERROR(VLOOKUP('1) Import fichier Remi (coller)'!K763&amp;" - "&amp;'1) Import fichier Remi (coller)'!L763,'Spécifique comptes'!$A:$G,1,FALSE))=TRUE,'1) Import fichier Remi (coller)'!V763,VLOOKUP('1) Import fichier Remi (coller)'!K763&amp;" - "&amp;'1) Import fichier Remi (coller)'!L763,'Spécifique comptes'!$A:$G,IF(LEFT('2) BOB compta (completer-forcer'!F763,2)="11",4,IF(LEFT('2) BOB compta (completer-forcer'!F763,2)="12",5,IF(LEFT('2) BOB compta (completer-forcer'!F763,2)="13",6,IF(LEFT('2) BOB compta (completer-forcer'!F763,2)="15",7,"Erreur Compte")))),FALSE)))</f>
        <v/>
      </c>
      <c r="I763" s="26" t="str">
        <f>IF(A763="","",IF(H763="70100000",'1) Import fichier Remi (coller)'!J763,'1) Import fichier Remi (coller)'!U763))</f>
        <v/>
      </c>
      <c r="J763" s="26" t="str">
        <f>IF(A763="","",'1) Import fichier Remi (coller)'!U763)</f>
        <v/>
      </c>
      <c r="K763" s="17" t="str">
        <f t="shared" si="3"/>
        <v/>
      </c>
      <c r="L763" t="str">
        <f t="shared" si="2"/>
        <v/>
      </c>
      <c r="M763" s="14" t="str">
        <f>IF(A763="","",'1) Import fichier Remi (coller)'!S763)</f>
        <v/>
      </c>
      <c r="N763" s="17" t="str">
        <f>IF($A763="","",IF(OR($A763="NCV",$A763="NC15"),-'1) Import fichier Remi (coller)'!R763,'1) Import fichier Remi (coller)'!R763))</f>
        <v/>
      </c>
      <c r="O763" s="17" t="str">
        <f>IF($A763="","",IF(OR($A763="NCV",$A763="NC15"),-'1) Import fichier Remi (coller)'!T763,'1) Import fichier Remi (coller)'!T763))</f>
        <v/>
      </c>
      <c r="R763" t="str">
        <f>IF($A763="","",IF(ISERROR(VLOOKUP(LEFT('1) Import fichier Remi (coller)'!$A763,9),'Concordance client liv et fact'!$A:$H,8,FALSE))=TRUE,VLOOKUP(LEFT('1) Import fichier Remi (coller)'!$A763,9)+0,'Clients R2'!$A:$CY,2,FALSE),VLOOKUP(VLOOKUP(LEFT('1) Import fichier Remi (coller)'!$A763,9),'Concordance client liv et fact'!$A:$H,7,FALSE)+0,'Clients R2'!$A:$CY,2,FALSE)))</f>
        <v/>
      </c>
      <c r="S763" t="str">
        <f>IF($A763="","",PROPER(IF(ISERROR(VLOOKUP(LEFT('1) Import fichier Remi (coller)'!$A763,9),'Concordance client liv et fact'!$A:$H,8,FALSE))=TRUE,VLOOKUP(LEFT('1) Import fichier Remi (coller)'!$A763,9)+0,'Clients R2'!$A:$CY,27,FALSE),VLOOKUP(VLOOKUP(LEFT('1) Import fichier Remi (coller)'!$A763,9),'Concordance client liv et fact'!$A:$H,7,FALSE)+0,'Clients R2'!$A:$CY,27,FALSE))))</f>
        <v/>
      </c>
      <c r="T763" t="str">
        <f>IF($A763="","",LEFT(UPPER(IF(ISERROR(VLOOKUP(LEFT('1) Import fichier Remi (coller)'!$A763,9),'Concordance client liv et fact'!$A:$H,8,FALSE))=TRUE,VLOOKUP(LEFT('1) Import fichier Remi (coller)'!$A763,9)+0,'Clients R2'!$A:$CY,28,FALSE),VLOOKUP(VLOOKUP(LEFT('1) Import fichier Remi (coller)'!$A763,9),'Concordance client liv et fact'!$A:$H,7,FALSE)+0,'Clients R2'!$A:$CY,28,FALSE))),2)&amp;UPPER(IF(ISERROR(VLOOKUP(LEFT('1) Import fichier Remi (coller)'!$A763,9),'Concordance client liv et fact'!$A:$H,8,FALSE))=TRUE,VLOOKUP(LEFT('1) Import fichier Remi (coller)'!$A763,9)+0,'Clients R2'!$A:$CY,29,FALSE),VLOOKUP(VLOOKUP(LEFT('1) Import fichier Remi (coller)'!$A763,9),'Concordance client liv et fact'!$A:$H,7,FALSE)+0,'Clients R2'!$A:$CY,29,FALSE))))</f>
        <v/>
      </c>
      <c r="U763" t="str">
        <f>IF($A763="","",PROPER(IF(ISERROR(VLOOKUP(LEFT('1) Import fichier Remi (coller)'!$A763,9),'Concordance client liv et fact'!$A:$H,8,FALSE))=TRUE,VLOOKUP(LEFT('1) Import fichier Remi (coller)'!$A763,9)+0,'Clients R2'!$A:$CY,30,FALSE),VLOOKUP(VLOOKUP(LEFT('1) Import fichier Remi (coller)'!$A763,9),'Concordance client liv et fact'!$A:$H,7,FALSE)+0,'Clients R2'!$A:$CY,30,FALSE))))</f>
        <v/>
      </c>
      <c r="V763" t="str">
        <f>IF($A763="","",LEFT(UPPER(IF(ISERROR(VLOOKUP(LEFT('1) Import fichier Remi (coller)'!$A763,9),'Concordance client liv et fact'!$A:$H,8,FALSE))=TRUE,IF(VLOOKUP(LEFT('1) Import fichier Remi (coller)'!$A763,9)+0,'Clients R2'!$A:$CY,22,FALSE)=4,"NA",VLOOKUP(LEFT('1) Import fichier Remi (coller)'!$A763,9)+0,'Clients R2'!$A:$CY,3,FALSE)),IF(VLOOKUP(VLOOKUP(LEFT('1) Import fichier Remi (coller)'!$A763,9),'Concordance client liv et fact'!$A:$H,7,FALSE)+0,'Clients R2'!$A:$CY,22,FALSE)=4,"NA",VLOOKUP(VLOOKUP(LEFT('1) Import fichier Remi (coller)'!$A763,9),'Concordance client liv et fact'!$A:$H,7,FALSE)+0,'Clients R2'!$A:$CY,3,FALSE)))),2))</f>
        <v/>
      </c>
      <c r="W763" s="27"/>
      <c r="X763" s="27"/>
      <c r="Y763" t="str">
        <f>IF(A763="","",VLOOKUP(A763,'Libellés PDF'!$A$2:$B$5,2,FALSE)&amp;F763&amp;".PDF")</f>
        <v/>
      </c>
      <c r="Z763" t="str">
        <f>IF(A763="","",IF(OR(H763="705099999",H763="705001002"),VLOOKUP('1) Import fichier Remi (coller)'!J763,'Analytique personnel'!$A:$B,2,FALSE),""))</f>
        <v/>
      </c>
      <c r="AA763" t="str">
        <f>IF($A763="VE11","",IF(LEFT($H763,4)="7050","",IF('1) Import fichier Remi (coller)'!M763="","",'1) Import fichier Remi (coller)'!M763)))</f>
        <v/>
      </c>
      <c r="AB763" t="str">
        <f>IF($A763="VE11","",IF(LEFT($H763,4)="7050","",IF('1) Import fichier Remi (coller)'!N763="","",'1) Import fichier Remi (coller)'!N763)))</f>
        <v/>
      </c>
      <c r="AC763" t="str">
        <f>IF(A763="","",VLOOKUP(LEFT('1) Import fichier Remi (coller)'!A763,9)+0,'Concordance Client R2 BOB'!$B:$C,2,FALSE))</f>
        <v/>
      </c>
    </row>
    <row r="764" spans="1:29" ht="18.75" customHeight="1" x14ac:dyDescent="0.25">
      <c r="A764" t="str">
        <f>IF('1) Import fichier Remi (coller)'!D764="","",'1) Import fichier Remi (coller)'!D764)</f>
        <v/>
      </c>
      <c r="B764" t="str">
        <f>IF(A764="","",YEAR('1) Import fichier Remi (coller)'!F764))</f>
        <v/>
      </c>
      <c r="C764" t="str">
        <f>IF(A764="","",MONTH('1) Import fichier Remi (coller)'!F764))</f>
        <v/>
      </c>
      <c r="D764" s="1" t="str">
        <f>IF(A764="","",'1) Import fichier Remi (coller)'!F764)</f>
        <v/>
      </c>
      <c r="E764" s="1" t="str">
        <f>IF(A764="","",'1) Import fichier Remi (coller)'!G764)</f>
        <v/>
      </c>
      <c r="F764" t="str">
        <f>IF(A764="","",'1) Import fichier Remi (coller)'!E764)</f>
        <v/>
      </c>
      <c r="G764" t="str">
        <f>IF(A764="","",IF(ISERROR(VLOOKUP(LEFT('1) Import fichier Remi (coller)'!A764,9),'Concordance client liv et fact'!$A:$H,8,FALSE))=TRUE,'1) Import fichier Remi (coller)'!B764,VLOOKUP(LEFT('1) Import fichier Remi (coller)'!A764,9),'Concordance client liv et fact'!$A:$H,8,FALSE)))</f>
        <v/>
      </c>
      <c r="H764" t="str">
        <f>IF(A764="","",IF(ISERROR(VLOOKUP('1) Import fichier Remi (coller)'!K764&amp;" - "&amp;'1) Import fichier Remi (coller)'!L764,'Spécifique comptes'!$A:$G,1,FALSE))=TRUE,'1) Import fichier Remi (coller)'!V764,VLOOKUP('1) Import fichier Remi (coller)'!K764&amp;" - "&amp;'1) Import fichier Remi (coller)'!L764,'Spécifique comptes'!$A:$G,IF(LEFT('2) BOB compta (completer-forcer'!F764,2)="11",4,IF(LEFT('2) BOB compta (completer-forcer'!F764,2)="12",5,IF(LEFT('2) BOB compta (completer-forcer'!F764,2)="13",6,IF(LEFT('2) BOB compta (completer-forcer'!F764,2)="15",7,"Erreur Compte")))),FALSE)))</f>
        <v/>
      </c>
      <c r="I764" s="26" t="str">
        <f>IF(A764="","",IF(H764="70100000",'1) Import fichier Remi (coller)'!J764,'1) Import fichier Remi (coller)'!U764))</f>
        <v/>
      </c>
      <c r="J764" s="26" t="str">
        <f>IF(A764="","",'1) Import fichier Remi (coller)'!U764)</f>
        <v/>
      </c>
      <c r="K764" s="17" t="str">
        <f t="shared" si="3"/>
        <v/>
      </c>
      <c r="L764" t="str">
        <f t="shared" si="2"/>
        <v/>
      </c>
      <c r="M764" s="14" t="str">
        <f>IF(A764="","",'1) Import fichier Remi (coller)'!S764)</f>
        <v/>
      </c>
      <c r="N764" s="17" t="str">
        <f>IF($A764="","",IF(OR($A764="NCV",$A764="NC15"),-'1) Import fichier Remi (coller)'!R764,'1) Import fichier Remi (coller)'!R764))</f>
        <v/>
      </c>
      <c r="O764" s="17" t="str">
        <f>IF($A764="","",IF(OR($A764="NCV",$A764="NC15"),-'1) Import fichier Remi (coller)'!T764,'1) Import fichier Remi (coller)'!T764))</f>
        <v/>
      </c>
      <c r="R764" t="str">
        <f>IF($A764="","",IF(ISERROR(VLOOKUP(LEFT('1) Import fichier Remi (coller)'!$A764,9),'Concordance client liv et fact'!$A:$H,8,FALSE))=TRUE,VLOOKUP(LEFT('1) Import fichier Remi (coller)'!$A764,9)+0,'Clients R2'!$A:$CY,2,FALSE),VLOOKUP(VLOOKUP(LEFT('1) Import fichier Remi (coller)'!$A764,9),'Concordance client liv et fact'!$A:$H,7,FALSE)+0,'Clients R2'!$A:$CY,2,FALSE)))</f>
        <v/>
      </c>
      <c r="S764" t="str">
        <f>IF($A764="","",PROPER(IF(ISERROR(VLOOKUP(LEFT('1) Import fichier Remi (coller)'!$A764,9),'Concordance client liv et fact'!$A:$H,8,FALSE))=TRUE,VLOOKUP(LEFT('1) Import fichier Remi (coller)'!$A764,9)+0,'Clients R2'!$A:$CY,27,FALSE),VLOOKUP(VLOOKUP(LEFT('1) Import fichier Remi (coller)'!$A764,9),'Concordance client liv et fact'!$A:$H,7,FALSE)+0,'Clients R2'!$A:$CY,27,FALSE))))</f>
        <v/>
      </c>
      <c r="T764" t="str">
        <f>IF($A764="","",LEFT(UPPER(IF(ISERROR(VLOOKUP(LEFT('1) Import fichier Remi (coller)'!$A764,9),'Concordance client liv et fact'!$A:$H,8,FALSE))=TRUE,VLOOKUP(LEFT('1) Import fichier Remi (coller)'!$A764,9)+0,'Clients R2'!$A:$CY,28,FALSE),VLOOKUP(VLOOKUP(LEFT('1) Import fichier Remi (coller)'!$A764,9),'Concordance client liv et fact'!$A:$H,7,FALSE)+0,'Clients R2'!$A:$CY,28,FALSE))),2)&amp;UPPER(IF(ISERROR(VLOOKUP(LEFT('1) Import fichier Remi (coller)'!$A764,9),'Concordance client liv et fact'!$A:$H,8,FALSE))=TRUE,VLOOKUP(LEFT('1) Import fichier Remi (coller)'!$A764,9)+0,'Clients R2'!$A:$CY,29,FALSE),VLOOKUP(VLOOKUP(LEFT('1) Import fichier Remi (coller)'!$A764,9),'Concordance client liv et fact'!$A:$H,7,FALSE)+0,'Clients R2'!$A:$CY,29,FALSE))))</f>
        <v/>
      </c>
      <c r="U764" t="str">
        <f>IF($A764="","",PROPER(IF(ISERROR(VLOOKUP(LEFT('1) Import fichier Remi (coller)'!$A764,9),'Concordance client liv et fact'!$A:$H,8,FALSE))=TRUE,VLOOKUP(LEFT('1) Import fichier Remi (coller)'!$A764,9)+0,'Clients R2'!$A:$CY,30,FALSE),VLOOKUP(VLOOKUP(LEFT('1) Import fichier Remi (coller)'!$A764,9),'Concordance client liv et fact'!$A:$H,7,FALSE)+0,'Clients R2'!$A:$CY,30,FALSE))))</f>
        <v/>
      </c>
      <c r="V764" t="str">
        <f>IF($A764="","",LEFT(UPPER(IF(ISERROR(VLOOKUP(LEFT('1) Import fichier Remi (coller)'!$A764,9),'Concordance client liv et fact'!$A:$H,8,FALSE))=TRUE,IF(VLOOKUP(LEFT('1) Import fichier Remi (coller)'!$A764,9)+0,'Clients R2'!$A:$CY,22,FALSE)=4,"NA",VLOOKUP(LEFT('1) Import fichier Remi (coller)'!$A764,9)+0,'Clients R2'!$A:$CY,3,FALSE)),IF(VLOOKUP(VLOOKUP(LEFT('1) Import fichier Remi (coller)'!$A764,9),'Concordance client liv et fact'!$A:$H,7,FALSE)+0,'Clients R2'!$A:$CY,22,FALSE)=4,"NA",VLOOKUP(VLOOKUP(LEFT('1) Import fichier Remi (coller)'!$A764,9),'Concordance client liv et fact'!$A:$H,7,FALSE)+0,'Clients R2'!$A:$CY,3,FALSE)))),2))</f>
        <v/>
      </c>
      <c r="W764" s="27"/>
      <c r="X764" s="27"/>
      <c r="Y764" t="str">
        <f>IF(A764="","",VLOOKUP(A764,'Libellés PDF'!$A$2:$B$5,2,FALSE)&amp;F764&amp;".PDF")</f>
        <v/>
      </c>
      <c r="Z764" t="str">
        <f>IF(A764="","",IF(OR(H764="705099999",H764="705001002"),VLOOKUP('1) Import fichier Remi (coller)'!J764,'Analytique personnel'!$A:$B,2,FALSE),""))</f>
        <v/>
      </c>
      <c r="AA764" t="str">
        <f>IF($A764="VE11","",IF(LEFT($H764,4)="7050","",IF('1) Import fichier Remi (coller)'!M764="","",'1) Import fichier Remi (coller)'!M764)))</f>
        <v/>
      </c>
      <c r="AB764" t="str">
        <f>IF($A764="VE11","",IF(LEFT($H764,4)="7050","",IF('1) Import fichier Remi (coller)'!N764="","",'1) Import fichier Remi (coller)'!N764)))</f>
        <v/>
      </c>
      <c r="AC764" t="str">
        <f>IF(A764="","",VLOOKUP(LEFT('1) Import fichier Remi (coller)'!A764,9)+0,'Concordance Client R2 BOB'!$B:$C,2,FALSE))</f>
        <v/>
      </c>
    </row>
    <row r="765" spans="1:29" ht="18.75" customHeight="1" x14ac:dyDescent="0.25">
      <c r="A765" t="str">
        <f>IF('1) Import fichier Remi (coller)'!D765="","",'1) Import fichier Remi (coller)'!D765)</f>
        <v/>
      </c>
      <c r="B765" t="str">
        <f>IF(A765="","",YEAR('1) Import fichier Remi (coller)'!F765))</f>
        <v/>
      </c>
      <c r="C765" t="str">
        <f>IF(A765="","",MONTH('1) Import fichier Remi (coller)'!F765))</f>
        <v/>
      </c>
      <c r="D765" s="1" t="str">
        <f>IF(A765="","",'1) Import fichier Remi (coller)'!F765)</f>
        <v/>
      </c>
      <c r="E765" s="1" t="str">
        <f>IF(A765="","",'1) Import fichier Remi (coller)'!G765)</f>
        <v/>
      </c>
      <c r="F765" t="str">
        <f>IF(A765="","",'1) Import fichier Remi (coller)'!E765)</f>
        <v/>
      </c>
      <c r="G765" t="str">
        <f>IF(A765="","",IF(ISERROR(VLOOKUP(LEFT('1) Import fichier Remi (coller)'!A765,9),'Concordance client liv et fact'!$A:$H,8,FALSE))=TRUE,'1) Import fichier Remi (coller)'!B765,VLOOKUP(LEFT('1) Import fichier Remi (coller)'!A765,9),'Concordance client liv et fact'!$A:$H,8,FALSE)))</f>
        <v/>
      </c>
      <c r="H765" t="str">
        <f>IF(A765="","",IF(ISERROR(VLOOKUP('1) Import fichier Remi (coller)'!K765&amp;" - "&amp;'1) Import fichier Remi (coller)'!L765,'Spécifique comptes'!$A:$G,1,FALSE))=TRUE,'1) Import fichier Remi (coller)'!V765,VLOOKUP('1) Import fichier Remi (coller)'!K765&amp;" - "&amp;'1) Import fichier Remi (coller)'!L765,'Spécifique comptes'!$A:$G,IF(LEFT('2) BOB compta (completer-forcer'!F765,2)="11",4,IF(LEFT('2) BOB compta (completer-forcer'!F765,2)="12",5,IF(LEFT('2) BOB compta (completer-forcer'!F765,2)="13",6,IF(LEFT('2) BOB compta (completer-forcer'!F765,2)="15",7,"Erreur Compte")))),FALSE)))</f>
        <v/>
      </c>
      <c r="I765" s="26" t="str">
        <f>IF(A765="","",IF(H765="70100000",'1) Import fichier Remi (coller)'!J765,'1) Import fichier Remi (coller)'!U765))</f>
        <v/>
      </c>
      <c r="J765" s="26" t="str">
        <f>IF(A765="","",'1) Import fichier Remi (coller)'!U765)</f>
        <v/>
      </c>
      <c r="K765" s="17" t="str">
        <f t="shared" si="3"/>
        <v/>
      </c>
      <c r="L765" t="str">
        <f t="shared" si="2"/>
        <v/>
      </c>
      <c r="M765" s="14" t="str">
        <f>IF(A765="","",'1) Import fichier Remi (coller)'!S765)</f>
        <v/>
      </c>
      <c r="N765" s="17" t="str">
        <f>IF($A765="","",IF(OR($A765="NCV",$A765="NC15"),-'1) Import fichier Remi (coller)'!R765,'1) Import fichier Remi (coller)'!R765))</f>
        <v/>
      </c>
      <c r="O765" s="17" t="str">
        <f>IF($A765="","",IF(OR($A765="NCV",$A765="NC15"),-'1) Import fichier Remi (coller)'!T765,'1) Import fichier Remi (coller)'!T765))</f>
        <v/>
      </c>
      <c r="R765" t="str">
        <f>IF($A765="","",IF(ISERROR(VLOOKUP(LEFT('1) Import fichier Remi (coller)'!$A765,9),'Concordance client liv et fact'!$A:$H,8,FALSE))=TRUE,VLOOKUP(LEFT('1) Import fichier Remi (coller)'!$A765,9)+0,'Clients R2'!$A:$CY,2,FALSE),VLOOKUP(VLOOKUP(LEFT('1) Import fichier Remi (coller)'!$A765,9),'Concordance client liv et fact'!$A:$H,7,FALSE)+0,'Clients R2'!$A:$CY,2,FALSE)))</f>
        <v/>
      </c>
      <c r="S765" t="str">
        <f>IF($A765="","",PROPER(IF(ISERROR(VLOOKUP(LEFT('1) Import fichier Remi (coller)'!$A765,9),'Concordance client liv et fact'!$A:$H,8,FALSE))=TRUE,VLOOKUP(LEFT('1) Import fichier Remi (coller)'!$A765,9)+0,'Clients R2'!$A:$CY,27,FALSE),VLOOKUP(VLOOKUP(LEFT('1) Import fichier Remi (coller)'!$A765,9),'Concordance client liv et fact'!$A:$H,7,FALSE)+0,'Clients R2'!$A:$CY,27,FALSE))))</f>
        <v/>
      </c>
      <c r="T765" t="str">
        <f>IF($A765="","",LEFT(UPPER(IF(ISERROR(VLOOKUP(LEFT('1) Import fichier Remi (coller)'!$A765,9),'Concordance client liv et fact'!$A:$H,8,FALSE))=TRUE,VLOOKUP(LEFT('1) Import fichier Remi (coller)'!$A765,9)+0,'Clients R2'!$A:$CY,28,FALSE),VLOOKUP(VLOOKUP(LEFT('1) Import fichier Remi (coller)'!$A765,9),'Concordance client liv et fact'!$A:$H,7,FALSE)+0,'Clients R2'!$A:$CY,28,FALSE))),2)&amp;UPPER(IF(ISERROR(VLOOKUP(LEFT('1) Import fichier Remi (coller)'!$A765,9),'Concordance client liv et fact'!$A:$H,8,FALSE))=TRUE,VLOOKUP(LEFT('1) Import fichier Remi (coller)'!$A765,9)+0,'Clients R2'!$A:$CY,29,FALSE),VLOOKUP(VLOOKUP(LEFT('1) Import fichier Remi (coller)'!$A765,9),'Concordance client liv et fact'!$A:$H,7,FALSE)+0,'Clients R2'!$A:$CY,29,FALSE))))</f>
        <v/>
      </c>
      <c r="U765" t="str">
        <f>IF($A765="","",PROPER(IF(ISERROR(VLOOKUP(LEFT('1) Import fichier Remi (coller)'!$A765,9),'Concordance client liv et fact'!$A:$H,8,FALSE))=TRUE,VLOOKUP(LEFT('1) Import fichier Remi (coller)'!$A765,9)+0,'Clients R2'!$A:$CY,30,FALSE),VLOOKUP(VLOOKUP(LEFT('1) Import fichier Remi (coller)'!$A765,9),'Concordance client liv et fact'!$A:$H,7,FALSE)+0,'Clients R2'!$A:$CY,30,FALSE))))</f>
        <v/>
      </c>
      <c r="V765" t="str">
        <f>IF($A765="","",LEFT(UPPER(IF(ISERROR(VLOOKUP(LEFT('1) Import fichier Remi (coller)'!$A765,9),'Concordance client liv et fact'!$A:$H,8,FALSE))=TRUE,IF(VLOOKUP(LEFT('1) Import fichier Remi (coller)'!$A765,9)+0,'Clients R2'!$A:$CY,22,FALSE)=4,"NA",VLOOKUP(LEFT('1) Import fichier Remi (coller)'!$A765,9)+0,'Clients R2'!$A:$CY,3,FALSE)),IF(VLOOKUP(VLOOKUP(LEFT('1) Import fichier Remi (coller)'!$A765,9),'Concordance client liv et fact'!$A:$H,7,FALSE)+0,'Clients R2'!$A:$CY,22,FALSE)=4,"NA",VLOOKUP(VLOOKUP(LEFT('1) Import fichier Remi (coller)'!$A765,9),'Concordance client liv et fact'!$A:$H,7,FALSE)+0,'Clients R2'!$A:$CY,3,FALSE)))),2))</f>
        <v/>
      </c>
      <c r="W765" s="27"/>
      <c r="X765" s="27"/>
      <c r="Y765" t="str">
        <f>IF(A765="","",VLOOKUP(A765,'Libellés PDF'!$A$2:$B$5,2,FALSE)&amp;F765&amp;".PDF")</f>
        <v/>
      </c>
      <c r="Z765" t="str">
        <f>IF(A765="","",IF(OR(H765="705099999",H765="705001002"),VLOOKUP('1) Import fichier Remi (coller)'!J765,'Analytique personnel'!$A:$B,2,FALSE),""))</f>
        <v/>
      </c>
      <c r="AA765" t="str">
        <f>IF($A765="VE11","",IF(LEFT($H765,4)="7050","",IF('1) Import fichier Remi (coller)'!M765="","",'1) Import fichier Remi (coller)'!M765)))</f>
        <v/>
      </c>
      <c r="AB765" t="str">
        <f>IF($A765="VE11","",IF(LEFT($H765,4)="7050","",IF('1) Import fichier Remi (coller)'!N765="","",'1) Import fichier Remi (coller)'!N765)))</f>
        <v/>
      </c>
      <c r="AC765" t="str">
        <f>IF(A765="","",VLOOKUP(LEFT('1) Import fichier Remi (coller)'!A765,9)+0,'Concordance Client R2 BOB'!$B:$C,2,FALSE))</f>
        <v/>
      </c>
    </row>
    <row r="766" spans="1:29" ht="18.75" customHeight="1" x14ac:dyDescent="0.25">
      <c r="A766" t="str">
        <f>IF('1) Import fichier Remi (coller)'!D766="","",'1) Import fichier Remi (coller)'!D766)</f>
        <v/>
      </c>
      <c r="B766" t="str">
        <f>IF(A766="","",YEAR('1) Import fichier Remi (coller)'!F766))</f>
        <v/>
      </c>
      <c r="C766" t="str">
        <f>IF(A766="","",MONTH('1) Import fichier Remi (coller)'!F766))</f>
        <v/>
      </c>
      <c r="D766" s="1" t="str">
        <f>IF(A766="","",'1) Import fichier Remi (coller)'!F766)</f>
        <v/>
      </c>
      <c r="E766" s="1" t="str">
        <f>IF(A766="","",'1) Import fichier Remi (coller)'!G766)</f>
        <v/>
      </c>
      <c r="F766" t="str">
        <f>IF(A766="","",'1) Import fichier Remi (coller)'!E766)</f>
        <v/>
      </c>
      <c r="G766" t="str">
        <f>IF(A766="","",IF(ISERROR(VLOOKUP(LEFT('1) Import fichier Remi (coller)'!A766,9),'Concordance client liv et fact'!$A:$H,8,FALSE))=TRUE,'1) Import fichier Remi (coller)'!B766,VLOOKUP(LEFT('1) Import fichier Remi (coller)'!A766,9),'Concordance client liv et fact'!$A:$H,8,FALSE)))</f>
        <v/>
      </c>
      <c r="H766" t="str">
        <f>IF(A766="","",IF(ISERROR(VLOOKUP('1) Import fichier Remi (coller)'!K766&amp;" - "&amp;'1) Import fichier Remi (coller)'!L766,'Spécifique comptes'!$A:$G,1,FALSE))=TRUE,'1) Import fichier Remi (coller)'!V766,VLOOKUP('1) Import fichier Remi (coller)'!K766&amp;" - "&amp;'1) Import fichier Remi (coller)'!L766,'Spécifique comptes'!$A:$G,IF(LEFT('2) BOB compta (completer-forcer'!F766,2)="11",4,IF(LEFT('2) BOB compta (completer-forcer'!F766,2)="12",5,IF(LEFT('2) BOB compta (completer-forcer'!F766,2)="13",6,IF(LEFT('2) BOB compta (completer-forcer'!F766,2)="15",7,"Erreur Compte")))),FALSE)))</f>
        <v/>
      </c>
      <c r="I766" s="26" t="str">
        <f>IF(A766="","",IF(H766="70100000",'1) Import fichier Remi (coller)'!J766,'1) Import fichier Remi (coller)'!U766))</f>
        <v/>
      </c>
      <c r="J766" s="26" t="str">
        <f>IF(A766="","",'1) Import fichier Remi (coller)'!U766)</f>
        <v/>
      </c>
      <c r="K766" s="17" t="str">
        <f t="shared" si="3"/>
        <v/>
      </c>
      <c r="L766" t="str">
        <f t="shared" si="2"/>
        <v/>
      </c>
      <c r="M766" s="14" t="str">
        <f>IF(A766="","",'1) Import fichier Remi (coller)'!S766)</f>
        <v/>
      </c>
      <c r="N766" s="17" t="str">
        <f>IF($A766="","",IF(OR($A766="NCV",$A766="NC15"),-'1) Import fichier Remi (coller)'!R766,'1) Import fichier Remi (coller)'!R766))</f>
        <v/>
      </c>
      <c r="O766" s="17" t="str">
        <f>IF($A766="","",IF(OR($A766="NCV",$A766="NC15"),-'1) Import fichier Remi (coller)'!T766,'1) Import fichier Remi (coller)'!T766))</f>
        <v/>
      </c>
      <c r="R766" t="str">
        <f>IF($A766="","",IF(ISERROR(VLOOKUP(LEFT('1) Import fichier Remi (coller)'!$A766,9),'Concordance client liv et fact'!$A:$H,8,FALSE))=TRUE,VLOOKUP(LEFT('1) Import fichier Remi (coller)'!$A766,9)+0,'Clients R2'!$A:$CY,2,FALSE),VLOOKUP(VLOOKUP(LEFT('1) Import fichier Remi (coller)'!$A766,9),'Concordance client liv et fact'!$A:$H,7,FALSE)+0,'Clients R2'!$A:$CY,2,FALSE)))</f>
        <v/>
      </c>
      <c r="S766" t="str">
        <f>IF($A766="","",PROPER(IF(ISERROR(VLOOKUP(LEFT('1) Import fichier Remi (coller)'!$A766,9),'Concordance client liv et fact'!$A:$H,8,FALSE))=TRUE,VLOOKUP(LEFT('1) Import fichier Remi (coller)'!$A766,9)+0,'Clients R2'!$A:$CY,27,FALSE),VLOOKUP(VLOOKUP(LEFT('1) Import fichier Remi (coller)'!$A766,9),'Concordance client liv et fact'!$A:$H,7,FALSE)+0,'Clients R2'!$A:$CY,27,FALSE))))</f>
        <v/>
      </c>
      <c r="T766" t="str">
        <f>IF($A766="","",LEFT(UPPER(IF(ISERROR(VLOOKUP(LEFT('1) Import fichier Remi (coller)'!$A766,9),'Concordance client liv et fact'!$A:$H,8,FALSE))=TRUE,VLOOKUP(LEFT('1) Import fichier Remi (coller)'!$A766,9)+0,'Clients R2'!$A:$CY,28,FALSE),VLOOKUP(VLOOKUP(LEFT('1) Import fichier Remi (coller)'!$A766,9),'Concordance client liv et fact'!$A:$H,7,FALSE)+0,'Clients R2'!$A:$CY,28,FALSE))),2)&amp;UPPER(IF(ISERROR(VLOOKUP(LEFT('1) Import fichier Remi (coller)'!$A766,9),'Concordance client liv et fact'!$A:$H,8,FALSE))=TRUE,VLOOKUP(LEFT('1) Import fichier Remi (coller)'!$A766,9)+0,'Clients R2'!$A:$CY,29,FALSE),VLOOKUP(VLOOKUP(LEFT('1) Import fichier Remi (coller)'!$A766,9),'Concordance client liv et fact'!$A:$H,7,FALSE)+0,'Clients R2'!$A:$CY,29,FALSE))))</f>
        <v/>
      </c>
      <c r="U766" t="str">
        <f>IF($A766="","",PROPER(IF(ISERROR(VLOOKUP(LEFT('1) Import fichier Remi (coller)'!$A766,9),'Concordance client liv et fact'!$A:$H,8,FALSE))=TRUE,VLOOKUP(LEFT('1) Import fichier Remi (coller)'!$A766,9)+0,'Clients R2'!$A:$CY,30,FALSE),VLOOKUP(VLOOKUP(LEFT('1) Import fichier Remi (coller)'!$A766,9),'Concordance client liv et fact'!$A:$H,7,FALSE)+0,'Clients R2'!$A:$CY,30,FALSE))))</f>
        <v/>
      </c>
      <c r="V766" t="str">
        <f>IF($A766="","",LEFT(UPPER(IF(ISERROR(VLOOKUP(LEFT('1) Import fichier Remi (coller)'!$A766,9),'Concordance client liv et fact'!$A:$H,8,FALSE))=TRUE,IF(VLOOKUP(LEFT('1) Import fichier Remi (coller)'!$A766,9)+0,'Clients R2'!$A:$CY,22,FALSE)=4,"NA",VLOOKUP(LEFT('1) Import fichier Remi (coller)'!$A766,9)+0,'Clients R2'!$A:$CY,3,FALSE)),IF(VLOOKUP(VLOOKUP(LEFT('1) Import fichier Remi (coller)'!$A766,9),'Concordance client liv et fact'!$A:$H,7,FALSE)+0,'Clients R2'!$A:$CY,22,FALSE)=4,"NA",VLOOKUP(VLOOKUP(LEFT('1) Import fichier Remi (coller)'!$A766,9),'Concordance client liv et fact'!$A:$H,7,FALSE)+0,'Clients R2'!$A:$CY,3,FALSE)))),2))</f>
        <v/>
      </c>
      <c r="W766" s="27"/>
      <c r="X766" s="27"/>
      <c r="Y766" t="str">
        <f>IF(A766="","",VLOOKUP(A766,'Libellés PDF'!$A$2:$B$5,2,FALSE)&amp;F766&amp;".PDF")</f>
        <v/>
      </c>
      <c r="Z766" t="str">
        <f>IF(A766="","",IF(OR(H766="705099999",H766="705001002"),VLOOKUP('1) Import fichier Remi (coller)'!J766,'Analytique personnel'!$A:$B,2,FALSE),""))</f>
        <v/>
      </c>
      <c r="AA766" t="str">
        <f>IF($A766="VE11","",IF(LEFT($H766,4)="7050","",IF('1) Import fichier Remi (coller)'!M766="","",'1) Import fichier Remi (coller)'!M766)))</f>
        <v/>
      </c>
      <c r="AB766" t="str">
        <f>IF($A766="VE11","",IF(LEFT($H766,4)="7050","",IF('1) Import fichier Remi (coller)'!N766="","",'1) Import fichier Remi (coller)'!N766)))</f>
        <v/>
      </c>
      <c r="AC766" t="str">
        <f>IF(A766="","",VLOOKUP(LEFT('1) Import fichier Remi (coller)'!A766,9)+0,'Concordance Client R2 BOB'!$B:$C,2,FALSE))</f>
        <v/>
      </c>
    </row>
    <row r="767" spans="1:29" ht="18.75" customHeight="1" x14ac:dyDescent="0.25">
      <c r="A767" t="str">
        <f>IF('1) Import fichier Remi (coller)'!D767="","",'1) Import fichier Remi (coller)'!D767)</f>
        <v/>
      </c>
      <c r="B767" t="str">
        <f>IF(A767="","",YEAR('1) Import fichier Remi (coller)'!F767))</f>
        <v/>
      </c>
      <c r="C767" t="str">
        <f>IF(A767="","",MONTH('1) Import fichier Remi (coller)'!F767))</f>
        <v/>
      </c>
      <c r="D767" s="1" t="str">
        <f>IF(A767="","",'1) Import fichier Remi (coller)'!F767)</f>
        <v/>
      </c>
      <c r="E767" s="1" t="str">
        <f>IF(A767="","",'1) Import fichier Remi (coller)'!G767)</f>
        <v/>
      </c>
      <c r="F767" t="str">
        <f>IF(A767="","",'1) Import fichier Remi (coller)'!E767)</f>
        <v/>
      </c>
      <c r="G767" t="str">
        <f>IF(A767="","",IF(ISERROR(VLOOKUP(LEFT('1) Import fichier Remi (coller)'!A767,9),'Concordance client liv et fact'!$A:$H,8,FALSE))=TRUE,'1) Import fichier Remi (coller)'!B767,VLOOKUP(LEFT('1) Import fichier Remi (coller)'!A767,9),'Concordance client liv et fact'!$A:$H,8,FALSE)))</f>
        <v/>
      </c>
      <c r="H767" t="str">
        <f>IF(A767="","",IF(ISERROR(VLOOKUP('1) Import fichier Remi (coller)'!K767&amp;" - "&amp;'1) Import fichier Remi (coller)'!L767,'Spécifique comptes'!$A:$G,1,FALSE))=TRUE,'1) Import fichier Remi (coller)'!V767,VLOOKUP('1) Import fichier Remi (coller)'!K767&amp;" - "&amp;'1) Import fichier Remi (coller)'!L767,'Spécifique comptes'!$A:$G,IF(LEFT('2) BOB compta (completer-forcer'!F767,2)="11",4,IF(LEFT('2) BOB compta (completer-forcer'!F767,2)="12",5,IF(LEFT('2) BOB compta (completer-forcer'!F767,2)="13",6,IF(LEFT('2) BOB compta (completer-forcer'!F767,2)="15",7,"Erreur Compte")))),FALSE)))</f>
        <v/>
      </c>
      <c r="I767" s="26" t="str">
        <f>IF(A767="","",IF(H767="70100000",'1) Import fichier Remi (coller)'!J767,'1) Import fichier Remi (coller)'!U767))</f>
        <v/>
      </c>
      <c r="J767" s="26" t="str">
        <f>IF(A767="","",'1) Import fichier Remi (coller)'!U767)</f>
        <v/>
      </c>
      <c r="K767" s="17" t="str">
        <f t="shared" si="3"/>
        <v/>
      </c>
      <c r="L767" t="str">
        <f t="shared" si="2"/>
        <v/>
      </c>
      <c r="M767" s="14" t="str">
        <f>IF(A767="","",'1) Import fichier Remi (coller)'!S767)</f>
        <v/>
      </c>
      <c r="N767" s="17" t="str">
        <f>IF($A767="","",IF(OR($A767="NCV",$A767="NC15"),-'1) Import fichier Remi (coller)'!R767,'1) Import fichier Remi (coller)'!R767))</f>
        <v/>
      </c>
      <c r="O767" s="17" t="str">
        <f>IF($A767="","",IF(OR($A767="NCV",$A767="NC15"),-'1) Import fichier Remi (coller)'!T767,'1) Import fichier Remi (coller)'!T767))</f>
        <v/>
      </c>
      <c r="R767" t="str">
        <f>IF($A767="","",IF(ISERROR(VLOOKUP(LEFT('1) Import fichier Remi (coller)'!$A767,9),'Concordance client liv et fact'!$A:$H,8,FALSE))=TRUE,VLOOKUP(LEFT('1) Import fichier Remi (coller)'!$A767,9)+0,'Clients R2'!$A:$CY,2,FALSE),VLOOKUP(VLOOKUP(LEFT('1) Import fichier Remi (coller)'!$A767,9),'Concordance client liv et fact'!$A:$H,7,FALSE)+0,'Clients R2'!$A:$CY,2,FALSE)))</f>
        <v/>
      </c>
      <c r="S767" t="str">
        <f>IF($A767="","",PROPER(IF(ISERROR(VLOOKUP(LEFT('1) Import fichier Remi (coller)'!$A767,9),'Concordance client liv et fact'!$A:$H,8,FALSE))=TRUE,VLOOKUP(LEFT('1) Import fichier Remi (coller)'!$A767,9)+0,'Clients R2'!$A:$CY,27,FALSE),VLOOKUP(VLOOKUP(LEFT('1) Import fichier Remi (coller)'!$A767,9),'Concordance client liv et fact'!$A:$H,7,FALSE)+0,'Clients R2'!$A:$CY,27,FALSE))))</f>
        <v/>
      </c>
      <c r="T767" t="str">
        <f>IF($A767="","",LEFT(UPPER(IF(ISERROR(VLOOKUP(LEFT('1) Import fichier Remi (coller)'!$A767,9),'Concordance client liv et fact'!$A:$H,8,FALSE))=TRUE,VLOOKUP(LEFT('1) Import fichier Remi (coller)'!$A767,9)+0,'Clients R2'!$A:$CY,28,FALSE),VLOOKUP(VLOOKUP(LEFT('1) Import fichier Remi (coller)'!$A767,9),'Concordance client liv et fact'!$A:$H,7,FALSE)+0,'Clients R2'!$A:$CY,28,FALSE))),2)&amp;UPPER(IF(ISERROR(VLOOKUP(LEFT('1) Import fichier Remi (coller)'!$A767,9),'Concordance client liv et fact'!$A:$H,8,FALSE))=TRUE,VLOOKUP(LEFT('1) Import fichier Remi (coller)'!$A767,9)+0,'Clients R2'!$A:$CY,29,FALSE),VLOOKUP(VLOOKUP(LEFT('1) Import fichier Remi (coller)'!$A767,9),'Concordance client liv et fact'!$A:$H,7,FALSE)+0,'Clients R2'!$A:$CY,29,FALSE))))</f>
        <v/>
      </c>
      <c r="U767" t="str">
        <f>IF($A767="","",PROPER(IF(ISERROR(VLOOKUP(LEFT('1) Import fichier Remi (coller)'!$A767,9),'Concordance client liv et fact'!$A:$H,8,FALSE))=TRUE,VLOOKUP(LEFT('1) Import fichier Remi (coller)'!$A767,9)+0,'Clients R2'!$A:$CY,30,FALSE),VLOOKUP(VLOOKUP(LEFT('1) Import fichier Remi (coller)'!$A767,9),'Concordance client liv et fact'!$A:$H,7,FALSE)+0,'Clients R2'!$A:$CY,30,FALSE))))</f>
        <v/>
      </c>
      <c r="V767" t="str">
        <f>IF($A767="","",LEFT(UPPER(IF(ISERROR(VLOOKUP(LEFT('1) Import fichier Remi (coller)'!$A767,9),'Concordance client liv et fact'!$A:$H,8,FALSE))=TRUE,IF(VLOOKUP(LEFT('1) Import fichier Remi (coller)'!$A767,9)+0,'Clients R2'!$A:$CY,22,FALSE)=4,"NA",VLOOKUP(LEFT('1) Import fichier Remi (coller)'!$A767,9)+0,'Clients R2'!$A:$CY,3,FALSE)),IF(VLOOKUP(VLOOKUP(LEFT('1) Import fichier Remi (coller)'!$A767,9),'Concordance client liv et fact'!$A:$H,7,FALSE)+0,'Clients R2'!$A:$CY,22,FALSE)=4,"NA",VLOOKUP(VLOOKUP(LEFT('1) Import fichier Remi (coller)'!$A767,9),'Concordance client liv et fact'!$A:$H,7,FALSE)+0,'Clients R2'!$A:$CY,3,FALSE)))),2))</f>
        <v/>
      </c>
      <c r="W767" s="27"/>
      <c r="X767" s="27"/>
      <c r="Y767" t="str">
        <f>IF(A767="","",VLOOKUP(A767,'Libellés PDF'!$A$2:$B$5,2,FALSE)&amp;F767&amp;".PDF")</f>
        <v/>
      </c>
      <c r="Z767" t="str">
        <f>IF(A767="","",IF(OR(H767="705099999",H767="705001002"),VLOOKUP('1) Import fichier Remi (coller)'!J767,'Analytique personnel'!$A:$B,2,FALSE),""))</f>
        <v/>
      </c>
      <c r="AA767" t="str">
        <f>IF($A767="VE11","",IF(LEFT($H767,4)="7050","",IF('1) Import fichier Remi (coller)'!M767="","",'1) Import fichier Remi (coller)'!M767)))</f>
        <v/>
      </c>
      <c r="AB767" t="str">
        <f>IF($A767="VE11","",IF(LEFT($H767,4)="7050","",IF('1) Import fichier Remi (coller)'!N767="","",'1) Import fichier Remi (coller)'!N767)))</f>
        <v/>
      </c>
      <c r="AC767" t="str">
        <f>IF(A767="","",VLOOKUP(LEFT('1) Import fichier Remi (coller)'!A767,9)+0,'Concordance Client R2 BOB'!$B:$C,2,FALSE))</f>
        <v/>
      </c>
    </row>
    <row r="768" spans="1:29" ht="18.75" customHeight="1" x14ac:dyDescent="0.25">
      <c r="A768" t="str">
        <f>IF('1) Import fichier Remi (coller)'!D768="","",'1) Import fichier Remi (coller)'!D768)</f>
        <v/>
      </c>
      <c r="B768" t="str">
        <f>IF(A768="","",YEAR('1) Import fichier Remi (coller)'!F768))</f>
        <v/>
      </c>
      <c r="C768" t="str">
        <f>IF(A768="","",MONTH('1) Import fichier Remi (coller)'!F768))</f>
        <v/>
      </c>
      <c r="D768" s="1" t="str">
        <f>IF(A768="","",'1) Import fichier Remi (coller)'!F768)</f>
        <v/>
      </c>
      <c r="E768" s="1" t="str">
        <f>IF(A768="","",'1) Import fichier Remi (coller)'!G768)</f>
        <v/>
      </c>
      <c r="F768" t="str">
        <f>IF(A768="","",'1) Import fichier Remi (coller)'!E768)</f>
        <v/>
      </c>
      <c r="G768" t="str">
        <f>IF(A768="","",IF(ISERROR(VLOOKUP(LEFT('1) Import fichier Remi (coller)'!A768,9),'Concordance client liv et fact'!$A:$H,8,FALSE))=TRUE,'1) Import fichier Remi (coller)'!B768,VLOOKUP(LEFT('1) Import fichier Remi (coller)'!A768,9),'Concordance client liv et fact'!$A:$H,8,FALSE)))</f>
        <v/>
      </c>
      <c r="H768" t="str">
        <f>IF(A768="","",IF(ISERROR(VLOOKUP('1) Import fichier Remi (coller)'!K768&amp;" - "&amp;'1) Import fichier Remi (coller)'!L768,'Spécifique comptes'!$A:$G,1,FALSE))=TRUE,'1) Import fichier Remi (coller)'!V768,VLOOKUP('1) Import fichier Remi (coller)'!K768&amp;" - "&amp;'1) Import fichier Remi (coller)'!L768,'Spécifique comptes'!$A:$G,IF(LEFT('2) BOB compta (completer-forcer'!F768,2)="11",4,IF(LEFT('2) BOB compta (completer-forcer'!F768,2)="12",5,IF(LEFT('2) BOB compta (completer-forcer'!F768,2)="13",6,IF(LEFT('2) BOB compta (completer-forcer'!F768,2)="15",7,"Erreur Compte")))),FALSE)))</f>
        <v/>
      </c>
      <c r="I768" s="26" t="str">
        <f>IF(A768="","",IF(H768="70100000",'1) Import fichier Remi (coller)'!J768,'1) Import fichier Remi (coller)'!U768))</f>
        <v/>
      </c>
      <c r="J768" s="26" t="str">
        <f>IF(A768="","",'1) Import fichier Remi (coller)'!U768)</f>
        <v/>
      </c>
      <c r="K768" s="17" t="str">
        <f t="shared" si="3"/>
        <v/>
      </c>
      <c r="L768" t="str">
        <f t="shared" si="2"/>
        <v/>
      </c>
      <c r="M768" s="14" t="str">
        <f>IF(A768="","",'1) Import fichier Remi (coller)'!S768)</f>
        <v/>
      </c>
      <c r="N768" s="17" t="str">
        <f>IF($A768="","",IF(OR($A768="NCV",$A768="NC15"),-'1) Import fichier Remi (coller)'!R768,'1) Import fichier Remi (coller)'!R768))</f>
        <v/>
      </c>
      <c r="O768" s="17" t="str">
        <f>IF($A768="","",IF(OR($A768="NCV",$A768="NC15"),-'1) Import fichier Remi (coller)'!T768,'1) Import fichier Remi (coller)'!T768))</f>
        <v/>
      </c>
      <c r="R768" t="str">
        <f>IF($A768="","",IF(ISERROR(VLOOKUP(LEFT('1) Import fichier Remi (coller)'!$A768,9),'Concordance client liv et fact'!$A:$H,8,FALSE))=TRUE,VLOOKUP(LEFT('1) Import fichier Remi (coller)'!$A768,9)+0,'Clients R2'!$A:$CY,2,FALSE),VLOOKUP(VLOOKUP(LEFT('1) Import fichier Remi (coller)'!$A768,9),'Concordance client liv et fact'!$A:$H,7,FALSE)+0,'Clients R2'!$A:$CY,2,FALSE)))</f>
        <v/>
      </c>
      <c r="S768" t="str">
        <f>IF($A768="","",PROPER(IF(ISERROR(VLOOKUP(LEFT('1) Import fichier Remi (coller)'!$A768,9),'Concordance client liv et fact'!$A:$H,8,FALSE))=TRUE,VLOOKUP(LEFT('1) Import fichier Remi (coller)'!$A768,9)+0,'Clients R2'!$A:$CY,27,FALSE),VLOOKUP(VLOOKUP(LEFT('1) Import fichier Remi (coller)'!$A768,9),'Concordance client liv et fact'!$A:$H,7,FALSE)+0,'Clients R2'!$A:$CY,27,FALSE))))</f>
        <v/>
      </c>
      <c r="T768" t="str">
        <f>IF($A768="","",LEFT(UPPER(IF(ISERROR(VLOOKUP(LEFT('1) Import fichier Remi (coller)'!$A768,9),'Concordance client liv et fact'!$A:$H,8,FALSE))=TRUE,VLOOKUP(LEFT('1) Import fichier Remi (coller)'!$A768,9)+0,'Clients R2'!$A:$CY,28,FALSE),VLOOKUP(VLOOKUP(LEFT('1) Import fichier Remi (coller)'!$A768,9),'Concordance client liv et fact'!$A:$H,7,FALSE)+0,'Clients R2'!$A:$CY,28,FALSE))),2)&amp;UPPER(IF(ISERROR(VLOOKUP(LEFT('1) Import fichier Remi (coller)'!$A768,9),'Concordance client liv et fact'!$A:$H,8,FALSE))=TRUE,VLOOKUP(LEFT('1) Import fichier Remi (coller)'!$A768,9)+0,'Clients R2'!$A:$CY,29,FALSE),VLOOKUP(VLOOKUP(LEFT('1) Import fichier Remi (coller)'!$A768,9),'Concordance client liv et fact'!$A:$H,7,FALSE)+0,'Clients R2'!$A:$CY,29,FALSE))))</f>
        <v/>
      </c>
      <c r="U768" t="str">
        <f>IF($A768="","",PROPER(IF(ISERROR(VLOOKUP(LEFT('1) Import fichier Remi (coller)'!$A768,9),'Concordance client liv et fact'!$A:$H,8,FALSE))=TRUE,VLOOKUP(LEFT('1) Import fichier Remi (coller)'!$A768,9)+0,'Clients R2'!$A:$CY,30,FALSE),VLOOKUP(VLOOKUP(LEFT('1) Import fichier Remi (coller)'!$A768,9),'Concordance client liv et fact'!$A:$H,7,FALSE)+0,'Clients R2'!$A:$CY,30,FALSE))))</f>
        <v/>
      </c>
      <c r="V768" t="str">
        <f>IF($A768="","",LEFT(UPPER(IF(ISERROR(VLOOKUP(LEFT('1) Import fichier Remi (coller)'!$A768,9),'Concordance client liv et fact'!$A:$H,8,FALSE))=TRUE,IF(VLOOKUP(LEFT('1) Import fichier Remi (coller)'!$A768,9)+0,'Clients R2'!$A:$CY,22,FALSE)=4,"NA",VLOOKUP(LEFT('1) Import fichier Remi (coller)'!$A768,9)+0,'Clients R2'!$A:$CY,3,FALSE)),IF(VLOOKUP(VLOOKUP(LEFT('1) Import fichier Remi (coller)'!$A768,9),'Concordance client liv et fact'!$A:$H,7,FALSE)+0,'Clients R2'!$A:$CY,22,FALSE)=4,"NA",VLOOKUP(VLOOKUP(LEFT('1) Import fichier Remi (coller)'!$A768,9),'Concordance client liv et fact'!$A:$H,7,FALSE)+0,'Clients R2'!$A:$CY,3,FALSE)))),2))</f>
        <v/>
      </c>
      <c r="W768" s="27"/>
      <c r="X768" s="27"/>
      <c r="Y768" t="str">
        <f>IF(A768="","",VLOOKUP(A768,'Libellés PDF'!$A$2:$B$5,2,FALSE)&amp;F768&amp;".PDF")</f>
        <v/>
      </c>
      <c r="Z768" t="str">
        <f>IF(A768="","",IF(OR(H768="705099999",H768="705001002"),VLOOKUP('1) Import fichier Remi (coller)'!J768,'Analytique personnel'!$A:$B,2,FALSE),""))</f>
        <v/>
      </c>
      <c r="AA768" t="str">
        <f>IF($A768="VE11","",IF(LEFT($H768,4)="7050","",IF('1) Import fichier Remi (coller)'!M768="","",'1) Import fichier Remi (coller)'!M768)))</f>
        <v/>
      </c>
      <c r="AB768" t="str">
        <f>IF($A768="VE11","",IF(LEFT($H768,4)="7050","",IF('1) Import fichier Remi (coller)'!N768="","",'1) Import fichier Remi (coller)'!N768)))</f>
        <v/>
      </c>
      <c r="AC768" t="str">
        <f>IF(A768="","",VLOOKUP(LEFT('1) Import fichier Remi (coller)'!A768,9)+0,'Concordance Client R2 BOB'!$B:$C,2,FALSE))</f>
        <v/>
      </c>
    </row>
    <row r="769" spans="1:29" ht="18.75" customHeight="1" x14ac:dyDescent="0.25">
      <c r="A769" t="str">
        <f>IF('1) Import fichier Remi (coller)'!D769="","",'1) Import fichier Remi (coller)'!D769)</f>
        <v/>
      </c>
      <c r="B769" t="str">
        <f>IF(A769="","",YEAR('1) Import fichier Remi (coller)'!F769))</f>
        <v/>
      </c>
      <c r="C769" t="str">
        <f>IF(A769="","",MONTH('1) Import fichier Remi (coller)'!F769))</f>
        <v/>
      </c>
      <c r="D769" s="1" t="str">
        <f>IF(A769="","",'1) Import fichier Remi (coller)'!F769)</f>
        <v/>
      </c>
      <c r="E769" s="1" t="str">
        <f>IF(A769="","",'1) Import fichier Remi (coller)'!G769)</f>
        <v/>
      </c>
      <c r="F769" t="str">
        <f>IF(A769="","",'1) Import fichier Remi (coller)'!E769)</f>
        <v/>
      </c>
      <c r="G769" t="str">
        <f>IF(A769="","",IF(ISERROR(VLOOKUP(LEFT('1) Import fichier Remi (coller)'!A769,9),'Concordance client liv et fact'!$A:$H,8,FALSE))=TRUE,'1) Import fichier Remi (coller)'!B769,VLOOKUP(LEFT('1) Import fichier Remi (coller)'!A769,9),'Concordance client liv et fact'!$A:$H,8,FALSE)))</f>
        <v/>
      </c>
      <c r="H769" t="str">
        <f>IF(A769="","",IF(ISERROR(VLOOKUP('1) Import fichier Remi (coller)'!K769&amp;" - "&amp;'1) Import fichier Remi (coller)'!L769,'Spécifique comptes'!$A:$G,1,FALSE))=TRUE,'1) Import fichier Remi (coller)'!V769,VLOOKUP('1) Import fichier Remi (coller)'!K769&amp;" - "&amp;'1) Import fichier Remi (coller)'!L769,'Spécifique comptes'!$A:$G,IF(LEFT('2) BOB compta (completer-forcer'!F769,2)="11",4,IF(LEFT('2) BOB compta (completer-forcer'!F769,2)="12",5,IF(LEFT('2) BOB compta (completer-forcer'!F769,2)="13",6,IF(LEFT('2) BOB compta (completer-forcer'!F769,2)="15",7,"Erreur Compte")))),FALSE)))</f>
        <v/>
      </c>
      <c r="I769" s="26" t="str">
        <f>IF(A769="","",IF(H769="70100000",'1) Import fichier Remi (coller)'!J769,'1) Import fichier Remi (coller)'!U769))</f>
        <v/>
      </c>
      <c r="J769" s="26" t="str">
        <f>IF(A769="","",'1) Import fichier Remi (coller)'!U769)</f>
        <v/>
      </c>
      <c r="K769" s="17" t="str">
        <f t="shared" si="3"/>
        <v/>
      </c>
      <c r="L769" t="str">
        <f t="shared" si="2"/>
        <v/>
      </c>
      <c r="M769" s="14" t="str">
        <f>IF(A769="","",'1) Import fichier Remi (coller)'!S769)</f>
        <v/>
      </c>
      <c r="N769" s="17" t="str">
        <f>IF($A769="","",IF(OR($A769="NCV",$A769="NC15"),-'1) Import fichier Remi (coller)'!R769,'1) Import fichier Remi (coller)'!R769))</f>
        <v/>
      </c>
      <c r="O769" s="17" t="str">
        <f>IF($A769="","",IF(OR($A769="NCV",$A769="NC15"),-'1) Import fichier Remi (coller)'!T769,'1) Import fichier Remi (coller)'!T769))</f>
        <v/>
      </c>
      <c r="R769" t="str">
        <f>IF($A769="","",IF(ISERROR(VLOOKUP(LEFT('1) Import fichier Remi (coller)'!$A769,9),'Concordance client liv et fact'!$A:$H,8,FALSE))=TRUE,VLOOKUP(LEFT('1) Import fichier Remi (coller)'!$A769,9)+0,'Clients R2'!$A:$CY,2,FALSE),VLOOKUP(VLOOKUP(LEFT('1) Import fichier Remi (coller)'!$A769,9),'Concordance client liv et fact'!$A:$H,7,FALSE)+0,'Clients R2'!$A:$CY,2,FALSE)))</f>
        <v/>
      </c>
      <c r="S769" t="str">
        <f>IF($A769="","",PROPER(IF(ISERROR(VLOOKUP(LEFT('1) Import fichier Remi (coller)'!$A769,9),'Concordance client liv et fact'!$A:$H,8,FALSE))=TRUE,VLOOKUP(LEFT('1) Import fichier Remi (coller)'!$A769,9)+0,'Clients R2'!$A:$CY,27,FALSE),VLOOKUP(VLOOKUP(LEFT('1) Import fichier Remi (coller)'!$A769,9),'Concordance client liv et fact'!$A:$H,7,FALSE)+0,'Clients R2'!$A:$CY,27,FALSE))))</f>
        <v/>
      </c>
      <c r="T769" t="str">
        <f>IF($A769="","",LEFT(UPPER(IF(ISERROR(VLOOKUP(LEFT('1) Import fichier Remi (coller)'!$A769,9),'Concordance client liv et fact'!$A:$H,8,FALSE))=TRUE,VLOOKUP(LEFT('1) Import fichier Remi (coller)'!$A769,9)+0,'Clients R2'!$A:$CY,28,FALSE),VLOOKUP(VLOOKUP(LEFT('1) Import fichier Remi (coller)'!$A769,9),'Concordance client liv et fact'!$A:$H,7,FALSE)+0,'Clients R2'!$A:$CY,28,FALSE))),2)&amp;UPPER(IF(ISERROR(VLOOKUP(LEFT('1) Import fichier Remi (coller)'!$A769,9),'Concordance client liv et fact'!$A:$H,8,FALSE))=TRUE,VLOOKUP(LEFT('1) Import fichier Remi (coller)'!$A769,9)+0,'Clients R2'!$A:$CY,29,FALSE),VLOOKUP(VLOOKUP(LEFT('1) Import fichier Remi (coller)'!$A769,9),'Concordance client liv et fact'!$A:$H,7,FALSE)+0,'Clients R2'!$A:$CY,29,FALSE))))</f>
        <v/>
      </c>
      <c r="U769" t="str">
        <f>IF($A769="","",PROPER(IF(ISERROR(VLOOKUP(LEFT('1) Import fichier Remi (coller)'!$A769,9),'Concordance client liv et fact'!$A:$H,8,FALSE))=TRUE,VLOOKUP(LEFT('1) Import fichier Remi (coller)'!$A769,9)+0,'Clients R2'!$A:$CY,30,FALSE),VLOOKUP(VLOOKUP(LEFT('1) Import fichier Remi (coller)'!$A769,9),'Concordance client liv et fact'!$A:$H,7,FALSE)+0,'Clients R2'!$A:$CY,30,FALSE))))</f>
        <v/>
      </c>
      <c r="V769" t="str">
        <f>IF($A769="","",LEFT(UPPER(IF(ISERROR(VLOOKUP(LEFT('1) Import fichier Remi (coller)'!$A769,9),'Concordance client liv et fact'!$A:$H,8,FALSE))=TRUE,IF(VLOOKUP(LEFT('1) Import fichier Remi (coller)'!$A769,9)+0,'Clients R2'!$A:$CY,22,FALSE)=4,"NA",VLOOKUP(LEFT('1) Import fichier Remi (coller)'!$A769,9)+0,'Clients R2'!$A:$CY,3,FALSE)),IF(VLOOKUP(VLOOKUP(LEFT('1) Import fichier Remi (coller)'!$A769,9),'Concordance client liv et fact'!$A:$H,7,FALSE)+0,'Clients R2'!$A:$CY,22,FALSE)=4,"NA",VLOOKUP(VLOOKUP(LEFT('1) Import fichier Remi (coller)'!$A769,9),'Concordance client liv et fact'!$A:$H,7,FALSE)+0,'Clients R2'!$A:$CY,3,FALSE)))),2))</f>
        <v/>
      </c>
      <c r="W769" s="27"/>
      <c r="X769" s="27"/>
      <c r="Y769" t="str">
        <f>IF(A769="","",VLOOKUP(A769,'Libellés PDF'!$A$2:$B$5,2,FALSE)&amp;F769&amp;".PDF")</f>
        <v/>
      </c>
      <c r="Z769" t="str">
        <f>IF(A769="","",IF(OR(H769="705099999",H769="705001002"),VLOOKUP('1) Import fichier Remi (coller)'!J769,'Analytique personnel'!$A:$B,2,FALSE),""))</f>
        <v/>
      </c>
      <c r="AA769" t="str">
        <f>IF($A769="VE11","",IF(LEFT($H769,4)="7050","",IF('1) Import fichier Remi (coller)'!M769="","",'1) Import fichier Remi (coller)'!M769)))</f>
        <v/>
      </c>
      <c r="AB769" t="str">
        <f>IF($A769="VE11","",IF(LEFT($H769,4)="7050","",IF('1) Import fichier Remi (coller)'!N769="","",'1) Import fichier Remi (coller)'!N769)))</f>
        <v/>
      </c>
      <c r="AC769" t="str">
        <f>IF(A769="","",VLOOKUP(LEFT('1) Import fichier Remi (coller)'!A769,9)+0,'Concordance Client R2 BOB'!$B:$C,2,FALSE))</f>
        <v/>
      </c>
    </row>
    <row r="770" spans="1:29" ht="18.75" customHeight="1" x14ac:dyDescent="0.25">
      <c r="A770" t="str">
        <f>IF('1) Import fichier Remi (coller)'!D770="","",'1) Import fichier Remi (coller)'!D770)</f>
        <v/>
      </c>
      <c r="B770" t="str">
        <f>IF(A770="","",YEAR('1) Import fichier Remi (coller)'!F770))</f>
        <v/>
      </c>
      <c r="C770" t="str">
        <f>IF(A770="","",MONTH('1) Import fichier Remi (coller)'!F770))</f>
        <v/>
      </c>
      <c r="D770" s="1" t="str">
        <f>IF(A770="","",'1) Import fichier Remi (coller)'!F770)</f>
        <v/>
      </c>
      <c r="E770" s="1" t="str">
        <f>IF(A770="","",'1) Import fichier Remi (coller)'!G770)</f>
        <v/>
      </c>
      <c r="F770" t="str">
        <f>IF(A770="","",'1) Import fichier Remi (coller)'!E770)</f>
        <v/>
      </c>
      <c r="G770" t="str">
        <f>IF(A770="","",IF(ISERROR(VLOOKUP(LEFT('1) Import fichier Remi (coller)'!A770,9),'Concordance client liv et fact'!$A:$H,8,FALSE))=TRUE,'1) Import fichier Remi (coller)'!B770,VLOOKUP(LEFT('1) Import fichier Remi (coller)'!A770,9),'Concordance client liv et fact'!$A:$H,8,FALSE)))</f>
        <v/>
      </c>
      <c r="H770" t="str">
        <f>IF(A770="","",IF(ISERROR(VLOOKUP('1) Import fichier Remi (coller)'!K770&amp;" - "&amp;'1) Import fichier Remi (coller)'!L770,'Spécifique comptes'!$A:$G,1,FALSE))=TRUE,'1) Import fichier Remi (coller)'!V770,VLOOKUP('1) Import fichier Remi (coller)'!K770&amp;" - "&amp;'1) Import fichier Remi (coller)'!L770,'Spécifique comptes'!$A:$G,IF(LEFT('2) BOB compta (completer-forcer'!F770,2)="11",4,IF(LEFT('2) BOB compta (completer-forcer'!F770,2)="12",5,IF(LEFT('2) BOB compta (completer-forcer'!F770,2)="13",6,IF(LEFT('2) BOB compta (completer-forcer'!F770,2)="15",7,"Erreur Compte")))),FALSE)))</f>
        <v/>
      </c>
      <c r="I770" s="26" t="str">
        <f>IF(A770="","",IF(H770="70100000",'1) Import fichier Remi (coller)'!J770,'1) Import fichier Remi (coller)'!U770))</f>
        <v/>
      </c>
      <c r="J770" s="26" t="str">
        <f>IF(A770="","",'1) Import fichier Remi (coller)'!U770)</f>
        <v/>
      </c>
      <c r="K770" s="17" t="str">
        <f t="shared" si="3"/>
        <v/>
      </c>
      <c r="L770" t="str">
        <f t="shared" si="2"/>
        <v/>
      </c>
      <c r="M770" s="14" t="str">
        <f>IF(A770="","",'1) Import fichier Remi (coller)'!S770)</f>
        <v/>
      </c>
      <c r="N770" s="17" t="str">
        <f>IF($A770="","",IF(OR($A770="NCV",$A770="NC15"),-'1) Import fichier Remi (coller)'!R770,'1) Import fichier Remi (coller)'!R770))</f>
        <v/>
      </c>
      <c r="O770" s="17" t="str">
        <f>IF($A770="","",IF(OR($A770="NCV",$A770="NC15"),-'1) Import fichier Remi (coller)'!T770,'1) Import fichier Remi (coller)'!T770))</f>
        <v/>
      </c>
      <c r="R770" t="str">
        <f>IF($A770="","",IF(ISERROR(VLOOKUP(LEFT('1) Import fichier Remi (coller)'!$A770,9),'Concordance client liv et fact'!$A:$H,8,FALSE))=TRUE,VLOOKUP(LEFT('1) Import fichier Remi (coller)'!$A770,9)+0,'Clients R2'!$A:$CY,2,FALSE),VLOOKUP(VLOOKUP(LEFT('1) Import fichier Remi (coller)'!$A770,9),'Concordance client liv et fact'!$A:$H,7,FALSE)+0,'Clients R2'!$A:$CY,2,FALSE)))</f>
        <v/>
      </c>
      <c r="S770" t="str">
        <f>IF($A770="","",PROPER(IF(ISERROR(VLOOKUP(LEFT('1) Import fichier Remi (coller)'!$A770,9),'Concordance client liv et fact'!$A:$H,8,FALSE))=TRUE,VLOOKUP(LEFT('1) Import fichier Remi (coller)'!$A770,9)+0,'Clients R2'!$A:$CY,27,FALSE),VLOOKUP(VLOOKUP(LEFT('1) Import fichier Remi (coller)'!$A770,9),'Concordance client liv et fact'!$A:$H,7,FALSE)+0,'Clients R2'!$A:$CY,27,FALSE))))</f>
        <v/>
      </c>
      <c r="T770" t="str">
        <f>IF($A770="","",LEFT(UPPER(IF(ISERROR(VLOOKUP(LEFT('1) Import fichier Remi (coller)'!$A770,9),'Concordance client liv et fact'!$A:$H,8,FALSE))=TRUE,VLOOKUP(LEFT('1) Import fichier Remi (coller)'!$A770,9)+0,'Clients R2'!$A:$CY,28,FALSE),VLOOKUP(VLOOKUP(LEFT('1) Import fichier Remi (coller)'!$A770,9),'Concordance client liv et fact'!$A:$H,7,FALSE)+0,'Clients R2'!$A:$CY,28,FALSE))),2)&amp;UPPER(IF(ISERROR(VLOOKUP(LEFT('1) Import fichier Remi (coller)'!$A770,9),'Concordance client liv et fact'!$A:$H,8,FALSE))=TRUE,VLOOKUP(LEFT('1) Import fichier Remi (coller)'!$A770,9)+0,'Clients R2'!$A:$CY,29,FALSE),VLOOKUP(VLOOKUP(LEFT('1) Import fichier Remi (coller)'!$A770,9),'Concordance client liv et fact'!$A:$H,7,FALSE)+0,'Clients R2'!$A:$CY,29,FALSE))))</f>
        <v/>
      </c>
      <c r="U770" t="str">
        <f>IF($A770="","",PROPER(IF(ISERROR(VLOOKUP(LEFT('1) Import fichier Remi (coller)'!$A770,9),'Concordance client liv et fact'!$A:$H,8,FALSE))=TRUE,VLOOKUP(LEFT('1) Import fichier Remi (coller)'!$A770,9)+0,'Clients R2'!$A:$CY,30,FALSE),VLOOKUP(VLOOKUP(LEFT('1) Import fichier Remi (coller)'!$A770,9),'Concordance client liv et fact'!$A:$H,7,FALSE)+0,'Clients R2'!$A:$CY,30,FALSE))))</f>
        <v/>
      </c>
      <c r="V770" t="str">
        <f>IF($A770="","",LEFT(UPPER(IF(ISERROR(VLOOKUP(LEFT('1) Import fichier Remi (coller)'!$A770,9),'Concordance client liv et fact'!$A:$H,8,FALSE))=TRUE,IF(VLOOKUP(LEFT('1) Import fichier Remi (coller)'!$A770,9)+0,'Clients R2'!$A:$CY,22,FALSE)=4,"NA",VLOOKUP(LEFT('1) Import fichier Remi (coller)'!$A770,9)+0,'Clients R2'!$A:$CY,3,FALSE)),IF(VLOOKUP(VLOOKUP(LEFT('1) Import fichier Remi (coller)'!$A770,9),'Concordance client liv et fact'!$A:$H,7,FALSE)+0,'Clients R2'!$A:$CY,22,FALSE)=4,"NA",VLOOKUP(VLOOKUP(LEFT('1) Import fichier Remi (coller)'!$A770,9),'Concordance client liv et fact'!$A:$H,7,FALSE)+0,'Clients R2'!$A:$CY,3,FALSE)))),2))</f>
        <v/>
      </c>
      <c r="W770" s="27"/>
      <c r="X770" s="27"/>
      <c r="Y770" t="str">
        <f>IF(A770="","",VLOOKUP(A770,'Libellés PDF'!$A$2:$B$5,2,FALSE)&amp;F770&amp;".PDF")</f>
        <v/>
      </c>
      <c r="Z770" t="str">
        <f>IF(A770="","",IF(OR(H770="705099999",H770="705001002"),VLOOKUP('1) Import fichier Remi (coller)'!J770,'Analytique personnel'!$A:$B,2,FALSE),""))</f>
        <v/>
      </c>
      <c r="AA770" t="str">
        <f>IF($A770="VE11","",IF(LEFT($H770,4)="7050","",IF('1) Import fichier Remi (coller)'!M770="","",'1) Import fichier Remi (coller)'!M770)))</f>
        <v/>
      </c>
      <c r="AB770" t="str">
        <f>IF($A770="VE11","",IF(LEFT($H770,4)="7050","",IF('1) Import fichier Remi (coller)'!N770="","",'1) Import fichier Remi (coller)'!N770)))</f>
        <v/>
      </c>
      <c r="AC770" t="str">
        <f>IF(A770="","",VLOOKUP(LEFT('1) Import fichier Remi (coller)'!A770,9)+0,'Concordance Client R2 BOB'!$B:$C,2,FALSE))</f>
        <v/>
      </c>
    </row>
    <row r="771" spans="1:29" ht="18.75" customHeight="1" x14ac:dyDescent="0.25">
      <c r="A771" t="str">
        <f>IF('1) Import fichier Remi (coller)'!D771="","",'1) Import fichier Remi (coller)'!D771)</f>
        <v/>
      </c>
      <c r="B771" t="str">
        <f>IF(A771="","",YEAR('1) Import fichier Remi (coller)'!F771))</f>
        <v/>
      </c>
      <c r="C771" t="str">
        <f>IF(A771="","",MONTH('1) Import fichier Remi (coller)'!F771))</f>
        <v/>
      </c>
      <c r="D771" s="1" t="str">
        <f>IF(A771="","",'1) Import fichier Remi (coller)'!F771)</f>
        <v/>
      </c>
      <c r="E771" s="1" t="str">
        <f>IF(A771="","",'1) Import fichier Remi (coller)'!G771)</f>
        <v/>
      </c>
      <c r="F771" t="str">
        <f>IF(A771="","",'1) Import fichier Remi (coller)'!E771)</f>
        <v/>
      </c>
      <c r="G771" t="str">
        <f>IF(A771="","",IF(ISERROR(VLOOKUP(LEFT('1) Import fichier Remi (coller)'!A771,9),'Concordance client liv et fact'!$A:$H,8,FALSE))=TRUE,'1) Import fichier Remi (coller)'!B771,VLOOKUP(LEFT('1) Import fichier Remi (coller)'!A771,9),'Concordance client liv et fact'!$A:$H,8,FALSE)))</f>
        <v/>
      </c>
      <c r="H771" t="str">
        <f>IF(A771="","",IF(ISERROR(VLOOKUP('1) Import fichier Remi (coller)'!K771&amp;" - "&amp;'1) Import fichier Remi (coller)'!L771,'Spécifique comptes'!$A:$G,1,FALSE))=TRUE,'1) Import fichier Remi (coller)'!V771,VLOOKUP('1) Import fichier Remi (coller)'!K771&amp;" - "&amp;'1) Import fichier Remi (coller)'!L771,'Spécifique comptes'!$A:$G,IF(LEFT('2) BOB compta (completer-forcer'!F771,2)="11",4,IF(LEFT('2) BOB compta (completer-forcer'!F771,2)="12",5,IF(LEFT('2) BOB compta (completer-forcer'!F771,2)="13",6,IF(LEFT('2) BOB compta (completer-forcer'!F771,2)="15",7,"Erreur Compte")))),FALSE)))</f>
        <v/>
      </c>
      <c r="I771" s="26" t="str">
        <f>IF(A771="","",IF(H771="70100000",'1) Import fichier Remi (coller)'!J771,'1) Import fichier Remi (coller)'!U771))</f>
        <v/>
      </c>
      <c r="J771" s="26" t="str">
        <f>IF(A771="","",'1) Import fichier Remi (coller)'!U771)</f>
        <v/>
      </c>
      <c r="K771" s="17" t="str">
        <f t="shared" si="3"/>
        <v/>
      </c>
      <c r="L771" t="str">
        <f t="shared" si="2"/>
        <v/>
      </c>
      <c r="M771" s="14" t="str">
        <f>IF(A771="","",'1) Import fichier Remi (coller)'!S771)</f>
        <v/>
      </c>
      <c r="N771" s="17" t="str">
        <f>IF($A771="","",IF(OR($A771="NCV",$A771="NC15"),-'1) Import fichier Remi (coller)'!R771,'1) Import fichier Remi (coller)'!R771))</f>
        <v/>
      </c>
      <c r="O771" s="17" t="str">
        <f>IF($A771="","",IF(OR($A771="NCV",$A771="NC15"),-'1) Import fichier Remi (coller)'!T771,'1) Import fichier Remi (coller)'!T771))</f>
        <v/>
      </c>
      <c r="R771" t="str">
        <f>IF($A771="","",IF(ISERROR(VLOOKUP(LEFT('1) Import fichier Remi (coller)'!$A771,9),'Concordance client liv et fact'!$A:$H,8,FALSE))=TRUE,VLOOKUP(LEFT('1) Import fichier Remi (coller)'!$A771,9)+0,'Clients R2'!$A:$CY,2,FALSE),VLOOKUP(VLOOKUP(LEFT('1) Import fichier Remi (coller)'!$A771,9),'Concordance client liv et fact'!$A:$H,7,FALSE)+0,'Clients R2'!$A:$CY,2,FALSE)))</f>
        <v/>
      </c>
      <c r="S771" t="str">
        <f>IF($A771="","",PROPER(IF(ISERROR(VLOOKUP(LEFT('1) Import fichier Remi (coller)'!$A771,9),'Concordance client liv et fact'!$A:$H,8,FALSE))=TRUE,VLOOKUP(LEFT('1) Import fichier Remi (coller)'!$A771,9)+0,'Clients R2'!$A:$CY,27,FALSE),VLOOKUP(VLOOKUP(LEFT('1) Import fichier Remi (coller)'!$A771,9),'Concordance client liv et fact'!$A:$H,7,FALSE)+0,'Clients R2'!$A:$CY,27,FALSE))))</f>
        <v/>
      </c>
      <c r="T771" t="str">
        <f>IF($A771="","",LEFT(UPPER(IF(ISERROR(VLOOKUP(LEFT('1) Import fichier Remi (coller)'!$A771,9),'Concordance client liv et fact'!$A:$H,8,FALSE))=TRUE,VLOOKUP(LEFT('1) Import fichier Remi (coller)'!$A771,9)+0,'Clients R2'!$A:$CY,28,FALSE),VLOOKUP(VLOOKUP(LEFT('1) Import fichier Remi (coller)'!$A771,9),'Concordance client liv et fact'!$A:$H,7,FALSE)+0,'Clients R2'!$A:$CY,28,FALSE))),2)&amp;UPPER(IF(ISERROR(VLOOKUP(LEFT('1) Import fichier Remi (coller)'!$A771,9),'Concordance client liv et fact'!$A:$H,8,FALSE))=TRUE,VLOOKUP(LEFT('1) Import fichier Remi (coller)'!$A771,9)+0,'Clients R2'!$A:$CY,29,FALSE),VLOOKUP(VLOOKUP(LEFT('1) Import fichier Remi (coller)'!$A771,9),'Concordance client liv et fact'!$A:$H,7,FALSE)+0,'Clients R2'!$A:$CY,29,FALSE))))</f>
        <v/>
      </c>
      <c r="U771" t="str">
        <f>IF($A771="","",PROPER(IF(ISERROR(VLOOKUP(LEFT('1) Import fichier Remi (coller)'!$A771,9),'Concordance client liv et fact'!$A:$H,8,FALSE))=TRUE,VLOOKUP(LEFT('1) Import fichier Remi (coller)'!$A771,9)+0,'Clients R2'!$A:$CY,30,FALSE),VLOOKUP(VLOOKUP(LEFT('1) Import fichier Remi (coller)'!$A771,9),'Concordance client liv et fact'!$A:$H,7,FALSE)+0,'Clients R2'!$A:$CY,30,FALSE))))</f>
        <v/>
      </c>
      <c r="V771" t="str">
        <f>IF($A771="","",LEFT(UPPER(IF(ISERROR(VLOOKUP(LEFT('1) Import fichier Remi (coller)'!$A771,9),'Concordance client liv et fact'!$A:$H,8,FALSE))=TRUE,IF(VLOOKUP(LEFT('1) Import fichier Remi (coller)'!$A771,9)+0,'Clients R2'!$A:$CY,22,FALSE)=4,"NA",VLOOKUP(LEFT('1) Import fichier Remi (coller)'!$A771,9)+0,'Clients R2'!$A:$CY,3,FALSE)),IF(VLOOKUP(VLOOKUP(LEFT('1) Import fichier Remi (coller)'!$A771,9),'Concordance client liv et fact'!$A:$H,7,FALSE)+0,'Clients R2'!$A:$CY,22,FALSE)=4,"NA",VLOOKUP(VLOOKUP(LEFT('1) Import fichier Remi (coller)'!$A771,9),'Concordance client liv et fact'!$A:$H,7,FALSE)+0,'Clients R2'!$A:$CY,3,FALSE)))),2))</f>
        <v/>
      </c>
      <c r="W771" s="27"/>
      <c r="X771" s="27"/>
      <c r="Y771" t="str">
        <f>IF(A771="","",VLOOKUP(A771,'Libellés PDF'!$A$2:$B$5,2,FALSE)&amp;F771&amp;".PDF")</f>
        <v/>
      </c>
      <c r="Z771" t="str">
        <f>IF(A771="","",IF(OR(H771="705099999",H771="705001002"),VLOOKUP('1) Import fichier Remi (coller)'!J771,'Analytique personnel'!$A:$B,2,FALSE),""))</f>
        <v/>
      </c>
      <c r="AA771" t="str">
        <f>IF($A771="VE11","",IF(LEFT($H771,4)="7050","",IF('1) Import fichier Remi (coller)'!M771="","",'1) Import fichier Remi (coller)'!M771)))</f>
        <v/>
      </c>
      <c r="AB771" t="str">
        <f>IF($A771="VE11","",IF(LEFT($H771,4)="7050","",IF('1) Import fichier Remi (coller)'!N771="","",'1) Import fichier Remi (coller)'!N771)))</f>
        <v/>
      </c>
      <c r="AC771" t="str">
        <f>IF(A771="","",VLOOKUP(LEFT('1) Import fichier Remi (coller)'!A771,9)+0,'Concordance Client R2 BOB'!$B:$C,2,FALSE))</f>
        <v/>
      </c>
    </row>
    <row r="772" spans="1:29" ht="18.75" customHeight="1" x14ac:dyDescent="0.25">
      <c r="A772" t="str">
        <f>IF('1) Import fichier Remi (coller)'!D772="","",'1) Import fichier Remi (coller)'!D772)</f>
        <v/>
      </c>
      <c r="B772" t="str">
        <f>IF(A772="","",YEAR('1) Import fichier Remi (coller)'!F772))</f>
        <v/>
      </c>
      <c r="C772" t="str">
        <f>IF(A772="","",MONTH('1) Import fichier Remi (coller)'!F772))</f>
        <v/>
      </c>
      <c r="D772" s="1" t="str">
        <f>IF(A772="","",'1) Import fichier Remi (coller)'!F772)</f>
        <v/>
      </c>
      <c r="E772" s="1" t="str">
        <f>IF(A772="","",'1) Import fichier Remi (coller)'!G772)</f>
        <v/>
      </c>
      <c r="F772" t="str">
        <f>IF(A772="","",'1) Import fichier Remi (coller)'!E772)</f>
        <v/>
      </c>
      <c r="G772" t="str">
        <f>IF(A772="","",IF(ISERROR(VLOOKUP(LEFT('1) Import fichier Remi (coller)'!A772,9),'Concordance client liv et fact'!$A:$H,8,FALSE))=TRUE,'1) Import fichier Remi (coller)'!B772,VLOOKUP(LEFT('1) Import fichier Remi (coller)'!A772,9),'Concordance client liv et fact'!$A:$H,8,FALSE)))</f>
        <v/>
      </c>
      <c r="H772" t="str">
        <f>IF(A772="","",IF(ISERROR(VLOOKUP('1) Import fichier Remi (coller)'!K772&amp;" - "&amp;'1) Import fichier Remi (coller)'!L772,'Spécifique comptes'!$A:$G,1,FALSE))=TRUE,'1) Import fichier Remi (coller)'!V772,VLOOKUP('1) Import fichier Remi (coller)'!K772&amp;" - "&amp;'1) Import fichier Remi (coller)'!L772,'Spécifique comptes'!$A:$G,IF(LEFT('2) BOB compta (completer-forcer'!F772,2)="11",4,IF(LEFT('2) BOB compta (completer-forcer'!F772,2)="12",5,IF(LEFT('2) BOB compta (completer-forcer'!F772,2)="13",6,IF(LEFT('2) BOB compta (completer-forcer'!F772,2)="15",7,"Erreur Compte")))),FALSE)))</f>
        <v/>
      </c>
      <c r="I772" s="26" t="str">
        <f>IF(A772="","",IF(H772="70100000",'1) Import fichier Remi (coller)'!J772,'1) Import fichier Remi (coller)'!U772))</f>
        <v/>
      </c>
      <c r="J772" s="26" t="str">
        <f>IF(A772="","",'1) Import fichier Remi (coller)'!U772)</f>
        <v/>
      </c>
      <c r="K772" s="17" t="str">
        <f t="shared" si="3"/>
        <v/>
      </c>
      <c r="L772" t="str">
        <f t="shared" si="2"/>
        <v/>
      </c>
      <c r="M772" s="14" t="str">
        <f>IF(A772="","",'1) Import fichier Remi (coller)'!S772)</f>
        <v/>
      </c>
      <c r="N772" s="17" t="str">
        <f>IF($A772="","",IF(OR($A772="NCV",$A772="NC15"),-'1) Import fichier Remi (coller)'!R772,'1) Import fichier Remi (coller)'!R772))</f>
        <v/>
      </c>
      <c r="O772" s="17" t="str">
        <f>IF($A772="","",IF(OR($A772="NCV",$A772="NC15"),-'1) Import fichier Remi (coller)'!T772,'1) Import fichier Remi (coller)'!T772))</f>
        <v/>
      </c>
      <c r="R772" t="str">
        <f>IF($A772="","",IF(ISERROR(VLOOKUP(LEFT('1) Import fichier Remi (coller)'!$A772,9),'Concordance client liv et fact'!$A:$H,8,FALSE))=TRUE,VLOOKUP(LEFT('1) Import fichier Remi (coller)'!$A772,9)+0,'Clients R2'!$A:$CY,2,FALSE),VLOOKUP(VLOOKUP(LEFT('1) Import fichier Remi (coller)'!$A772,9),'Concordance client liv et fact'!$A:$H,7,FALSE)+0,'Clients R2'!$A:$CY,2,FALSE)))</f>
        <v/>
      </c>
      <c r="S772" t="str">
        <f>IF($A772="","",PROPER(IF(ISERROR(VLOOKUP(LEFT('1) Import fichier Remi (coller)'!$A772,9),'Concordance client liv et fact'!$A:$H,8,FALSE))=TRUE,VLOOKUP(LEFT('1) Import fichier Remi (coller)'!$A772,9)+0,'Clients R2'!$A:$CY,27,FALSE),VLOOKUP(VLOOKUP(LEFT('1) Import fichier Remi (coller)'!$A772,9),'Concordance client liv et fact'!$A:$H,7,FALSE)+0,'Clients R2'!$A:$CY,27,FALSE))))</f>
        <v/>
      </c>
      <c r="T772" t="str">
        <f>IF($A772="","",LEFT(UPPER(IF(ISERROR(VLOOKUP(LEFT('1) Import fichier Remi (coller)'!$A772,9),'Concordance client liv et fact'!$A:$H,8,FALSE))=TRUE,VLOOKUP(LEFT('1) Import fichier Remi (coller)'!$A772,9)+0,'Clients R2'!$A:$CY,28,FALSE),VLOOKUP(VLOOKUP(LEFT('1) Import fichier Remi (coller)'!$A772,9),'Concordance client liv et fact'!$A:$H,7,FALSE)+0,'Clients R2'!$A:$CY,28,FALSE))),2)&amp;UPPER(IF(ISERROR(VLOOKUP(LEFT('1) Import fichier Remi (coller)'!$A772,9),'Concordance client liv et fact'!$A:$H,8,FALSE))=TRUE,VLOOKUP(LEFT('1) Import fichier Remi (coller)'!$A772,9)+0,'Clients R2'!$A:$CY,29,FALSE),VLOOKUP(VLOOKUP(LEFT('1) Import fichier Remi (coller)'!$A772,9),'Concordance client liv et fact'!$A:$H,7,FALSE)+0,'Clients R2'!$A:$CY,29,FALSE))))</f>
        <v/>
      </c>
      <c r="U772" t="str">
        <f>IF($A772="","",PROPER(IF(ISERROR(VLOOKUP(LEFT('1) Import fichier Remi (coller)'!$A772,9),'Concordance client liv et fact'!$A:$H,8,FALSE))=TRUE,VLOOKUP(LEFT('1) Import fichier Remi (coller)'!$A772,9)+0,'Clients R2'!$A:$CY,30,FALSE),VLOOKUP(VLOOKUP(LEFT('1) Import fichier Remi (coller)'!$A772,9),'Concordance client liv et fact'!$A:$H,7,FALSE)+0,'Clients R2'!$A:$CY,30,FALSE))))</f>
        <v/>
      </c>
      <c r="V772" t="str">
        <f>IF($A772="","",LEFT(UPPER(IF(ISERROR(VLOOKUP(LEFT('1) Import fichier Remi (coller)'!$A772,9),'Concordance client liv et fact'!$A:$H,8,FALSE))=TRUE,IF(VLOOKUP(LEFT('1) Import fichier Remi (coller)'!$A772,9)+0,'Clients R2'!$A:$CY,22,FALSE)=4,"NA",VLOOKUP(LEFT('1) Import fichier Remi (coller)'!$A772,9)+0,'Clients R2'!$A:$CY,3,FALSE)),IF(VLOOKUP(VLOOKUP(LEFT('1) Import fichier Remi (coller)'!$A772,9),'Concordance client liv et fact'!$A:$H,7,FALSE)+0,'Clients R2'!$A:$CY,22,FALSE)=4,"NA",VLOOKUP(VLOOKUP(LEFT('1) Import fichier Remi (coller)'!$A772,9),'Concordance client liv et fact'!$A:$H,7,FALSE)+0,'Clients R2'!$A:$CY,3,FALSE)))),2))</f>
        <v/>
      </c>
      <c r="W772" s="27"/>
      <c r="X772" s="27"/>
      <c r="Y772" t="str">
        <f>IF(A772="","",VLOOKUP(A772,'Libellés PDF'!$A$2:$B$5,2,FALSE)&amp;F772&amp;".PDF")</f>
        <v/>
      </c>
      <c r="Z772" t="str">
        <f>IF(A772="","",IF(OR(H772="705099999",H772="705001002"),VLOOKUP('1) Import fichier Remi (coller)'!J772,'Analytique personnel'!$A:$B,2,FALSE),""))</f>
        <v/>
      </c>
      <c r="AA772" t="str">
        <f>IF($A772="VE11","",IF(LEFT($H772,4)="7050","",IF('1) Import fichier Remi (coller)'!M772="","",'1) Import fichier Remi (coller)'!M772)))</f>
        <v/>
      </c>
      <c r="AB772" t="str">
        <f>IF($A772="VE11","",IF(LEFT($H772,4)="7050","",IF('1) Import fichier Remi (coller)'!N772="","",'1) Import fichier Remi (coller)'!N772)))</f>
        <v/>
      </c>
      <c r="AC772" t="str">
        <f>IF(A772="","",VLOOKUP(LEFT('1) Import fichier Remi (coller)'!A772,9)+0,'Concordance Client R2 BOB'!$B:$C,2,FALSE))</f>
        <v/>
      </c>
    </row>
    <row r="773" spans="1:29" ht="18.75" customHeight="1" x14ac:dyDescent="0.25">
      <c r="A773" t="str">
        <f>IF('1) Import fichier Remi (coller)'!D773="","",'1) Import fichier Remi (coller)'!D773)</f>
        <v/>
      </c>
      <c r="B773" t="str">
        <f>IF(A773="","",YEAR('1) Import fichier Remi (coller)'!F773))</f>
        <v/>
      </c>
      <c r="C773" t="str">
        <f>IF(A773="","",MONTH('1) Import fichier Remi (coller)'!F773))</f>
        <v/>
      </c>
      <c r="D773" s="1" t="str">
        <f>IF(A773="","",'1) Import fichier Remi (coller)'!F773)</f>
        <v/>
      </c>
      <c r="E773" s="1" t="str">
        <f>IF(A773="","",'1) Import fichier Remi (coller)'!G773)</f>
        <v/>
      </c>
      <c r="F773" t="str">
        <f>IF(A773="","",'1) Import fichier Remi (coller)'!E773)</f>
        <v/>
      </c>
      <c r="G773" t="str">
        <f>IF(A773="","",IF(ISERROR(VLOOKUP(LEFT('1) Import fichier Remi (coller)'!A773,9),'Concordance client liv et fact'!$A:$H,8,FALSE))=TRUE,'1) Import fichier Remi (coller)'!B773,VLOOKUP(LEFT('1) Import fichier Remi (coller)'!A773,9),'Concordance client liv et fact'!$A:$H,8,FALSE)))</f>
        <v/>
      </c>
      <c r="H773" t="str">
        <f>IF(A773="","",IF(ISERROR(VLOOKUP('1) Import fichier Remi (coller)'!K773&amp;" - "&amp;'1) Import fichier Remi (coller)'!L773,'Spécifique comptes'!$A:$G,1,FALSE))=TRUE,'1) Import fichier Remi (coller)'!V773,VLOOKUP('1) Import fichier Remi (coller)'!K773&amp;" - "&amp;'1) Import fichier Remi (coller)'!L773,'Spécifique comptes'!$A:$G,IF(LEFT('2) BOB compta (completer-forcer'!F773,2)="11",4,IF(LEFT('2) BOB compta (completer-forcer'!F773,2)="12",5,IF(LEFT('2) BOB compta (completer-forcer'!F773,2)="13",6,IF(LEFT('2) BOB compta (completer-forcer'!F773,2)="15",7,"Erreur Compte")))),FALSE)))</f>
        <v/>
      </c>
      <c r="I773" s="26" t="str">
        <f>IF(A773="","",IF(H773="70100000",'1) Import fichier Remi (coller)'!J773,'1) Import fichier Remi (coller)'!U773))</f>
        <v/>
      </c>
      <c r="J773" s="26" t="str">
        <f>IF(A773="","",'1) Import fichier Remi (coller)'!U773)</f>
        <v/>
      </c>
      <c r="K773" s="17" t="str">
        <f t="shared" si="3"/>
        <v/>
      </c>
      <c r="L773" t="str">
        <f t="shared" si="2"/>
        <v/>
      </c>
      <c r="M773" s="14" t="str">
        <f>IF(A773="","",'1) Import fichier Remi (coller)'!S773)</f>
        <v/>
      </c>
      <c r="N773" s="17" t="str">
        <f>IF($A773="","",IF(OR($A773="NCV",$A773="NC15"),-'1) Import fichier Remi (coller)'!R773,'1) Import fichier Remi (coller)'!R773))</f>
        <v/>
      </c>
      <c r="O773" s="17" t="str">
        <f>IF($A773="","",IF(OR($A773="NCV",$A773="NC15"),-'1) Import fichier Remi (coller)'!T773,'1) Import fichier Remi (coller)'!T773))</f>
        <v/>
      </c>
      <c r="R773" t="str">
        <f>IF($A773="","",IF(ISERROR(VLOOKUP(LEFT('1) Import fichier Remi (coller)'!$A773,9),'Concordance client liv et fact'!$A:$H,8,FALSE))=TRUE,VLOOKUP(LEFT('1) Import fichier Remi (coller)'!$A773,9)+0,'Clients R2'!$A:$CY,2,FALSE),VLOOKUP(VLOOKUP(LEFT('1) Import fichier Remi (coller)'!$A773,9),'Concordance client liv et fact'!$A:$H,7,FALSE)+0,'Clients R2'!$A:$CY,2,FALSE)))</f>
        <v/>
      </c>
      <c r="S773" t="str">
        <f>IF($A773="","",PROPER(IF(ISERROR(VLOOKUP(LEFT('1) Import fichier Remi (coller)'!$A773,9),'Concordance client liv et fact'!$A:$H,8,FALSE))=TRUE,VLOOKUP(LEFT('1) Import fichier Remi (coller)'!$A773,9)+0,'Clients R2'!$A:$CY,27,FALSE),VLOOKUP(VLOOKUP(LEFT('1) Import fichier Remi (coller)'!$A773,9),'Concordance client liv et fact'!$A:$H,7,FALSE)+0,'Clients R2'!$A:$CY,27,FALSE))))</f>
        <v/>
      </c>
      <c r="T773" t="str">
        <f>IF($A773="","",LEFT(UPPER(IF(ISERROR(VLOOKUP(LEFT('1) Import fichier Remi (coller)'!$A773,9),'Concordance client liv et fact'!$A:$H,8,FALSE))=TRUE,VLOOKUP(LEFT('1) Import fichier Remi (coller)'!$A773,9)+0,'Clients R2'!$A:$CY,28,FALSE),VLOOKUP(VLOOKUP(LEFT('1) Import fichier Remi (coller)'!$A773,9),'Concordance client liv et fact'!$A:$H,7,FALSE)+0,'Clients R2'!$A:$CY,28,FALSE))),2)&amp;UPPER(IF(ISERROR(VLOOKUP(LEFT('1) Import fichier Remi (coller)'!$A773,9),'Concordance client liv et fact'!$A:$H,8,FALSE))=TRUE,VLOOKUP(LEFT('1) Import fichier Remi (coller)'!$A773,9)+0,'Clients R2'!$A:$CY,29,FALSE),VLOOKUP(VLOOKUP(LEFT('1) Import fichier Remi (coller)'!$A773,9),'Concordance client liv et fact'!$A:$H,7,FALSE)+0,'Clients R2'!$A:$CY,29,FALSE))))</f>
        <v/>
      </c>
      <c r="U773" t="str">
        <f>IF($A773="","",PROPER(IF(ISERROR(VLOOKUP(LEFT('1) Import fichier Remi (coller)'!$A773,9),'Concordance client liv et fact'!$A:$H,8,FALSE))=TRUE,VLOOKUP(LEFT('1) Import fichier Remi (coller)'!$A773,9)+0,'Clients R2'!$A:$CY,30,FALSE),VLOOKUP(VLOOKUP(LEFT('1) Import fichier Remi (coller)'!$A773,9),'Concordance client liv et fact'!$A:$H,7,FALSE)+0,'Clients R2'!$A:$CY,30,FALSE))))</f>
        <v/>
      </c>
      <c r="V773" t="str">
        <f>IF($A773="","",LEFT(UPPER(IF(ISERROR(VLOOKUP(LEFT('1) Import fichier Remi (coller)'!$A773,9),'Concordance client liv et fact'!$A:$H,8,FALSE))=TRUE,IF(VLOOKUP(LEFT('1) Import fichier Remi (coller)'!$A773,9)+0,'Clients R2'!$A:$CY,22,FALSE)=4,"NA",VLOOKUP(LEFT('1) Import fichier Remi (coller)'!$A773,9)+0,'Clients R2'!$A:$CY,3,FALSE)),IF(VLOOKUP(VLOOKUP(LEFT('1) Import fichier Remi (coller)'!$A773,9),'Concordance client liv et fact'!$A:$H,7,FALSE)+0,'Clients R2'!$A:$CY,22,FALSE)=4,"NA",VLOOKUP(VLOOKUP(LEFT('1) Import fichier Remi (coller)'!$A773,9),'Concordance client liv et fact'!$A:$H,7,FALSE)+0,'Clients R2'!$A:$CY,3,FALSE)))),2))</f>
        <v/>
      </c>
      <c r="W773" s="27"/>
      <c r="X773" s="27"/>
      <c r="Y773" t="str">
        <f>IF(A773="","",VLOOKUP(A773,'Libellés PDF'!$A$2:$B$5,2,FALSE)&amp;F773&amp;".PDF")</f>
        <v/>
      </c>
      <c r="Z773" t="str">
        <f>IF(A773="","",IF(OR(H773="705099999",H773="705001002"),VLOOKUP('1) Import fichier Remi (coller)'!J773,'Analytique personnel'!$A:$B,2,FALSE),""))</f>
        <v/>
      </c>
      <c r="AA773" t="str">
        <f>IF($A773="VE11","",IF(LEFT($H773,4)="7050","",IF('1) Import fichier Remi (coller)'!M773="","",'1) Import fichier Remi (coller)'!M773)))</f>
        <v/>
      </c>
      <c r="AB773" t="str">
        <f>IF($A773="VE11","",IF(LEFT($H773,4)="7050","",IF('1) Import fichier Remi (coller)'!N773="","",'1) Import fichier Remi (coller)'!N773)))</f>
        <v/>
      </c>
      <c r="AC773" t="str">
        <f>IF(A773="","",VLOOKUP(LEFT('1) Import fichier Remi (coller)'!A773,9)+0,'Concordance Client R2 BOB'!$B:$C,2,FALSE))</f>
        <v/>
      </c>
    </row>
    <row r="774" spans="1:29" ht="18.75" customHeight="1" x14ac:dyDescent="0.25">
      <c r="A774" t="str">
        <f>IF('1) Import fichier Remi (coller)'!D774="","",'1) Import fichier Remi (coller)'!D774)</f>
        <v/>
      </c>
      <c r="B774" t="str">
        <f>IF(A774="","",YEAR('1) Import fichier Remi (coller)'!F774))</f>
        <v/>
      </c>
      <c r="C774" t="str">
        <f>IF(A774="","",MONTH('1) Import fichier Remi (coller)'!F774))</f>
        <v/>
      </c>
      <c r="D774" s="1" t="str">
        <f>IF(A774="","",'1) Import fichier Remi (coller)'!F774)</f>
        <v/>
      </c>
      <c r="E774" s="1" t="str">
        <f>IF(A774="","",'1) Import fichier Remi (coller)'!G774)</f>
        <v/>
      </c>
      <c r="F774" t="str">
        <f>IF(A774="","",'1) Import fichier Remi (coller)'!E774)</f>
        <v/>
      </c>
      <c r="G774" t="str">
        <f>IF(A774="","",IF(ISERROR(VLOOKUP(LEFT('1) Import fichier Remi (coller)'!A774,9),'Concordance client liv et fact'!$A:$H,8,FALSE))=TRUE,'1) Import fichier Remi (coller)'!B774,VLOOKUP(LEFT('1) Import fichier Remi (coller)'!A774,9),'Concordance client liv et fact'!$A:$H,8,FALSE)))</f>
        <v/>
      </c>
      <c r="H774" t="str">
        <f>IF(A774="","",IF(ISERROR(VLOOKUP('1) Import fichier Remi (coller)'!K774&amp;" - "&amp;'1) Import fichier Remi (coller)'!L774,'Spécifique comptes'!$A:$G,1,FALSE))=TRUE,'1) Import fichier Remi (coller)'!V774,VLOOKUP('1) Import fichier Remi (coller)'!K774&amp;" - "&amp;'1) Import fichier Remi (coller)'!L774,'Spécifique comptes'!$A:$G,IF(LEFT('2) BOB compta (completer-forcer'!F774,2)="11",4,IF(LEFT('2) BOB compta (completer-forcer'!F774,2)="12",5,IF(LEFT('2) BOB compta (completer-forcer'!F774,2)="13",6,IF(LEFT('2) BOB compta (completer-forcer'!F774,2)="15",7,"Erreur Compte")))),FALSE)))</f>
        <v/>
      </c>
      <c r="I774" s="26" t="str">
        <f>IF(A774="","",IF(H774="70100000",'1) Import fichier Remi (coller)'!J774,'1) Import fichier Remi (coller)'!U774))</f>
        <v/>
      </c>
      <c r="J774" s="26" t="str">
        <f>IF(A774="","",'1) Import fichier Remi (coller)'!U774)</f>
        <v/>
      </c>
      <c r="K774" s="17" t="str">
        <f t="shared" si="3"/>
        <v/>
      </c>
      <c r="L774" t="str">
        <f t="shared" si="2"/>
        <v/>
      </c>
      <c r="M774" s="14" t="str">
        <f>IF(A774="","",'1) Import fichier Remi (coller)'!S774)</f>
        <v/>
      </c>
      <c r="N774" s="17" t="str">
        <f>IF($A774="","",IF(OR($A774="NCV",$A774="NC15"),-'1) Import fichier Remi (coller)'!R774,'1) Import fichier Remi (coller)'!R774))</f>
        <v/>
      </c>
      <c r="O774" s="17" t="str">
        <f>IF($A774="","",IF(OR($A774="NCV",$A774="NC15"),-'1) Import fichier Remi (coller)'!T774,'1) Import fichier Remi (coller)'!T774))</f>
        <v/>
      </c>
      <c r="R774" t="str">
        <f>IF($A774="","",IF(ISERROR(VLOOKUP(LEFT('1) Import fichier Remi (coller)'!$A774,9),'Concordance client liv et fact'!$A:$H,8,FALSE))=TRUE,VLOOKUP(LEFT('1) Import fichier Remi (coller)'!$A774,9)+0,'Clients R2'!$A:$CY,2,FALSE),VLOOKUP(VLOOKUP(LEFT('1) Import fichier Remi (coller)'!$A774,9),'Concordance client liv et fact'!$A:$H,7,FALSE)+0,'Clients R2'!$A:$CY,2,FALSE)))</f>
        <v/>
      </c>
      <c r="S774" t="str">
        <f>IF($A774="","",PROPER(IF(ISERROR(VLOOKUP(LEFT('1) Import fichier Remi (coller)'!$A774,9),'Concordance client liv et fact'!$A:$H,8,FALSE))=TRUE,VLOOKUP(LEFT('1) Import fichier Remi (coller)'!$A774,9)+0,'Clients R2'!$A:$CY,27,FALSE),VLOOKUP(VLOOKUP(LEFT('1) Import fichier Remi (coller)'!$A774,9),'Concordance client liv et fact'!$A:$H,7,FALSE)+0,'Clients R2'!$A:$CY,27,FALSE))))</f>
        <v/>
      </c>
      <c r="T774" t="str">
        <f>IF($A774="","",LEFT(UPPER(IF(ISERROR(VLOOKUP(LEFT('1) Import fichier Remi (coller)'!$A774,9),'Concordance client liv et fact'!$A:$H,8,FALSE))=TRUE,VLOOKUP(LEFT('1) Import fichier Remi (coller)'!$A774,9)+0,'Clients R2'!$A:$CY,28,FALSE),VLOOKUP(VLOOKUP(LEFT('1) Import fichier Remi (coller)'!$A774,9),'Concordance client liv et fact'!$A:$H,7,FALSE)+0,'Clients R2'!$A:$CY,28,FALSE))),2)&amp;UPPER(IF(ISERROR(VLOOKUP(LEFT('1) Import fichier Remi (coller)'!$A774,9),'Concordance client liv et fact'!$A:$H,8,FALSE))=TRUE,VLOOKUP(LEFT('1) Import fichier Remi (coller)'!$A774,9)+0,'Clients R2'!$A:$CY,29,FALSE),VLOOKUP(VLOOKUP(LEFT('1) Import fichier Remi (coller)'!$A774,9),'Concordance client liv et fact'!$A:$H,7,FALSE)+0,'Clients R2'!$A:$CY,29,FALSE))))</f>
        <v/>
      </c>
      <c r="U774" t="str">
        <f>IF($A774="","",PROPER(IF(ISERROR(VLOOKUP(LEFT('1) Import fichier Remi (coller)'!$A774,9),'Concordance client liv et fact'!$A:$H,8,FALSE))=TRUE,VLOOKUP(LEFT('1) Import fichier Remi (coller)'!$A774,9)+0,'Clients R2'!$A:$CY,30,FALSE),VLOOKUP(VLOOKUP(LEFT('1) Import fichier Remi (coller)'!$A774,9),'Concordance client liv et fact'!$A:$H,7,FALSE)+0,'Clients R2'!$A:$CY,30,FALSE))))</f>
        <v/>
      </c>
      <c r="V774" t="str">
        <f>IF($A774="","",LEFT(UPPER(IF(ISERROR(VLOOKUP(LEFT('1) Import fichier Remi (coller)'!$A774,9),'Concordance client liv et fact'!$A:$H,8,FALSE))=TRUE,IF(VLOOKUP(LEFT('1) Import fichier Remi (coller)'!$A774,9)+0,'Clients R2'!$A:$CY,22,FALSE)=4,"NA",VLOOKUP(LEFT('1) Import fichier Remi (coller)'!$A774,9)+0,'Clients R2'!$A:$CY,3,FALSE)),IF(VLOOKUP(VLOOKUP(LEFT('1) Import fichier Remi (coller)'!$A774,9),'Concordance client liv et fact'!$A:$H,7,FALSE)+0,'Clients R2'!$A:$CY,22,FALSE)=4,"NA",VLOOKUP(VLOOKUP(LEFT('1) Import fichier Remi (coller)'!$A774,9),'Concordance client liv et fact'!$A:$H,7,FALSE)+0,'Clients R2'!$A:$CY,3,FALSE)))),2))</f>
        <v/>
      </c>
      <c r="W774" s="27"/>
      <c r="X774" s="27"/>
      <c r="Y774" t="str">
        <f>IF(A774="","",VLOOKUP(A774,'Libellés PDF'!$A$2:$B$5,2,FALSE)&amp;F774&amp;".PDF")</f>
        <v/>
      </c>
      <c r="Z774" t="str">
        <f>IF(A774="","",IF(OR(H774="705099999",H774="705001002"),VLOOKUP('1) Import fichier Remi (coller)'!J774,'Analytique personnel'!$A:$B,2,FALSE),""))</f>
        <v/>
      </c>
      <c r="AA774" t="str">
        <f>IF($A774="VE11","",IF(LEFT($H774,4)="7050","",IF('1) Import fichier Remi (coller)'!M774="","",'1) Import fichier Remi (coller)'!M774)))</f>
        <v/>
      </c>
      <c r="AB774" t="str">
        <f>IF($A774="VE11","",IF(LEFT($H774,4)="7050","",IF('1) Import fichier Remi (coller)'!N774="","",'1) Import fichier Remi (coller)'!N774)))</f>
        <v/>
      </c>
      <c r="AC774" t="str">
        <f>IF(A774="","",VLOOKUP(LEFT('1) Import fichier Remi (coller)'!A774,9)+0,'Concordance Client R2 BOB'!$B:$C,2,FALSE))</f>
        <v/>
      </c>
    </row>
  </sheetData>
  <autoFilter ref="A1:AC791" xr:uid="{3DCD608C-CD9E-4029-B5CD-501C0DCBA75F}"/>
  <phoneticPr fontId="7" type="noConversion"/>
  <conditionalFormatting sqref="Z1:Z1048576">
    <cfRule type="expression" dxfId="0" priority="3">
      <formula>"aaa - MODIF MANUELLE"</formula>
    </cfRule>
  </conditionalFormatting>
  <hyperlinks>
    <hyperlink ref="X725" r:id="rId1" xr:uid="{075897E9-24EA-4E89-8F98-F685400F8188}"/>
    <hyperlink ref="X730" r:id="rId2" xr:uid="{C23D9DDE-0010-4C1F-A218-B16071C728FC}"/>
  </hyperlinks>
  <pageMargins left="0.7" right="0.7" top="0.75" bottom="0.75" header="0.3" footer="0.3"/>
  <pageSetup paperSize="9"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4E43132-EB7E-4A6A-9E12-6597FD7CE84C}">
            <xm:f>NOT(ISERROR(SEARCH('Analytique personnel'!C$2,Z1)))</xm:f>
            <xm:f>'Analytique personnel'!C$2</xm:f>
            <x14:dxf>
              <font>
                <color rgb="FF9C0006"/>
              </font>
            </x14:dxf>
          </x14:cfRule>
          <x14:cfRule type="containsText" priority="2" operator="containsText" id="{3DC799D1-FB00-4DD2-952E-0643DD99D881}">
            <xm:f>NOT(ISERROR(SEARCH('Analytique personnel'!$B$3,Z1)))</xm:f>
            <xm:f>'Analytique personnel'!$B$3</xm:f>
            <x14:dxf>
              <font>
                <color rgb="FF9C0006"/>
              </font>
            </x14:dxf>
          </x14:cfRule>
          <xm:sqref>Z1:Z1048576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6D84-3F61-4B41-B79F-3D381EC01403}">
  <sheetPr>
    <tabColor theme="4"/>
  </sheetPr>
  <dimension ref="A1:Y52"/>
  <sheetViews>
    <sheetView workbookViewId="0">
      <pane ySplit="1" topLeftCell="A2" activePane="bottomLeft" state="frozen"/>
      <selection pane="bottomLeft" activeCell="V2" sqref="V2"/>
    </sheetView>
  </sheetViews>
  <sheetFormatPr baseColWidth="10" defaultColWidth="9.140625" defaultRowHeight="15" x14ac:dyDescent="0.25"/>
  <cols>
    <col min="1" max="1" width="37" style="4" customWidth="1"/>
    <col min="2" max="2" width="14.140625" style="4" customWidth="1"/>
    <col min="3" max="3" width="12.85546875" style="4" customWidth="1"/>
    <col min="4" max="4" width="15" style="4" customWidth="1"/>
    <col min="5" max="5" width="20.5703125" style="4" customWidth="1"/>
    <col min="6" max="6" width="11.42578125" style="5" customWidth="1"/>
    <col min="7" max="7" width="12" style="5" customWidth="1"/>
    <col min="8" max="8" width="9.140625" style="3" customWidth="1"/>
    <col min="9" max="9" width="9.42578125" style="4" customWidth="1"/>
    <col min="10" max="10" width="46.28515625" style="4" customWidth="1"/>
    <col min="11" max="11" width="18.140625" style="4" customWidth="1"/>
    <col min="12" max="12" width="25.85546875" style="4" customWidth="1"/>
    <col min="13" max="13" width="10.85546875" style="4" customWidth="1"/>
    <col min="14" max="14" width="9.7109375" style="4" customWidth="1"/>
    <col min="15" max="15" width="11.42578125" style="45" customWidth="1"/>
    <col min="16" max="16" width="11.7109375" style="6" customWidth="1"/>
    <col min="17" max="17" width="10" style="6" customWidth="1"/>
    <col min="18" max="18" width="11.140625" style="6" customWidth="1"/>
    <col min="19" max="19" width="9.140625" style="45" customWidth="1"/>
    <col min="20" max="20" width="9.140625" style="6" customWidth="1"/>
    <col min="21" max="21" width="22.7109375" style="4" customWidth="1"/>
    <col min="22" max="22" width="21.42578125" style="4" customWidth="1"/>
    <col min="23" max="23" width="13" style="6" customWidth="1"/>
    <col min="24" max="24" width="21.28515625" style="4" customWidth="1"/>
    <col min="25" max="25" width="19.28515625" style="4" customWidth="1"/>
  </cols>
  <sheetData>
    <row r="1" spans="1:25" x14ac:dyDescent="0.2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5" t="s">
        <v>54</v>
      </c>
      <c r="G1" s="5" t="s">
        <v>4</v>
      </c>
      <c r="H1" s="3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5" t="s">
        <v>62</v>
      </c>
      <c r="P1" s="6" t="s">
        <v>63</v>
      </c>
      <c r="Q1" s="6" t="s">
        <v>64</v>
      </c>
      <c r="R1" s="6" t="s">
        <v>65</v>
      </c>
      <c r="S1" s="45" t="s">
        <v>11</v>
      </c>
      <c r="T1" s="6" t="s">
        <v>10</v>
      </c>
      <c r="U1" s="4" t="s">
        <v>66</v>
      </c>
      <c r="V1" s="4" t="s">
        <v>67</v>
      </c>
      <c r="W1" s="6" t="s">
        <v>68</v>
      </c>
      <c r="X1" s="4" t="s">
        <v>69</v>
      </c>
      <c r="Y1" s="4" t="s">
        <v>6779</v>
      </c>
    </row>
    <row r="2" spans="1:25" x14ac:dyDescent="0.25">
      <c r="A2" s="4" t="s">
        <v>8039</v>
      </c>
      <c r="B2" s="4" t="s">
        <v>377</v>
      </c>
      <c r="C2" s="4" t="s">
        <v>8040</v>
      </c>
      <c r="D2" s="4" t="s">
        <v>7104</v>
      </c>
      <c r="E2" s="4" t="s">
        <v>8041</v>
      </c>
      <c r="F2" s="5">
        <v>46281</v>
      </c>
      <c r="G2" s="5">
        <v>46281</v>
      </c>
      <c r="H2" s="3">
        <v>10</v>
      </c>
      <c r="I2" s="4" t="s">
        <v>8042</v>
      </c>
      <c r="J2" s="4" t="s">
        <v>8043</v>
      </c>
      <c r="K2" s="4" t="s">
        <v>75</v>
      </c>
      <c r="L2" s="4" t="s">
        <v>8044</v>
      </c>
      <c r="M2" s="4" t="s">
        <v>70</v>
      </c>
      <c r="N2" s="4" t="s">
        <v>70</v>
      </c>
      <c r="O2" s="45">
        <v>-0.25</v>
      </c>
      <c r="P2" s="6">
        <v>-23.75</v>
      </c>
      <c r="Q2" s="6">
        <v>0</v>
      </c>
      <c r="R2" s="6">
        <v>-23.75</v>
      </c>
      <c r="S2" s="45">
        <v>21</v>
      </c>
      <c r="T2" s="6">
        <v>-4.99</v>
      </c>
      <c r="U2" s="4" t="s">
        <v>8045</v>
      </c>
      <c r="V2" s="4" t="s">
        <v>8187</v>
      </c>
      <c r="W2" s="6">
        <v>0</v>
      </c>
      <c r="X2" s="4" t="s">
        <v>8046</v>
      </c>
      <c r="Y2" s="4" t="s">
        <v>70</v>
      </c>
    </row>
    <row r="3" spans="1:25" x14ac:dyDescent="0.25">
      <c r="A3" s="4" t="s">
        <v>8047</v>
      </c>
      <c r="B3" s="4" t="s">
        <v>373</v>
      </c>
      <c r="C3" s="4" t="s">
        <v>8048</v>
      </c>
      <c r="D3" s="4" t="s">
        <v>7104</v>
      </c>
      <c r="E3" s="4" t="s">
        <v>8049</v>
      </c>
      <c r="F3" s="5">
        <v>46281</v>
      </c>
      <c r="G3" s="5">
        <v>46281</v>
      </c>
      <c r="H3" s="3">
        <v>10</v>
      </c>
      <c r="I3" s="4" t="s">
        <v>8042</v>
      </c>
      <c r="J3" s="4" t="s">
        <v>8043</v>
      </c>
      <c r="K3" s="4" t="s">
        <v>75</v>
      </c>
      <c r="L3" s="4" t="s">
        <v>8044</v>
      </c>
      <c r="M3" s="4" t="s">
        <v>70</v>
      </c>
      <c r="N3" s="4" t="s">
        <v>70</v>
      </c>
      <c r="O3" s="45">
        <v>-0.25</v>
      </c>
      <c r="P3" s="6">
        <v>-23.75</v>
      </c>
      <c r="Q3" s="6">
        <v>0</v>
      </c>
      <c r="R3" s="6">
        <v>-23.75</v>
      </c>
      <c r="S3" s="45">
        <v>21</v>
      </c>
      <c r="T3" s="6">
        <v>-4.99</v>
      </c>
      <c r="U3" s="4" t="s">
        <v>8050</v>
      </c>
      <c r="V3" s="4" t="s">
        <v>8187</v>
      </c>
      <c r="W3" s="6">
        <v>0</v>
      </c>
      <c r="X3" s="4" t="s">
        <v>8046</v>
      </c>
      <c r="Y3" s="4" t="s">
        <v>70</v>
      </c>
    </row>
    <row r="4" spans="1:25" x14ac:dyDescent="0.25">
      <c r="A4" s="4" t="s">
        <v>7885</v>
      </c>
      <c r="B4" s="4" t="s">
        <v>22</v>
      </c>
      <c r="C4" s="4" t="s">
        <v>8051</v>
      </c>
      <c r="D4" s="4" t="s">
        <v>7106</v>
      </c>
      <c r="E4" s="4" t="s">
        <v>8052</v>
      </c>
      <c r="F4" s="5">
        <v>46281</v>
      </c>
      <c r="G4" s="5">
        <v>46281</v>
      </c>
      <c r="H4" s="3">
        <v>10</v>
      </c>
      <c r="I4" s="4" t="s">
        <v>8053</v>
      </c>
      <c r="J4" s="4" t="s">
        <v>172</v>
      </c>
      <c r="K4" s="4" t="s">
        <v>75</v>
      </c>
      <c r="L4" s="4" t="s">
        <v>8044</v>
      </c>
      <c r="M4" s="4" t="s">
        <v>70</v>
      </c>
      <c r="N4" s="4" t="s">
        <v>70</v>
      </c>
      <c r="O4" s="45">
        <v>0.25</v>
      </c>
      <c r="P4" s="6">
        <v>18</v>
      </c>
      <c r="Q4" s="6">
        <v>0</v>
      </c>
      <c r="R4" s="6">
        <v>18</v>
      </c>
      <c r="S4" s="45">
        <v>21</v>
      </c>
      <c r="T4" s="6">
        <v>3.78</v>
      </c>
      <c r="U4" s="4" t="s">
        <v>8054</v>
      </c>
      <c r="V4" s="4" t="s">
        <v>8055</v>
      </c>
      <c r="W4" s="6">
        <v>0</v>
      </c>
      <c r="X4" s="4" t="s">
        <v>8046</v>
      </c>
      <c r="Y4" s="4" t="s">
        <v>70</v>
      </c>
    </row>
    <row r="5" spans="1:25" x14ac:dyDescent="0.25">
      <c r="A5" s="4" t="s">
        <v>7885</v>
      </c>
      <c r="B5" s="4" t="s">
        <v>22</v>
      </c>
      <c r="C5" s="4" t="s">
        <v>8051</v>
      </c>
      <c r="D5" s="4" t="s">
        <v>7106</v>
      </c>
      <c r="E5" s="4" t="s">
        <v>8052</v>
      </c>
      <c r="F5" s="5">
        <v>46281</v>
      </c>
      <c r="G5" s="5">
        <v>46281</v>
      </c>
      <c r="H5" s="3">
        <v>15</v>
      </c>
      <c r="I5" s="4" t="s">
        <v>8053</v>
      </c>
      <c r="J5" s="4" t="s">
        <v>172</v>
      </c>
      <c r="K5" s="4" t="s">
        <v>75</v>
      </c>
      <c r="L5" s="4" t="s">
        <v>8044</v>
      </c>
      <c r="M5" s="4" t="s">
        <v>70</v>
      </c>
      <c r="N5" s="4" t="s">
        <v>70</v>
      </c>
      <c r="O5" s="45">
        <v>1</v>
      </c>
      <c r="P5" s="6">
        <v>72</v>
      </c>
      <c r="Q5" s="6">
        <v>0</v>
      </c>
      <c r="R5" s="6">
        <v>72</v>
      </c>
      <c r="S5" s="45">
        <v>21</v>
      </c>
      <c r="T5" s="6">
        <v>15.12</v>
      </c>
      <c r="U5" s="4" t="s">
        <v>8054</v>
      </c>
      <c r="V5" s="4" t="s">
        <v>8055</v>
      </c>
      <c r="W5" s="6">
        <v>0</v>
      </c>
      <c r="X5" s="4" t="s">
        <v>8046</v>
      </c>
      <c r="Y5" s="4" t="s">
        <v>70</v>
      </c>
    </row>
    <row r="6" spans="1:25" x14ac:dyDescent="0.25">
      <c r="A6" s="4" t="s">
        <v>7885</v>
      </c>
      <c r="B6" s="4" t="s">
        <v>22</v>
      </c>
      <c r="C6" s="4" t="s">
        <v>8051</v>
      </c>
      <c r="D6" s="4" t="s">
        <v>7106</v>
      </c>
      <c r="E6" s="4" t="s">
        <v>8052</v>
      </c>
      <c r="F6" s="5">
        <v>46281</v>
      </c>
      <c r="G6" s="5">
        <v>46281</v>
      </c>
      <c r="H6" s="3">
        <v>20</v>
      </c>
      <c r="I6" s="4" t="s">
        <v>8056</v>
      </c>
      <c r="J6" s="4" t="s">
        <v>7751</v>
      </c>
      <c r="K6" s="4" t="s">
        <v>75</v>
      </c>
      <c r="L6" s="4" t="s">
        <v>8044</v>
      </c>
      <c r="M6" s="4" t="s">
        <v>70</v>
      </c>
      <c r="N6" s="4" t="s">
        <v>70</v>
      </c>
      <c r="O6" s="45">
        <v>0.25</v>
      </c>
      <c r="P6" s="6">
        <v>18</v>
      </c>
      <c r="Q6" s="6">
        <v>0</v>
      </c>
      <c r="R6" s="6">
        <v>18</v>
      </c>
      <c r="S6" s="45">
        <v>21</v>
      </c>
      <c r="T6" s="6">
        <v>3.78</v>
      </c>
      <c r="U6" s="4" t="s">
        <v>8054</v>
      </c>
      <c r="V6" s="4" t="s">
        <v>8055</v>
      </c>
      <c r="W6" s="6">
        <v>0</v>
      </c>
      <c r="X6" s="4" t="s">
        <v>8046</v>
      </c>
      <c r="Y6" s="4" t="s">
        <v>70</v>
      </c>
    </row>
    <row r="7" spans="1:25" x14ac:dyDescent="0.25">
      <c r="A7" s="4" t="s">
        <v>7885</v>
      </c>
      <c r="B7" s="4" t="s">
        <v>22</v>
      </c>
      <c r="C7" s="4" t="s">
        <v>8051</v>
      </c>
      <c r="D7" s="4" t="s">
        <v>7106</v>
      </c>
      <c r="E7" s="4" t="s">
        <v>8052</v>
      </c>
      <c r="F7" s="5">
        <v>46281</v>
      </c>
      <c r="G7" s="5">
        <v>46281</v>
      </c>
      <c r="H7" s="3">
        <v>25</v>
      </c>
      <c r="I7" s="4" t="s">
        <v>8056</v>
      </c>
      <c r="J7" s="4" t="s">
        <v>7751</v>
      </c>
      <c r="K7" s="4" t="s">
        <v>75</v>
      </c>
      <c r="L7" s="4" t="s">
        <v>8044</v>
      </c>
      <c r="M7" s="4" t="s">
        <v>70</v>
      </c>
      <c r="N7" s="4" t="s">
        <v>70</v>
      </c>
      <c r="O7" s="45">
        <v>0.25</v>
      </c>
      <c r="P7" s="6">
        <v>18</v>
      </c>
      <c r="Q7" s="6">
        <v>0</v>
      </c>
      <c r="R7" s="6">
        <v>18</v>
      </c>
      <c r="S7" s="45">
        <v>21</v>
      </c>
      <c r="T7" s="6">
        <v>3.78</v>
      </c>
      <c r="U7" s="4" t="s">
        <v>8054</v>
      </c>
      <c r="V7" s="4" t="s">
        <v>8055</v>
      </c>
      <c r="W7" s="6">
        <v>0</v>
      </c>
      <c r="X7" s="4" t="s">
        <v>8046</v>
      </c>
      <c r="Y7" s="4" t="s">
        <v>70</v>
      </c>
    </row>
    <row r="8" spans="1:25" x14ac:dyDescent="0.25">
      <c r="A8" s="4" t="s">
        <v>8023</v>
      </c>
      <c r="B8" s="4" t="s">
        <v>119</v>
      </c>
      <c r="C8" s="4" t="s">
        <v>8057</v>
      </c>
      <c r="D8" s="4" t="s">
        <v>7106</v>
      </c>
      <c r="E8" s="4" t="s">
        <v>8058</v>
      </c>
      <c r="F8" s="5">
        <v>46281</v>
      </c>
      <c r="G8" s="5">
        <v>46281</v>
      </c>
      <c r="H8" s="3">
        <v>10</v>
      </c>
      <c r="I8" s="4" t="s">
        <v>8056</v>
      </c>
      <c r="J8" s="4" t="s">
        <v>7751</v>
      </c>
      <c r="K8" s="4" t="s">
        <v>75</v>
      </c>
      <c r="L8" s="4" t="s">
        <v>8044</v>
      </c>
      <c r="M8" s="4" t="s">
        <v>70</v>
      </c>
      <c r="N8" s="4" t="s">
        <v>70</v>
      </c>
      <c r="O8" s="45">
        <v>0.25</v>
      </c>
      <c r="P8" s="6">
        <v>23.75</v>
      </c>
      <c r="Q8" s="6">
        <v>0</v>
      </c>
      <c r="R8" s="6">
        <v>23.75</v>
      </c>
      <c r="S8" s="45">
        <v>21</v>
      </c>
      <c r="T8" s="6">
        <v>4.99</v>
      </c>
      <c r="U8" s="4" t="s">
        <v>8059</v>
      </c>
      <c r="V8" s="4" t="s">
        <v>8187</v>
      </c>
      <c r="W8" s="6">
        <v>0</v>
      </c>
      <c r="X8" s="4" t="s">
        <v>8046</v>
      </c>
      <c r="Y8" s="4" t="s">
        <v>70</v>
      </c>
    </row>
    <row r="9" spans="1:25" x14ac:dyDescent="0.25">
      <c r="A9" s="4" t="s">
        <v>8024</v>
      </c>
      <c r="B9" s="4" t="s">
        <v>32</v>
      </c>
      <c r="C9" s="4" t="s">
        <v>8060</v>
      </c>
      <c r="D9" s="4" t="s">
        <v>7106</v>
      </c>
      <c r="E9" s="4" t="s">
        <v>8061</v>
      </c>
      <c r="F9" s="5">
        <v>46281</v>
      </c>
      <c r="G9" s="5">
        <v>46311</v>
      </c>
      <c r="H9" s="3">
        <v>10</v>
      </c>
      <c r="I9" s="4" t="s">
        <v>8053</v>
      </c>
      <c r="J9" s="4" t="s">
        <v>172</v>
      </c>
      <c r="K9" s="4" t="s">
        <v>75</v>
      </c>
      <c r="L9" s="4" t="s">
        <v>8044</v>
      </c>
      <c r="M9" s="4" t="s">
        <v>70</v>
      </c>
      <c r="N9" s="4" t="s">
        <v>70</v>
      </c>
      <c r="O9" s="45">
        <v>1</v>
      </c>
      <c r="P9" s="6">
        <v>95</v>
      </c>
      <c r="Q9" s="6">
        <v>0</v>
      </c>
      <c r="R9" s="6">
        <v>95</v>
      </c>
      <c r="S9" s="45">
        <v>21</v>
      </c>
      <c r="T9" s="6">
        <v>19.95</v>
      </c>
      <c r="U9" s="4" t="s">
        <v>8062</v>
      </c>
      <c r="V9" s="4" t="s">
        <v>8187</v>
      </c>
      <c r="W9" s="6">
        <v>0</v>
      </c>
      <c r="X9" s="4" t="s">
        <v>8046</v>
      </c>
      <c r="Y9" s="4" t="s">
        <v>70</v>
      </c>
    </row>
    <row r="10" spans="1:25" x14ac:dyDescent="0.25">
      <c r="A10" s="4" t="s">
        <v>8063</v>
      </c>
      <c r="B10" s="4" t="s">
        <v>325</v>
      </c>
      <c r="C10" s="4" t="s">
        <v>8064</v>
      </c>
      <c r="D10" s="4" t="s">
        <v>7106</v>
      </c>
      <c r="E10" s="4" t="s">
        <v>8065</v>
      </c>
      <c r="F10" s="5">
        <v>46281</v>
      </c>
      <c r="G10" s="5">
        <v>46281</v>
      </c>
      <c r="H10" s="3">
        <v>10</v>
      </c>
      <c r="I10" s="4" t="s">
        <v>8066</v>
      </c>
      <c r="J10" s="4" t="s">
        <v>166</v>
      </c>
      <c r="K10" s="4" t="s">
        <v>75</v>
      </c>
      <c r="L10" s="4" t="s">
        <v>8044</v>
      </c>
      <c r="M10" s="4" t="s">
        <v>70</v>
      </c>
      <c r="N10" s="4" t="s">
        <v>70</v>
      </c>
      <c r="O10" s="45">
        <v>0.5</v>
      </c>
      <c r="P10" s="6">
        <v>47.5</v>
      </c>
      <c r="Q10" s="6">
        <v>0</v>
      </c>
      <c r="R10" s="6">
        <v>47.5</v>
      </c>
      <c r="S10" s="45">
        <v>21</v>
      </c>
      <c r="T10" s="6">
        <v>9.98</v>
      </c>
      <c r="U10" s="4" t="s">
        <v>8067</v>
      </c>
      <c r="V10" s="4" t="s">
        <v>8187</v>
      </c>
      <c r="W10" s="6">
        <v>0</v>
      </c>
      <c r="X10" s="4" t="s">
        <v>8046</v>
      </c>
      <c r="Y10" s="4" t="s">
        <v>70</v>
      </c>
    </row>
    <row r="11" spans="1:25" x14ac:dyDescent="0.25">
      <c r="A11" s="4" t="s">
        <v>8063</v>
      </c>
      <c r="B11" s="4" t="s">
        <v>325</v>
      </c>
      <c r="C11" s="4" t="s">
        <v>8064</v>
      </c>
      <c r="D11" s="4" t="s">
        <v>7106</v>
      </c>
      <c r="E11" s="4" t="s">
        <v>8065</v>
      </c>
      <c r="F11" s="5">
        <v>46281</v>
      </c>
      <c r="G11" s="5">
        <v>46281</v>
      </c>
      <c r="H11" s="3">
        <v>15</v>
      </c>
      <c r="I11" s="4" t="s">
        <v>8056</v>
      </c>
      <c r="J11" s="4" t="s">
        <v>7751</v>
      </c>
      <c r="K11" s="4" t="s">
        <v>75</v>
      </c>
      <c r="L11" s="4" t="s">
        <v>8044</v>
      </c>
      <c r="M11" s="4" t="s">
        <v>70</v>
      </c>
      <c r="N11" s="4" t="s">
        <v>70</v>
      </c>
      <c r="O11" s="45">
        <v>0.5</v>
      </c>
      <c r="P11" s="6">
        <v>47.5</v>
      </c>
      <c r="Q11" s="6">
        <v>0</v>
      </c>
      <c r="R11" s="6">
        <v>47.5</v>
      </c>
      <c r="S11" s="45">
        <v>21</v>
      </c>
      <c r="T11" s="6">
        <v>9.98</v>
      </c>
      <c r="U11" s="4" t="s">
        <v>8067</v>
      </c>
      <c r="V11" s="4" t="s">
        <v>8187</v>
      </c>
      <c r="W11" s="6">
        <v>0</v>
      </c>
      <c r="X11" s="4" t="s">
        <v>8046</v>
      </c>
      <c r="Y11" s="4" t="s">
        <v>70</v>
      </c>
    </row>
    <row r="12" spans="1:25" x14ac:dyDescent="0.25">
      <c r="A12" s="4" t="s">
        <v>8063</v>
      </c>
      <c r="B12" s="4" t="s">
        <v>325</v>
      </c>
      <c r="C12" s="4" t="s">
        <v>8064</v>
      </c>
      <c r="D12" s="4" t="s">
        <v>7106</v>
      </c>
      <c r="E12" s="4" t="s">
        <v>8065</v>
      </c>
      <c r="F12" s="5">
        <v>46281</v>
      </c>
      <c r="G12" s="5">
        <v>46281</v>
      </c>
      <c r="H12" s="3">
        <v>20</v>
      </c>
      <c r="I12" s="4" t="s">
        <v>8068</v>
      </c>
      <c r="J12" s="4" t="s">
        <v>185</v>
      </c>
      <c r="K12" s="4" t="s">
        <v>75</v>
      </c>
      <c r="L12" s="4" t="s">
        <v>8069</v>
      </c>
      <c r="M12" s="4" t="s">
        <v>70</v>
      </c>
      <c r="N12" s="4" t="s">
        <v>70</v>
      </c>
      <c r="O12" s="45">
        <v>44</v>
      </c>
      <c r="P12" s="6">
        <v>74.8</v>
      </c>
      <c r="Q12" s="6">
        <v>0</v>
      </c>
      <c r="R12" s="6">
        <v>74.8</v>
      </c>
      <c r="S12" s="45">
        <v>21</v>
      </c>
      <c r="T12" s="6">
        <v>15.7</v>
      </c>
      <c r="U12" s="4" t="s">
        <v>8067</v>
      </c>
      <c r="V12" s="4" t="s">
        <v>8070</v>
      </c>
      <c r="W12" s="6">
        <v>0</v>
      </c>
      <c r="X12" s="4" t="s">
        <v>8046</v>
      </c>
      <c r="Y12" s="4" t="s">
        <v>70</v>
      </c>
    </row>
    <row r="13" spans="1:25" x14ac:dyDescent="0.25">
      <c r="A13" s="4" t="s">
        <v>8071</v>
      </c>
      <c r="B13" s="4" t="s">
        <v>339</v>
      </c>
      <c r="C13" s="4" t="s">
        <v>8072</v>
      </c>
      <c r="D13" s="4" t="s">
        <v>7106</v>
      </c>
      <c r="E13" s="4" t="s">
        <v>8073</v>
      </c>
      <c r="F13" s="5">
        <v>46281</v>
      </c>
      <c r="G13" s="5">
        <v>46281</v>
      </c>
      <c r="H13" s="3">
        <v>10</v>
      </c>
      <c r="I13" s="4" t="s">
        <v>8056</v>
      </c>
      <c r="J13" s="4" t="s">
        <v>7751</v>
      </c>
      <c r="K13" s="4" t="s">
        <v>75</v>
      </c>
      <c r="L13" s="4" t="s">
        <v>8044</v>
      </c>
      <c r="M13" s="4" t="s">
        <v>70</v>
      </c>
      <c r="N13" s="4" t="s">
        <v>70</v>
      </c>
      <c r="O13" s="45">
        <v>0.25</v>
      </c>
      <c r="P13" s="6">
        <v>23.75</v>
      </c>
      <c r="Q13" s="6">
        <v>0</v>
      </c>
      <c r="R13" s="6">
        <v>23.75</v>
      </c>
      <c r="S13" s="45">
        <v>21</v>
      </c>
      <c r="T13" s="6">
        <v>4.99</v>
      </c>
      <c r="U13" s="4" t="s">
        <v>8074</v>
      </c>
      <c r="V13" s="4" t="s">
        <v>8187</v>
      </c>
      <c r="W13" s="6">
        <v>0</v>
      </c>
      <c r="X13" s="4" t="s">
        <v>8046</v>
      </c>
      <c r="Y13" s="4" t="s">
        <v>70</v>
      </c>
    </row>
    <row r="14" spans="1:25" x14ac:dyDescent="0.25">
      <c r="A14" s="4" t="s">
        <v>7890</v>
      </c>
      <c r="B14" s="4" t="s">
        <v>26</v>
      </c>
      <c r="C14" s="4" t="s">
        <v>8075</v>
      </c>
      <c r="D14" s="4" t="s">
        <v>7106</v>
      </c>
      <c r="E14" s="4" t="s">
        <v>8076</v>
      </c>
      <c r="F14" s="5">
        <v>46281</v>
      </c>
      <c r="G14" s="5">
        <v>46311</v>
      </c>
      <c r="H14" s="3">
        <v>10</v>
      </c>
      <c r="I14" s="4" t="s">
        <v>8077</v>
      </c>
      <c r="J14" s="4" t="s">
        <v>8078</v>
      </c>
      <c r="K14" s="4" t="s">
        <v>72</v>
      </c>
      <c r="L14" s="4" t="s">
        <v>73</v>
      </c>
      <c r="M14" s="4" t="s">
        <v>70</v>
      </c>
      <c r="N14" s="4" t="s">
        <v>70</v>
      </c>
      <c r="O14" s="45">
        <v>1</v>
      </c>
      <c r="P14" s="6">
        <v>60</v>
      </c>
      <c r="Q14" s="6">
        <v>0</v>
      </c>
      <c r="R14" s="6">
        <v>60</v>
      </c>
      <c r="S14" s="45">
        <v>21</v>
      </c>
      <c r="T14" s="6">
        <v>12.6</v>
      </c>
      <c r="U14" s="4" t="s">
        <v>8079</v>
      </c>
      <c r="V14" s="4" t="s">
        <v>7888</v>
      </c>
      <c r="W14" s="6">
        <v>30</v>
      </c>
      <c r="X14" s="4" t="s">
        <v>7889</v>
      </c>
      <c r="Y14" s="4" t="s">
        <v>70</v>
      </c>
    </row>
    <row r="15" spans="1:25" x14ac:dyDescent="0.25">
      <c r="A15" s="4" t="s">
        <v>8080</v>
      </c>
      <c r="B15" s="4" t="s">
        <v>314</v>
      </c>
      <c r="C15" s="4" t="s">
        <v>8081</v>
      </c>
      <c r="D15" s="4" t="s">
        <v>7106</v>
      </c>
      <c r="E15" s="4" t="s">
        <v>8082</v>
      </c>
      <c r="F15" s="5">
        <v>46281</v>
      </c>
      <c r="G15" s="5">
        <v>46281</v>
      </c>
      <c r="H15" s="3">
        <v>10</v>
      </c>
      <c r="I15" s="4" t="s">
        <v>8056</v>
      </c>
      <c r="J15" s="4" t="s">
        <v>7751</v>
      </c>
      <c r="K15" s="4" t="s">
        <v>75</v>
      </c>
      <c r="L15" s="4" t="s">
        <v>8044</v>
      </c>
      <c r="M15" s="4" t="s">
        <v>70</v>
      </c>
      <c r="N15" s="4" t="s">
        <v>70</v>
      </c>
      <c r="O15" s="45">
        <v>0.25</v>
      </c>
      <c r="P15" s="6">
        <v>23.75</v>
      </c>
      <c r="Q15" s="6">
        <v>0</v>
      </c>
      <c r="R15" s="6">
        <v>23.75</v>
      </c>
      <c r="S15" s="45">
        <v>21</v>
      </c>
      <c r="T15" s="6">
        <v>4.99</v>
      </c>
      <c r="U15" s="4" t="s">
        <v>8083</v>
      </c>
      <c r="V15" s="4" t="s">
        <v>8187</v>
      </c>
      <c r="W15" s="6">
        <v>0</v>
      </c>
      <c r="X15" s="4" t="s">
        <v>8046</v>
      </c>
      <c r="Y15" s="4" t="s">
        <v>70</v>
      </c>
    </row>
    <row r="16" spans="1:25" x14ac:dyDescent="0.25">
      <c r="A16" s="4" t="s">
        <v>8080</v>
      </c>
      <c r="B16" s="4" t="s">
        <v>314</v>
      </c>
      <c r="C16" s="4" t="s">
        <v>8081</v>
      </c>
      <c r="D16" s="4" t="s">
        <v>7106</v>
      </c>
      <c r="E16" s="4" t="s">
        <v>8082</v>
      </c>
      <c r="F16" s="5">
        <v>46281</v>
      </c>
      <c r="G16" s="5">
        <v>46281</v>
      </c>
      <c r="H16" s="3">
        <v>15</v>
      </c>
      <c r="I16" s="4" t="s">
        <v>8056</v>
      </c>
      <c r="J16" s="4" t="s">
        <v>7751</v>
      </c>
      <c r="K16" s="4" t="s">
        <v>75</v>
      </c>
      <c r="L16" s="4" t="s">
        <v>8044</v>
      </c>
      <c r="M16" s="4" t="s">
        <v>70</v>
      </c>
      <c r="N16" s="4" t="s">
        <v>70</v>
      </c>
      <c r="O16" s="45">
        <v>0.5</v>
      </c>
      <c r="P16" s="6">
        <v>47.5</v>
      </c>
      <c r="Q16" s="6">
        <v>0</v>
      </c>
      <c r="R16" s="6">
        <v>47.5</v>
      </c>
      <c r="S16" s="45">
        <v>21</v>
      </c>
      <c r="T16" s="6">
        <v>9.9700000000000006</v>
      </c>
      <c r="U16" s="4" t="s">
        <v>8083</v>
      </c>
      <c r="V16" s="4" t="s">
        <v>8187</v>
      </c>
      <c r="W16" s="6">
        <v>0</v>
      </c>
      <c r="X16" s="4" t="s">
        <v>8046</v>
      </c>
      <c r="Y16" s="4" t="s">
        <v>70</v>
      </c>
    </row>
    <row r="17" spans="1:25" x14ac:dyDescent="0.25">
      <c r="A17" s="4" t="s">
        <v>8025</v>
      </c>
      <c r="B17" s="4" t="s">
        <v>176</v>
      </c>
      <c r="C17" s="4" t="s">
        <v>8084</v>
      </c>
      <c r="D17" s="4" t="s">
        <v>7106</v>
      </c>
      <c r="E17" s="4" t="s">
        <v>8085</v>
      </c>
      <c r="F17" s="5">
        <v>46281</v>
      </c>
      <c r="G17" s="5">
        <v>46281</v>
      </c>
      <c r="H17" s="3">
        <v>10</v>
      </c>
      <c r="I17" s="4" t="s">
        <v>8056</v>
      </c>
      <c r="J17" s="4" t="s">
        <v>7751</v>
      </c>
      <c r="K17" s="4" t="s">
        <v>75</v>
      </c>
      <c r="L17" s="4" t="s">
        <v>8044</v>
      </c>
      <c r="M17" s="4" t="s">
        <v>70</v>
      </c>
      <c r="N17" s="4" t="s">
        <v>70</v>
      </c>
      <c r="O17" s="45">
        <v>0.25</v>
      </c>
      <c r="P17" s="6">
        <v>23.75</v>
      </c>
      <c r="Q17" s="6">
        <v>0</v>
      </c>
      <c r="R17" s="6">
        <v>23.75</v>
      </c>
      <c r="S17" s="45">
        <v>21</v>
      </c>
      <c r="T17" s="6">
        <v>4.99</v>
      </c>
      <c r="U17" s="4" t="s">
        <v>8086</v>
      </c>
      <c r="V17" s="4" t="s">
        <v>8187</v>
      </c>
      <c r="W17" s="6">
        <v>0</v>
      </c>
      <c r="X17" s="4" t="s">
        <v>8046</v>
      </c>
      <c r="Y17" s="4" t="s">
        <v>70</v>
      </c>
    </row>
    <row r="18" spans="1:25" x14ac:dyDescent="0.25">
      <c r="A18" s="4" t="s">
        <v>8025</v>
      </c>
      <c r="B18" s="4" t="s">
        <v>176</v>
      </c>
      <c r="C18" s="4" t="s">
        <v>8084</v>
      </c>
      <c r="D18" s="4" t="s">
        <v>7106</v>
      </c>
      <c r="E18" s="4" t="s">
        <v>8085</v>
      </c>
      <c r="F18" s="5">
        <v>46281</v>
      </c>
      <c r="G18" s="5">
        <v>46281</v>
      </c>
      <c r="H18" s="3">
        <v>15</v>
      </c>
      <c r="I18" s="4" t="s">
        <v>8056</v>
      </c>
      <c r="J18" s="4" t="s">
        <v>7751</v>
      </c>
      <c r="K18" s="4" t="s">
        <v>75</v>
      </c>
      <c r="L18" s="4" t="s">
        <v>8044</v>
      </c>
      <c r="M18" s="4" t="s">
        <v>70</v>
      </c>
      <c r="N18" s="4" t="s">
        <v>70</v>
      </c>
      <c r="O18" s="45">
        <v>0.25</v>
      </c>
      <c r="P18" s="6">
        <v>23.75</v>
      </c>
      <c r="Q18" s="6">
        <v>0</v>
      </c>
      <c r="R18" s="6">
        <v>23.75</v>
      </c>
      <c r="S18" s="45">
        <v>21</v>
      </c>
      <c r="T18" s="6">
        <v>4.99</v>
      </c>
      <c r="U18" s="4" t="s">
        <v>8086</v>
      </c>
      <c r="V18" s="4" t="s">
        <v>8187</v>
      </c>
      <c r="W18" s="6">
        <v>0</v>
      </c>
      <c r="X18" s="4" t="s">
        <v>8046</v>
      </c>
      <c r="Y18" s="4" t="s">
        <v>70</v>
      </c>
    </row>
    <row r="19" spans="1:25" x14ac:dyDescent="0.25">
      <c r="A19" s="4" t="s">
        <v>8087</v>
      </c>
      <c r="B19" s="4" t="s">
        <v>327</v>
      </c>
      <c r="C19" s="4" t="s">
        <v>8088</v>
      </c>
      <c r="D19" s="4" t="s">
        <v>7106</v>
      </c>
      <c r="E19" s="4" t="s">
        <v>8089</v>
      </c>
      <c r="F19" s="5">
        <v>46281</v>
      </c>
      <c r="G19" s="5">
        <v>46281</v>
      </c>
      <c r="H19" s="3">
        <v>10</v>
      </c>
      <c r="I19" s="4" t="s">
        <v>8056</v>
      </c>
      <c r="J19" s="4" t="s">
        <v>7751</v>
      </c>
      <c r="K19" s="4" t="s">
        <v>75</v>
      </c>
      <c r="L19" s="4" t="s">
        <v>8044</v>
      </c>
      <c r="M19" s="4" t="s">
        <v>70</v>
      </c>
      <c r="N19" s="4" t="s">
        <v>70</v>
      </c>
      <c r="O19" s="45">
        <v>0.25</v>
      </c>
      <c r="P19" s="6">
        <v>18</v>
      </c>
      <c r="Q19" s="6">
        <v>0</v>
      </c>
      <c r="R19" s="6">
        <v>18</v>
      </c>
      <c r="S19" s="45">
        <v>21</v>
      </c>
      <c r="T19" s="6">
        <v>3.78</v>
      </c>
      <c r="U19" s="4" t="s">
        <v>8090</v>
      </c>
      <c r="V19" s="4" t="s">
        <v>8055</v>
      </c>
      <c r="W19" s="6">
        <v>0</v>
      </c>
      <c r="X19" s="4" t="s">
        <v>8046</v>
      </c>
      <c r="Y19" s="4" t="s">
        <v>70</v>
      </c>
    </row>
    <row r="20" spans="1:25" x14ac:dyDescent="0.25">
      <c r="A20" s="4" t="s">
        <v>8087</v>
      </c>
      <c r="B20" s="4" t="s">
        <v>327</v>
      </c>
      <c r="C20" s="4" t="s">
        <v>8088</v>
      </c>
      <c r="D20" s="4" t="s">
        <v>7106</v>
      </c>
      <c r="E20" s="4" t="s">
        <v>8089</v>
      </c>
      <c r="F20" s="5">
        <v>46281</v>
      </c>
      <c r="G20" s="5">
        <v>46281</v>
      </c>
      <c r="H20" s="3">
        <v>15</v>
      </c>
      <c r="I20" s="4" t="s">
        <v>8091</v>
      </c>
      <c r="J20" s="4" t="s">
        <v>180</v>
      </c>
      <c r="K20" s="4" t="s">
        <v>75</v>
      </c>
      <c r="L20" s="4" t="s">
        <v>8044</v>
      </c>
      <c r="M20" s="4" t="s">
        <v>70</v>
      </c>
      <c r="N20" s="4" t="s">
        <v>70</v>
      </c>
      <c r="O20" s="45">
        <v>2</v>
      </c>
      <c r="P20" s="6">
        <v>144</v>
      </c>
      <c r="Q20" s="6">
        <v>0</v>
      </c>
      <c r="R20" s="6">
        <v>144</v>
      </c>
      <c r="S20" s="45">
        <v>21</v>
      </c>
      <c r="T20" s="6">
        <v>30.24</v>
      </c>
      <c r="U20" s="4" t="s">
        <v>8090</v>
      </c>
      <c r="V20" s="4" t="s">
        <v>8055</v>
      </c>
      <c r="W20" s="6">
        <v>0</v>
      </c>
      <c r="X20" s="4" t="s">
        <v>8046</v>
      </c>
      <c r="Y20" s="4" t="s">
        <v>70</v>
      </c>
    </row>
    <row r="21" spans="1:25" x14ac:dyDescent="0.25">
      <c r="A21" s="4" t="s">
        <v>8087</v>
      </c>
      <c r="B21" s="4" t="s">
        <v>327</v>
      </c>
      <c r="C21" s="4" t="s">
        <v>8088</v>
      </c>
      <c r="D21" s="4" t="s">
        <v>7106</v>
      </c>
      <c r="E21" s="4" t="s">
        <v>8089</v>
      </c>
      <c r="F21" s="5">
        <v>46281</v>
      </c>
      <c r="G21" s="5">
        <v>46281</v>
      </c>
      <c r="H21" s="3">
        <v>20</v>
      </c>
      <c r="I21" s="4" t="s">
        <v>8077</v>
      </c>
      <c r="J21" s="4" t="s">
        <v>8078</v>
      </c>
      <c r="K21" s="4" t="s">
        <v>72</v>
      </c>
      <c r="L21" s="4" t="s">
        <v>73</v>
      </c>
      <c r="M21" s="4" t="s">
        <v>70</v>
      </c>
      <c r="N21" s="4" t="s">
        <v>70</v>
      </c>
      <c r="O21" s="45">
        <v>1</v>
      </c>
      <c r="P21" s="6">
        <v>60</v>
      </c>
      <c r="Q21" s="6">
        <v>0</v>
      </c>
      <c r="R21" s="6">
        <v>60</v>
      </c>
      <c r="S21" s="45">
        <v>21</v>
      </c>
      <c r="T21" s="6">
        <v>12.6</v>
      </c>
      <c r="U21" s="4" t="s">
        <v>8090</v>
      </c>
      <c r="V21" s="4" t="s">
        <v>7888</v>
      </c>
      <c r="W21" s="6">
        <v>30</v>
      </c>
      <c r="X21" s="4" t="s">
        <v>7889</v>
      </c>
      <c r="Y21" s="4" t="s">
        <v>70</v>
      </c>
    </row>
    <row r="22" spans="1:25" x14ac:dyDescent="0.25">
      <c r="A22" s="4" t="s">
        <v>8026</v>
      </c>
      <c r="B22" s="4" t="s">
        <v>83</v>
      </c>
      <c r="C22" s="4" t="s">
        <v>8092</v>
      </c>
      <c r="D22" s="4" t="s">
        <v>7106</v>
      </c>
      <c r="E22" s="4" t="s">
        <v>8093</v>
      </c>
      <c r="F22" s="5">
        <v>46281</v>
      </c>
      <c r="G22" s="5">
        <v>46281</v>
      </c>
      <c r="H22" s="3">
        <v>10</v>
      </c>
      <c r="I22" s="4" t="s">
        <v>8056</v>
      </c>
      <c r="J22" s="4" t="s">
        <v>7751</v>
      </c>
      <c r="K22" s="4" t="s">
        <v>75</v>
      </c>
      <c r="L22" s="4" t="s">
        <v>8044</v>
      </c>
      <c r="M22" s="4" t="s">
        <v>70</v>
      </c>
      <c r="N22" s="4" t="s">
        <v>70</v>
      </c>
      <c r="O22" s="45">
        <v>0.25</v>
      </c>
      <c r="P22" s="6">
        <v>23.75</v>
      </c>
      <c r="Q22" s="6">
        <v>0</v>
      </c>
      <c r="R22" s="6">
        <v>23.75</v>
      </c>
      <c r="S22" s="45">
        <v>21</v>
      </c>
      <c r="T22" s="6">
        <v>4.99</v>
      </c>
      <c r="U22" s="4" t="s">
        <v>8094</v>
      </c>
      <c r="V22" s="4" t="s">
        <v>8187</v>
      </c>
      <c r="W22" s="6">
        <v>0</v>
      </c>
      <c r="X22" s="4" t="s">
        <v>8046</v>
      </c>
      <c r="Y22" s="4" t="s">
        <v>70</v>
      </c>
    </row>
    <row r="23" spans="1:25" x14ac:dyDescent="0.25">
      <c r="A23" s="4" t="s">
        <v>8027</v>
      </c>
      <c r="B23" s="4" t="s">
        <v>86</v>
      </c>
      <c r="C23" s="4" t="s">
        <v>8095</v>
      </c>
      <c r="D23" s="4" t="s">
        <v>7106</v>
      </c>
      <c r="E23" s="4" t="s">
        <v>8096</v>
      </c>
      <c r="F23" s="5">
        <v>46281</v>
      </c>
      <c r="G23" s="5">
        <v>46281</v>
      </c>
      <c r="H23" s="3">
        <v>10</v>
      </c>
      <c r="I23" s="4" t="s">
        <v>8056</v>
      </c>
      <c r="J23" s="4" t="s">
        <v>7751</v>
      </c>
      <c r="K23" s="4" t="s">
        <v>75</v>
      </c>
      <c r="L23" s="4" t="s">
        <v>8044</v>
      </c>
      <c r="M23" s="4" t="s">
        <v>70</v>
      </c>
      <c r="N23" s="4" t="s">
        <v>70</v>
      </c>
      <c r="O23" s="45">
        <v>3</v>
      </c>
      <c r="P23" s="6">
        <v>285</v>
      </c>
      <c r="Q23" s="6">
        <v>0</v>
      </c>
      <c r="R23" s="6">
        <v>285</v>
      </c>
      <c r="S23" s="45">
        <v>21</v>
      </c>
      <c r="T23" s="6">
        <v>59.85</v>
      </c>
      <c r="U23" s="4" t="s">
        <v>8097</v>
      </c>
      <c r="V23" s="4" t="s">
        <v>8187</v>
      </c>
      <c r="W23" s="6">
        <v>0</v>
      </c>
      <c r="X23" s="4" t="s">
        <v>8046</v>
      </c>
      <c r="Y23" s="4" t="s">
        <v>70</v>
      </c>
    </row>
    <row r="24" spans="1:25" x14ac:dyDescent="0.25">
      <c r="A24" s="4" t="s">
        <v>8027</v>
      </c>
      <c r="B24" s="4" t="s">
        <v>86</v>
      </c>
      <c r="C24" s="4" t="s">
        <v>8095</v>
      </c>
      <c r="D24" s="4" t="s">
        <v>7106</v>
      </c>
      <c r="E24" s="4" t="s">
        <v>8096</v>
      </c>
      <c r="F24" s="5">
        <v>46281</v>
      </c>
      <c r="G24" s="5">
        <v>46281</v>
      </c>
      <c r="H24" s="3">
        <v>15</v>
      </c>
      <c r="I24" s="4" t="s">
        <v>8056</v>
      </c>
      <c r="J24" s="4" t="s">
        <v>7751</v>
      </c>
      <c r="K24" s="4" t="s">
        <v>75</v>
      </c>
      <c r="L24" s="4" t="s">
        <v>8044</v>
      </c>
      <c r="M24" s="4" t="s">
        <v>70</v>
      </c>
      <c r="N24" s="4" t="s">
        <v>70</v>
      </c>
      <c r="O24" s="45">
        <v>4</v>
      </c>
      <c r="P24" s="6">
        <v>380</v>
      </c>
      <c r="Q24" s="6">
        <v>0</v>
      </c>
      <c r="R24" s="6">
        <v>380</v>
      </c>
      <c r="S24" s="45">
        <v>21</v>
      </c>
      <c r="T24" s="6">
        <v>79.8</v>
      </c>
      <c r="U24" s="4" t="s">
        <v>8097</v>
      </c>
      <c r="V24" s="4" t="s">
        <v>8187</v>
      </c>
      <c r="W24" s="6">
        <v>0</v>
      </c>
      <c r="X24" s="4" t="s">
        <v>8046</v>
      </c>
      <c r="Y24" s="4" t="s">
        <v>70</v>
      </c>
    </row>
    <row r="25" spans="1:25" x14ac:dyDescent="0.25">
      <c r="A25" s="4" t="s">
        <v>8027</v>
      </c>
      <c r="B25" s="4" t="s">
        <v>86</v>
      </c>
      <c r="C25" s="4" t="s">
        <v>8098</v>
      </c>
      <c r="D25" s="4" t="s">
        <v>7106</v>
      </c>
      <c r="E25" s="4" t="s">
        <v>8099</v>
      </c>
      <c r="F25" s="5">
        <v>46281</v>
      </c>
      <c r="G25" s="5">
        <v>46281</v>
      </c>
      <c r="H25" s="3">
        <v>25</v>
      </c>
      <c r="I25" s="4" t="s">
        <v>8100</v>
      </c>
      <c r="J25" s="4" t="s">
        <v>8101</v>
      </c>
      <c r="K25" s="4" t="s">
        <v>8102</v>
      </c>
      <c r="L25" s="4" t="s">
        <v>8103</v>
      </c>
      <c r="M25" s="4" t="s">
        <v>70</v>
      </c>
      <c r="N25" s="4" t="s">
        <v>70</v>
      </c>
      <c r="O25" s="45">
        <v>2</v>
      </c>
      <c r="P25" s="6">
        <v>2190.64</v>
      </c>
      <c r="Q25" s="6">
        <v>0</v>
      </c>
      <c r="R25" s="6">
        <v>2190.64</v>
      </c>
      <c r="S25" s="45">
        <v>21</v>
      </c>
      <c r="T25" s="6">
        <v>460.03</v>
      </c>
      <c r="U25" s="4" t="s">
        <v>8104</v>
      </c>
      <c r="V25" s="4" t="s">
        <v>8105</v>
      </c>
      <c r="W25" s="6">
        <v>1861.2</v>
      </c>
      <c r="X25" s="4" t="s">
        <v>8106</v>
      </c>
      <c r="Y25" s="4" t="s">
        <v>70</v>
      </c>
    </row>
    <row r="26" spans="1:25" x14ac:dyDescent="0.25">
      <c r="A26" s="4" t="s">
        <v>8027</v>
      </c>
      <c r="B26" s="4" t="s">
        <v>86</v>
      </c>
      <c r="C26" s="4" t="s">
        <v>8098</v>
      </c>
      <c r="D26" s="4" t="s">
        <v>7106</v>
      </c>
      <c r="E26" s="4" t="s">
        <v>8099</v>
      </c>
      <c r="F26" s="5">
        <v>46281</v>
      </c>
      <c r="G26" s="5">
        <v>46281</v>
      </c>
      <c r="H26" s="3">
        <v>40</v>
      </c>
      <c r="I26" s="4" t="s">
        <v>8107</v>
      </c>
      <c r="J26" s="4" t="s">
        <v>8108</v>
      </c>
      <c r="K26" s="4" t="s">
        <v>8102</v>
      </c>
      <c r="L26" s="4" t="s">
        <v>8109</v>
      </c>
      <c r="M26" s="4" t="s">
        <v>70</v>
      </c>
      <c r="N26" s="4" t="s">
        <v>70</v>
      </c>
      <c r="O26" s="45">
        <v>2</v>
      </c>
      <c r="P26" s="6">
        <v>247.52</v>
      </c>
      <c r="Q26" s="6">
        <v>0</v>
      </c>
      <c r="R26" s="6">
        <v>247.52</v>
      </c>
      <c r="S26" s="45">
        <v>21</v>
      </c>
      <c r="T26" s="6">
        <v>51.98</v>
      </c>
      <c r="U26" s="4" t="s">
        <v>8104</v>
      </c>
      <c r="V26" s="4" t="s">
        <v>8105</v>
      </c>
      <c r="W26" s="6">
        <v>197.24</v>
      </c>
      <c r="X26" s="4" t="s">
        <v>8106</v>
      </c>
      <c r="Y26" s="4" t="s">
        <v>70</v>
      </c>
    </row>
    <row r="27" spans="1:25" x14ac:dyDescent="0.25">
      <c r="A27" s="4" t="s">
        <v>8027</v>
      </c>
      <c r="B27" s="4" t="s">
        <v>86</v>
      </c>
      <c r="C27" s="4" t="s">
        <v>8098</v>
      </c>
      <c r="D27" s="4" t="s">
        <v>7106</v>
      </c>
      <c r="E27" s="4" t="s">
        <v>8099</v>
      </c>
      <c r="F27" s="5">
        <v>46281</v>
      </c>
      <c r="G27" s="5">
        <v>46281</v>
      </c>
      <c r="H27" s="3">
        <v>45</v>
      </c>
      <c r="I27" s="4" t="s">
        <v>8110</v>
      </c>
      <c r="J27" s="4" t="s">
        <v>8111</v>
      </c>
      <c r="K27" s="4" t="s">
        <v>8112</v>
      </c>
      <c r="L27" s="4" t="s">
        <v>8113</v>
      </c>
      <c r="M27" s="4" t="s">
        <v>70</v>
      </c>
      <c r="N27" s="4" t="s">
        <v>70</v>
      </c>
      <c r="O27" s="45">
        <v>2</v>
      </c>
      <c r="P27" s="6">
        <v>0.4</v>
      </c>
      <c r="Q27" s="6">
        <v>0</v>
      </c>
      <c r="R27" s="6">
        <v>0.4</v>
      </c>
      <c r="S27" s="45">
        <v>21</v>
      </c>
      <c r="T27" s="6">
        <v>0.08</v>
      </c>
      <c r="U27" s="4" t="s">
        <v>8104</v>
      </c>
      <c r="V27" s="4" t="s">
        <v>8114</v>
      </c>
      <c r="W27" s="6">
        <v>0.06</v>
      </c>
      <c r="X27" s="4" t="s">
        <v>8106</v>
      </c>
      <c r="Y27" s="4" t="s">
        <v>70</v>
      </c>
    </row>
    <row r="28" spans="1:25" x14ac:dyDescent="0.25">
      <c r="A28" s="4" t="s">
        <v>8027</v>
      </c>
      <c r="B28" s="4" t="s">
        <v>86</v>
      </c>
      <c r="C28" s="4" t="s">
        <v>8098</v>
      </c>
      <c r="D28" s="4" t="s">
        <v>7106</v>
      </c>
      <c r="E28" s="4" t="s">
        <v>8099</v>
      </c>
      <c r="F28" s="5">
        <v>46281</v>
      </c>
      <c r="G28" s="5">
        <v>46281</v>
      </c>
      <c r="H28" s="3">
        <v>50</v>
      </c>
      <c r="I28" s="4" t="s">
        <v>8115</v>
      </c>
      <c r="J28" s="4" t="s">
        <v>8116</v>
      </c>
      <c r="K28" s="4" t="s">
        <v>8102</v>
      </c>
      <c r="L28" s="4" t="s">
        <v>8117</v>
      </c>
      <c r="M28" s="4" t="s">
        <v>70</v>
      </c>
      <c r="N28" s="4" t="s">
        <v>70</v>
      </c>
      <c r="O28" s="45">
        <v>1</v>
      </c>
      <c r="P28" s="6">
        <v>142.43</v>
      </c>
      <c r="Q28" s="6">
        <v>0</v>
      </c>
      <c r="R28" s="6">
        <v>142.43</v>
      </c>
      <c r="S28" s="45">
        <v>21</v>
      </c>
      <c r="T28" s="6">
        <v>29.91</v>
      </c>
      <c r="U28" s="4" t="s">
        <v>8104</v>
      </c>
      <c r="V28" s="4" t="s">
        <v>8105</v>
      </c>
      <c r="W28" s="6">
        <v>111.19</v>
      </c>
      <c r="X28" s="4" t="s">
        <v>8106</v>
      </c>
      <c r="Y28" s="4" t="s">
        <v>70</v>
      </c>
    </row>
    <row r="29" spans="1:25" x14ac:dyDescent="0.25">
      <c r="A29" s="4" t="s">
        <v>8027</v>
      </c>
      <c r="B29" s="4" t="s">
        <v>86</v>
      </c>
      <c r="C29" s="4" t="s">
        <v>8098</v>
      </c>
      <c r="D29" s="4" t="s">
        <v>7106</v>
      </c>
      <c r="E29" s="4" t="s">
        <v>8099</v>
      </c>
      <c r="F29" s="5">
        <v>46281</v>
      </c>
      <c r="G29" s="5">
        <v>46281</v>
      </c>
      <c r="H29" s="3">
        <v>65</v>
      </c>
      <c r="I29" s="4" t="s">
        <v>8118</v>
      </c>
      <c r="J29" s="4" t="s">
        <v>8119</v>
      </c>
      <c r="K29" s="4" t="s">
        <v>8102</v>
      </c>
      <c r="L29" s="4" t="s">
        <v>8120</v>
      </c>
      <c r="M29" s="4" t="s">
        <v>70</v>
      </c>
      <c r="N29" s="4" t="s">
        <v>70</v>
      </c>
      <c r="O29" s="45">
        <v>1</v>
      </c>
      <c r="P29" s="6">
        <v>26.04</v>
      </c>
      <c r="Q29" s="6">
        <v>0</v>
      </c>
      <c r="R29" s="6">
        <v>26.04</v>
      </c>
      <c r="S29" s="45">
        <v>21</v>
      </c>
      <c r="T29" s="6">
        <v>5.47</v>
      </c>
      <c r="U29" s="4" t="s">
        <v>8104</v>
      </c>
      <c r="V29" s="4" t="s">
        <v>8105</v>
      </c>
      <c r="W29" s="6">
        <v>15.28</v>
      </c>
      <c r="X29" s="4" t="s">
        <v>8106</v>
      </c>
      <c r="Y29" s="4" t="s">
        <v>70</v>
      </c>
    </row>
    <row r="30" spans="1:25" x14ac:dyDescent="0.25">
      <c r="A30" s="4" t="s">
        <v>8027</v>
      </c>
      <c r="B30" s="4" t="s">
        <v>86</v>
      </c>
      <c r="C30" s="4" t="s">
        <v>8098</v>
      </c>
      <c r="D30" s="4" t="s">
        <v>7106</v>
      </c>
      <c r="E30" s="4" t="s">
        <v>8099</v>
      </c>
      <c r="F30" s="5">
        <v>46281</v>
      </c>
      <c r="G30" s="5">
        <v>46281</v>
      </c>
      <c r="H30" s="3">
        <v>70</v>
      </c>
      <c r="I30" s="4" t="s">
        <v>8121</v>
      </c>
      <c r="J30" s="4" t="s">
        <v>8122</v>
      </c>
      <c r="K30" s="4" t="s">
        <v>8102</v>
      </c>
      <c r="L30" s="4" t="s">
        <v>8120</v>
      </c>
      <c r="M30" s="4" t="s">
        <v>70</v>
      </c>
      <c r="N30" s="4" t="s">
        <v>70</v>
      </c>
      <c r="O30" s="45">
        <v>1</v>
      </c>
      <c r="P30" s="6">
        <v>17.62</v>
      </c>
      <c r="Q30" s="6">
        <v>0</v>
      </c>
      <c r="R30" s="6">
        <v>17.62</v>
      </c>
      <c r="S30" s="45">
        <v>21</v>
      </c>
      <c r="T30" s="6">
        <v>3.7</v>
      </c>
      <c r="U30" s="4" t="s">
        <v>8104</v>
      </c>
      <c r="V30" s="4" t="s">
        <v>8105</v>
      </c>
      <c r="W30" s="6">
        <v>9.02</v>
      </c>
      <c r="X30" s="4" t="s">
        <v>8106</v>
      </c>
      <c r="Y30" s="4" t="s">
        <v>70</v>
      </c>
    </row>
    <row r="31" spans="1:25" x14ac:dyDescent="0.25">
      <c r="A31" s="4" t="s">
        <v>8027</v>
      </c>
      <c r="B31" s="4" t="s">
        <v>86</v>
      </c>
      <c r="C31" s="4" t="s">
        <v>8098</v>
      </c>
      <c r="D31" s="4" t="s">
        <v>7106</v>
      </c>
      <c r="E31" s="4" t="s">
        <v>8099</v>
      </c>
      <c r="F31" s="5">
        <v>46281</v>
      </c>
      <c r="G31" s="5">
        <v>46281</v>
      </c>
      <c r="H31" s="3">
        <v>75</v>
      </c>
      <c r="I31" s="4" t="s">
        <v>8123</v>
      </c>
      <c r="J31" s="4" t="s">
        <v>8124</v>
      </c>
      <c r="K31" s="4" t="s">
        <v>8102</v>
      </c>
      <c r="L31" s="4" t="s">
        <v>8125</v>
      </c>
      <c r="M31" s="4" t="s">
        <v>70</v>
      </c>
      <c r="N31" s="4" t="s">
        <v>70</v>
      </c>
      <c r="O31" s="45">
        <v>3</v>
      </c>
      <c r="P31" s="6">
        <v>748.92</v>
      </c>
      <c r="Q31" s="6">
        <v>0</v>
      </c>
      <c r="R31" s="6">
        <v>748.92</v>
      </c>
      <c r="S31" s="45">
        <v>21</v>
      </c>
      <c r="T31" s="6">
        <v>157.28</v>
      </c>
      <c r="U31" s="4" t="s">
        <v>8104</v>
      </c>
      <c r="V31" s="4" t="s">
        <v>8105</v>
      </c>
      <c r="W31" s="6">
        <v>506.67</v>
      </c>
      <c r="X31" s="4" t="s">
        <v>8106</v>
      </c>
      <c r="Y31" s="4" t="s">
        <v>70</v>
      </c>
    </row>
    <row r="32" spans="1:25" x14ac:dyDescent="0.25">
      <c r="A32" s="4" t="s">
        <v>8028</v>
      </c>
      <c r="B32" s="4" t="s">
        <v>143</v>
      </c>
      <c r="C32" s="4" t="s">
        <v>8126</v>
      </c>
      <c r="D32" s="4" t="s">
        <v>7106</v>
      </c>
      <c r="E32" s="4" t="s">
        <v>8127</v>
      </c>
      <c r="F32" s="5">
        <v>46281</v>
      </c>
      <c r="G32" s="5">
        <v>46281</v>
      </c>
      <c r="H32" s="3">
        <v>10</v>
      </c>
      <c r="I32" s="4" t="s">
        <v>8056</v>
      </c>
      <c r="J32" s="4" t="s">
        <v>7751</v>
      </c>
      <c r="K32" s="4" t="s">
        <v>75</v>
      </c>
      <c r="L32" s="4" t="s">
        <v>8044</v>
      </c>
      <c r="M32" s="4" t="s">
        <v>70</v>
      </c>
      <c r="N32" s="4" t="s">
        <v>70</v>
      </c>
      <c r="O32" s="45">
        <v>0.25</v>
      </c>
      <c r="P32" s="6">
        <v>23.75</v>
      </c>
      <c r="Q32" s="6">
        <v>0</v>
      </c>
      <c r="R32" s="6">
        <v>23.75</v>
      </c>
      <c r="S32" s="45">
        <v>21</v>
      </c>
      <c r="T32" s="6">
        <v>4.99</v>
      </c>
      <c r="U32" s="4" t="s">
        <v>8128</v>
      </c>
      <c r="V32" s="4" t="s">
        <v>8187</v>
      </c>
      <c r="W32" s="6">
        <v>0</v>
      </c>
      <c r="X32" s="4" t="s">
        <v>8046</v>
      </c>
      <c r="Y32" s="4" t="s">
        <v>70</v>
      </c>
    </row>
    <row r="33" spans="1:25" x14ac:dyDescent="0.25">
      <c r="A33" s="4" t="s">
        <v>8029</v>
      </c>
      <c r="B33" s="4" t="s">
        <v>79</v>
      </c>
      <c r="C33" s="4" t="s">
        <v>8129</v>
      </c>
      <c r="D33" s="4" t="s">
        <v>7106</v>
      </c>
      <c r="E33" s="4" t="s">
        <v>8130</v>
      </c>
      <c r="F33" s="5">
        <v>46281</v>
      </c>
      <c r="G33" s="5">
        <v>46281</v>
      </c>
      <c r="H33" s="3">
        <v>10</v>
      </c>
      <c r="I33" s="4" t="s">
        <v>8056</v>
      </c>
      <c r="J33" s="4" t="s">
        <v>7751</v>
      </c>
      <c r="K33" s="4" t="s">
        <v>75</v>
      </c>
      <c r="L33" s="4" t="s">
        <v>8044</v>
      </c>
      <c r="M33" s="4" t="s">
        <v>70</v>
      </c>
      <c r="N33" s="4" t="s">
        <v>70</v>
      </c>
      <c r="O33" s="45">
        <v>0.25</v>
      </c>
      <c r="P33" s="6">
        <v>23.75</v>
      </c>
      <c r="Q33" s="6">
        <v>0</v>
      </c>
      <c r="R33" s="6">
        <v>23.75</v>
      </c>
      <c r="S33" s="45">
        <v>21</v>
      </c>
      <c r="T33" s="6">
        <v>4.99</v>
      </c>
      <c r="U33" s="4" t="s">
        <v>8131</v>
      </c>
      <c r="V33" s="4" t="s">
        <v>8187</v>
      </c>
      <c r="W33" s="6">
        <v>0</v>
      </c>
      <c r="X33" s="4" t="s">
        <v>8046</v>
      </c>
      <c r="Y33" s="4" t="s">
        <v>70</v>
      </c>
    </row>
    <row r="34" spans="1:25" x14ac:dyDescent="0.25">
      <c r="A34" s="4" t="s">
        <v>8030</v>
      </c>
      <c r="B34" s="4" t="s">
        <v>87</v>
      </c>
      <c r="C34" s="4" t="s">
        <v>8132</v>
      </c>
      <c r="D34" s="4" t="s">
        <v>7106</v>
      </c>
      <c r="E34" s="4" t="s">
        <v>8133</v>
      </c>
      <c r="F34" s="5">
        <v>46281</v>
      </c>
      <c r="G34" s="5">
        <v>46281</v>
      </c>
      <c r="H34" s="3">
        <v>10</v>
      </c>
      <c r="I34" s="4" t="s">
        <v>8053</v>
      </c>
      <c r="J34" s="4" t="s">
        <v>172</v>
      </c>
      <c r="K34" s="4" t="s">
        <v>75</v>
      </c>
      <c r="L34" s="4" t="s">
        <v>8044</v>
      </c>
      <c r="M34" s="4" t="s">
        <v>70</v>
      </c>
      <c r="N34" s="4" t="s">
        <v>70</v>
      </c>
      <c r="O34" s="45">
        <v>1</v>
      </c>
      <c r="P34" s="6">
        <v>95</v>
      </c>
      <c r="Q34" s="6">
        <v>0</v>
      </c>
      <c r="R34" s="6">
        <v>95</v>
      </c>
      <c r="S34" s="45">
        <v>21</v>
      </c>
      <c r="T34" s="6">
        <v>19.95</v>
      </c>
      <c r="U34" s="4" t="s">
        <v>8134</v>
      </c>
      <c r="V34" s="4" t="s">
        <v>8187</v>
      </c>
      <c r="W34" s="6">
        <v>0</v>
      </c>
      <c r="X34" s="4" t="s">
        <v>8046</v>
      </c>
      <c r="Y34" s="4" t="s">
        <v>70</v>
      </c>
    </row>
    <row r="35" spans="1:25" x14ac:dyDescent="0.25">
      <c r="A35" s="4" t="s">
        <v>7886</v>
      </c>
      <c r="B35" s="4" t="s">
        <v>96</v>
      </c>
      <c r="C35" s="4" t="s">
        <v>8135</v>
      </c>
      <c r="D35" s="4" t="s">
        <v>7106</v>
      </c>
      <c r="E35" s="4" t="s">
        <v>8136</v>
      </c>
      <c r="F35" s="5">
        <v>46281</v>
      </c>
      <c r="G35" s="5">
        <v>46281</v>
      </c>
      <c r="H35" s="3">
        <v>10</v>
      </c>
      <c r="I35" s="4" t="s">
        <v>8056</v>
      </c>
      <c r="J35" s="4" t="s">
        <v>7751</v>
      </c>
      <c r="K35" s="4" t="s">
        <v>75</v>
      </c>
      <c r="L35" s="4" t="s">
        <v>8044</v>
      </c>
      <c r="M35" s="4" t="s">
        <v>70</v>
      </c>
      <c r="N35" s="4" t="s">
        <v>70</v>
      </c>
      <c r="O35" s="45">
        <v>0.25</v>
      </c>
      <c r="P35" s="6">
        <v>23.75</v>
      </c>
      <c r="Q35" s="6">
        <v>0</v>
      </c>
      <c r="R35" s="6">
        <v>23.75</v>
      </c>
      <c r="S35" s="45">
        <v>21</v>
      </c>
      <c r="T35" s="6">
        <v>4.99</v>
      </c>
      <c r="U35" s="4" t="s">
        <v>8137</v>
      </c>
      <c r="V35" s="4" t="s">
        <v>8187</v>
      </c>
      <c r="W35" s="6">
        <v>0</v>
      </c>
      <c r="X35" s="4" t="s">
        <v>8046</v>
      </c>
      <c r="Y35" s="4" t="s">
        <v>70</v>
      </c>
    </row>
    <row r="36" spans="1:25" x14ac:dyDescent="0.25">
      <c r="A36" s="4" t="s">
        <v>7983</v>
      </c>
      <c r="B36" s="4" t="s">
        <v>104</v>
      </c>
      <c r="C36" s="4" t="s">
        <v>8138</v>
      </c>
      <c r="D36" s="4" t="s">
        <v>7106</v>
      </c>
      <c r="E36" s="4" t="s">
        <v>8139</v>
      </c>
      <c r="F36" s="5">
        <v>46281</v>
      </c>
      <c r="G36" s="5">
        <v>46281</v>
      </c>
      <c r="H36" s="3">
        <v>10</v>
      </c>
      <c r="I36" s="4" t="s">
        <v>8066</v>
      </c>
      <c r="J36" s="4" t="s">
        <v>166</v>
      </c>
      <c r="K36" s="4" t="s">
        <v>75</v>
      </c>
      <c r="L36" s="4" t="s">
        <v>8044</v>
      </c>
      <c r="M36" s="4" t="s">
        <v>70</v>
      </c>
      <c r="N36" s="4" t="s">
        <v>70</v>
      </c>
      <c r="O36" s="45">
        <v>0.25</v>
      </c>
      <c r="P36" s="6">
        <v>23.75</v>
      </c>
      <c r="Q36" s="6">
        <v>0</v>
      </c>
      <c r="R36" s="6">
        <v>23.75</v>
      </c>
      <c r="S36" s="45">
        <v>21</v>
      </c>
      <c r="T36" s="6">
        <v>4.99</v>
      </c>
      <c r="U36" s="4" t="s">
        <v>8140</v>
      </c>
      <c r="V36" s="4" t="s">
        <v>8187</v>
      </c>
      <c r="W36" s="6">
        <v>0</v>
      </c>
      <c r="X36" s="4" t="s">
        <v>8046</v>
      </c>
      <c r="Y36" s="4" t="s">
        <v>70</v>
      </c>
    </row>
    <row r="37" spans="1:25" x14ac:dyDescent="0.25">
      <c r="A37" s="4" t="s">
        <v>8141</v>
      </c>
      <c r="B37" s="4" t="s">
        <v>147</v>
      </c>
      <c r="C37" s="4" t="s">
        <v>8142</v>
      </c>
      <c r="D37" s="4" t="s">
        <v>7106</v>
      </c>
      <c r="E37" s="4" t="s">
        <v>8143</v>
      </c>
      <c r="F37" s="5">
        <v>46281</v>
      </c>
      <c r="G37" s="5">
        <v>46281</v>
      </c>
      <c r="H37" s="3">
        <v>10</v>
      </c>
      <c r="I37" s="4" t="s">
        <v>8066</v>
      </c>
      <c r="J37" s="4" t="s">
        <v>166</v>
      </c>
      <c r="K37" s="4" t="s">
        <v>75</v>
      </c>
      <c r="L37" s="4" t="s">
        <v>8044</v>
      </c>
      <c r="M37" s="4" t="s">
        <v>70</v>
      </c>
      <c r="N37" s="4" t="s">
        <v>70</v>
      </c>
      <c r="O37" s="45">
        <v>1.5</v>
      </c>
      <c r="P37" s="6">
        <v>150</v>
      </c>
      <c r="Q37" s="6">
        <v>0</v>
      </c>
      <c r="R37" s="6">
        <v>150</v>
      </c>
      <c r="S37" s="45">
        <v>21</v>
      </c>
      <c r="T37" s="6">
        <v>31.5</v>
      </c>
      <c r="U37" s="4" t="s">
        <v>8144</v>
      </c>
      <c r="V37" s="4" t="s">
        <v>8187</v>
      </c>
      <c r="W37" s="6">
        <v>0</v>
      </c>
      <c r="X37" s="4" t="s">
        <v>8046</v>
      </c>
      <c r="Y37" s="4" t="s">
        <v>70</v>
      </c>
    </row>
    <row r="38" spans="1:25" x14ac:dyDescent="0.25">
      <c r="A38" s="4" t="s">
        <v>8141</v>
      </c>
      <c r="B38" s="4" t="s">
        <v>147</v>
      </c>
      <c r="C38" s="4" t="s">
        <v>8142</v>
      </c>
      <c r="D38" s="4" t="s">
        <v>7106</v>
      </c>
      <c r="E38" s="4" t="s">
        <v>8143</v>
      </c>
      <c r="F38" s="5">
        <v>46281</v>
      </c>
      <c r="G38" s="5">
        <v>46281</v>
      </c>
      <c r="H38" s="3">
        <v>15</v>
      </c>
      <c r="I38" s="4" t="s">
        <v>8068</v>
      </c>
      <c r="J38" s="4" t="s">
        <v>185</v>
      </c>
      <c r="K38" s="4" t="s">
        <v>75</v>
      </c>
      <c r="L38" s="4" t="s">
        <v>8069</v>
      </c>
      <c r="M38" s="4" t="s">
        <v>70</v>
      </c>
      <c r="N38" s="4" t="s">
        <v>70</v>
      </c>
      <c r="O38" s="45">
        <v>38</v>
      </c>
      <c r="P38" s="6">
        <v>64.599999999999994</v>
      </c>
      <c r="Q38" s="6">
        <v>0</v>
      </c>
      <c r="R38" s="6">
        <v>64.599999999999994</v>
      </c>
      <c r="S38" s="45">
        <v>21</v>
      </c>
      <c r="T38" s="6">
        <v>13.57</v>
      </c>
      <c r="U38" s="4" t="s">
        <v>8144</v>
      </c>
      <c r="V38" s="4" t="s">
        <v>8070</v>
      </c>
      <c r="W38" s="6">
        <v>0</v>
      </c>
      <c r="X38" s="4" t="s">
        <v>8046</v>
      </c>
      <c r="Y38" s="4" t="s">
        <v>70</v>
      </c>
    </row>
    <row r="39" spans="1:25" x14ac:dyDescent="0.25">
      <c r="A39" s="4" t="s">
        <v>8031</v>
      </c>
      <c r="B39" s="4" t="s">
        <v>112</v>
      </c>
      <c r="C39" s="4" t="s">
        <v>8145</v>
      </c>
      <c r="D39" s="4" t="s">
        <v>7106</v>
      </c>
      <c r="E39" s="4" t="s">
        <v>8146</v>
      </c>
      <c r="F39" s="5">
        <v>46281</v>
      </c>
      <c r="G39" s="5">
        <v>46311</v>
      </c>
      <c r="H39" s="3">
        <v>10</v>
      </c>
      <c r="I39" s="4" t="s">
        <v>8056</v>
      </c>
      <c r="J39" s="4" t="s">
        <v>7751</v>
      </c>
      <c r="K39" s="4" t="s">
        <v>75</v>
      </c>
      <c r="L39" s="4" t="s">
        <v>8044</v>
      </c>
      <c r="M39" s="4" t="s">
        <v>70</v>
      </c>
      <c r="N39" s="4" t="s">
        <v>70</v>
      </c>
      <c r="O39" s="45">
        <v>0.25</v>
      </c>
      <c r="P39" s="6">
        <v>23.75</v>
      </c>
      <c r="Q39" s="6">
        <v>0</v>
      </c>
      <c r="R39" s="6">
        <v>23.75</v>
      </c>
      <c r="S39" s="45">
        <v>21</v>
      </c>
      <c r="T39" s="6">
        <v>4.99</v>
      </c>
      <c r="U39" s="4" t="s">
        <v>8147</v>
      </c>
      <c r="V39" s="4" t="s">
        <v>8187</v>
      </c>
      <c r="W39" s="6">
        <v>0</v>
      </c>
      <c r="X39" s="4" t="s">
        <v>8046</v>
      </c>
      <c r="Y39" s="4" t="s">
        <v>70</v>
      </c>
    </row>
    <row r="40" spans="1:25" x14ac:dyDescent="0.25">
      <c r="A40" s="4" t="s">
        <v>8148</v>
      </c>
      <c r="B40" s="4" t="s">
        <v>246</v>
      </c>
      <c r="C40" s="4" t="s">
        <v>8149</v>
      </c>
      <c r="D40" s="4" t="s">
        <v>7106</v>
      </c>
      <c r="E40" s="4" t="s">
        <v>8150</v>
      </c>
      <c r="F40" s="5">
        <v>46281</v>
      </c>
      <c r="G40" s="5">
        <v>46281</v>
      </c>
      <c r="H40" s="3">
        <v>10</v>
      </c>
      <c r="I40" s="4" t="s">
        <v>8053</v>
      </c>
      <c r="J40" s="4" t="s">
        <v>172</v>
      </c>
      <c r="K40" s="4" t="s">
        <v>75</v>
      </c>
      <c r="L40" s="4" t="s">
        <v>8044</v>
      </c>
      <c r="M40" s="4" t="s">
        <v>70</v>
      </c>
      <c r="N40" s="4" t="s">
        <v>70</v>
      </c>
      <c r="O40" s="45">
        <v>0.25</v>
      </c>
      <c r="P40" s="6">
        <v>25</v>
      </c>
      <c r="Q40" s="6">
        <v>0</v>
      </c>
      <c r="R40" s="6">
        <v>25</v>
      </c>
      <c r="S40" s="45">
        <v>21</v>
      </c>
      <c r="T40" s="6">
        <v>5.25</v>
      </c>
      <c r="U40" s="4" t="s">
        <v>8151</v>
      </c>
      <c r="V40" s="4" t="s">
        <v>8187</v>
      </c>
      <c r="W40" s="6">
        <v>0</v>
      </c>
      <c r="X40" s="4" t="s">
        <v>8046</v>
      </c>
      <c r="Y40" s="4" t="s">
        <v>70</v>
      </c>
    </row>
    <row r="41" spans="1:25" x14ac:dyDescent="0.25">
      <c r="A41" s="4" t="s">
        <v>8152</v>
      </c>
      <c r="B41" s="4" t="s">
        <v>149</v>
      </c>
      <c r="C41" s="4" t="s">
        <v>8153</v>
      </c>
      <c r="D41" s="4" t="s">
        <v>7106</v>
      </c>
      <c r="E41" s="4" t="s">
        <v>8154</v>
      </c>
      <c r="F41" s="5">
        <v>46281</v>
      </c>
      <c r="G41" s="5">
        <v>46281</v>
      </c>
      <c r="H41" s="3">
        <v>10</v>
      </c>
      <c r="I41" s="4" t="s">
        <v>8066</v>
      </c>
      <c r="J41" s="4" t="s">
        <v>166</v>
      </c>
      <c r="K41" s="4" t="s">
        <v>75</v>
      </c>
      <c r="L41" s="4" t="s">
        <v>8044</v>
      </c>
      <c r="M41" s="4" t="s">
        <v>70</v>
      </c>
      <c r="N41" s="4" t="s">
        <v>70</v>
      </c>
      <c r="O41" s="45">
        <v>0.5</v>
      </c>
      <c r="P41" s="6">
        <v>50</v>
      </c>
      <c r="Q41" s="6">
        <v>0</v>
      </c>
      <c r="R41" s="6">
        <v>50</v>
      </c>
      <c r="S41" s="45">
        <v>21</v>
      </c>
      <c r="T41" s="6">
        <v>10.5</v>
      </c>
      <c r="U41" s="4" t="s">
        <v>8155</v>
      </c>
      <c r="V41" s="4" t="s">
        <v>8187</v>
      </c>
      <c r="W41" s="6">
        <v>0</v>
      </c>
      <c r="X41" s="4" t="s">
        <v>8046</v>
      </c>
      <c r="Y41" s="4" t="s">
        <v>70</v>
      </c>
    </row>
    <row r="42" spans="1:25" x14ac:dyDescent="0.25">
      <c r="A42" s="4" t="s">
        <v>7984</v>
      </c>
      <c r="B42" s="4" t="s">
        <v>216</v>
      </c>
      <c r="C42" s="4" t="s">
        <v>8156</v>
      </c>
      <c r="D42" s="4" t="s">
        <v>7106</v>
      </c>
      <c r="E42" s="4" t="s">
        <v>8157</v>
      </c>
      <c r="F42" s="5">
        <v>46281</v>
      </c>
      <c r="G42" s="5">
        <v>46281</v>
      </c>
      <c r="H42" s="3">
        <v>10</v>
      </c>
      <c r="I42" s="4" t="s">
        <v>8056</v>
      </c>
      <c r="J42" s="4" t="s">
        <v>7751</v>
      </c>
      <c r="K42" s="4" t="s">
        <v>75</v>
      </c>
      <c r="L42" s="4" t="s">
        <v>8044</v>
      </c>
      <c r="M42" s="4" t="s">
        <v>70</v>
      </c>
      <c r="N42" s="4" t="s">
        <v>70</v>
      </c>
      <c r="O42" s="45">
        <v>0.25</v>
      </c>
      <c r="P42" s="6">
        <v>23.75</v>
      </c>
      <c r="Q42" s="6">
        <v>0</v>
      </c>
      <c r="R42" s="6">
        <v>23.75</v>
      </c>
      <c r="S42" s="45">
        <v>21</v>
      </c>
      <c r="T42" s="6">
        <v>4.99</v>
      </c>
      <c r="U42" s="4" t="s">
        <v>8158</v>
      </c>
      <c r="V42" s="4" t="s">
        <v>8187</v>
      </c>
      <c r="W42" s="6">
        <v>0</v>
      </c>
      <c r="X42" s="4" t="s">
        <v>8046</v>
      </c>
      <c r="Y42" s="4" t="s">
        <v>70</v>
      </c>
    </row>
    <row r="43" spans="1:25" x14ac:dyDescent="0.25">
      <c r="A43" s="4" t="s">
        <v>8159</v>
      </c>
      <c r="B43" s="4" t="s">
        <v>322</v>
      </c>
      <c r="C43" s="4" t="s">
        <v>8160</v>
      </c>
      <c r="D43" s="4" t="s">
        <v>7106</v>
      </c>
      <c r="E43" s="4" t="s">
        <v>8161</v>
      </c>
      <c r="F43" s="5">
        <v>46281</v>
      </c>
      <c r="G43" s="5">
        <v>46281</v>
      </c>
      <c r="H43" s="3">
        <v>10</v>
      </c>
      <c r="I43" s="4" t="s">
        <v>8053</v>
      </c>
      <c r="J43" s="4" t="s">
        <v>172</v>
      </c>
      <c r="K43" s="4" t="s">
        <v>75</v>
      </c>
      <c r="L43" s="4" t="s">
        <v>8044</v>
      </c>
      <c r="M43" s="4" t="s">
        <v>70</v>
      </c>
      <c r="N43" s="4" t="s">
        <v>70</v>
      </c>
      <c r="O43" s="45">
        <v>0.25</v>
      </c>
      <c r="P43" s="6">
        <v>23.75</v>
      </c>
      <c r="Q43" s="6">
        <v>0</v>
      </c>
      <c r="R43" s="6">
        <v>23.75</v>
      </c>
      <c r="S43" s="45">
        <v>21</v>
      </c>
      <c r="T43" s="6">
        <v>4.99</v>
      </c>
      <c r="U43" s="4" t="s">
        <v>8162</v>
      </c>
      <c r="V43" s="4" t="s">
        <v>8187</v>
      </c>
      <c r="W43" s="6">
        <v>0</v>
      </c>
      <c r="X43" s="4" t="s">
        <v>8046</v>
      </c>
      <c r="Y43" s="4" t="s">
        <v>70</v>
      </c>
    </row>
    <row r="44" spans="1:25" x14ac:dyDescent="0.25">
      <c r="A44" s="4" t="s">
        <v>8163</v>
      </c>
      <c r="B44" s="4" t="s">
        <v>295</v>
      </c>
      <c r="C44" s="4" t="s">
        <v>8164</v>
      </c>
      <c r="D44" s="4" t="s">
        <v>7106</v>
      </c>
      <c r="E44" s="4" t="s">
        <v>8165</v>
      </c>
      <c r="F44" s="5">
        <v>46281</v>
      </c>
      <c r="G44" s="5">
        <v>46281</v>
      </c>
      <c r="H44" s="3">
        <v>25</v>
      </c>
      <c r="I44" s="4" t="s">
        <v>8166</v>
      </c>
      <c r="J44" s="4" t="s">
        <v>8167</v>
      </c>
      <c r="K44" s="4" t="s">
        <v>8168</v>
      </c>
      <c r="L44" s="4" t="s">
        <v>8169</v>
      </c>
      <c r="M44" s="4" t="s">
        <v>70</v>
      </c>
      <c r="N44" s="4" t="s">
        <v>70</v>
      </c>
      <c r="O44" s="45">
        <v>1</v>
      </c>
      <c r="P44" s="6">
        <v>86.8</v>
      </c>
      <c r="Q44" s="6">
        <v>0</v>
      </c>
      <c r="R44" s="6">
        <v>86.8</v>
      </c>
      <c r="S44" s="45">
        <v>21</v>
      </c>
      <c r="T44" s="6">
        <v>18.23</v>
      </c>
      <c r="U44" s="4" t="s">
        <v>8170</v>
      </c>
      <c r="V44" s="4" t="s">
        <v>8105</v>
      </c>
      <c r="W44" s="6">
        <v>80.37</v>
      </c>
      <c r="X44" s="4" t="s">
        <v>8106</v>
      </c>
      <c r="Y44" s="4" t="s">
        <v>70</v>
      </c>
    </row>
    <row r="45" spans="1:25" x14ac:dyDescent="0.25">
      <c r="A45" s="4" t="s">
        <v>8163</v>
      </c>
      <c r="B45" s="4" t="s">
        <v>295</v>
      </c>
      <c r="C45" s="4" t="s">
        <v>8164</v>
      </c>
      <c r="D45" s="4" t="s">
        <v>7106</v>
      </c>
      <c r="E45" s="4" t="s">
        <v>8165</v>
      </c>
      <c r="F45" s="5">
        <v>46281</v>
      </c>
      <c r="G45" s="5">
        <v>46281</v>
      </c>
      <c r="H45" s="3">
        <v>30</v>
      </c>
      <c r="I45" s="4" t="s">
        <v>8171</v>
      </c>
      <c r="J45" s="4" t="s">
        <v>8172</v>
      </c>
      <c r="K45" s="4" t="s">
        <v>8168</v>
      </c>
      <c r="L45" s="4" t="s">
        <v>8173</v>
      </c>
      <c r="M45" s="4" t="s">
        <v>70</v>
      </c>
      <c r="N45" s="4" t="s">
        <v>70</v>
      </c>
      <c r="O45" s="45">
        <v>1</v>
      </c>
      <c r="P45" s="6">
        <v>1249.8599999999999</v>
      </c>
      <c r="Q45" s="6">
        <v>0</v>
      </c>
      <c r="R45" s="6">
        <v>1249.8599999999999</v>
      </c>
      <c r="S45" s="45">
        <v>21</v>
      </c>
      <c r="T45" s="6">
        <v>262.47000000000003</v>
      </c>
      <c r="U45" s="4" t="s">
        <v>8170</v>
      </c>
      <c r="V45" s="4" t="s">
        <v>8105</v>
      </c>
      <c r="W45" s="6">
        <v>999.89</v>
      </c>
      <c r="X45" s="4" t="s">
        <v>8106</v>
      </c>
      <c r="Y45" s="4" t="s">
        <v>70</v>
      </c>
    </row>
    <row r="46" spans="1:25" x14ac:dyDescent="0.25">
      <c r="A46" s="4" t="s">
        <v>8032</v>
      </c>
      <c r="B46" s="4" t="s">
        <v>6788</v>
      </c>
      <c r="C46" s="4" t="s">
        <v>8174</v>
      </c>
      <c r="D46" s="4" t="s">
        <v>7106</v>
      </c>
      <c r="E46" s="4" t="s">
        <v>8175</v>
      </c>
      <c r="F46" s="5">
        <v>46281</v>
      </c>
      <c r="G46" s="5">
        <v>46281</v>
      </c>
      <c r="H46" s="3">
        <v>10</v>
      </c>
      <c r="I46" s="4" t="s">
        <v>8066</v>
      </c>
      <c r="J46" s="4" t="s">
        <v>166</v>
      </c>
      <c r="K46" s="4" t="s">
        <v>75</v>
      </c>
      <c r="L46" s="4" t="s">
        <v>8044</v>
      </c>
      <c r="M46" s="4" t="s">
        <v>70</v>
      </c>
      <c r="N46" s="4" t="s">
        <v>70</v>
      </c>
      <c r="O46" s="45">
        <v>0.25</v>
      </c>
      <c r="P46" s="6">
        <v>23.75</v>
      </c>
      <c r="Q46" s="6">
        <v>0</v>
      </c>
      <c r="R46" s="6">
        <v>23.75</v>
      </c>
      <c r="S46" s="45">
        <v>21</v>
      </c>
      <c r="T46" s="6">
        <v>4.99</v>
      </c>
      <c r="U46" s="4" t="s">
        <v>8176</v>
      </c>
      <c r="V46" s="4" t="s">
        <v>8187</v>
      </c>
      <c r="W46" s="6">
        <v>0</v>
      </c>
      <c r="X46" s="4" t="s">
        <v>8046</v>
      </c>
      <c r="Y46" s="4" t="s">
        <v>70</v>
      </c>
    </row>
    <row r="47" spans="1:25" x14ac:dyDescent="0.25">
      <c r="A47" s="4" t="s">
        <v>8033</v>
      </c>
      <c r="B47" s="4" t="s">
        <v>7063</v>
      </c>
      <c r="C47" s="4" t="s">
        <v>8177</v>
      </c>
      <c r="D47" s="4" t="s">
        <v>7106</v>
      </c>
      <c r="E47" s="4" t="s">
        <v>8178</v>
      </c>
      <c r="F47" s="5">
        <v>46281</v>
      </c>
      <c r="G47" s="5">
        <v>46311</v>
      </c>
      <c r="H47" s="3">
        <v>10</v>
      </c>
      <c r="I47" s="4" t="s">
        <v>8066</v>
      </c>
      <c r="J47" s="4" t="s">
        <v>166</v>
      </c>
      <c r="K47" s="4" t="s">
        <v>75</v>
      </c>
      <c r="L47" s="4" t="s">
        <v>8044</v>
      </c>
      <c r="M47" s="4" t="s">
        <v>70</v>
      </c>
      <c r="N47" s="4" t="s">
        <v>70</v>
      </c>
      <c r="O47" s="45">
        <v>0.25</v>
      </c>
      <c r="P47" s="6">
        <v>23.75</v>
      </c>
      <c r="Q47" s="6">
        <v>0</v>
      </c>
      <c r="R47" s="6">
        <v>23.75</v>
      </c>
      <c r="S47" s="45">
        <v>21</v>
      </c>
      <c r="T47" s="6">
        <v>4.99</v>
      </c>
      <c r="U47" s="4" t="s">
        <v>8179</v>
      </c>
      <c r="V47" s="4" t="s">
        <v>8187</v>
      </c>
      <c r="W47" s="6">
        <v>0</v>
      </c>
      <c r="X47" s="4" t="s">
        <v>8046</v>
      </c>
      <c r="Y47" s="4" t="s">
        <v>70</v>
      </c>
    </row>
    <row r="48" spans="1:25" x14ac:dyDescent="0.25">
      <c r="A48" s="4" t="s">
        <v>7985</v>
      </c>
      <c r="B48" s="4" t="s">
        <v>7307</v>
      </c>
      <c r="C48" s="4" t="s">
        <v>8180</v>
      </c>
      <c r="D48" s="4" t="s">
        <v>7106</v>
      </c>
      <c r="E48" s="4" t="s">
        <v>8181</v>
      </c>
      <c r="F48" s="5">
        <v>46281</v>
      </c>
      <c r="G48" s="5">
        <v>46281</v>
      </c>
      <c r="H48" s="3">
        <v>10</v>
      </c>
      <c r="I48" s="4" t="s">
        <v>8053</v>
      </c>
      <c r="J48" s="4" t="s">
        <v>172</v>
      </c>
      <c r="K48" s="4" t="s">
        <v>75</v>
      </c>
      <c r="L48" s="4" t="s">
        <v>8044</v>
      </c>
      <c r="M48" s="4" t="s">
        <v>70</v>
      </c>
      <c r="N48" s="4" t="s">
        <v>70</v>
      </c>
      <c r="O48" s="45">
        <v>0.25</v>
      </c>
      <c r="P48" s="6">
        <v>23.75</v>
      </c>
      <c r="Q48" s="6">
        <v>0</v>
      </c>
      <c r="R48" s="6">
        <v>23.75</v>
      </c>
      <c r="S48" s="45">
        <v>21</v>
      </c>
      <c r="T48" s="6">
        <v>4.99</v>
      </c>
      <c r="U48" s="4" t="s">
        <v>8182</v>
      </c>
      <c r="V48" s="4" t="s">
        <v>8187</v>
      </c>
      <c r="W48" s="6">
        <v>0</v>
      </c>
      <c r="X48" s="4" t="s">
        <v>8046</v>
      </c>
      <c r="Y48" s="4" t="s">
        <v>70</v>
      </c>
    </row>
    <row r="49" spans="1:25" x14ac:dyDescent="0.25">
      <c r="A49" s="4" t="s">
        <v>7985</v>
      </c>
      <c r="B49" s="4" t="s">
        <v>7307</v>
      </c>
      <c r="C49" s="4" t="s">
        <v>8180</v>
      </c>
      <c r="D49" s="4" t="s">
        <v>7106</v>
      </c>
      <c r="E49" s="4" t="s">
        <v>8181</v>
      </c>
      <c r="F49" s="5">
        <v>46281</v>
      </c>
      <c r="G49" s="5">
        <v>46281</v>
      </c>
      <c r="H49" s="3">
        <v>15</v>
      </c>
      <c r="I49" s="4" t="s">
        <v>8056</v>
      </c>
      <c r="J49" s="4" t="s">
        <v>7751</v>
      </c>
      <c r="K49" s="4" t="s">
        <v>75</v>
      </c>
      <c r="L49" s="4" t="s">
        <v>8044</v>
      </c>
      <c r="M49" s="4" t="s">
        <v>70</v>
      </c>
      <c r="N49" s="4" t="s">
        <v>70</v>
      </c>
      <c r="O49" s="45">
        <v>0.25</v>
      </c>
      <c r="P49" s="6">
        <v>23.75</v>
      </c>
      <c r="Q49" s="6">
        <v>0</v>
      </c>
      <c r="R49" s="6">
        <v>23.75</v>
      </c>
      <c r="S49" s="45">
        <v>21</v>
      </c>
      <c r="T49" s="6">
        <v>4.99</v>
      </c>
      <c r="U49" s="4" t="s">
        <v>8182</v>
      </c>
      <c r="V49" s="4" t="s">
        <v>8187</v>
      </c>
      <c r="W49" s="6">
        <v>0</v>
      </c>
      <c r="X49" s="4" t="s">
        <v>8046</v>
      </c>
      <c r="Y49" s="4" t="s">
        <v>70</v>
      </c>
    </row>
    <row r="50" spans="1:25" x14ac:dyDescent="0.25">
      <c r="A50" s="4" t="s">
        <v>7985</v>
      </c>
      <c r="B50" s="4" t="s">
        <v>7307</v>
      </c>
      <c r="C50" s="4" t="s">
        <v>8180</v>
      </c>
      <c r="D50" s="4" t="s">
        <v>7106</v>
      </c>
      <c r="E50" s="4" t="s">
        <v>8181</v>
      </c>
      <c r="F50" s="5">
        <v>46281</v>
      </c>
      <c r="G50" s="5">
        <v>46281</v>
      </c>
      <c r="H50" s="3">
        <v>20</v>
      </c>
      <c r="I50" s="4" t="s">
        <v>8053</v>
      </c>
      <c r="J50" s="4" t="s">
        <v>172</v>
      </c>
      <c r="K50" s="4" t="s">
        <v>75</v>
      </c>
      <c r="L50" s="4" t="s">
        <v>8044</v>
      </c>
      <c r="M50" s="4" t="s">
        <v>70</v>
      </c>
      <c r="N50" s="4" t="s">
        <v>70</v>
      </c>
      <c r="O50" s="45">
        <v>0.25</v>
      </c>
      <c r="P50" s="6">
        <v>23.75</v>
      </c>
      <c r="Q50" s="6">
        <v>0</v>
      </c>
      <c r="R50" s="6">
        <v>23.75</v>
      </c>
      <c r="S50" s="45">
        <v>21</v>
      </c>
      <c r="T50" s="6">
        <v>4.9800000000000004</v>
      </c>
      <c r="U50" s="4" t="s">
        <v>8182</v>
      </c>
      <c r="V50" s="4" t="s">
        <v>8187</v>
      </c>
      <c r="W50" s="6">
        <v>0</v>
      </c>
      <c r="X50" s="4" t="s">
        <v>8046</v>
      </c>
      <c r="Y50" s="4" t="s">
        <v>70</v>
      </c>
    </row>
    <row r="51" spans="1:25" x14ac:dyDescent="0.25">
      <c r="A51" s="4" t="s">
        <v>8183</v>
      </c>
      <c r="B51" s="4" t="s">
        <v>7919</v>
      </c>
      <c r="C51" s="4" t="s">
        <v>8184</v>
      </c>
      <c r="D51" s="4" t="s">
        <v>7106</v>
      </c>
      <c r="E51" s="4" t="s">
        <v>8185</v>
      </c>
      <c r="F51" s="5">
        <v>46281</v>
      </c>
      <c r="G51" s="5">
        <v>46281</v>
      </c>
      <c r="H51" s="3">
        <v>10</v>
      </c>
      <c r="I51" s="4" t="s">
        <v>8056</v>
      </c>
      <c r="J51" s="4" t="s">
        <v>7751</v>
      </c>
      <c r="K51" s="4" t="s">
        <v>75</v>
      </c>
      <c r="L51" s="4" t="s">
        <v>8044</v>
      </c>
      <c r="M51" s="4" t="s">
        <v>70</v>
      </c>
      <c r="N51" s="4" t="s">
        <v>70</v>
      </c>
      <c r="O51" s="45">
        <v>0.25</v>
      </c>
      <c r="P51" s="6">
        <v>23.75</v>
      </c>
      <c r="Q51" s="6">
        <v>0</v>
      </c>
      <c r="R51" s="6">
        <v>23.75</v>
      </c>
      <c r="S51" s="45">
        <v>21</v>
      </c>
      <c r="T51" s="6">
        <v>4.99</v>
      </c>
      <c r="U51" s="4" t="s">
        <v>8186</v>
      </c>
      <c r="V51" s="4" t="s">
        <v>8187</v>
      </c>
      <c r="W51" s="6">
        <v>0</v>
      </c>
      <c r="X51" s="4" t="s">
        <v>8046</v>
      </c>
      <c r="Y51" s="4" t="s">
        <v>70</v>
      </c>
    </row>
    <row r="52" spans="1:25" x14ac:dyDescent="0.25">
      <c r="A52" s="4" t="s">
        <v>7951</v>
      </c>
    </row>
  </sheetData>
  <autoFilter ref="A1:Y339" xr:uid="{22226D84-3F61-4B41-B79F-3D381EC01403}"/>
  <phoneticPr fontId="7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6348-E2C4-47BC-BA11-761C8363D276}">
  <dimension ref="A1:I307"/>
  <sheetViews>
    <sheetView topLeftCell="A172" workbookViewId="0">
      <selection activeCell="L19" sqref="L19"/>
    </sheetView>
  </sheetViews>
  <sheetFormatPr baseColWidth="10" defaultRowHeight="15" x14ac:dyDescent="0.25"/>
  <cols>
    <col min="1" max="1" width="12.42578125" bestFit="1" customWidth="1"/>
    <col min="2" max="2" width="10.42578125" bestFit="1" customWidth="1"/>
    <col min="3" max="3" width="25.5703125" bestFit="1" customWidth="1"/>
    <col min="4" max="4" width="13" style="6" bestFit="1" customWidth="1"/>
    <col min="5" max="5" width="11.7109375" style="6" bestFit="1" customWidth="1"/>
    <col min="6" max="6" width="13" bestFit="1" customWidth="1"/>
    <col min="7" max="7" width="11.7109375" bestFit="1" customWidth="1"/>
    <col min="8" max="8" width="13.7109375" bestFit="1" customWidth="1"/>
    <col min="9" max="9" width="12.42578125" bestFit="1" customWidth="1"/>
  </cols>
  <sheetData>
    <row r="1" spans="1:9" x14ac:dyDescent="0.25">
      <c r="A1" s="40" t="s">
        <v>51</v>
      </c>
      <c r="B1" s="41" t="s">
        <v>54</v>
      </c>
      <c r="C1" s="40" t="s">
        <v>266</v>
      </c>
      <c r="D1" s="42" t="s">
        <v>7371</v>
      </c>
      <c r="E1" s="42" t="s">
        <v>7372</v>
      </c>
      <c r="F1" s="34" t="s">
        <v>7373</v>
      </c>
      <c r="G1" s="34" t="s">
        <v>7374</v>
      </c>
      <c r="H1" s="43" t="s">
        <v>7375</v>
      </c>
      <c r="I1" s="43" t="s">
        <v>7376</v>
      </c>
    </row>
    <row r="2" spans="1:9" x14ac:dyDescent="0.25">
      <c r="A2" s="4" t="s">
        <v>7473</v>
      </c>
      <c r="B2" s="5">
        <v>45953</v>
      </c>
      <c r="C2" s="4" t="s">
        <v>223</v>
      </c>
      <c r="F2" s="38">
        <f ca="1">SUMIF('1) Import fichier Remi (coller)'!C:Y,A2,'1) Import fichier Remi (coller)'!R:R)</f>
        <v>0</v>
      </c>
      <c r="G2">
        <f ca="1">SUMIF('1) Import fichier Remi (coller)'!C:Y,A2,'1) Import fichier Remi (coller)'!T:T)</f>
        <v>0</v>
      </c>
      <c r="H2" s="39">
        <f ca="1">D2-F2</f>
        <v>0</v>
      </c>
      <c r="I2" s="39">
        <f ca="1">E2-G2</f>
        <v>0</v>
      </c>
    </row>
    <row r="3" spans="1:9" x14ac:dyDescent="0.25">
      <c r="A3" s="4" t="s">
        <v>7474</v>
      </c>
      <c r="B3" s="5">
        <v>45957</v>
      </c>
      <c r="C3" s="4" t="s">
        <v>204</v>
      </c>
      <c r="F3" s="38">
        <f ca="1">SUMIF('1) Import fichier Remi (coller)'!C:Y,A3,'1) Import fichier Remi (coller)'!R:R)</f>
        <v>0</v>
      </c>
      <c r="G3">
        <f ca="1">SUMIF('1) Import fichier Remi (coller)'!C:Y,A3,'1) Import fichier Remi (coller)'!T:T)</f>
        <v>0</v>
      </c>
      <c r="H3" s="39">
        <f t="shared" ref="H3:H50" ca="1" si="0">D3-F3</f>
        <v>0</v>
      </c>
      <c r="I3" s="39">
        <f t="shared" ref="I3:I50" ca="1" si="1">E3-G3</f>
        <v>0</v>
      </c>
    </row>
    <row r="4" spans="1:9" x14ac:dyDescent="0.25">
      <c r="A4" s="4" t="s">
        <v>7475</v>
      </c>
      <c r="B4" s="5">
        <v>45957</v>
      </c>
      <c r="C4" s="4" t="s">
        <v>7472</v>
      </c>
      <c r="F4" s="38">
        <f ca="1">SUMIF('1) Import fichier Remi (coller)'!C:Y,A4,'1) Import fichier Remi (coller)'!R:R)</f>
        <v>0</v>
      </c>
      <c r="G4">
        <f ca="1">SUMIF('1) Import fichier Remi (coller)'!C:Y,A4,'1) Import fichier Remi (coller)'!T:T)</f>
        <v>0</v>
      </c>
      <c r="H4" s="39">
        <f t="shared" ca="1" si="0"/>
        <v>0</v>
      </c>
      <c r="I4" s="39">
        <f t="shared" ca="1" si="1"/>
        <v>0</v>
      </c>
    </row>
    <row r="5" spans="1:9" x14ac:dyDescent="0.25">
      <c r="A5" s="4" t="s">
        <v>7476</v>
      </c>
      <c r="B5" s="5">
        <v>45957</v>
      </c>
      <c r="C5" s="4" t="s">
        <v>7472</v>
      </c>
      <c r="F5" s="38">
        <f ca="1">SUMIF('1) Import fichier Remi (coller)'!C:Y,A5,'1) Import fichier Remi (coller)'!R:R)</f>
        <v>0</v>
      </c>
      <c r="G5">
        <f ca="1">SUMIF('1) Import fichier Remi (coller)'!C:Y,A5,'1) Import fichier Remi (coller)'!T:T)</f>
        <v>0</v>
      </c>
      <c r="H5" s="39">
        <f t="shared" ca="1" si="0"/>
        <v>0</v>
      </c>
      <c r="I5" s="39">
        <f t="shared" ca="1" si="1"/>
        <v>0</v>
      </c>
    </row>
    <row r="6" spans="1:9" x14ac:dyDescent="0.25">
      <c r="A6" s="4" t="s">
        <v>7477</v>
      </c>
      <c r="B6" s="5">
        <v>45957</v>
      </c>
      <c r="C6" s="4" t="s">
        <v>7472</v>
      </c>
      <c r="F6" s="38">
        <f ca="1">SUMIF('1) Import fichier Remi (coller)'!C:Y,A6,'1) Import fichier Remi (coller)'!R:R)</f>
        <v>0</v>
      </c>
      <c r="G6">
        <f ca="1">SUMIF('1) Import fichier Remi (coller)'!C:Y,A6,'1) Import fichier Remi (coller)'!T:T)</f>
        <v>0</v>
      </c>
      <c r="H6" s="39">
        <f t="shared" ca="1" si="0"/>
        <v>0</v>
      </c>
      <c r="I6" s="39">
        <f t="shared" ca="1" si="1"/>
        <v>0</v>
      </c>
    </row>
    <row r="7" spans="1:9" x14ac:dyDescent="0.25">
      <c r="A7" s="4" t="s">
        <v>7478</v>
      </c>
      <c r="B7" s="5">
        <v>45957</v>
      </c>
      <c r="C7" s="4" t="s">
        <v>7472</v>
      </c>
      <c r="F7" s="38">
        <f ca="1">SUMIF('1) Import fichier Remi (coller)'!C:Y,A7,'1) Import fichier Remi (coller)'!R:R)</f>
        <v>0</v>
      </c>
      <c r="G7">
        <f ca="1">SUMIF('1) Import fichier Remi (coller)'!C:Y,A7,'1) Import fichier Remi (coller)'!T:T)</f>
        <v>0</v>
      </c>
      <c r="H7" s="39">
        <f t="shared" ca="1" si="0"/>
        <v>0</v>
      </c>
      <c r="I7" s="39">
        <f t="shared" ca="1" si="1"/>
        <v>0</v>
      </c>
    </row>
    <row r="8" spans="1:9" x14ac:dyDescent="0.25">
      <c r="A8" s="4" t="s">
        <v>7479</v>
      </c>
      <c r="B8" s="5">
        <v>45960</v>
      </c>
      <c r="C8" s="4" t="s">
        <v>22</v>
      </c>
      <c r="F8" s="38">
        <f ca="1">SUMIF('1) Import fichier Remi (coller)'!C:Y,A8,'1) Import fichier Remi (coller)'!R:R)</f>
        <v>0</v>
      </c>
      <c r="G8">
        <f ca="1">SUMIF('1) Import fichier Remi (coller)'!C:Y,A8,'1) Import fichier Remi (coller)'!T:T)</f>
        <v>0</v>
      </c>
      <c r="H8" s="39">
        <f t="shared" ca="1" si="0"/>
        <v>0</v>
      </c>
      <c r="I8" s="39">
        <f t="shared" ca="1" si="1"/>
        <v>0</v>
      </c>
    </row>
    <row r="9" spans="1:9" x14ac:dyDescent="0.25">
      <c r="A9" s="4" t="s">
        <v>7479</v>
      </c>
      <c r="B9" s="5">
        <v>45960</v>
      </c>
      <c r="C9" s="4" t="s">
        <v>22</v>
      </c>
      <c r="F9" s="38">
        <f ca="1">SUMIF('1) Import fichier Remi (coller)'!C:Y,A9,'1) Import fichier Remi (coller)'!R:R)</f>
        <v>0</v>
      </c>
      <c r="G9">
        <f ca="1">SUMIF('1) Import fichier Remi (coller)'!C:Y,A9,'1) Import fichier Remi (coller)'!T:T)</f>
        <v>0</v>
      </c>
      <c r="H9" s="39">
        <f t="shared" ca="1" si="0"/>
        <v>0</v>
      </c>
      <c r="I9" s="39">
        <f t="shared" ca="1" si="1"/>
        <v>0</v>
      </c>
    </row>
    <row r="10" spans="1:9" x14ac:dyDescent="0.25">
      <c r="A10" s="4" t="s">
        <v>7479</v>
      </c>
      <c r="B10" s="5">
        <v>45960</v>
      </c>
      <c r="C10" s="4" t="s">
        <v>22</v>
      </c>
      <c r="F10" s="38">
        <f ca="1">SUMIF('1) Import fichier Remi (coller)'!C:Y,A10,'1) Import fichier Remi (coller)'!R:R)</f>
        <v>0</v>
      </c>
      <c r="G10">
        <f ca="1">SUMIF('1) Import fichier Remi (coller)'!C:Y,A10,'1) Import fichier Remi (coller)'!T:T)</f>
        <v>0</v>
      </c>
      <c r="H10" s="39">
        <f t="shared" ca="1" si="0"/>
        <v>0</v>
      </c>
      <c r="I10" s="39">
        <f t="shared" ca="1" si="1"/>
        <v>0</v>
      </c>
    </row>
    <row r="11" spans="1:9" x14ac:dyDescent="0.25">
      <c r="A11" s="4" t="s">
        <v>7480</v>
      </c>
      <c r="B11" s="5">
        <v>45960</v>
      </c>
      <c r="C11" s="4" t="s">
        <v>44</v>
      </c>
      <c r="F11" s="38">
        <f ca="1">SUMIF('1) Import fichier Remi (coller)'!C:Y,A11,'1) Import fichier Remi (coller)'!R:R)</f>
        <v>0</v>
      </c>
      <c r="G11">
        <f ca="1">SUMIF('1) Import fichier Remi (coller)'!C:Y,A11,'1) Import fichier Remi (coller)'!T:T)</f>
        <v>0</v>
      </c>
      <c r="H11" s="39">
        <f t="shared" ca="1" si="0"/>
        <v>0</v>
      </c>
      <c r="I11" s="39">
        <f t="shared" ca="1" si="1"/>
        <v>0</v>
      </c>
    </row>
    <row r="12" spans="1:9" x14ac:dyDescent="0.25">
      <c r="A12" s="4" t="s">
        <v>7481</v>
      </c>
      <c r="B12" s="5">
        <v>45960</v>
      </c>
      <c r="C12" s="4" t="s">
        <v>36</v>
      </c>
      <c r="F12" s="38">
        <f ca="1">SUMIF('1) Import fichier Remi (coller)'!C:Y,A12,'1) Import fichier Remi (coller)'!R:R)</f>
        <v>0</v>
      </c>
      <c r="G12">
        <f ca="1">SUMIF('1) Import fichier Remi (coller)'!C:Y,A12,'1) Import fichier Remi (coller)'!T:T)</f>
        <v>0</v>
      </c>
      <c r="H12" s="39">
        <f t="shared" ca="1" si="0"/>
        <v>0</v>
      </c>
      <c r="I12" s="39">
        <f t="shared" ca="1" si="1"/>
        <v>0</v>
      </c>
    </row>
    <row r="13" spans="1:9" x14ac:dyDescent="0.25">
      <c r="A13" s="4" t="s">
        <v>7481</v>
      </c>
      <c r="B13" s="5">
        <v>45960</v>
      </c>
      <c r="C13" s="4" t="s">
        <v>36</v>
      </c>
      <c r="F13" s="38">
        <f ca="1">SUMIF('1) Import fichier Remi (coller)'!C:Y,A13,'1) Import fichier Remi (coller)'!R:R)</f>
        <v>0</v>
      </c>
      <c r="G13">
        <f ca="1">SUMIF('1) Import fichier Remi (coller)'!C:Y,A13,'1) Import fichier Remi (coller)'!T:T)</f>
        <v>0</v>
      </c>
      <c r="H13" s="39">
        <f t="shared" ca="1" si="0"/>
        <v>0</v>
      </c>
      <c r="I13" s="39">
        <f t="shared" ca="1" si="1"/>
        <v>0</v>
      </c>
    </row>
    <row r="14" spans="1:9" x14ac:dyDescent="0.25">
      <c r="A14" s="4" t="s">
        <v>7481</v>
      </c>
      <c r="B14" s="5">
        <v>45960</v>
      </c>
      <c r="C14" s="4" t="s">
        <v>36</v>
      </c>
      <c r="F14" s="38">
        <f ca="1">SUMIF('1) Import fichier Remi (coller)'!C:Y,A14,'1) Import fichier Remi (coller)'!R:R)</f>
        <v>0</v>
      </c>
      <c r="G14">
        <f ca="1">SUMIF('1) Import fichier Remi (coller)'!C:Y,A14,'1) Import fichier Remi (coller)'!T:T)</f>
        <v>0</v>
      </c>
      <c r="H14" s="39">
        <f t="shared" ca="1" si="0"/>
        <v>0</v>
      </c>
      <c r="I14" s="39">
        <f t="shared" ca="1" si="1"/>
        <v>0</v>
      </c>
    </row>
    <row r="15" spans="1:9" x14ac:dyDescent="0.25">
      <c r="A15" s="4" t="s">
        <v>7482</v>
      </c>
      <c r="B15" s="5">
        <v>45960</v>
      </c>
      <c r="C15" s="4" t="s">
        <v>36</v>
      </c>
      <c r="F15" s="38">
        <f ca="1">SUMIF('1) Import fichier Remi (coller)'!C:Y,A15,'1) Import fichier Remi (coller)'!R:R)</f>
        <v>0</v>
      </c>
      <c r="G15">
        <f ca="1">SUMIF('1) Import fichier Remi (coller)'!C:Y,A15,'1) Import fichier Remi (coller)'!T:T)</f>
        <v>0</v>
      </c>
      <c r="H15" s="39">
        <f t="shared" ca="1" si="0"/>
        <v>0</v>
      </c>
      <c r="I15" s="39">
        <f t="shared" ca="1" si="1"/>
        <v>0</v>
      </c>
    </row>
    <row r="16" spans="1:9" x14ac:dyDescent="0.25">
      <c r="A16" s="4" t="s">
        <v>7482</v>
      </c>
      <c r="B16" s="5">
        <v>45960</v>
      </c>
      <c r="C16" s="4" t="s">
        <v>36</v>
      </c>
      <c r="F16" s="38">
        <f ca="1">SUMIF('1) Import fichier Remi (coller)'!C:Y,A16,'1) Import fichier Remi (coller)'!R:R)</f>
        <v>0</v>
      </c>
      <c r="G16">
        <f ca="1">SUMIF('1) Import fichier Remi (coller)'!C:Y,A16,'1) Import fichier Remi (coller)'!T:T)</f>
        <v>0</v>
      </c>
      <c r="H16" s="39">
        <f t="shared" ca="1" si="0"/>
        <v>0</v>
      </c>
      <c r="I16" s="39">
        <f t="shared" ca="1" si="1"/>
        <v>0</v>
      </c>
    </row>
    <row r="17" spans="1:9" x14ac:dyDescent="0.25">
      <c r="A17" s="4" t="s">
        <v>7482</v>
      </c>
      <c r="B17" s="5">
        <v>45960</v>
      </c>
      <c r="C17" s="4" t="s">
        <v>36</v>
      </c>
      <c r="F17" s="38">
        <f ca="1">SUMIF('1) Import fichier Remi (coller)'!C:Y,A17,'1) Import fichier Remi (coller)'!R:R)</f>
        <v>0</v>
      </c>
      <c r="G17">
        <f ca="1">SUMIF('1) Import fichier Remi (coller)'!C:Y,A17,'1) Import fichier Remi (coller)'!T:T)</f>
        <v>0</v>
      </c>
      <c r="H17" s="39">
        <f t="shared" ca="1" si="0"/>
        <v>0</v>
      </c>
      <c r="I17" s="39">
        <f t="shared" ca="1" si="1"/>
        <v>0</v>
      </c>
    </row>
    <row r="18" spans="1:9" x14ac:dyDescent="0.25">
      <c r="A18" s="4" t="s">
        <v>7482</v>
      </c>
      <c r="B18" s="5">
        <v>45960</v>
      </c>
      <c r="C18" s="4" t="s">
        <v>36</v>
      </c>
      <c r="F18" s="38">
        <f ca="1">SUMIF('1) Import fichier Remi (coller)'!C:Y,A18,'1) Import fichier Remi (coller)'!R:R)</f>
        <v>0</v>
      </c>
      <c r="G18">
        <f ca="1">SUMIF('1) Import fichier Remi (coller)'!C:Y,A18,'1) Import fichier Remi (coller)'!T:T)</f>
        <v>0</v>
      </c>
      <c r="H18" s="39">
        <f t="shared" ca="1" si="0"/>
        <v>0</v>
      </c>
      <c r="I18" s="39">
        <f t="shared" ca="1" si="1"/>
        <v>0</v>
      </c>
    </row>
    <row r="19" spans="1:9" x14ac:dyDescent="0.25">
      <c r="A19" s="4" t="s">
        <v>7482</v>
      </c>
      <c r="B19" s="5">
        <v>45960</v>
      </c>
      <c r="C19" s="4" t="s">
        <v>36</v>
      </c>
      <c r="F19" s="38">
        <f ca="1">SUMIF('1) Import fichier Remi (coller)'!C:Y,A19,'1) Import fichier Remi (coller)'!R:R)</f>
        <v>0</v>
      </c>
      <c r="G19">
        <f ca="1">SUMIF('1) Import fichier Remi (coller)'!C:Y,A19,'1) Import fichier Remi (coller)'!T:T)</f>
        <v>0</v>
      </c>
      <c r="H19" s="39">
        <f t="shared" ca="1" si="0"/>
        <v>0</v>
      </c>
      <c r="I19" s="39">
        <f t="shared" ca="1" si="1"/>
        <v>0</v>
      </c>
    </row>
    <row r="20" spans="1:9" x14ac:dyDescent="0.25">
      <c r="A20" s="4" t="s">
        <v>7482</v>
      </c>
      <c r="B20" s="5">
        <v>45960</v>
      </c>
      <c r="C20" s="4" t="s">
        <v>36</v>
      </c>
      <c r="F20" s="38">
        <f ca="1">SUMIF('1) Import fichier Remi (coller)'!C:Y,A20,'1) Import fichier Remi (coller)'!R:R)</f>
        <v>0</v>
      </c>
      <c r="G20">
        <f ca="1">SUMIF('1) Import fichier Remi (coller)'!C:Y,A20,'1) Import fichier Remi (coller)'!T:T)</f>
        <v>0</v>
      </c>
      <c r="H20" s="39">
        <f t="shared" ca="1" si="0"/>
        <v>0</v>
      </c>
      <c r="I20" s="39">
        <f t="shared" ca="1" si="1"/>
        <v>0</v>
      </c>
    </row>
    <row r="21" spans="1:9" x14ac:dyDescent="0.25">
      <c r="A21" s="4" t="s">
        <v>7482</v>
      </c>
      <c r="B21" s="5">
        <v>45960</v>
      </c>
      <c r="C21" s="4" t="s">
        <v>36</v>
      </c>
      <c r="F21" s="38">
        <f ca="1">SUMIF('1) Import fichier Remi (coller)'!C:Y,A21,'1) Import fichier Remi (coller)'!R:R)</f>
        <v>0</v>
      </c>
      <c r="G21">
        <f ca="1">SUMIF('1) Import fichier Remi (coller)'!C:Y,A21,'1) Import fichier Remi (coller)'!T:T)</f>
        <v>0</v>
      </c>
      <c r="H21" s="39">
        <f t="shared" ca="1" si="0"/>
        <v>0</v>
      </c>
      <c r="I21" s="39">
        <f t="shared" ca="1" si="1"/>
        <v>0</v>
      </c>
    </row>
    <row r="22" spans="1:9" x14ac:dyDescent="0.25">
      <c r="A22" s="4" t="s">
        <v>7482</v>
      </c>
      <c r="B22" s="5">
        <v>45960</v>
      </c>
      <c r="C22" s="4" t="s">
        <v>36</v>
      </c>
      <c r="F22" s="38">
        <f ca="1">SUMIF('1) Import fichier Remi (coller)'!C:Y,A22,'1) Import fichier Remi (coller)'!R:R)</f>
        <v>0</v>
      </c>
      <c r="G22">
        <f ca="1">SUMIF('1) Import fichier Remi (coller)'!C:Y,A22,'1) Import fichier Remi (coller)'!T:T)</f>
        <v>0</v>
      </c>
      <c r="H22" s="39">
        <f t="shared" ca="1" si="0"/>
        <v>0</v>
      </c>
      <c r="I22" s="39">
        <f t="shared" ca="1" si="1"/>
        <v>0</v>
      </c>
    </row>
    <row r="23" spans="1:9" x14ac:dyDescent="0.25">
      <c r="A23" s="4" t="s">
        <v>7482</v>
      </c>
      <c r="B23" s="5">
        <v>45960</v>
      </c>
      <c r="C23" s="4" t="s">
        <v>36</v>
      </c>
      <c r="F23" s="38">
        <f ca="1">SUMIF('1) Import fichier Remi (coller)'!C:Y,A23,'1) Import fichier Remi (coller)'!R:R)</f>
        <v>0</v>
      </c>
      <c r="G23">
        <f ca="1">SUMIF('1) Import fichier Remi (coller)'!C:Y,A23,'1) Import fichier Remi (coller)'!T:T)</f>
        <v>0</v>
      </c>
      <c r="H23" s="39">
        <f t="shared" ca="1" si="0"/>
        <v>0</v>
      </c>
      <c r="I23" s="39">
        <f t="shared" ca="1" si="1"/>
        <v>0</v>
      </c>
    </row>
    <row r="24" spans="1:9" x14ac:dyDescent="0.25">
      <c r="A24" s="4" t="s">
        <v>7482</v>
      </c>
      <c r="B24" s="5">
        <v>45960</v>
      </c>
      <c r="C24" s="4" t="s">
        <v>36</v>
      </c>
      <c r="F24" s="38">
        <f ca="1">SUMIF('1) Import fichier Remi (coller)'!C:Y,A24,'1) Import fichier Remi (coller)'!R:R)</f>
        <v>0</v>
      </c>
      <c r="G24">
        <f ca="1">SUMIF('1) Import fichier Remi (coller)'!C:Y,A24,'1) Import fichier Remi (coller)'!T:T)</f>
        <v>0</v>
      </c>
      <c r="H24" s="39">
        <f t="shared" ca="1" si="0"/>
        <v>0</v>
      </c>
      <c r="I24" s="39">
        <f t="shared" ca="1" si="1"/>
        <v>0</v>
      </c>
    </row>
    <row r="25" spans="1:9" x14ac:dyDescent="0.25">
      <c r="A25" s="4" t="s">
        <v>7482</v>
      </c>
      <c r="B25" s="5">
        <v>45960</v>
      </c>
      <c r="C25" s="4" t="s">
        <v>36</v>
      </c>
      <c r="F25" s="38">
        <f ca="1">SUMIF('1) Import fichier Remi (coller)'!C:Y,A25,'1) Import fichier Remi (coller)'!R:R)</f>
        <v>0</v>
      </c>
      <c r="G25">
        <f ca="1">SUMIF('1) Import fichier Remi (coller)'!C:Y,A25,'1) Import fichier Remi (coller)'!T:T)</f>
        <v>0</v>
      </c>
      <c r="H25" s="39">
        <f t="shared" ca="1" si="0"/>
        <v>0</v>
      </c>
      <c r="I25" s="39">
        <f t="shared" ca="1" si="1"/>
        <v>0</v>
      </c>
    </row>
    <row r="26" spans="1:9" x14ac:dyDescent="0.25">
      <c r="A26" s="4" t="s">
        <v>7483</v>
      </c>
      <c r="B26" s="5">
        <v>45960</v>
      </c>
      <c r="C26" s="4" t="s">
        <v>32</v>
      </c>
      <c r="F26" s="38">
        <f ca="1">SUMIF('1) Import fichier Remi (coller)'!C:Y,A26,'1) Import fichier Remi (coller)'!R:R)</f>
        <v>0</v>
      </c>
      <c r="G26">
        <f ca="1">SUMIF('1) Import fichier Remi (coller)'!C:Y,A26,'1) Import fichier Remi (coller)'!T:T)</f>
        <v>0</v>
      </c>
      <c r="H26" s="39">
        <f t="shared" ca="1" si="0"/>
        <v>0</v>
      </c>
      <c r="I26" s="39">
        <f t="shared" ca="1" si="1"/>
        <v>0</v>
      </c>
    </row>
    <row r="27" spans="1:9" x14ac:dyDescent="0.25">
      <c r="A27" s="4" t="s">
        <v>7483</v>
      </c>
      <c r="B27" s="5">
        <v>45960</v>
      </c>
      <c r="C27" s="4" t="s">
        <v>32</v>
      </c>
      <c r="F27" s="38">
        <f ca="1">SUMIF('1) Import fichier Remi (coller)'!C:Y,A27,'1) Import fichier Remi (coller)'!R:R)</f>
        <v>0</v>
      </c>
      <c r="G27">
        <f ca="1">SUMIF('1) Import fichier Remi (coller)'!C:Y,A27,'1) Import fichier Remi (coller)'!T:T)</f>
        <v>0</v>
      </c>
      <c r="H27" s="39">
        <f t="shared" ca="1" si="0"/>
        <v>0</v>
      </c>
      <c r="I27" s="39">
        <f t="shared" ca="1" si="1"/>
        <v>0</v>
      </c>
    </row>
    <row r="28" spans="1:9" x14ac:dyDescent="0.25">
      <c r="A28" s="4" t="s">
        <v>7484</v>
      </c>
      <c r="B28" s="5">
        <v>45960</v>
      </c>
      <c r="C28" s="4" t="s">
        <v>120</v>
      </c>
      <c r="F28" s="38">
        <f ca="1">SUMIF('1) Import fichier Remi (coller)'!C:Y,A28,'1) Import fichier Remi (coller)'!R:R)</f>
        <v>0</v>
      </c>
      <c r="G28">
        <f ca="1">SUMIF('1) Import fichier Remi (coller)'!C:Y,A28,'1) Import fichier Remi (coller)'!T:T)</f>
        <v>0</v>
      </c>
      <c r="H28" s="39">
        <f t="shared" ca="1" si="0"/>
        <v>0</v>
      </c>
      <c r="I28" s="39">
        <f t="shared" ca="1" si="1"/>
        <v>0</v>
      </c>
    </row>
    <row r="29" spans="1:9" x14ac:dyDescent="0.25">
      <c r="A29" s="4" t="s">
        <v>7484</v>
      </c>
      <c r="B29" s="5">
        <v>45960</v>
      </c>
      <c r="C29" s="4" t="s">
        <v>120</v>
      </c>
      <c r="F29" s="38">
        <f ca="1">SUMIF('1) Import fichier Remi (coller)'!C:Y,A29,'1) Import fichier Remi (coller)'!R:R)</f>
        <v>0</v>
      </c>
      <c r="G29">
        <f ca="1">SUMIF('1) Import fichier Remi (coller)'!C:Y,A29,'1) Import fichier Remi (coller)'!T:T)</f>
        <v>0</v>
      </c>
      <c r="H29" s="39">
        <f t="shared" ca="1" si="0"/>
        <v>0</v>
      </c>
      <c r="I29" s="39">
        <f t="shared" ca="1" si="1"/>
        <v>0</v>
      </c>
    </row>
    <row r="30" spans="1:9" x14ac:dyDescent="0.25">
      <c r="A30" s="4" t="s">
        <v>7485</v>
      </c>
      <c r="B30" s="5">
        <v>45960</v>
      </c>
      <c r="C30" s="4" t="s">
        <v>45</v>
      </c>
      <c r="F30" s="38">
        <f ca="1">SUMIF('1) Import fichier Remi (coller)'!C:Y,A30,'1) Import fichier Remi (coller)'!R:R)</f>
        <v>0</v>
      </c>
      <c r="G30">
        <f ca="1">SUMIF('1) Import fichier Remi (coller)'!C:Y,A30,'1) Import fichier Remi (coller)'!T:T)</f>
        <v>0</v>
      </c>
      <c r="H30" s="39">
        <f t="shared" ca="1" si="0"/>
        <v>0</v>
      </c>
      <c r="I30" s="39">
        <f t="shared" ca="1" si="1"/>
        <v>0</v>
      </c>
    </row>
    <row r="31" spans="1:9" x14ac:dyDescent="0.25">
      <c r="A31" s="4" t="s">
        <v>7485</v>
      </c>
      <c r="B31" s="5">
        <v>45960</v>
      </c>
      <c r="C31" s="4" t="s">
        <v>45</v>
      </c>
      <c r="F31" s="38">
        <f ca="1">SUMIF('1) Import fichier Remi (coller)'!C:Y,A31,'1) Import fichier Remi (coller)'!R:R)</f>
        <v>0</v>
      </c>
      <c r="G31">
        <f ca="1">SUMIF('1) Import fichier Remi (coller)'!C:Y,A31,'1) Import fichier Remi (coller)'!T:T)</f>
        <v>0</v>
      </c>
      <c r="H31" s="39">
        <f t="shared" ca="1" si="0"/>
        <v>0</v>
      </c>
      <c r="I31" s="39">
        <f t="shared" ca="1" si="1"/>
        <v>0</v>
      </c>
    </row>
    <row r="32" spans="1:9" x14ac:dyDescent="0.25">
      <c r="A32" s="4" t="s">
        <v>7485</v>
      </c>
      <c r="B32" s="5">
        <v>45960</v>
      </c>
      <c r="C32" s="4" t="s">
        <v>45</v>
      </c>
      <c r="F32" s="38">
        <f ca="1">SUMIF('1) Import fichier Remi (coller)'!C:Y,A32,'1) Import fichier Remi (coller)'!R:R)</f>
        <v>0</v>
      </c>
      <c r="G32">
        <f ca="1">SUMIF('1) Import fichier Remi (coller)'!C:Y,A32,'1) Import fichier Remi (coller)'!T:T)</f>
        <v>0</v>
      </c>
      <c r="H32" s="39">
        <f t="shared" ca="1" si="0"/>
        <v>0</v>
      </c>
      <c r="I32" s="39">
        <f t="shared" ca="1" si="1"/>
        <v>0</v>
      </c>
    </row>
    <row r="33" spans="1:9" x14ac:dyDescent="0.25">
      <c r="A33" s="4" t="s">
        <v>7486</v>
      </c>
      <c r="B33" s="5">
        <v>45960</v>
      </c>
      <c r="C33" s="4" t="s">
        <v>204</v>
      </c>
      <c r="F33" s="38">
        <f ca="1">SUMIF('1) Import fichier Remi (coller)'!C:Y,A33,'1) Import fichier Remi (coller)'!R:R)</f>
        <v>0</v>
      </c>
      <c r="G33">
        <f ca="1">SUMIF('1) Import fichier Remi (coller)'!C:Y,A33,'1) Import fichier Remi (coller)'!T:T)</f>
        <v>0</v>
      </c>
      <c r="H33" s="39">
        <f t="shared" ca="1" si="0"/>
        <v>0</v>
      </c>
      <c r="I33" s="39">
        <f t="shared" ca="1" si="1"/>
        <v>0</v>
      </c>
    </row>
    <row r="34" spans="1:9" x14ac:dyDescent="0.25">
      <c r="A34" s="4" t="s">
        <v>7487</v>
      </c>
      <c r="B34" s="5">
        <v>45960</v>
      </c>
      <c r="C34" s="4" t="s">
        <v>26</v>
      </c>
      <c r="F34" s="38">
        <f ca="1">SUMIF('1) Import fichier Remi (coller)'!C:Y,A34,'1) Import fichier Remi (coller)'!R:R)</f>
        <v>0</v>
      </c>
      <c r="G34">
        <f ca="1">SUMIF('1) Import fichier Remi (coller)'!C:Y,A34,'1) Import fichier Remi (coller)'!T:T)</f>
        <v>0</v>
      </c>
      <c r="H34" s="39">
        <f t="shared" ca="1" si="0"/>
        <v>0</v>
      </c>
      <c r="I34" s="39">
        <f t="shared" ca="1" si="1"/>
        <v>0</v>
      </c>
    </row>
    <row r="35" spans="1:9" x14ac:dyDescent="0.25">
      <c r="A35" s="4" t="s">
        <v>7487</v>
      </c>
      <c r="B35" s="5">
        <v>45960</v>
      </c>
      <c r="C35" s="4" t="s">
        <v>26</v>
      </c>
      <c r="F35" s="38">
        <f ca="1">SUMIF('1) Import fichier Remi (coller)'!C:Y,A35,'1) Import fichier Remi (coller)'!R:R)</f>
        <v>0</v>
      </c>
      <c r="G35">
        <f ca="1">SUMIF('1) Import fichier Remi (coller)'!C:Y,A35,'1) Import fichier Remi (coller)'!T:T)</f>
        <v>0</v>
      </c>
      <c r="H35" s="39">
        <f t="shared" ca="1" si="0"/>
        <v>0</v>
      </c>
      <c r="I35" s="39">
        <f t="shared" ca="1" si="1"/>
        <v>0</v>
      </c>
    </row>
    <row r="36" spans="1:9" x14ac:dyDescent="0.25">
      <c r="A36" s="4" t="s">
        <v>7488</v>
      </c>
      <c r="B36" s="5">
        <v>45960</v>
      </c>
      <c r="C36" s="4" t="s">
        <v>388</v>
      </c>
      <c r="F36" s="38">
        <f ca="1">SUMIF('1) Import fichier Remi (coller)'!C:Y,A36,'1) Import fichier Remi (coller)'!R:R)</f>
        <v>0</v>
      </c>
      <c r="G36">
        <f ca="1">SUMIF('1) Import fichier Remi (coller)'!C:Y,A36,'1) Import fichier Remi (coller)'!T:T)</f>
        <v>0</v>
      </c>
      <c r="H36" s="39">
        <f t="shared" ca="1" si="0"/>
        <v>0</v>
      </c>
      <c r="I36" s="39">
        <f t="shared" ca="1" si="1"/>
        <v>0</v>
      </c>
    </row>
    <row r="37" spans="1:9" x14ac:dyDescent="0.25">
      <c r="A37" s="4" t="s">
        <v>7489</v>
      </c>
      <c r="B37" s="5">
        <v>45960</v>
      </c>
      <c r="C37" s="4" t="s">
        <v>443</v>
      </c>
      <c r="F37" s="38">
        <f ca="1">SUMIF('1) Import fichier Remi (coller)'!C:Y,A37,'1) Import fichier Remi (coller)'!R:R)</f>
        <v>0</v>
      </c>
      <c r="G37">
        <f ca="1">SUMIF('1) Import fichier Remi (coller)'!C:Y,A37,'1) Import fichier Remi (coller)'!T:T)</f>
        <v>0</v>
      </c>
      <c r="H37" s="39">
        <f t="shared" ca="1" si="0"/>
        <v>0</v>
      </c>
      <c r="I37" s="39">
        <f t="shared" ca="1" si="1"/>
        <v>0</v>
      </c>
    </row>
    <row r="38" spans="1:9" x14ac:dyDescent="0.25">
      <c r="A38" s="4" t="s">
        <v>7490</v>
      </c>
      <c r="B38" s="5">
        <v>45960</v>
      </c>
      <c r="C38" s="4" t="s">
        <v>189</v>
      </c>
      <c r="F38" s="38">
        <f ca="1">SUMIF('1) Import fichier Remi (coller)'!C:Y,A38,'1) Import fichier Remi (coller)'!R:R)</f>
        <v>0</v>
      </c>
      <c r="G38">
        <f ca="1">SUMIF('1) Import fichier Remi (coller)'!C:Y,A38,'1) Import fichier Remi (coller)'!T:T)</f>
        <v>0</v>
      </c>
      <c r="H38" s="39">
        <f t="shared" ca="1" si="0"/>
        <v>0</v>
      </c>
      <c r="I38" s="39">
        <f t="shared" ca="1" si="1"/>
        <v>0</v>
      </c>
    </row>
    <row r="39" spans="1:9" x14ac:dyDescent="0.25">
      <c r="A39" s="4" t="s">
        <v>7491</v>
      </c>
      <c r="B39" s="5">
        <v>45960</v>
      </c>
      <c r="C39" s="4" t="s">
        <v>23</v>
      </c>
      <c r="F39" s="38">
        <f ca="1">SUMIF('1) Import fichier Remi (coller)'!C:Y,A39,'1) Import fichier Remi (coller)'!R:R)</f>
        <v>0</v>
      </c>
      <c r="G39">
        <f ca="1">SUMIF('1) Import fichier Remi (coller)'!C:Y,A39,'1) Import fichier Remi (coller)'!T:T)</f>
        <v>0</v>
      </c>
      <c r="H39" s="39">
        <f t="shared" ca="1" si="0"/>
        <v>0</v>
      </c>
      <c r="I39" s="39">
        <f t="shared" ca="1" si="1"/>
        <v>0</v>
      </c>
    </row>
    <row r="40" spans="1:9" x14ac:dyDescent="0.25">
      <c r="A40" s="4" t="s">
        <v>7491</v>
      </c>
      <c r="B40" s="5">
        <v>45960</v>
      </c>
      <c r="C40" s="4" t="s">
        <v>23</v>
      </c>
      <c r="F40" s="38">
        <f ca="1">SUMIF('1) Import fichier Remi (coller)'!C:Y,A40,'1) Import fichier Remi (coller)'!R:R)</f>
        <v>0</v>
      </c>
      <c r="G40">
        <f ca="1">SUMIF('1) Import fichier Remi (coller)'!C:Y,A40,'1) Import fichier Remi (coller)'!T:T)</f>
        <v>0</v>
      </c>
      <c r="H40" s="39">
        <f t="shared" ca="1" si="0"/>
        <v>0</v>
      </c>
      <c r="I40" s="39">
        <f t="shared" ca="1" si="1"/>
        <v>0</v>
      </c>
    </row>
    <row r="41" spans="1:9" x14ac:dyDescent="0.25">
      <c r="A41" s="4" t="s">
        <v>7492</v>
      </c>
      <c r="B41" s="5">
        <v>45960</v>
      </c>
      <c r="C41" s="4" t="s">
        <v>439</v>
      </c>
      <c r="F41" s="38">
        <f ca="1">SUMIF('1) Import fichier Remi (coller)'!C:Y,A41,'1) Import fichier Remi (coller)'!R:R)</f>
        <v>0</v>
      </c>
      <c r="G41">
        <f ca="1">SUMIF('1) Import fichier Remi (coller)'!C:Y,A41,'1) Import fichier Remi (coller)'!T:T)</f>
        <v>0</v>
      </c>
      <c r="H41" s="39">
        <f t="shared" ca="1" si="0"/>
        <v>0</v>
      </c>
      <c r="I41" s="39">
        <f t="shared" ca="1" si="1"/>
        <v>0</v>
      </c>
    </row>
    <row r="42" spans="1:9" x14ac:dyDescent="0.25">
      <c r="A42" s="4" t="s">
        <v>7492</v>
      </c>
      <c r="B42" s="5">
        <v>45960</v>
      </c>
      <c r="C42" s="4" t="s">
        <v>439</v>
      </c>
      <c r="F42" s="38">
        <f ca="1">SUMIF('1) Import fichier Remi (coller)'!C:Y,A42,'1) Import fichier Remi (coller)'!R:R)</f>
        <v>0</v>
      </c>
      <c r="G42">
        <f ca="1">SUMIF('1) Import fichier Remi (coller)'!C:Y,A42,'1) Import fichier Remi (coller)'!T:T)</f>
        <v>0</v>
      </c>
      <c r="H42" s="39">
        <f t="shared" ca="1" si="0"/>
        <v>0</v>
      </c>
      <c r="I42" s="39">
        <f t="shared" ca="1" si="1"/>
        <v>0</v>
      </c>
    </row>
    <row r="43" spans="1:9" x14ac:dyDescent="0.25">
      <c r="A43" s="4" t="s">
        <v>7492</v>
      </c>
      <c r="B43" s="5">
        <v>45960</v>
      </c>
      <c r="C43" s="4" t="s">
        <v>439</v>
      </c>
      <c r="F43" s="38">
        <f ca="1">SUMIF('1) Import fichier Remi (coller)'!C:Y,A43,'1) Import fichier Remi (coller)'!R:R)</f>
        <v>0</v>
      </c>
      <c r="G43">
        <f ca="1">SUMIF('1) Import fichier Remi (coller)'!C:Y,A43,'1) Import fichier Remi (coller)'!T:T)</f>
        <v>0</v>
      </c>
      <c r="H43" s="39">
        <f t="shared" ca="1" si="0"/>
        <v>0</v>
      </c>
      <c r="I43" s="39">
        <f t="shared" ca="1" si="1"/>
        <v>0</v>
      </c>
    </row>
    <row r="44" spans="1:9" x14ac:dyDescent="0.25">
      <c r="A44" s="4" t="s">
        <v>7492</v>
      </c>
      <c r="B44" s="5">
        <v>45960</v>
      </c>
      <c r="C44" s="4" t="s">
        <v>439</v>
      </c>
      <c r="F44" s="38">
        <f ca="1">SUMIF('1) Import fichier Remi (coller)'!C:Y,A44,'1) Import fichier Remi (coller)'!R:R)</f>
        <v>0</v>
      </c>
      <c r="G44">
        <f ca="1">SUMIF('1) Import fichier Remi (coller)'!C:Y,A44,'1) Import fichier Remi (coller)'!T:T)</f>
        <v>0</v>
      </c>
      <c r="H44" s="39">
        <f t="shared" ca="1" si="0"/>
        <v>0</v>
      </c>
      <c r="I44" s="39">
        <f t="shared" ca="1" si="1"/>
        <v>0</v>
      </c>
    </row>
    <row r="45" spans="1:9" x14ac:dyDescent="0.25">
      <c r="A45" s="4" t="s">
        <v>7493</v>
      </c>
      <c r="B45" s="5">
        <v>45960</v>
      </c>
      <c r="C45" s="4" t="s">
        <v>299</v>
      </c>
      <c r="F45" s="38">
        <f ca="1">SUMIF('1) Import fichier Remi (coller)'!C:Y,A45,'1) Import fichier Remi (coller)'!R:R)</f>
        <v>0</v>
      </c>
      <c r="G45">
        <f ca="1">SUMIF('1) Import fichier Remi (coller)'!C:Y,A45,'1) Import fichier Remi (coller)'!T:T)</f>
        <v>0</v>
      </c>
      <c r="H45" s="39">
        <f t="shared" ca="1" si="0"/>
        <v>0</v>
      </c>
      <c r="I45" s="39">
        <f t="shared" ca="1" si="1"/>
        <v>0</v>
      </c>
    </row>
    <row r="46" spans="1:9" x14ac:dyDescent="0.25">
      <c r="A46" s="4" t="s">
        <v>7493</v>
      </c>
      <c r="B46" s="5">
        <v>45960</v>
      </c>
      <c r="C46" s="4" t="s">
        <v>299</v>
      </c>
      <c r="F46" s="38">
        <f ca="1">SUMIF('1) Import fichier Remi (coller)'!C:Y,A46,'1) Import fichier Remi (coller)'!R:R)</f>
        <v>0</v>
      </c>
      <c r="G46">
        <f ca="1">SUMIF('1) Import fichier Remi (coller)'!C:Y,A46,'1) Import fichier Remi (coller)'!T:T)</f>
        <v>0</v>
      </c>
      <c r="H46" s="39">
        <f t="shared" ca="1" si="0"/>
        <v>0</v>
      </c>
      <c r="I46" s="39">
        <f t="shared" ca="1" si="1"/>
        <v>0</v>
      </c>
    </row>
    <row r="47" spans="1:9" x14ac:dyDescent="0.25">
      <c r="A47" s="4" t="s">
        <v>7494</v>
      </c>
      <c r="B47" s="5">
        <v>45960</v>
      </c>
      <c r="C47" s="4" t="s">
        <v>299</v>
      </c>
      <c r="F47" s="38">
        <f ca="1">SUMIF('1) Import fichier Remi (coller)'!C:Y,A47,'1) Import fichier Remi (coller)'!R:R)</f>
        <v>0</v>
      </c>
      <c r="G47">
        <f ca="1">SUMIF('1) Import fichier Remi (coller)'!C:Y,A47,'1) Import fichier Remi (coller)'!T:T)</f>
        <v>0</v>
      </c>
      <c r="H47" s="39">
        <f t="shared" ca="1" si="0"/>
        <v>0</v>
      </c>
      <c r="I47" s="39">
        <f t="shared" ca="1" si="1"/>
        <v>0</v>
      </c>
    </row>
    <row r="48" spans="1:9" x14ac:dyDescent="0.25">
      <c r="A48" s="4" t="s">
        <v>7495</v>
      </c>
      <c r="B48" s="5">
        <v>45960</v>
      </c>
      <c r="C48" s="4" t="s">
        <v>123</v>
      </c>
      <c r="F48" s="38">
        <f ca="1">SUMIF('1) Import fichier Remi (coller)'!C:Y,A48,'1) Import fichier Remi (coller)'!R:R)</f>
        <v>0</v>
      </c>
      <c r="G48">
        <f ca="1">SUMIF('1) Import fichier Remi (coller)'!C:Y,A48,'1) Import fichier Remi (coller)'!T:T)</f>
        <v>0</v>
      </c>
      <c r="H48" s="39">
        <f t="shared" ca="1" si="0"/>
        <v>0</v>
      </c>
      <c r="I48" s="39">
        <f t="shared" ca="1" si="1"/>
        <v>0</v>
      </c>
    </row>
    <row r="49" spans="1:9" x14ac:dyDescent="0.25">
      <c r="A49" s="4" t="s">
        <v>7496</v>
      </c>
      <c r="B49" s="5">
        <v>45960</v>
      </c>
      <c r="C49" s="4" t="s">
        <v>214</v>
      </c>
      <c r="F49" s="38">
        <f ca="1">SUMIF('1) Import fichier Remi (coller)'!C:Y,A49,'1) Import fichier Remi (coller)'!R:R)</f>
        <v>0</v>
      </c>
      <c r="G49">
        <f ca="1">SUMIF('1) Import fichier Remi (coller)'!C:Y,A49,'1) Import fichier Remi (coller)'!T:T)</f>
        <v>0</v>
      </c>
      <c r="H49" s="39">
        <f t="shared" ca="1" si="0"/>
        <v>0</v>
      </c>
      <c r="I49" s="39">
        <f t="shared" ca="1" si="1"/>
        <v>0</v>
      </c>
    </row>
    <row r="50" spans="1:9" x14ac:dyDescent="0.25">
      <c r="A50" s="4" t="s">
        <v>7496</v>
      </c>
      <c r="B50" s="5">
        <v>45960</v>
      </c>
      <c r="C50" s="4" t="s">
        <v>214</v>
      </c>
      <c r="F50" s="38">
        <f ca="1">SUMIF('1) Import fichier Remi (coller)'!C:Y,A50,'1) Import fichier Remi (coller)'!R:R)</f>
        <v>0</v>
      </c>
      <c r="G50">
        <f ca="1">SUMIF('1) Import fichier Remi (coller)'!C:Y,A50,'1) Import fichier Remi (coller)'!T:T)</f>
        <v>0</v>
      </c>
      <c r="H50" s="39">
        <f t="shared" ca="1" si="0"/>
        <v>0</v>
      </c>
      <c r="I50" s="39">
        <f t="shared" ca="1" si="1"/>
        <v>0</v>
      </c>
    </row>
    <row r="51" spans="1:9" x14ac:dyDescent="0.25">
      <c r="A51" s="4" t="s">
        <v>7497</v>
      </c>
      <c r="B51" s="5">
        <v>45960</v>
      </c>
      <c r="C51" s="4" t="s">
        <v>130</v>
      </c>
      <c r="F51" s="38">
        <f ca="1">SUMIF('1) Import fichier Remi (coller)'!C:Y,A51,'1) Import fichier Remi (coller)'!R:R)</f>
        <v>0</v>
      </c>
      <c r="G51">
        <f ca="1">SUMIF('1) Import fichier Remi (coller)'!C:Y,A51,'1) Import fichier Remi (coller)'!T:T)</f>
        <v>0</v>
      </c>
      <c r="H51" s="39">
        <f t="shared" ref="H51:H114" ca="1" si="2">D51-F51</f>
        <v>0</v>
      </c>
      <c r="I51" s="39">
        <f t="shared" ref="I51:I114" ca="1" si="3">E51-G51</f>
        <v>0</v>
      </c>
    </row>
    <row r="52" spans="1:9" x14ac:dyDescent="0.25">
      <c r="A52" s="4" t="s">
        <v>7498</v>
      </c>
      <c r="B52" s="5">
        <v>45960</v>
      </c>
      <c r="C52" s="4" t="s">
        <v>27</v>
      </c>
      <c r="F52" s="38">
        <f ca="1">SUMIF('1) Import fichier Remi (coller)'!C:Y,A52,'1) Import fichier Remi (coller)'!R:R)</f>
        <v>0</v>
      </c>
      <c r="G52">
        <f ca="1">SUMIF('1) Import fichier Remi (coller)'!C:Y,A52,'1) Import fichier Remi (coller)'!T:T)</f>
        <v>0</v>
      </c>
      <c r="H52" s="39">
        <f t="shared" ca="1" si="2"/>
        <v>0</v>
      </c>
      <c r="I52" s="39">
        <f t="shared" ca="1" si="3"/>
        <v>0</v>
      </c>
    </row>
    <row r="53" spans="1:9" x14ac:dyDescent="0.25">
      <c r="A53" s="4" t="s">
        <v>7499</v>
      </c>
      <c r="B53" s="5">
        <v>45960</v>
      </c>
      <c r="C53" s="4" t="s">
        <v>367</v>
      </c>
      <c r="F53" s="38">
        <f ca="1">SUMIF('1) Import fichier Remi (coller)'!C:Y,A53,'1) Import fichier Remi (coller)'!R:R)</f>
        <v>0</v>
      </c>
      <c r="G53">
        <f ca="1">SUMIF('1) Import fichier Remi (coller)'!C:Y,A53,'1) Import fichier Remi (coller)'!T:T)</f>
        <v>0</v>
      </c>
      <c r="H53" s="39">
        <f t="shared" ca="1" si="2"/>
        <v>0</v>
      </c>
      <c r="I53" s="39">
        <f t="shared" ca="1" si="3"/>
        <v>0</v>
      </c>
    </row>
    <row r="54" spans="1:9" x14ac:dyDescent="0.25">
      <c r="A54" s="4" t="s">
        <v>7500</v>
      </c>
      <c r="B54" s="5">
        <v>45960</v>
      </c>
      <c r="C54" s="4" t="s">
        <v>132</v>
      </c>
      <c r="F54" s="38">
        <f ca="1">SUMIF('1) Import fichier Remi (coller)'!C:Y,A54,'1) Import fichier Remi (coller)'!R:R)</f>
        <v>0</v>
      </c>
      <c r="G54">
        <f ca="1">SUMIF('1) Import fichier Remi (coller)'!C:Y,A54,'1) Import fichier Remi (coller)'!T:T)</f>
        <v>0</v>
      </c>
      <c r="H54" s="39">
        <f t="shared" ca="1" si="2"/>
        <v>0</v>
      </c>
      <c r="I54" s="39">
        <f t="shared" ca="1" si="3"/>
        <v>0</v>
      </c>
    </row>
    <row r="55" spans="1:9" x14ac:dyDescent="0.25">
      <c r="A55" s="4" t="s">
        <v>7500</v>
      </c>
      <c r="B55" s="5">
        <v>45960</v>
      </c>
      <c r="C55" s="4" t="s">
        <v>132</v>
      </c>
      <c r="F55" s="38">
        <f ca="1">SUMIF('1) Import fichier Remi (coller)'!C:Y,A55,'1) Import fichier Remi (coller)'!R:R)</f>
        <v>0</v>
      </c>
      <c r="G55">
        <f ca="1">SUMIF('1) Import fichier Remi (coller)'!C:Y,A55,'1) Import fichier Remi (coller)'!T:T)</f>
        <v>0</v>
      </c>
      <c r="H55" s="39">
        <f t="shared" ca="1" si="2"/>
        <v>0</v>
      </c>
      <c r="I55" s="39">
        <f t="shared" ca="1" si="3"/>
        <v>0</v>
      </c>
    </row>
    <row r="56" spans="1:9" x14ac:dyDescent="0.25">
      <c r="A56" s="4" t="s">
        <v>7501</v>
      </c>
      <c r="B56" s="5">
        <v>45960</v>
      </c>
      <c r="C56" s="4" t="s">
        <v>34</v>
      </c>
      <c r="F56" s="38">
        <f ca="1">SUMIF('1) Import fichier Remi (coller)'!C:Y,A56,'1) Import fichier Remi (coller)'!R:R)</f>
        <v>0</v>
      </c>
      <c r="G56">
        <f ca="1">SUMIF('1) Import fichier Remi (coller)'!C:Y,A56,'1) Import fichier Remi (coller)'!T:T)</f>
        <v>0</v>
      </c>
      <c r="H56" s="39">
        <f t="shared" ca="1" si="2"/>
        <v>0</v>
      </c>
      <c r="I56" s="39">
        <f t="shared" ca="1" si="3"/>
        <v>0</v>
      </c>
    </row>
    <row r="57" spans="1:9" x14ac:dyDescent="0.25">
      <c r="A57" s="4" t="s">
        <v>7502</v>
      </c>
      <c r="B57" s="5">
        <v>45960</v>
      </c>
      <c r="C57" s="4" t="s">
        <v>77</v>
      </c>
      <c r="F57" s="38">
        <f ca="1">SUMIF('1) Import fichier Remi (coller)'!C:Y,A57,'1) Import fichier Remi (coller)'!R:R)</f>
        <v>0</v>
      </c>
      <c r="G57">
        <f ca="1">SUMIF('1) Import fichier Remi (coller)'!C:Y,A57,'1) Import fichier Remi (coller)'!T:T)</f>
        <v>0</v>
      </c>
      <c r="H57" s="39">
        <f t="shared" ca="1" si="2"/>
        <v>0</v>
      </c>
      <c r="I57" s="39">
        <f t="shared" ca="1" si="3"/>
        <v>0</v>
      </c>
    </row>
    <row r="58" spans="1:9" x14ac:dyDescent="0.25">
      <c r="A58" s="4" t="s">
        <v>7502</v>
      </c>
      <c r="B58" s="5">
        <v>45960</v>
      </c>
      <c r="C58" s="4" t="s">
        <v>77</v>
      </c>
      <c r="F58" s="38">
        <f ca="1">SUMIF('1) Import fichier Remi (coller)'!C:Y,A58,'1) Import fichier Remi (coller)'!R:R)</f>
        <v>0</v>
      </c>
      <c r="G58">
        <f ca="1">SUMIF('1) Import fichier Remi (coller)'!C:Y,A58,'1) Import fichier Remi (coller)'!T:T)</f>
        <v>0</v>
      </c>
      <c r="H58" s="39">
        <f t="shared" ca="1" si="2"/>
        <v>0</v>
      </c>
      <c r="I58" s="39">
        <f t="shared" ca="1" si="3"/>
        <v>0</v>
      </c>
    </row>
    <row r="59" spans="1:9" x14ac:dyDescent="0.25">
      <c r="A59" s="4" t="s">
        <v>7502</v>
      </c>
      <c r="B59" s="5">
        <v>45960</v>
      </c>
      <c r="C59" s="4" t="s">
        <v>77</v>
      </c>
      <c r="F59" s="38">
        <f ca="1">SUMIF('1) Import fichier Remi (coller)'!C:Y,A59,'1) Import fichier Remi (coller)'!R:R)</f>
        <v>0</v>
      </c>
      <c r="G59">
        <f ca="1">SUMIF('1) Import fichier Remi (coller)'!C:Y,A59,'1) Import fichier Remi (coller)'!T:T)</f>
        <v>0</v>
      </c>
      <c r="H59" s="39">
        <f t="shared" ca="1" si="2"/>
        <v>0</v>
      </c>
      <c r="I59" s="39">
        <f t="shared" ca="1" si="3"/>
        <v>0</v>
      </c>
    </row>
    <row r="60" spans="1:9" x14ac:dyDescent="0.25">
      <c r="A60" s="4" t="s">
        <v>7502</v>
      </c>
      <c r="B60" s="5">
        <v>45960</v>
      </c>
      <c r="C60" s="4" t="s">
        <v>77</v>
      </c>
      <c r="F60" s="38">
        <f ca="1">SUMIF('1) Import fichier Remi (coller)'!C:Y,A60,'1) Import fichier Remi (coller)'!R:R)</f>
        <v>0</v>
      </c>
      <c r="G60">
        <f ca="1">SUMIF('1) Import fichier Remi (coller)'!C:Y,A60,'1) Import fichier Remi (coller)'!T:T)</f>
        <v>0</v>
      </c>
      <c r="H60" s="39">
        <f t="shared" ca="1" si="2"/>
        <v>0</v>
      </c>
      <c r="I60" s="39">
        <f t="shared" ca="1" si="3"/>
        <v>0</v>
      </c>
    </row>
    <row r="61" spans="1:9" x14ac:dyDescent="0.25">
      <c r="A61" s="4" t="s">
        <v>7502</v>
      </c>
      <c r="B61" s="5">
        <v>45960</v>
      </c>
      <c r="C61" s="4" t="s">
        <v>77</v>
      </c>
      <c r="F61" s="38">
        <f ca="1">SUMIF('1) Import fichier Remi (coller)'!C:Y,A61,'1) Import fichier Remi (coller)'!R:R)</f>
        <v>0</v>
      </c>
      <c r="G61">
        <f ca="1">SUMIF('1) Import fichier Remi (coller)'!C:Y,A61,'1) Import fichier Remi (coller)'!T:T)</f>
        <v>0</v>
      </c>
      <c r="H61" s="39">
        <f t="shared" ca="1" si="2"/>
        <v>0</v>
      </c>
      <c r="I61" s="39">
        <f t="shared" ca="1" si="3"/>
        <v>0</v>
      </c>
    </row>
    <row r="62" spans="1:9" x14ac:dyDescent="0.25">
      <c r="A62" s="4" t="s">
        <v>7503</v>
      </c>
      <c r="B62" s="5">
        <v>45960</v>
      </c>
      <c r="C62" s="4" t="s">
        <v>223</v>
      </c>
      <c r="F62" s="38">
        <f ca="1">SUMIF('1) Import fichier Remi (coller)'!C:Y,A62,'1) Import fichier Remi (coller)'!R:R)</f>
        <v>0</v>
      </c>
      <c r="G62">
        <f ca="1">SUMIF('1) Import fichier Remi (coller)'!C:Y,A62,'1) Import fichier Remi (coller)'!T:T)</f>
        <v>0</v>
      </c>
      <c r="H62" s="39">
        <f t="shared" ca="1" si="2"/>
        <v>0</v>
      </c>
      <c r="I62" s="39">
        <f t="shared" ca="1" si="3"/>
        <v>0</v>
      </c>
    </row>
    <row r="63" spans="1:9" x14ac:dyDescent="0.25">
      <c r="A63" s="4" t="s">
        <v>7503</v>
      </c>
      <c r="B63" s="5">
        <v>45960</v>
      </c>
      <c r="C63" s="4" t="s">
        <v>223</v>
      </c>
      <c r="F63" s="38">
        <f ca="1">SUMIF('1) Import fichier Remi (coller)'!C:Y,A63,'1) Import fichier Remi (coller)'!R:R)</f>
        <v>0</v>
      </c>
      <c r="G63">
        <f ca="1">SUMIF('1) Import fichier Remi (coller)'!C:Y,A63,'1) Import fichier Remi (coller)'!T:T)</f>
        <v>0</v>
      </c>
      <c r="H63" s="39">
        <f t="shared" ca="1" si="2"/>
        <v>0</v>
      </c>
      <c r="I63" s="39">
        <f t="shared" ca="1" si="3"/>
        <v>0</v>
      </c>
    </row>
    <row r="64" spans="1:9" x14ac:dyDescent="0.25">
      <c r="A64" s="4" t="s">
        <v>7504</v>
      </c>
      <c r="B64" s="5">
        <v>45960</v>
      </c>
      <c r="C64" s="4" t="s">
        <v>223</v>
      </c>
      <c r="F64" s="38">
        <f ca="1">SUMIF('1) Import fichier Remi (coller)'!C:Y,A64,'1) Import fichier Remi (coller)'!R:R)</f>
        <v>0</v>
      </c>
      <c r="G64">
        <f ca="1">SUMIF('1) Import fichier Remi (coller)'!C:Y,A64,'1) Import fichier Remi (coller)'!T:T)</f>
        <v>0</v>
      </c>
      <c r="H64" s="39">
        <f t="shared" ca="1" si="2"/>
        <v>0</v>
      </c>
      <c r="I64" s="39">
        <f t="shared" ca="1" si="3"/>
        <v>0</v>
      </c>
    </row>
    <row r="65" spans="1:9" x14ac:dyDescent="0.25">
      <c r="A65" s="4" t="s">
        <v>7504</v>
      </c>
      <c r="B65" s="5">
        <v>45960</v>
      </c>
      <c r="C65" s="4" t="s">
        <v>223</v>
      </c>
      <c r="F65" s="38">
        <f ca="1">SUMIF('1) Import fichier Remi (coller)'!C:Y,A65,'1) Import fichier Remi (coller)'!R:R)</f>
        <v>0</v>
      </c>
      <c r="G65">
        <f ca="1">SUMIF('1) Import fichier Remi (coller)'!C:Y,A65,'1) Import fichier Remi (coller)'!T:T)</f>
        <v>0</v>
      </c>
      <c r="H65" s="39">
        <f t="shared" ca="1" si="2"/>
        <v>0</v>
      </c>
      <c r="I65" s="39">
        <f t="shared" ca="1" si="3"/>
        <v>0</v>
      </c>
    </row>
    <row r="66" spans="1:9" x14ac:dyDescent="0.25">
      <c r="A66" s="4" t="s">
        <v>7504</v>
      </c>
      <c r="B66" s="5">
        <v>45960</v>
      </c>
      <c r="C66" s="4" t="s">
        <v>223</v>
      </c>
      <c r="F66" s="38">
        <f ca="1">SUMIF('1) Import fichier Remi (coller)'!C:Y,A66,'1) Import fichier Remi (coller)'!R:R)</f>
        <v>0</v>
      </c>
      <c r="G66">
        <f ca="1">SUMIF('1) Import fichier Remi (coller)'!C:Y,A66,'1) Import fichier Remi (coller)'!T:T)</f>
        <v>0</v>
      </c>
      <c r="H66" s="39">
        <f t="shared" ca="1" si="2"/>
        <v>0</v>
      </c>
      <c r="I66" s="39">
        <f t="shared" ca="1" si="3"/>
        <v>0</v>
      </c>
    </row>
    <row r="67" spans="1:9" x14ac:dyDescent="0.25">
      <c r="A67" s="4" t="s">
        <v>7505</v>
      </c>
      <c r="B67" s="5">
        <v>45960</v>
      </c>
      <c r="C67" s="4" t="s">
        <v>177</v>
      </c>
      <c r="F67" s="38">
        <f ca="1">SUMIF('1) Import fichier Remi (coller)'!C:Y,A67,'1) Import fichier Remi (coller)'!R:R)</f>
        <v>0</v>
      </c>
      <c r="G67">
        <f ca="1">SUMIF('1) Import fichier Remi (coller)'!C:Y,A67,'1) Import fichier Remi (coller)'!T:T)</f>
        <v>0</v>
      </c>
      <c r="H67" s="39">
        <f t="shared" ca="1" si="2"/>
        <v>0</v>
      </c>
      <c r="I67" s="39">
        <f t="shared" ca="1" si="3"/>
        <v>0</v>
      </c>
    </row>
    <row r="68" spans="1:9" x14ac:dyDescent="0.25">
      <c r="A68" s="4" t="s">
        <v>7506</v>
      </c>
      <c r="B68" s="5">
        <v>45960</v>
      </c>
      <c r="C68" s="4" t="s">
        <v>244</v>
      </c>
      <c r="F68" s="38">
        <f ca="1">SUMIF('1) Import fichier Remi (coller)'!C:Y,A68,'1) Import fichier Remi (coller)'!R:R)</f>
        <v>0</v>
      </c>
      <c r="G68">
        <f ca="1">SUMIF('1) Import fichier Remi (coller)'!C:Y,A68,'1) Import fichier Remi (coller)'!T:T)</f>
        <v>0</v>
      </c>
      <c r="H68" s="39">
        <f t="shared" ca="1" si="2"/>
        <v>0</v>
      </c>
      <c r="I68" s="39">
        <f t="shared" ca="1" si="3"/>
        <v>0</v>
      </c>
    </row>
    <row r="69" spans="1:9" x14ac:dyDescent="0.25">
      <c r="A69" s="4" t="s">
        <v>7507</v>
      </c>
      <c r="B69" s="5">
        <v>45960</v>
      </c>
      <c r="C69" s="4" t="s">
        <v>290</v>
      </c>
      <c r="F69" s="38">
        <f ca="1">SUMIF('1) Import fichier Remi (coller)'!C:Y,A69,'1) Import fichier Remi (coller)'!R:R)</f>
        <v>0</v>
      </c>
      <c r="G69">
        <f ca="1">SUMIF('1) Import fichier Remi (coller)'!C:Y,A69,'1) Import fichier Remi (coller)'!T:T)</f>
        <v>0</v>
      </c>
      <c r="H69" s="39">
        <f t="shared" ca="1" si="2"/>
        <v>0</v>
      </c>
      <c r="I69" s="39">
        <f t="shared" ca="1" si="3"/>
        <v>0</v>
      </c>
    </row>
    <row r="70" spans="1:9" x14ac:dyDescent="0.25">
      <c r="A70" s="4" t="s">
        <v>7508</v>
      </c>
      <c r="B70" s="5">
        <v>45960</v>
      </c>
      <c r="C70" s="4" t="s">
        <v>137</v>
      </c>
      <c r="F70" s="38">
        <f ca="1">SUMIF('1) Import fichier Remi (coller)'!C:Y,A70,'1) Import fichier Remi (coller)'!R:R)</f>
        <v>0</v>
      </c>
      <c r="G70">
        <f ca="1">SUMIF('1) Import fichier Remi (coller)'!C:Y,A70,'1) Import fichier Remi (coller)'!T:T)</f>
        <v>0</v>
      </c>
      <c r="H70" s="39">
        <f t="shared" ca="1" si="2"/>
        <v>0</v>
      </c>
      <c r="I70" s="39">
        <f t="shared" ca="1" si="3"/>
        <v>0</v>
      </c>
    </row>
    <row r="71" spans="1:9" x14ac:dyDescent="0.25">
      <c r="A71" s="4" t="s">
        <v>7508</v>
      </c>
      <c r="B71" s="5">
        <v>45960</v>
      </c>
      <c r="C71" s="4" t="s">
        <v>137</v>
      </c>
      <c r="F71" s="38">
        <f ca="1">SUMIF('1) Import fichier Remi (coller)'!C:Y,A71,'1) Import fichier Remi (coller)'!R:R)</f>
        <v>0</v>
      </c>
      <c r="G71">
        <f ca="1">SUMIF('1) Import fichier Remi (coller)'!C:Y,A71,'1) Import fichier Remi (coller)'!T:T)</f>
        <v>0</v>
      </c>
      <c r="H71" s="39">
        <f t="shared" ca="1" si="2"/>
        <v>0</v>
      </c>
      <c r="I71" s="39">
        <f t="shared" ca="1" si="3"/>
        <v>0</v>
      </c>
    </row>
    <row r="72" spans="1:9" x14ac:dyDescent="0.25">
      <c r="A72" s="4" t="s">
        <v>7509</v>
      </c>
      <c r="B72" s="5">
        <v>45960</v>
      </c>
      <c r="C72" s="4" t="s">
        <v>138</v>
      </c>
      <c r="F72" s="38">
        <f ca="1">SUMIF('1) Import fichier Remi (coller)'!C:Y,A72,'1) Import fichier Remi (coller)'!R:R)</f>
        <v>0</v>
      </c>
      <c r="G72">
        <f ca="1">SUMIF('1) Import fichier Remi (coller)'!C:Y,A72,'1) Import fichier Remi (coller)'!T:T)</f>
        <v>0</v>
      </c>
      <c r="H72" s="39">
        <f t="shared" ca="1" si="2"/>
        <v>0</v>
      </c>
      <c r="I72" s="39">
        <f t="shared" ca="1" si="3"/>
        <v>0</v>
      </c>
    </row>
    <row r="73" spans="1:9" x14ac:dyDescent="0.25">
      <c r="A73" s="4" t="s">
        <v>7510</v>
      </c>
      <c r="B73" s="5">
        <v>45960</v>
      </c>
      <c r="C73" s="4" t="s">
        <v>6939</v>
      </c>
      <c r="F73" s="38">
        <f ca="1">SUMIF('1) Import fichier Remi (coller)'!C:Y,A73,'1) Import fichier Remi (coller)'!R:R)</f>
        <v>0</v>
      </c>
      <c r="G73">
        <f ca="1">SUMIF('1) Import fichier Remi (coller)'!C:Y,A73,'1) Import fichier Remi (coller)'!T:T)</f>
        <v>0</v>
      </c>
      <c r="H73" s="39">
        <f t="shared" ca="1" si="2"/>
        <v>0</v>
      </c>
      <c r="I73" s="39">
        <f t="shared" ca="1" si="3"/>
        <v>0</v>
      </c>
    </row>
    <row r="74" spans="1:9" x14ac:dyDescent="0.25">
      <c r="A74" s="4" t="s">
        <v>7511</v>
      </c>
      <c r="B74" s="5">
        <v>45960</v>
      </c>
      <c r="C74" s="4" t="s">
        <v>91</v>
      </c>
      <c r="F74" s="38">
        <f ca="1">SUMIF('1) Import fichier Remi (coller)'!C:Y,A74,'1) Import fichier Remi (coller)'!R:R)</f>
        <v>0</v>
      </c>
      <c r="G74">
        <f ca="1">SUMIF('1) Import fichier Remi (coller)'!C:Y,A74,'1) Import fichier Remi (coller)'!T:T)</f>
        <v>0</v>
      </c>
      <c r="H74" s="39">
        <f t="shared" ca="1" si="2"/>
        <v>0</v>
      </c>
      <c r="I74" s="39">
        <f t="shared" ca="1" si="3"/>
        <v>0</v>
      </c>
    </row>
    <row r="75" spans="1:9" x14ac:dyDescent="0.25">
      <c r="A75" s="4" t="s">
        <v>7511</v>
      </c>
      <c r="B75" s="5">
        <v>45960</v>
      </c>
      <c r="C75" s="4" t="s">
        <v>91</v>
      </c>
      <c r="F75" s="38">
        <f ca="1">SUMIF('1) Import fichier Remi (coller)'!C:Y,A75,'1) Import fichier Remi (coller)'!R:R)</f>
        <v>0</v>
      </c>
      <c r="G75">
        <f ca="1">SUMIF('1) Import fichier Remi (coller)'!C:Y,A75,'1) Import fichier Remi (coller)'!T:T)</f>
        <v>0</v>
      </c>
      <c r="H75" s="39">
        <f t="shared" ca="1" si="2"/>
        <v>0</v>
      </c>
      <c r="I75" s="39">
        <f t="shared" ca="1" si="3"/>
        <v>0</v>
      </c>
    </row>
    <row r="76" spans="1:9" x14ac:dyDescent="0.25">
      <c r="A76" s="4" t="s">
        <v>7512</v>
      </c>
      <c r="B76" s="5">
        <v>45960</v>
      </c>
      <c r="C76" s="4" t="s">
        <v>92</v>
      </c>
      <c r="F76" s="38">
        <f ca="1">SUMIF('1) Import fichier Remi (coller)'!C:Y,A76,'1) Import fichier Remi (coller)'!R:R)</f>
        <v>0</v>
      </c>
      <c r="G76">
        <f ca="1">SUMIF('1) Import fichier Remi (coller)'!C:Y,A76,'1) Import fichier Remi (coller)'!T:T)</f>
        <v>0</v>
      </c>
      <c r="H76" s="39">
        <f t="shared" ca="1" si="2"/>
        <v>0</v>
      </c>
      <c r="I76" s="39">
        <f t="shared" ca="1" si="3"/>
        <v>0</v>
      </c>
    </row>
    <row r="77" spans="1:9" x14ac:dyDescent="0.25">
      <c r="A77" s="4" t="s">
        <v>7513</v>
      </c>
      <c r="B77" s="5">
        <v>45960</v>
      </c>
      <c r="C77" s="4" t="s">
        <v>96</v>
      </c>
      <c r="F77" s="38">
        <f ca="1">SUMIF('1) Import fichier Remi (coller)'!C:Y,A77,'1) Import fichier Remi (coller)'!R:R)</f>
        <v>0</v>
      </c>
      <c r="G77">
        <f ca="1">SUMIF('1) Import fichier Remi (coller)'!C:Y,A77,'1) Import fichier Remi (coller)'!T:T)</f>
        <v>0</v>
      </c>
      <c r="H77" s="39">
        <f t="shared" ca="1" si="2"/>
        <v>0</v>
      </c>
      <c r="I77" s="39">
        <f t="shared" ca="1" si="3"/>
        <v>0</v>
      </c>
    </row>
    <row r="78" spans="1:9" x14ac:dyDescent="0.25">
      <c r="A78" s="4" t="s">
        <v>7513</v>
      </c>
      <c r="B78" s="5">
        <v>45960</v>
      </c>
      <c r="C78" s="4" t="s">
        <v>96</v>
      </c>
      <c r="F78" s="38">
        <f ca="1">SUMIF('1) Import fichier Remi (coller)'!C:Y,A78,'1) Import fichier Remi (coller)'!R:R)</f>
        <v>0</v>
      </c>
      <c r="G78">
        <f ca="1">SUMIF('1) Import fichier Remi (coller)'!C:Y,A78,'1) Import fichier Remi (coller)'!T:T)</f>
        <v>0</v>
      </c>
      <c r="H78" s="39">
        <f t="shared" ca="1" si="2"/>
        <v>0</v>
      </c>
      <c r="I78" s="39">
        <f t="shared" ca="1" si="3"/>
        <v>0</v>
      </c>
    </row>
    <row r="79" spans="1:9" x14ac:dyDescent="0.25">
      <c r="A79" s="4" t="s">
        <v>7513</v>
      </c>
      <c r="B79" s="5">
        <v>45960</v>
      </c>
      <c r="C79" s="4" t="s">
        <v>96</v>
      </c>
      <c r="F79" s="38">
        <f ca="1">SUMIF('1) Import fichier Remi (coller)'!C:Y,A79,'1) Import fichier Remi (coller)'!R:R)</f>
        <v>0</v>
      </c>
      <c r="G79">
        <f ca="1">SUMIF('1) Import fichier Remi (coller)'!C:Y,A79,'1) Import fichier Remi (coller)'!T:T)</f>
        <v>0</v>
      </c>
      <c r="H79" s="39">
        <f t="shared" ca="1" si="2"/>
        <v>0</v>
      </c>
      <c r="I79" s="39">
        <f t="shared" ca="1" si="3"/>
        <v>0</v>
      </c>
    </row>
    <row r="80" spans="1:9" x14ac:dyDescent="0.25">
      <c r="A80" s="4" t="s">
        <v>7514</v>
      </c>
      <c r="B80" s="5">
        <v>45960</v>
      </c>
      <c r="C80" s="4" t="s">
        <v>97</v>
      </c>
      <c r="F80" s="38">
        <f ca="1">SUMIF('1) Import fichier Remi (coller)'!C:Y,A80,'1) Import fichier Remi (coller)'!R:R)</f>
        <v>0</v>
      </c>
      <c r="G80">
        <f ca="1">SUMIF('1) Import fichier Remi (coller)'!C:Y,A80,'1) Import fichier Remi (coller)'!T:T)</f>
        <v>0</v>
      </c>
      <c r="H80" s="39">
        <f t="shared" ca="1" si="2"/>
        <v>0</v>
      </c>
      <c r="I80" s="39">
        <f t="shared" ca="1" si="3"/>
        <v>0</v>
      </c>
    </row>
    <row r="81" spans="1:9" x14ac:dyDescent="0.25">
      <c r="A81" s="4" t="s">
        <v>7514</v>
      </c>
      <c r="B81" s="5">
        <v>45960</v>
      </c>
      <c r="C81" s="4" t="s">
        <v>97</v>
      </c>
      <c r="F81" s="38">
        <f ca="1">SUMIF('1) Import fichier Remi (coller)'!C:Y,A81,'1) Import fichier Remi (coller)'!R:R)</f>
        <v>0</v>
      </c>
      <c r="G81">
        <f ca="1">SUMIF('1) Import fichier Remi (coller)'!C:Y,A81,'1) Import fichier Remi (coller)'!T:T)</f>
        <v>0</v>
      </c>
      <c r="H81" s="39">
        <f t="shared" ca="1" si="2"/>
        <v>0</v>
      </c>
      <c r="I81" s="39">
        <f t="shared" ca="1" si="3"/>
        <v>0</v>
      </c>
    </row>
    <row r="82" spans="1:9" x14ac:dyDescent="0.25">
      <c r="A82" s="4" t="s">
        <v>7514</v>
      </c>
      <c r="B82" s="5">
        <v>45960</v>
      </c>
      <c r="C82" s="4" t="s">
        <v>97</v>
      </c>
      <c r="F82" s="38">
        <f ca="1">SUMIF('1) Import fichier Remi (coller)'!C:Y,A82,'1) Import fichier Remi (coller)'!R:R)</f>
        <v>0</v>
      </c>
      <c r="G82">
        <f ca="1">SUMIF('1) Import fichier Remi (coller)'!C:Y,A82,'1) Import fichier Remi (coller)'!T:T)</f>
        <v>0</v>
      </c>
      <c r="H82" s="39">
        <f t="shared" ca="1" si="2"/>
        <v>0</v>
      </c>
      <c r="I82" s="39">
        <f t="shared" ca="1" si="3"/>
        <v>0</v>
      </c>
    </row>
    <row r="83" spans="1:9" x14ac:dyDescent="0.25">
      <c r="A83" s="4" t="s">
        <v>7514</v>
      </c>
      <c r="B83" s="5">
        <v>45960</v>
      </c>
      <c r="C83" s="4" t="s">
        <v>97</v>
      </c>
      <c r="F83" s="38">
        <f ca="1">SUMIF('1) Import fichier Remi (coller)'!C:Y,A83,'1) Import fichier Remi (coller)'!R:R)</f>
        <v>0</v>
      </c>
      <c r="G83">
        <f ca="1">SUMIF('1) Import fichier Remi (coller)'!C:Y,A83,'1) Import fichier Remi (coller)'!T:T)</f>
        <v>0</v>
      </c>
      <c r="H83" s="39">
        <f t="shared" ca="1" si="2"/>
        <v>0</v>
      </c>
      <c r="I83" s="39">
        <f t="shared" ca="1" si="3"/>
        <v>0</v>
      </c>
    </row>
    <row r="84" spans="1:9" x14ac:dyDescent="0.25">
      <c r="A84" s="4" t="s">
        <v>7514</v>
      </c>
      <c r="B84" s="5">
        <v>45960</v>
      </c>
      <c r="C84" s="4" t="s">
        <v>97</v>
      </c>
      <c r="F84" s="38">
        <f ca="1">SUMIF('1) Import fichier Remi (coller)'!C:Y,A84,'1) Import fichier Remi (coller)'!R:R)</f>
        <v>0</v>
      </c>
      <c r="G84">
        <f ca="1">SUMIF('1) Import fichier Remi (coller)'!C:Y,A84,'1) Import fichier Remi (coller)'!T:T)</f>
        <v>0</v>
      </c>
      <c r="H84" s="39">
        <f t="shared" ca="1" si="2"/>
        <v>0</v>
      </c>
      <c r="I84" s="39">
        <f t="shared" ca="1" si="3"/>
        <v>0</v>
      </c>
    </row>
    <row r="85" spans="1:9" x14ac:dyDescent="0.25">
      <c r="A85" s="4" t="s">
        <v>7515</v>
      </c>
      <c r="B85" s="5">
        <v>45960</v>
      </c>
      <c r="C85" s="4" t="s">
        <v>98</v>
      </c>
      <c r="F85" s="38">
        <f ca="1">SUMIF('1) Import fichier Remi (coller)'!C:Y,A85,'1) Import fichier Remi (coller)'!R:R)</f>
        <v>0</v>
      </c>
      <c r="G85">
        <f ca="1">SUMIF('1) Import fichier Remi (coller)'!C:Y,A85,'1) Import fichier Remi (coller)'!T:T)</f>
        <v>0</v>
      </c>
      <c r="H85" s="39">
        <f t="shared" ca="1" si="2"/>
        <v>0</v>
      </c>
      <c r="I85" s="39">
        <f t="shared" ca="1" si="3"/>
        <v>0</v>
      </c>
    </row>
    <row r="86" spans="1:9" x14ac:dyDescent="0.25">
      <c r="A86" s="4" t="s">
        <v>7515</v>
      </c>
      <c r="B86" s="5">
        <v>45960</v>
      </c>
      <c r="C86" s="4" t="s">
        <v>98</v>
      </c>
      <c r="F86" s="38">
        <f ca="1">SUMIF('1) Import fichier Remi (coller)'!C:Y,A86,'1) Import fichier Remi (coller)'!R:R)</f>
        <v>0</v>
      </c>
      <c r="G86">
        <f ca="1">SUMIF('1) Import fichier Remi (coller)'!C:Y,A86,'1) Import fichier Remi (coller)'!T:T)</f>
        <v>0</v>
      </c>
      <c r="H86" s="39">
        <f t="shared" ca="1" si="2"/>
        <v>0</v>
      </c>
      <c r="I86" s="39">
        <f t="shared" ca="1" si="3"/>
        <v>0</v>
      </c>
    </row>
    <row r="87" spans="1:9" x14ac:dyDescent="0.25">
      <c r="A87" s="4" t="s">
        <v>7515</v>
      </c>
      <c r="B87" s="5">
        <v>45960</v>
      </c>
      <c r="C87" s="4" t="s">
        <v>98</v>
      </c>
      <c r="F87" s="38">
        <f ca="1">SUMIF('1) Import fichier Remi (coller)'!C:Y,A87,'1) Import fichier Remi (coller)'!R:R)</f>
        <v>0</v>
      </c>
      <c r="G87">
        <f ca="1">SUMIF('1) Import fichier Remi (coller)'!C:Y,A87,'1) Import fichier Remi (coller)'!T:T)</f>
        <v>0</v>
      </c>
      <c r="H87" s="39">
        <f t="shared" ca="1" si="2"/>
        <v>0</v>
      </c>
      <c r="I87" s="39">
        <f t="shared" ca="1" si="3"/>
        <v>0</v>
      </c>
    </row>
    <row r="88" spans="1:9" x14ac:dyDescent="0.25">
      <c r="A88" s="4" t="s">
        <v>7515</v>
      </c>
      <c r="B88" s="5">
        <v>45960</v>
      </c>
      <c r="C88" s="4" t="s">
        <v>98</v>
      </c>
      <c r="F88" s="38">
        <f ca="1">SUMIF('1) Import fichier Remi (coller)'!C:Y,A88,'1) Import fichier Remi (coller)'!R:R)</f>
        <v>0</v>
      </c>
      <c r="G88">
        <f ca="1">SUMIF('1) Import fichier Remi (coller)'!C:Y,A88,'1) Import fichier Remi (coller)'!T:T)</f>
        <v>0</v>
      </c>
      <c r="H88" s="39">
        <f t="shared" ca="1" si="2"/>
        <v>0</v>
      </c>
      <c r="I88" s="39">
        <f t="shared" ca="1" si="3"/>
        <v>0</v>
      </c>
    </row>
    <row r="89" spans="1:9" x14ac:dyDescent="0.25">
      <c r="A89" s="4" t="s">
        <v>7516</v>
      </c>
      <c r="B89" s="5">
        <v>45960</v>
      </c>
      <c r="C89" s="4" t="s">
        <v>100</v>
      </c>
      <c r="F89" s="38">
        <f ca="1">SUMIF('1) Import fichier Remi (coller)'!C:Y,A89,'1) Import fichier Remi (coller)'!R:R)</f>
        <v>0</v>
      </c>
      <c r="G89">
        <f ca="1">SUMIF('1) Import fichier Remi (coller)'!C:Y,A89,'1) Import fichier Remi (coller)'!T:T)</f>
        <v>0</v>
      </c>
      <c r="H89" s="39">
        <f t="shared" ca="1" si="2"/>
        <v>0</v>
      </c>
      <c r="I89" s="39">
        <f t="shared" ca="1" si="3"/>
        <v>0</v>
      </c>
    </row>
    <row r="90" spans="1:9" x14ac:dyDescent="0.25">
      <c r="A90" s="4" t="s">
        <v>7517</v>
      </c>
      <c r="B90" s="5">
        <v>45960</v>
      </c>
      <c r="C90" s="4" t="s">
        <v>108</v>
      </c>
      <c r="F90" s="38">
        <f ca="1">SUMIF('1) Import fichier Remi (coller)'!C:Y,A90,'1) Import fichier Remi (coller)'!R:R)</f>
        <v>0</v>
      </c>
      <c r="G90">
        <f ca="1">SUMIF('1) Import fichier Remi (coller)'!C:Y,A90,'1) Import fichier Remi (coller)'!T:T)</f>
        <v>0</v>
      </c>
      <c r="H90" s="39">
        <f t="shared" ca="1" si="2"/>
        <v>0</v>
      </c>
      <c r="I90" s="39">
        <f t="shared" ca="1" si="3"/>
        <v>0</v>
      </c>
    </row>
    <row r="91" spans="1:9" x14ac:dyDescent="0.25">
      <c r="A91" s="4" t="s">
        <v>7517</v>
      </c>
      <c r="B91" s="5">
        <v>45960</v>
      </c>
      <c r="C91" s="4" t="s">
        <v>108</v>
      </c>
      <c r="F91" s="38">
        <f ca="1">SUMIF('1) Import fichier Remi (coller)'!C:Y,A91,'1) Import fichier Remi (coller)'!R:R)</f>
        <v>0</v>
      </c>
      <c r="G91">
        <f ca="1">SUMIF('1) Import fichier Remi (coller)'!C:Y,A91,'1) Import fichier Remi (coller)'!T:T)</f>
        <v>0</v>
      </c>
      <c r="H91" s="39">
        <f t="shared" ca="1" si="2"/>
        <v>0</v>
      </c>
      <c r="I91" s="39">
        <f t="shared" ca="1" si="3"/>
        <v>0</v>
      </c>
    </row>
    <row r="92" spans="1:9" x14ac:dyDescent="0.25">
      <c r="A92" s="4" t="s">
        <v>7517</v>
      </c>
      <c r="B92" s="5">
        <v>45960</v>
      </c>
      <c r="C92" s="4" t="s">
        <v>108</v>
      </c>
      <c r="F92" s="38">
        <f ca="1">SUMIF('1) Import fichier Remi (coller)'!C:Y,A92,'1) Import fichier Remi (coller)'!R:R)</f>
        <v>0</v>
      </c>
      <c r="G92">
        <f ca="1">SUMIF('1) Import fichier Remi (coller)'!C:Y,A92,'1) Import fichier Remi (coller)'!T:T)</f>
        <v>0</v>
      </c>
      <c r="H92" s="39">
        <f t="shared" ca="1" si="2"/>
        <v>0</v>
      </c>
      <c r="I92" s="39">
        <f t="shared" ca="1" si="3"/>
        <v>0</v>
      </c>
    </row>
    <row r="93" spans="1:9" x14ac:dyDescent="0.25">
      <c r="A93" s="4" t="s">
        <v>7518</v>
      </c>
      <c r="B93" s="5">
        <v>45960</v>
      </c>
      <c r="C93" s="4" t="s">
        <v>296</v>
      </c>
      <c r="F93" s="38">
        <f ca="1">SUMIF('1) Import fichier Remi (coller)'!C:Y,A93,'1) Import fichier Remi (coller)'!R:R)</f>
        <v>0</v>
      </c>
      <c r="G93">
        <f ca="1">SUMIF('1) Import fichier Remi (coller)'!C:Y,A93,'1) Import fichier Remi (coller)'!T:T)</f>
        <v>0</v>
      </c>
      <c r="H93" s="39">
        <f t="shared" ca="1" si="2"/>
        <v>0</v>
      </c>
      <c r="I93" s="39">
        <f t="shared" ca="1" si="3"/>
        <v>0</v>
      </c>
    </row>
    <row r="94" spans="1:9" x14ac:dyDescent="0.25">
      <c r="A94" s="4" t="s">
        <v>7519</v>
      </c>
      <c r="B94" s="5">
        <v>45960</v>
      </c>
      <c r="C94" s="4" t="s">
        <v>246</v>
      </c>
      <c r="F94" s="38">
        <f ca="1">SUMIF('1) Import fichier Remi (coller)'!C:Y,A94,'1) Import fichier Remi (coller)'!R:R)</f>
        <v>0</v>
      </c>
      <c r="G94">
        <f ca="1">SUMIF('1) Import fichier Remi (coller)'!C:Y,A94,'1) Import fichier Remi (coller)'!T:T)</f>
        <v>0</v>
      </c>
      <c r="H94" s="39">
        <f t="shared" ca="1" si="2"/>
        <v>0</v>
      </c>
      <c r="I94" s="39">
        <f t="shared" ca="1" si="3"/>
        <v>0</v>
      </c>
    </row>
    <row r="95" spans="1:9" x14ac:dyDescent="0.25">
      <c r="A95" s="4" t="s">
        <v>7519</v>
      </c>
      <c r="B95" s="5">
        <v>45960</v>
      </c>
      <c r="C95" s="4" t="s">
        <v>246</v>
      </c>
      <c r="F95" s="38">
        <f ca="1">SUMIF('1) Import fichier Remi (coller)'!C:Y,A95,'1) Import fichier Remi (coller)'!R:R)</f>
        <v>0</v>
      </c>
      <c r="G95">
        <f ca="1">SUMIF('1) Import fichier Remi (coller)'!C:Y,A95,'1) Import fichier Remi (coller)'!T:T)</f>
        <v>0</v>
      </c>
      <c r="H95" s="39">
        <f t="shared" ca="1" si="2"/>
        <v>0</v>
      </c>
      <c r="I95" s="39">
        <f t="shared" ca="1" si="3"/>
        <v>0</v>
      </c>
    </row>
    <row r="96" spans="1:9" x14ac:dyDescent="0.25">
      <c r="A96" s="4" t="s">
        <v>7519</v>
      </c>
      <c r="B96" s="5">
        <v>45960</v>
      </c>
      <c r="C96" s="4" t="s">
        <v>246</v>
      </c>
      <c r="F96" s="38">
        <f ca="1">SUMIF('1) Import fichier Remi (coller)'!C:Y,A96,'1) Import fichier Remi (coller)'!R:R)</f>
        <v>0</v>
      </c>
      <c r="G96">
        <f ca="1">SUMIF('1) Import fichier Remi (coller)'!C:Y,A96,'1) Import fichier Remi (coller)'!T:T)</f>
        <v>0</v>
      </c>
      <c r="H96" s="39">
        <f t="shared" ca="1" si="2"/>
        <v>0</v>
      </c>
      <c r="I96" s="39">
        <f t="shared" ca="1" si="3"/>
        <v>0</v>
      </c>
    </row>
    <row r="97" spans="1:9" x14ac:dyDescent="0.25">
      <c r="A97" s="4" t="s">
        <v>7519</v>
      </c>
      <c r="B97" s="5">
        <v>45960</v>
      </c>
      <c r="C97" s="4" t="s">
        <v>246</v>
      </c>
      <c r="F97" s="38">
        <f ca="1">SUMIF('1) Import fichier Remi (coller)'!C:Y,A97,'1) Import fichier Remi (coller)'!R:R)</f>
        <v>0</v>
      </c>
      <c r="G97">
        <f ca="1">SUMIF('1) Import fichier Remi (coller)'!C:Y,A97,'1) Import fichier Remi (coller)'!T:T)</f>
        <v>0</v>
      </c>
      <c r="H97" s="39">
        <f t="shared" ca="1" si="2"/>
        <v>0</v>
      </c>
      <c r="I97" s="39">
        <f t="shared" ca="1" si="3"/>
        <v>0</v>
      </c>
    </row>
    <row r="98" spans="1:9" x14ac:dyDescent="0.25">
      <c r="A98" s="4" t="s">
        <v>7520</v>
      </c>
      <c r="B98" s="5">
        <v>45960</v>
      </c>
      <c r="C98" s="4" t="s">
        <v>117</v>
      </c>
      <c r="F98" s="38">
        <f ca="1">SUMIF('1) Import fichier Remi (coller)'!C:Y,A98,'1) Import fichier Remi (coller)'!R:R)</f>
        <v>0</v>
      </c>
      <c r="G98">
        <f ca="1">SUMIF('1) Import fichier Remi (coller)'!C:Y,A98,'1) Import fichier Remi (coller)'!T:T)</f>
        <v>0</v>
      </c>
      <c r="H98" s="39">
        <f t="shared" ca="1" si="2"/>
        <v>0</v>
      </c>
      <c r="I98" s="39">
        <f t="shared" ca="1" si="3"/>
        <v>0</v>
      </c>
    </row>
    <row r="99" spans="1:9" x14ac:dyDescent="0.25">
      <c r="A99" s="4" t="s">
        <v>7520</v>
      </c>
      <c r="B99" s="5">
        <v>45960</v>
      </c>
      <c r="C99" s="4" t="s">
        <v>117</v>
      </c>
      <c r="F99" s="38">
        <f ca="1">SUMIF('1) Import fichier Remi (coller)'!C:Y,A99,'1) Import fichier Remi (coller)'!R:R)</f>
        <v>0</v>
      </c>
      <c r="G99">
        <f ca="1">SUMIF('1) Import fichier Remi (coller)'!C:Y,A99,'1) Import fichier Remi (coller)'!T:T)</f>
        <v>0</v>
      </c>
      <c r="H99" s="39">
        <f t="shared" ca="1" si="2"/>
        <v>0</v>
      </c>
      <c r="I99" s="39">
        <f t="shared" ca="1" si="3"/>
        <v>0</v>
      </c>
    </row>
    <row r="100" spans="1:9" x14ac:dyDescent="0.25">
      <c r="A100" s="4" t="s">
        <v>7521</v>
      </c>
      <c r="B100" s="5">
        <v>45960</v>
      </c>
      <c r="C100" s="4" t="s">
        <v>116</v>
      </c>
      <c r="F100" s="38">
        <f ca="1">SUMIF('1) Import fichier Remi (coller)'!C:Y,A100,'1) Import fichier Remi (coller)'!R:R)</f>
        <v>0</v>
      </c>
      <c r="G100">
        <f ca="1">SUMIF('1) Import fichier Remi (coller)'!C:Y,A100,'1) Import fichier Remi (coller)'!T:T)</f>
        <v>0</v>
      </c>
      <c r="H100" s="39">
        <f t="shared" ca="1" si="2"/>
        <v>0</v>
      </c>
      <c r="I100" s="39">
        <f t="shared" ca="1" si="3"/>
        <v>0</v>
      </c>
    </row>
    <row r="101" spans="1:9" x14ac:dyDescent="0.25">
      <c r="A101" s="4" t="s">
        <v>7521</v>
      </c>
      <c r="B101" s="5">
        <v>45960</v>
      </c>
      <c r="C101" s="4" t="s">
        <v>116</v>
      </c>
      <c r="F101" s="38">
        <f ca="1">SUMIF('1) Import fichier Remi (coller)'!C:Y,A101,'1) Import fichier Remi (coller)'!R:R)</f>
        <v>0</v>
      </c>
      <c r="G101">
        <f ca="1">SUMIF('1) Import fichier Remi (coller)'!C:Y,A101,'1) Import fichier Remi (coller)'!T:T)</f>
        <v>0</v>
      </c>
      <c r="H101" s="39">
        <f t="shared" ca="1" si="2"/>
        <v>0</v>
      </c>
      <c r="I101" s="39">
        <f t="shared" ca="1" si="3"/>
        <v>0</v>
      </c>
    </row>
    <row r="102" spans="1:9" x14ac:dyDescent="0.25">
      <c r="A102" s="4" t="s">
        <v>7522</v>
      </c>
      <c r="B102" s="5">
        <v>45960</v>
      </c>
      <c r="C102" s="4" t="s">
        <v>216</v>
      </c>
      <c r="F102" s="38">
        <f ca="1">SUMIF('1) Import fichier Remi (coller)'!C:Y,A102,'1) Import fichier Remi (coller)'!R:R)</f>
        <v>0</v>
      </c>
      <c r="G102">
        <f ca="1">SUMIF('1) Import fichier Remi (coller)'!C:Y,A102,'1) Import fichier Remi (coller)'!T:T)</f>
        <v>0</v>
      </c>
      <c r="H102" s="39">
        <f t="shared" ca="1" si="2"/>
        <v>0</v>
      </c>
      <c r="I102" s="39">
        <f t="shared" ca="1" si="3"/>
        <v>0</v>
      </c>
    </row>
    <row r="103" spans="1:9" x14ac:dyDescent="0.25">
      <c r="A103" s="4" t="s">
        <v>7523</v>
      </c>
      <c r="B103" s="5">
        <v>45960</v>
      </c>
      <c r="C103" s="4" t="s">
        <v>216</v>
      </c>
      <c r="F103" s="38">
        <f ca="1">SUMIF('1) Import fichier Remi (coller)'!C:Y,A103,'1) Import fichier Remi (coller)'!R:R)</f>
        <v>0</v>
      </c>
      <c r="G103">
        <f ca="1">SUMIF('1) Import fichier Remi (coller)'!C:Y,A103,'1) Import fichier Remi (coller)'!T:T)</f>
        <v>0</v>
      </c>
      <c r="H103" s="39">
        <f t="shared" ca="1" si="2"/>
        <v>0</v>
      </c>
      <c r="I103" s="39">
        <f t="shared" ca="1" si="3"/>
        <v>0</v>
      </c>
    </row>
    <row r="104" spans="1:9" x14ac:dyDescent="0.25">
      <c r="A104" s="4" t="s">
        <v>7523</v>
      </c>
      <c r="B104" s="5">
        <v>45960</v>
      </c>
      <c r="C104" s="4" t="s">
        <v>216</v>
      </c>
      <c r="F104" s="38">
        <f ca="1">SUMIF('1) Import fichier Remi (coller)'!C:Y,A104,'1) Import fichier Remi (coller)'!R:R)</f>
        <v>0</v>
      </c>
      <c r="G104">
        <f ca="1">SUMIF('1) Import fichier Remi (coller)'!C:Y,A104,'1) Import fichier Remi (coller)'!T:T)</f>
        <v>0</v>
      </c>
      <c r="H104" s="39">
        <f t="shared" ca="1" si="2"/>
        <v>0</v>
      </c>
      <c r="I104" s="39">
        <f t="shared" ca="1" si="3"/>
        <v>0</v>
      </c>
    </row>
    <row r="105" spans="1:9" x14ac:dyDescent="0.25">
      <c r="A105" s="4" t="s">
        <v>7523</v>
      </c>
      <c r="B105" s="5">
        <v>45960</v>
      </c>
      <c r="C105" s="4" t="s">
        <v>216</v>
      </c>
      <c r="F105" s="38">
        <f ca="1">SUMIF('1) Import fichier Remi (coller)'!C:Y,A105,'1) Import fichier Remi (coller)'!R:R)</f>
        <v>0</v>
      </c>
      <c r="G105">
        <f ca="1">SUMIF('1) Import fichier Remi (coller)'!C:Y,A105,'1) Import fichier Remi (coller)'!T:T)</f>
        <v>0</v>
      </c>
      <c r="H105" s="39">
        <f t="shared" ca="1" si="2"/>
        <v>0</v>
      </c>
      <c r="I105" s="39">
        <f t="shared" ca="1" si="3"/>
        <v>0</v>
      </c>
    </row>
    <row r="106" spans="1:9" x14ac:dyDescent="0.25">
      <c r="A106" s="4" t="s">
        <v>7523</v>
      </c>
      <c r="B106" s="5">
        <v>45960</v>
      </c>
      <c r="C106" s="4" t="s">
        <v>216</v>
      </c>
      <c r="F106" s="38">
        <f ca="1">SUMIF('1) Import fichier Remi (coller)'!C:Y,A106,'1) Import fichier Remi (coller)'!R:R)</f>
        <v>0</v>
      </c>
      <c r="G106">
        <f ca="1">SUMIF('1) Import fichier Remi (coller)'!C:Y,A106,'1) Import fichier Remi (coller)'!T:T)</f>
        <v>0</v>
      </c>
      <c r="H106" s="39">
        <f t="shared" ca="1" si="2"/>
        <v>0</v>
      </c>
      <c r="I106" s="39">
        <f t="shared" ca="1" si="3"/>
        <v>0</v>
      </c>
    </row>
    <row r="107" spans="1:9" x14ac:dyDescent="0.25">
      <c r="A107" s="4" t="s">
        <v>7523</v>
      </c>
      <c r="B107" s="5">
        <v>45960</v>
      </c>
      <c r="C107" s="4" t="s">
        <v>216</v>
      </c>
      <c r="F107" s="38">
        <f ca="1">SUMIF('1) Import fichier Remi (coller)'!C:Y,A107,'1) Import fichier Remi (coller)'!R:R)</f>
        <v>0</v>
      </c>
      <c r="G107">
        <f ca="1">SUMIF('1) Import fichier Remi (coller)'!C:Y,A107,'1) Import fichier Remi (coller)'!T:T)</f>
        <v>0</v>
      </c>
      <c r="H107" s="39">
        <f t="shared" ca="1" si="2"/>
        <v>0</v>
      </c>
      <c r="I107" s="39">
        <f t="shared" ca="1" si="3"/>
        <v>0</v>
      </c>
    </row>
    <row r="108" spans="1:9" x14ac:dyDescent="0.25">
      <c r="A108" s="4" t="s">
        <v>7524</v>
      </c>
      <c r="B108" s="5">
        <v>45960</v>
      </c>
      <c r="C108" s="4" t="s">
        <v>252</v>
      </c>
      <c r="F108" s="38">
        <f ca="1">SUMIF('1) Import fichier Remi (coller)'!C:Y,A108,'1) Import fichier Remi (coller)'!R:R)</f>
        <v>0</v>
      </c>
      <c r="G108">
        <f ca="1">SUMIF('1) Import fichier Remi (coller)'!C:Y,A108,'1) Import fichier Remi (coller)'!T:T)</f>
        <v>0</v>
      </c>
      <c r="H108" s="39">
        <f t="shared" ca="1" si="2"/>
        <v>0</v>
      </c>
      <c r="I108" s="39">
        <f t="shared" ca="1" si="3"/>
        <v>0</v>
      </c>
    </row>
    <row r="109" spans="1:9" x14ac:dyDescent="0.25">
      <c r="A109" s="4" t="s">
        <v>7524</v>
      </c>
      <c r="B109" s="5">
        <v>45960</v>
      </c>
      <c r="C109" s="4" t="s">
        <v>252</v>
      </c>
      <c r="F109" s="38">
        <f ca="1">SUMIF('1) Import fichier Remi (coller)'!C:Y,A109,'1) Import fichier Remi (coller)'!R:R)</f>
        <v>0</v>
      </c>
      <c r="G109">
        <f ca="1">SUMIF('1) Import fichier Remi (coller)'!C:Y,A109,'1) Import fichier Remi (coller)'!T:T)</f>
        <v>0</v>
      </c>
      <c r="H109" s="39">
        <f t="shared" ca="1" si="2"/>
        <v>0</v>
      </c>
      <c r="I109" s="39">
        <f t="shared" ca="1" si="3"/>
        <v>0</v>
      </c>
    </row>
    <row r="110" spans="1:9" x14ac:dyDescent="0.25">
      <c r="A110" s="4" t="s">
        <v>7524</v>
      </c>
      <c r="B110" s="5">
        <v>45960</v>
      </c>
      <c r="C110" s="4" t="s">
        <v>252</v>
      </c>
      <c r="F110" s="38">
        <f ca="1">SUMIF('1) Import fichier Remi (coller)'!C:Y,A110,'1) Import fichier Remi (coller)'!R:R)</f>
        <v>0</v>
      </c>
      <c r="G110">
        <f ca="1">SUMIF('1) Import fichier Remi (coller)'!C:Y,A110,'1) Import fichier Remi (coller)'!T:T)</f>
        <v>0</v>
      </c>
      <c r="H110" s="39">
        <f t="shared" ca="1" si="2"/>
        <v>0</v>
      </c>
      <c r="I110" s="39">
        <f t="shared" ca="1" si="3"/>
        <v>0</v>
      </c>
    </row>
    <row r="111" spans="1:9" x14ac:dyDescent="0.25">
      <c r="A111" s="4" t="s">
        <v>7525</v>
      </c>
      <c r="B111" s="5">
        <v>45960</v>
      </c>
      <c r="C111" s="4" t="s">
        <v>186</v>
      </c>
      <c r="F111" s="38">
        <f ca="1">SUMIF('1) Import fichier Remi (coller)'!C:Y,A111,'1) Import fichier Remi (coller)'!R:R)</f>
        <v>0</v>
      </c>
      <c r="G111">
        <f ca="1">SUMIF('1) Import fichier Remi (coller)'!C:Y,A111,'1) Import fichier Remi (coller)'!T:T)</f>
        <v>0</v>
      </c>
      <c r="H111" s="39">
        <f t="shared" ca="1" si="2"/>
        <v>0</v>
      </c>
      <c r="I111" s="39">
        <f t="shared" ca="1" si="3"/>
        <v>0</v>
      </c>
    </row>
    <row r="112" spans="1:9" x14ac:dyDescent="0.25">
      <c r="A112" s="4" t="s">
        <v>7526</v>
      </c>
      <c r="B112" s="5">
        <v>45960</v>
      </c>
      <c r="C112" s="4" t="s">
        <v>256</v>
      </c>
      <c r="F112" s="38">
        <f ca="1">SUMIF('1) Import fichier Remi (coller)'!C:Y,A112,'1) Import fichier Remi (coller)'!R:R)</f>
        <v>0</v>
      </c>
      <c r="G112">
        <f ca="1">SUMIF('1) Import fichier Remi (coller)'!C:Y,A112,'1) Import fichier Remi (coller)'!T:T)</f>
        <v>0</v>
      </c>
      <c r="H112" s="39">
        <f t="shared" ca="1" si="2"/>
        <v>0</v>
      </c>
      <c r="I112" s="39">
        <f t="shared" ca="1" si="3"/>
        <v>0</v>
      </c>
    </row>
    <row r="113" spans="1:9" x14ac:dyDescent="0.25">
      <c r="A113" s="4" t="s">
        <v>7526</v>
      </c>
      <c r="B113" s="5">
        <v>45960</v>
      </c>
      <c r="C113" s="4" t="s">
        <v>256</v>
      </c>
      <c r="F113" s="38">
        <f ca="1">SUMIF('1) Import fichier Remi (coller)'!C:Y,A113,'1) Import fichier Remi (coller)'!R:R)</f>
        <v>0</v>
      </c>
      <c r="G113">
        <f ca="1">SUMIF('1) Import fichier Remi (coller)'!C:Y,A113,'1) Import fichier Remi (coller)'!T:T)</f>
        <v>0</v>
      </c>
      <c r="H113" s="39">
        <f t="shared" ca="1" si="2"/>
        <v>0</v>
      </c>
      <c r="I113" s="39">
        <f t="shared" ca="1" si="3"/>
        <v>0</v>
      </c>
    </row>
    <row r="114" spans="1:9" x14ac:dyDescent="0.25">
      <c r="A114" s="4" t="s">
        <v>7527</v>
      </c>
      <c r="B114" s="5">
        <v>45960</v>
      </c>
      <c r="C114" s="4" t="s">
        <v>254</v>
      </c>
      <c r="F114" s="38">
        <f ca="1">SUMIF('1) Import fichier Remi (coller)'!C:Y,A114,'1) Import fichier Remi (coller)'!R:R)</f>
        <v>0</v>
      </c>
      <c r="G114">
        <f ca="1">SUMIF('1) Import fichier Remi (coller)'!C:Y,A114,'1) Import fichier Remi (coller)'!T:T)</f>
        <v>0</v>
      </c>
      <c r="H114" s="39">
        <f t="shared" ca="1" si="2"/>
        <v>0</v>
      </c>
      <c r="I114" s="39">
        <f t="shared" ca="1" si="3"/>
        <v>0</v>
      </c>
    </row>
    <row r="115" spans="1:9" x14ac:dyDescent="0.25">
      <c r="A115" s="4" t="s">
        <v>7527</v>
      </c>
      <c r="B115" s="5">
        <v>45960</v>
      </c>
      <c r="C115" s="4" t="s">
        <v>254</v>
      </c>
      <c r="F115" s="38">
        <f ca="1">SUMIF('1) Import fichier Remi (coller)'!C:Y,A115,'1) Import fichier Remi (coller)'!R:R)</f>
        <v>0</v>
      </c>
      <c r="G115">
        <f ca="1">SUMIF('1) Import fichier Remi (coller)'!C:Y,A115,'1) Import fichier Remi (coller)'!T:T)</f>
        <v>0</v>
      </c>
      <c r="H115" s="39">
        <f t="shared" ref="H115:H178" ca="1" si="4">D115-F115</f>
        <v>0</v>
      </c>
      <c r="I115" s="39">
        <f t="shared" ref="I115:I178" ca="1" si="5">E115-G115</f>
        <v>0</v>
      </c>
    </row>
    <row r="116" spans="1:9" x14ac:dyDescent="0.25">
      <c r="A116" s="4" t="s">
        <v>7527</v>
      </c>
      <c r="B116" s="5">
        <v>45960</v>
      </c>
      <c r="C116" s="4" t="s">
        <v>254</v>
      </c>
      <c r="F116" s="38">
        <f ca="1">SUMIF('1) Import fichier Remi (coller)'!C:Y,A116,'1) Import fichier Remi (coller)'!R:R)</f>
        <v>0</v>
      </c>
      <c r="G116">
        <f ca="1">SUMIF('1) Import fichier Remi (coller)'!C:Y,A116,'1) Import fichier Remi (coller)'!T:T)</f>
        <v>0</v>
      </c>
      <c r="H116" s="39">
        <f t="shared" ca="1" si="4"/>
        <v>0</v>
      </c>
      <c r="I116" s="39">
        <f t="shared" ca="1" si="5"/>
        <v>0</v>
      </c>
    </row>
    <row r="117" spans="1:9" x14ac:dyDescent="0.25">
      <c r="A117" s="4" t="s">
        <v>7527</v>
      </c>
      <c r="B117" s="5">
        <v>45960</v>
      </c>
      <c r="C117" s="4" t="s">
        <v>254</v>
      </c>
      <c r="F117" s="38">
        <f ca="1">SUMIF('1) Import fichier Remi (coller)'!C:Y,A117,'1) Import fichier Remi (coller)'!R:R)</f>
        <v>0</v>
      </c>
      <c r="G117">
        <f ca="1">SUMIF('1) Import fichier Remi (coller)'!C:Y,A117,'1) Import fichier Remi (coller)'!T:T)</f>
        <v>0</v>
      </c>
      <c r="H117" s="39">
        <f t="shared" ca="1" si="4"/>
        <v>0</v>
      </c>
      <c r="I117" s="39">
        <f t="shared" ca="1" si="5"/>
        <v>0</v>
      </c>
    </row>
    <row r="118" spans="1:9" x14ac:dyDescent="0.25">
      <c r="A118" s="4" t="s">
        <v>7527</v>
      </c>
      <c r="B118" s="5">
        <v>45960</v>
      </c>
      <c r="C118" s="4" t="s">
        <v>254</v>
      </c>
      <c r="F118" s="38">
        <f ca="1">SUMIF('1) Import fichier Remi (coller)'!C:Y,A118,'1) Import fichier Remi (coller)'!R:R)</f>
        <v>0</v>
      </c>
      <c r="G118">
        <f ca="1">SUMIF('1) Import fichier Remi (coller)'!C:Y,A118,'1) Import fichier Remi (coller)'!T:T)</f>
        <v>0</v>
      </c>
      <c r="H118" s="39">
        <f t="shared" ca="1" si="4"/>
        <v>0</v>
      </c>
      <c r="I118" s="39">
        <f t="shared" ca="1" si="5"/>
        <v>0</v>
      </c>
    </row>
    <row r="119" spans="1:9" x14ac:dyDescent="0.25">
      <c r="A119" s="4" t="s">
        <v>7527</v>
      </c>
      <c r="B119" s="5">
        <v>45960</v>
      </c>
      <c r="C119" s="4" t="s">
        <v>254</v>
      </c>
      <c r="F119" s="38">
        <f ca="1">SUMIF('1) Import fichier Remi (coller)'!C:Y,A119,'1) Import fichier Remi (coller)'!R:R)</f>
        <v>0</v>
      </c>
      <c r="G119">
        <f ca="1">SUMIF('1) Import fichier Remi (coller)'!C:Y,A119,'1) Import fichier Remi (coller)'!T:T)</f>
        <v>0</v>
      </c>
      <c r="H119" s="39">
        <f t="shared" ca="1" si="4"/>
        <v>0</v>
      </c>
      <c r="I119" s="39">
        <f t="shared" ca="1" si="5"/>
        <v>0</v>
      </c>
    </row>
    <row r="120" spans="1:9" x14ac:dyDescent="0.25">
      <c r="A120" s="4" t="s">
        <v>7527</v>
      </c>
      <c r="B120" s="5">
        <v>45960</v>
      </c>
      <c r="C120" s="4" t="s">
        <v>254</v>
      </c>
      <c r="F120" s="38">
        <f ca="1">SUMIF('1) Import fichier Remi (coller)'!C:Y,A120,'1) Import fichier Remi (coller)'!R:R)</f>
        <v>0</v>
      </c>
      <c r="G120">
        <f ca="1">SUMIF('1) Import fichier Remi (coller)'!C:Y,A120,'1) Import fichier Remi (coller)'!T:T)</f>
        <v>0</v>
      </c>
      <c r="H120" s="39">
        <f t="shared" ca="1" si="4"/>
        <v>0</v>
      </c>
      <c r="I120" s="39">
        <f t="shared" ca="1" si="5"/>
        <v>0</v>
      </c>
    </row>
    <row r="121" spans="1:9" x14ac:dyDescent="0.25">
      <c r="A121" s="4" t="s">
        <v>7527</v>
      </c>
      <c r="B121" s="5">
        <v>45960</v>
      </c>
      <c r="C121" s="4" t="s">
        <v>254</v>
      </c>
      <c r="F121" s="38">
        <f ca="1">SUMIF('1) Import fichier Remi (coller)'!C:Y,A121,'1) Import fichier Remi (coller)'!R:R)</f>
        <v>0</v>
      </c>
      <c r="G121">
        <f ca="1">SUMIF('1) Import fichier Remi (coller)'!C:Y,A121,'1) Import fichier Remi (coller)'!T:T)</f>
        <v>0</v>
      </c>
      <c r="H121" s="39">
        <f t="shared" ca="1" si="4"/>
        <v>0</v>
      </c>
      <c r="I121" s="39">
        <f t="shared" ca="1" si="5"/>
        <v>0</v>
      </c>
    </row>
    <row r="122" spans="1:9" x14ac:dyDescent="0.25">
      <c r="A122" s="4" t="s">
        <v>7527</v>
      </c>
      <c r="B122" s="5">
        <v>45960</v>
      </c>
      <c r="C122" s="4" t="s">
        <v>254</v>
      </c>
      <c r="F122" s="38">
        <f ca="1">SUMIF('1) Import fichier Remi (coller)'!C:Y,A122,'1) Import fichier Remi (coller)'!R:R)</f>
        <v>0</v>
      </c>
      <c r="G122">
        <f ca="1">SUMIF('1) Import fichier Remi (coller)'!C:Y,A122,'1) Import fichier Remi (coller)'!T:T)</f>
        <v>0</v>
      </c>
      <c r="H122" s="39">
        <f t="shared" ca="1" si="4"/>
        <v>0</v>
      </c>
      <c r="I122" s="39">
        <f t="shared" ca="1" si="5"/>
        <v>0</v>
      </c>
    </row>
    <row r="123" spans="1:9" x14ac:dyDescent="0.25">
      <c r="A123" s="4" t="s">
        <v>7528</v>
      </c>
      <c r="B123" s="5">
        <v>45960</v>
      </c>
      <c r="C123" s="4" t="s">
        <v>254</v>
      </c>
      <c r="F123" s="38">
        <f ca="1">SUMIF('1) Import fichier Remi (coller)'!C:Y,A123,'1) Import fichier Remi (coller)'!R:R)</f>
        <v>0</v>
      </c>
      <c r="G123">
        <f ca="1">SUMIF('1) Import fichier Remi (coller)'!C:Y,A123,'1) Import fichier Remi (coller)'!T:T)</f>
        <v>0</v>
      </c>
      <c r="H123" s="39">
        <f t="shared" ca="1" si="4"/>
        <v>0</v>
      </c>
      <c r="I123" s="39">
        <f t="shared" ca="1" si="5"/>
        <v>0</v>
      </c>
    </row>
    <row r="124" spans="1:9" x14ac:dyDescent="0.25">
      <c r="A124" s="4" t="s">
        <v>7529</v>
      </c>
      <c r="B124" s="5">
        <v>45960</v>
      </c>
      <c r="C124" s="4" t="s">
        <v>7309</v>
      </c>
      <c r="F124" s="38">
        <f ca="1">SUMIF('1) Import fichier Remi (coller)'!C:Y,A124,'1) Import fichier Remi (coller)'!R:R)</f>
        <v>0</v>
      </c>
      <c r="G124">
        <f ca="1">SUMIF('1) Import fichier Remi (coller)'!C:Y,A124,'1) Import fichier Remi (coller)'!T:T)</f>
        <v>0</v>
      </c>
      <c r="H124" s="39">
        <f t="shared" ca="1" si="4"/>
        <v>0</v>
      </c>
      <c r="I124" s="39">
        <f t="shared" ca="1" si="5"/>
        <v>0</v>
      </c>
    </row>
    <row r="125" spans="1:9" x14ac:dyDescent="0.25">
      <c r="A125" s="4" t="s">
        <v>7530</v>
      </c>
      <c r="B125" s="5">
        <v>45960</v>
      </c>
      <c r="C125" s="4" t="s">
        <v>7309</v>
      </c>
      <c r="F125" s="38">
        <f ca="1">SUMIF('1) Import fichier Remi (coller)'!C:Y,A125,'1) Import fichier Remi (coller)'!R:R)</f>
        <v>0</v>
      </c>
      <c r="G125">
        <f ca="1">SUMIF('1) Import fichier Remi (coller)'!C:Y,A125,'1) Import fichier Remi (coller)'!T:T)</f>
        <v>0</v>
      </c>
      <c r="H125" s="39">
        <f t="shared" ca="1" si="4"/>
        <v>0</v>
      </c>
      <c r="I125" s="39">
        <f t="shared" ca="1" si="5"/>
        <v>0</v>
      </c>
    </row>
    <row r="126" spans="1:9" x14ac:dyDescent="0.25">
      <c r="A126" s="4" t="s">
        <v>7531</v>
      </c>
      <c r="B126" s="5">
        <v>45960</v>
      </c>
      <c r="C126" s="4" t="s">
        <v>7062</v>
      </c>
      <c r="F126" s="38">
        <f ca="1">SUMIF('1) Import fichier Remi (coller)'!C:Y,A126,'1) Import fichier Remi (coller)'!R:R)</f>
        <v>0</v>
      </c>
      <c r="G126">
        <f ca="1">SUMIF('1) Import fichier Remi (coller)'!C:Y,A126,'1) Import fichier Remi (coller)'!T:T)</f>
        <v>0</v>
      </c>
      <c r="H126" s="39">
        <f t="shared" ca="1" si="4"/>
        <v>0</v>
      </c>
      <c r="I126" s="39">
        <f t="shared" ca="1" si="5"/>
        <v>0</v>
      </c>
    </row>
    <row r="127" spans="1:9" x14ac:dyDescent="0.25">
      <c r="A127" s="4" t="s">
        <v>7531</v>
      </c>
      <c r="B127" s="5">
        <v>45960</v>
      </c>
      <c r="C127" s="4" t="s">
        <v>7062</v>
      </c>
      <c r="F127" s="38">
        <f ca="1">SUMIF('1) Import fichier Remi (coller)'!C:Y,A127,'1) Import fichier Remi (coller)'!R:R)</f>
        <v>0</v>
      </c>
      <c r="G127">
        <f ca="1">SUMIF('1) Import fichier Remi (coller)'!C:Y,A127,'1) Import fichier Remi (coller)'!T:T)</f>
        <v>0</v>
      </c>
      <c r="H127" s="39">
        <f t="shared" ca="1" si="4"/>
        <v>0</v>
      </c>
      <c r="I127" s="39">
        <f t="shared" ca="1" si="5"/>
        <v>0</v>
      </c>
    </row>
    <row r="128" spans="1:9" x14ac:dyDescent="0.25">
      <c r="A128" s="4" t="s">
        <v>7531</v>
      </c>
      <c r="B128" s="5">
        <v>45960</v>
      </c>
      <c r="C128" s="4" t="s">
        <v>7062</v>
      </c>
      <c r="F128" s="38">
        <f ca="1">SUMIF('1) Import fichier Remi (coller)'!C:Y,A128,'1) Import fichier Remi (coller)'!R:R)</f>
        <v>0</v>
      </c>
      <c r="G128">
        <f ca="1">SUMIF('1) Import fichier Remi (coller)'!C:Y,A128,'1) Import fichier Remi (coller)'!T:T)</f>
        <v>0</v>
      </c>
      <c r="H128" s="39">
        <f t="shared" ca="1" si="4"/>
        <v>0</v>
      </c>
      <c r="I128" s="39">
        <f t="shared" ca="1" si="5"/>
        <v>0</v>
      </c>
    </row>
    <row r="129" spans="1:9" x14ac:dyDescent="0.25">
      <c r="A129" s="4" t="s">
        <v>7531</v>
      </c>
      <c r="B129" s="5">
        <v>45960</v>
      </c>
      <c r="C129" s="4" t="s">
        <v>7062</v>
      </c>
      <c r="F129" s="38">
        <f ca="1">SUMIF('1) Import fichier Remi (coller)'!C:Y,A129,'1) Import fichier Remi (coller)'!R:R)</f>
        <v>0</v>
      </c>
      <c r="G129">
        <f ca="1">SUMIF('1) Import fichier Remi (coller)'!C:Y,A129,'1) Import fichier Remi (coller)'!T:T)</f>
        <v>0</v>
      </c>
      <c r="H129" s="39">
        <f t="shared" ca="1" si="4"/>
        <v>0</v>
      </c>
      <c r="I129" s="39">
        <f t="shared" ca="1" si="5"/>
        <v>0</v>
      </c>
    </row>
    <row r="130" spans="1:9" x14ac:dyDescent="0.25">
      <c r="A130" s="4" t="s">
        <v>7532</v>
      </c>
      <c r="B130" s="5">
        <v>45960</v>
      </c>
      <c r="C130" s="4" t="s">
        <v>6788</v>
      </c>
      <c r="F130" s="38">
        <f ca="1">SUMIF('1) Import fichier Remi (coller)'!C:Y,A130,'1) Import fichier Remi (coller)'!R:R)</f>
        <v>0</v>
      </c>
      <c r="G130">
        <f ca="1">SUMIF('1) Import fichier Remi (coller)'!C:Y,A130,'1) Import fichier Remi (coller)'!T:T)</f>
        <v>0</v>
      </c>
      <c r="H130" s="39">
        <f t="shared" ca="1" si="4"/>
        <v>0</v>
      </c>
      <c r="I130" s="39">
        <f t="shared" ca="1" si="5"/>
        <v>0</v>
      </c>
    </row>
    <row r="131" spans="1:9" x14ac:dyDescent="0.25">
      <c r="A131" s="4" t="s">
        <v>7534</v>
      </c>
      <c r="B131" s="5">
        <v>45960</v>
      </c>
      <c r="C131" s="4" t="s">
        <v>7533</v>
      </c>
      <c r="F131" s="38">
        <f ca="1">SUMIF('1) Import fichier Remi (coller)'!C:Y,A131,'1) Import fichier Remi (coller)'!R:R)</f>
        <v>0</v>
      </c>
      <c r="G131">
        <f ca="1">SUMIF('1) Import fichier Remi (coller)'!C:Y,A131,'1) Import fichier Remi (coller)'!T:T)</f>
        <v>0</v>
      </c>
      <c r="H131" s="39">
        <f t="shared" ca="1" si="4"/>
        <v>0</v>
      </c>
      <c r="I131" s="39">
        <f t="shared" ca="1" si="5"/>
        <v>0</v>
      </c>
    </row>
    <row r="132" spans="1:9" x14ac:dyDescent="0.25">
      <c r="A132" s="4" t="s">
        <v>7535</v>
      </c>
      <c r="B132" s="5">
        <v>45960</v>
      </c>
      <c r="C132" s="4" t="s">
        <v>7061</v>
      </c>
      <c r="F132" s="38">
        <f ca="1">SUMIF('1) Import fichier Remi (coller)'!C:Y,A132,'1) Import fichier Remi (coller)'!R:R)</f>
        <v>0</v>
      </c>
      <c r="G132">
        <f ca="1">SUMIF('1) Import fichier Remi (coller)'!C:Y,A132,'1) Import fichier Remi (coller)'!T:T)</f>
        <v>0</v>
      </c>
      <c r="H132" s="39">
        <f t="shared" ca="1" si="4"/>
        <v>0</v>
      </c>
      <c r="I132" s="39">
        <f t="shared" ca="1" si="5"/>
        <v>0</v>
      </c>
    </row>
    <row r="133" spans="1:9" x14ac:dyDescent="0.25">
      <c r="A133" s="4" t="s">
        <v>7535</v>
      </c>
      <c r="B133" s="5">
        <v>45960</v>
      </c>
      <c r="C133" s="4" t="s">
        <v>7061</v>
      </c>
      <c r="F133" s="38">
        <f ca="1">SUMIF('1) Import fichier Remi (coller)'!C:Y,A133,'1) Import fichier Remi (coller)'!R:R)</f>
        <v>0</v>
      </c>
      <c r="G133">
        <f ca="1">SUMIF('1) Import fichier Remi (coller)'!C:Y,A133,'1) Import fichier Remi (coller)'!T:T)</f>
        <v>0</v>
      </c>
      <c r="H133" s="39">
        <f t="shared" ca="1" si="4"/>
        <v>0</v>
      </c>
      <c r="I133" s="39">
        <f t="shared" ca="1" si="5"/>
        <v>0</v>
      </c>
    </row>
    <row r="134" spans="1:9" x14ac:dyDescent="0.25">
      <c r="A134" s="4" t="s">
        <v>7535</v>
      </c>
      <c r="B134" s="5">
        <v>45960</v>
      </c>
      <c r="C134" s="4" t="s">
        <v>7061</v>
      </c>
      <c r="F134" s="38">
        <f ca="1">SUMIF('1) Import fichier Remi (coller)'!C:Y,A134,'1) Import fichier Remi (coller)'!R:R)</f>
        <v>0</v>
      </c>
      <c r="G134">
        <f ca="1">SUMIF('1) Import fichier Remi (coller)'!C:Y,A134,'1) Import fichier Remi (coller)'!T:T)</f>
        <v>0</v>
      </c>
      <c r="H134" s="39">
        <f t="shared" ca="1" si="4"/>
        <v>0</v>
      </c>
      <c r="I134" s="39">
        <f t="shared" ca="1" si="5"/>
        <v>0</v>
      </c>
    </row>
    <row r="135" spans="1:9" x14ac:dyDescent="0.25">
      <c r="A135" s="4" t="s">
        <v>7536</v>
      </c>
      <c r="B135" s="5">
        <v>45960</v>
      </c>
      <c r="C135" s="4" t="s">
        <v>7181</v>
      </c>
      <c r="F135" s="38">
        <f ca="1">SUMIF('1) Import fichier Remi (coller)'!C:Y,A135,'1) Import fichier Remi (coller)'!R:R)</f>
        <v>0</v>
      </c>
      <c r="G135">
        <f ca="1">SUMIF('1) Import fichier Remi (coller)'!C:Y,A135,'1) Import fichier Remi (coller)'!T:T)</f>
        <v>0</v>
      </c>
      <c r="H135" s="39">
        <f t="shared" ca="1" si="4"/>
        <v>0</v>
      </c>
      <c r="I135" s="39">
        <f t="shared" ca="1" si="5"/>
        <v>0</v>
      </c>
    </row>
    <row r="136" spans="1:9" x14ac:dyDescent="0.25">
      <c r="A136" s="4" t="s">
        <v>7536</v>
      </c>
      <c r="B136" s="5">
        <v>45960</v>
      </c>
      <c r="C136" s="4" t="s">
        <v>7181</v>
      </c>
      <c r="F136" s="38">
        <f ca="1">SUMIF('1) Import fichier Remi (coller)'!C:Y,A136,'1) Import fichier Remi (coller)'!R:R)</f>
        <v>0</v>
      </c>
      <c r="G136">
        <f ca="1">SUMIF('1) Import fichier Remi (coller)'!C:Y,A136,'1) Import fichier Remi (coller)'!T:T)</f>
        <v>0</v>
      </c>
      <c r="H136" s="39">
        <f t="shared" ca="1" si="4"/>
        <v>0</v>
      </c>
      <c r="I136" s="39">
        <f t="shared" ca="1" si="5"/>
        <v>0</v>
      </c>
    </row>
    <row r="137" spans="1:9" x14ac:dyDescent="0.25">
      <c r="A137" s="4" t="s">
        <v>7537</v>
      </c>
      <c r="B137" s="5">
        <v>45960</v>
      </c>
      <c r="C137" s="4" t="s">
        <v>7191</v>
      </c>
      <c r="F137" s="38">
        <f ca="1">SUMIF('1) Import fichier Remi (coller)'!C:Y,A137,'1) Import fichier Remi (coller)'!R:R)</f>
        <v>0</v>
      </c>
      <c r="G137">
        <f ca="1">SUMIF('1) Import fichier Remi (coller)'!C:Y,A137,'1) Import fichier Remi (coller)'!T:T)</f>
        <v>0</v>
      </c>
      <c r="H137" s="39">
        <f t="shared" ca="1" si="4"/>
        <v>0</v>
      </c>
      <c r="I137" s="39">
        <f t="shared" ca="1" si="5"/>
        <v>0</v>
      </c>
    </row>
    <row r="138" spans="1:9" x14ac:dyDescent="0.25">
      <c r="A138" s="4" t="s">
        <v>7538</v>
      </c>
      <c r="B138" s="5">
        <v>45960</v>
      </c>
      <c r="C138" s="4" t="s">
        <v>7191</v>
      </c>
      <c r="F138" s="38">
        <f ca="1">SUMIF('1) Import fichier Remi (coller)'!C:Y,A138,'1) Import fichier Remi (coller)'!R:R)</f>
        <v>0</v>
      </c>
      <c r="G138">
        <f ca="1">SUMIF('1) Import fichier Remi (coller)'!C:Y,A138,'1) Import fichier Remi (coller)'!T:T)</f>
        <v>0</v>
      </c>
      <c r="H138" s="39">
        <f t="shared" ca="1" si="4"/>
        <v>0</v>
      </c>
      <c r="I138" s="39">
        <f t="shared" ca="1" si="5"/>
        <v>0</v>
      </c>
    </row>
    <row r="139" spans="1:9" x14ac:dyDescent="0.25">
      <c r="A139" s="4" t="s">
        <v>7538</v>
      </c>
      <c r="B139" s="5">
        <v>45960</v>
      </c>
      <c r="C139" s="4" t="s">
        <v>7191</v>
      </c>
      <c r="F139" s="38">
        <f ca="1">SUMIF('1) Import fichier Remi (coller)'!C:Y,A139,'1) Import fichier Remi (coller)'!R:R)</f>
        <v>0</v>
      </c>
      <c r="G139">
        <f ca="1">SUMIF('1) Import fichier Remi (coller)'!C:Y,A139,'1) Import fichier Remi (coller)'!T:T)</f>
        <v>0</v>
      </c>
      <c r="H139" s="39">
        <f t="shared" ca="1" si="4"/>
        <v>0</v>
      </c>
      <c r="I139" s="39">
        <f t="shared" ca="1" si="5"/>
        <v>0</v>
      </c>
    </row>
    <row r="140" spans="1:9" x14ac:dyDescent="0.25">
      <c r="A140" s="4" t="s">
        <v>7538</v>
      </c>
      <c r="B140" s="5">
        <v>45960</v>
      </c>
      <c r="C140" s="4" t="s">
        <v>7191</v>
      </c>
      <c r="F140" s="38">
        <f ca="1">SUMIF('1) Import fichier Remi (coller)'!C:Y,A140,'1) Import fichier Remi (coller)'!R:R)</f>
        <v>0</v>
      </c>
      <c r="G140">
        <f ca="1">SUMIF('1) Import fichier Remi (coller)'!C:Y,A140,'1) Import fichier Remi (coller)'!T:T)</f>
        <v>0</v>
      </c>
      <c r="H140" s="39">
        <f t="shared" ca="1" si="4"/>
        <v>0</v>
      </c>
      <c r="I140" s="39">
        <f t="shared" ca="1" si="5"/>
        <v>0</v>
      </c>
    </row>
    <row r="141" spans="1:9" x14ac:dyDescent="0.25">
      <c r="A141" s="4" t="s">
        <v>7538</v>
      </c>
      <c r="B141" s="5">
        <v>45960</v>
      </c>
      <c r="C141" s="4" t="s">
        <v>7191</v>
      </c>
      <c r="F141" s="38">
        <f ca="1">SUMIF('1) Import fichier Remi (coller)'!C:Y,A141,'1) Import fichier Remi (coller)'!R:R)</f>
        <v>0</v>
      </c>
      <c r="G141">
        <f ca="1">SUMIF('1) Import fichier Remi (coller)'!C:Y,A141,'1) Import fichier Remi (coller)'!T:T)</f>
        <v>0</v>
      </c>
      <c r="H141" s="39">
        <f t="shared" ca="1" si="4"/>
        <v>0</v>
      </c>
      <c r="I141" s="39">
        <f t="shared" ca="1" si="5"/>
        <v>0</v>
      </c>
    </row>
    <row r="142" spans="1:9" x14ac:dyDescent="0.25">
      <c r="A142" s="4" t="s">
        <v>7539</v>
      </c>
      <c r="B142" s="5">
        <v>45960</v>
      </c>
      <c r="C142" s="4" t="s">
        <v>7163</v>
      </c>
      <c r="F142" s="38">
        <f ca="1">SUMIF('1) Import fichier Remi (coller)'!C:Y,A142,'1) Import fichier Remi (coller)'!R:R)</f>
        <v>0</v>
      </c>
      <c r="G142">
        <f ca="1">SUMIF('1) Import fichier Remi (coller)'!C:Y,A142,'1) Import fichier Remi (coller)'!T:T)</f>
        <v>0</v>
      </c>
      <c r="H142" s="39">
        <f t="shared" ca="1" si="4"/>
        <v>0</v>
      </c>
      <c r="I142" s="39">
        <f t="shared" ca="1" si="5"/>
        <v>0</v>
      </c>
    </row>
    <row r="143" spans="1:9" x14ac:dyDescent="0.25">
      <c r="A143" s="4" t="s">
        <v>7539</v>
      </c>
      <c r="B143" s="5">
        <v>45960</v>
      </c>
      <c r="C143" s="4" t="s">
        <v>7163</v>
      </c>
      <c r="F143" s="38">
        <f ca="1">SUMIF('1) Import fichier Remi (coller)'!C:Y,A143,'1) Import fichier Remi (coller)'!R:R)</f>
        <v>0</v>
      </c>
      <c r="G143">
        <f ca="1">SUMIF('1) Import fichier Remi (coller)'!C:Y,A143,'1) Import fichier Remi (coller)'!T:T)</f>
        <v>0</v>
      </c>
      <c r="H143" s="39">
        <f t="shared" ca="1" si="4"/>
        <v>0</v>
      </c>
      <c r="I143" s="39">
        <f t="shared" ca="1" si="5"/>
        <v>0</v>
      </c>
    </row>
    <row r="144" spans="1:9" x14ac:dyDescent="0.25">
      <c r="A144" s="4" t="s">
        <v>7540</v>
      </c>
      <c r="B144" s="5">
        <v>45960</v>
      </c>
      <c r="C144" s="4" t="s">
        <v>7182</v>
      </c>
      <c r="F144" s="38">
        <f ca="1">SUMIF('1) Import fichier Remi (coller)'!C:Y,A144,'1) Import fichier Remi (coller)'!R:R)</f>
        <v>0</v>
      </c>
      <c r="G144">
        <f ca="1">SUMIF('1) Import fichier Remi (coller)'!C:Y,A144,'1) Import fichier Remi (coller)'!T:T)</f>
        <v>0</v>
      </c>
      <c r="H144" s="39">
        <f t="shared" ca="1" si="4"/>
        <v>0</v>
      </c>
      <c r="I144" s="39">
        <f t="shared" ca="1" si="5"/>
        <v>0</v>
      </c>
    </row>
    <row r="145" spans="1:9" x14ac:dyDescent="0.25">
      <c r="A145" s="4" t="s">
        <v>7540</v>
      </c>
      <c r="B145" s="5">
        <v>45960</v>
      </c>
      <c r="C145" s="4" t="s">
        <v>7182</v>
      </c>
      <c r="F145" s="38">
        <f ca="1">SUMIF('1) Import fichier Remi (coller)'!C:Y,A145,'1) Import fichier Remi (coller)'!R:R)</f>
        <v>0</v>
      </c>
      <c r="G145">
        <f ca="1">SUMIF('1) Import fichier Remi (coller)'!C:Y,A145,'1) Import fichier Remi (coller)'!T:T)</f>
        <v>0</v>
      </c>
      <c r="H145" s="39">
        <f t="shared" ca="1" si="4"/>
        <v>0</v>
      </c>
      <c r="I145" s="39">
        <f t="shared" ca="1" si="5"/>
        <v>0</v>
      </c>
    </row>
    <row r="146" spans="1:9" x14ac:dyDescent="0.25">
      <c r="A146" s="4" t="s">
        <v>7541</v>
      </c>
      <c r="B146" s="5">
        <v>45960</v>
      </c>
      <c r="C146" s="4" t="s">
        <v>7307</v>
      </c>
      <c r="F146" s="38">
        <f ca="1">SUMIF('1) Import fichier Remi (coller)'!C:Y,A146,'1) Import fichier Remi (coller)'!R:R)</f>
        <v>0</v>
      </c>
      <c r="G146">
        <f ca="1">SUMIF('1) Import fichier Remi (coller)'!C:Y,A146,'1) Import fichier Remi (coller)'!T:T)</f>
        <v>0</v>
      </c>
      <c r="H146" s="39">
        <f t="shared" ca="1" si="4"/>
        <v>0</v>
      </c>
      <c r="I146" s="39">
        <f t="shared" ca="1" si="5"/>
        <v>0</v>
      </c>
    </row>
    <row r="147" spans="1:9" x14ac:dyDescent="0.25">
      <c r="A147" s="4" t="s">
        <v>7542</v>
      </c>
      <c r="B147" s="5">
        <v>45960</v>
      </c>
      <c r="C147" s="4" t="s">
        <v>7409</v>
      </c>
      <c r="F147" s="38">
        <f ca="1">SUMIF('1) Import fichier Remi (coller)'!C:Y,A147,'1) Import fichier Remi (coller)'!R:R)</f>
        <v>0</v>
      </c>
      <c r="G147">
        <f ca="1">SUMIF('1) Import fichier Remi (coller)'!C:Y,A147,'1) Import fichier Remi (coller)'!T:T)</f>
        <v>0</v>
      </c>
      <c r="H147" s="39">
        <f t="shared" ca="1" si="4"/>
        <v>0</v>
      </c>
      <c r="I147" s="39">
        <f t="shared" ca="1" si="5"/>
        <v>0</v>
      </c>
    </row>
    <row r="148" spans="1:9" x14ac:dyDescent="0.25">
      <c r="A148" s="4" t="s">
        <v>7542</v>
      </c>
      <c r="B148" s="5">
        <v>45960</v>
      </c>
      <c r="C148" s="4" t="s">
        <v>7409</v>
      </c>
      <c r="F148" s="38">
        <f ca="1">SUMIF('1) Import fichier Remi (coller)'!C:Y,A148,'1) Import fichier Remi (coller)'!R:R)</f>
        <v>0</v>
      </c>
      <c r="G148">
        <f ca="1">SUMIF('1) Import fichier Remi (coller)'!C:Y,A148,'1) Import fichier Remi (coller)'!T:T)</f>
        <v>0</v>
      </c>
      <c r="H148" s="39">
        <f t="shared" ca="1" si="4"/>
        <v>0</v>
      </c>
      <c r="I148" s="39">
        <f t="shared" ca="1" si="5"/>
        <v>0</v>
      </c>
    </row>
    <row r="149" spans="1:9" x14ac:dyDescent="0.25">
      <c r="A149" s="4" t="s">
        <v>7542</v>
      </c>
      <c r="B149" s="5">
        <v>45960</v>
      </c>
      <c r="C149" s="4" t="s">
        <v>7409</v>
      </c>
      <c r="F149" s="38">
        <f ca="1">SUMIF('1) Import fichier Remi (coller)'!C:Y,A149,'1) Import fichier Remi (coller)'!R:R)</f>
        <v>0</v>
      </c>
      <c r="G149">
        <f ca="1">SUMIF('1) Import fichier Remi (coller)'!C:Y,A149,'1) Import fichier Remi (coller)'!T:T)</f>
        <v>0</v>
      </c>
      <c r="H149" s="39">
        <f t="shared" ca="1" si="4"/>
        <v>0</v>
      </c>
      <c r="I149" s="39">
        <f t="shared" ca="1" si="5"/>
        <v>0</v>
      </c>
    </row>
    <row r="150" spans="1:9" x14ac:dyDescent="0.25">
      <c r="A150" s="4" t="s">
        <v>7542</v>
      </c>
      <c r="B150" s="5">
        <v>45960</v>
      </c>
      <c r="C150" s="4" t="s">
        <v>7409</v>
      </c>
      <c r="F150" s="38">
        <f ca="1">SUMIF('1) Import fichier Remi (coller)'!C:Y,A150,'1) Import fichier Remi (coller)'!R:R)</f>
        <v>0</v>
      </c>
      <c r="G150">
        <f ca="1">SUMIF('1) Import fichier Remi (coller)'!C:Y,A150,'1) Import fichier Remi (coller)'!T:T)</f>
        <v>0</v>
      </c>
      <c r="H150" s="39">
        <f t="shared" ca="1" si="4"/>
        <v>0</v>
      </c>
      <c r="I150" s="39">
        <f t="shared" ca="1" si="5"/>
        <v>0</v>
      </c>
    </row>
    <row r="151" spans="1:9" x14ac:dyDescent="0.25">
      <c r="A151" s="4" t="s">
        <v>7542</v>
      </c>
      <c r="B151" s="5">
        <v>45960</v>
      </c>
      <c r="C151" s="4" t="s">
        <v>7409</v>
      </c>
      <c r="F151" s="38">
        <f ca="1">SUMIF('1) Import fichier Remi (coller)'!C:Y,A151,'1) Import fichier Remi (coller)'!R:R)</f>
        <v>0</v>
      </c>
      <c r="G151">
        <f ca="1">SUMIF('1) Import fichier Remi (coller)'!C:Y,A151,'1) Import fichier Remi (coller)'!T:T)</f>
        <v>0</v>
      </c>
      <c r="H151" s="39">
        <f t="shared" ca="1" si="4"/>
        <v>0</v>
      </c>
      <c r="I151" s="39">
        <f t="shared" ca="1" si="5"/>
        <v>0</v>
      </c>
    </row>
    <row r="152" spans="1:9" x14ac:dyDescent="0.25">
      <c r="A152" s="4" t="s">
        <v>7542</v>
      </c>
      <c r="B152" s="5">
        <v>45960</v>
      </c>
      <c r="C152" s="4" t="s">
        <v>7409</v>
      </c>
      <c r="F152" s="38">
        <f ca="1">SUMIF('1) Import fichier Remi (coller)'!C:Y,A152,'1) Import fichier Remi (coller)'!R:R)</f>
        <v>0</v>
      </c>
      <c r="G152">
        <f ca="1">SUMIF('1) Import fichier Remi (coller)'!C:Y,A152,'1) Import fichier Remi (coller)'!T:T)</f>
        <v>0</v>
      </c>
      <c r="H152" s="39">
        <f t="shared" ca="1" si="4"/>
        <v>0</v>
      </c>
      <c r="I152" s="39">
        <f t="shared" ca="1" si="5"/>
        <v>0</v>
      </c>
    </row>
    <row r="153" spans="1:9" x14ac:dyDescent="0.25">
      <c r="A153" s="4" t="s">
        <v>7542</v>
      </c>
      <c r="B153" s="5">
        <v>45960</v>
      </c>
      <c r="C153" s="4" t="s">
        <v>7409</v>
      </c>
      <c r="F153" s="38">
        <f ca="1">SUMIF('1) Import fichier Remi (coller)'!C:Y,A153,'1) Import fichier Remi (coller)'!R:R)</f>
        <v>0</v>
      </c>
      <c r="G153">
        <f ca="1">SUMIF('1) Import fichier Remi (coller)'!C:Y,A153,'1) Import fichier Remi (coller)'!T:T)</f>
        <v>0</v>
      </c>
      <c r="H153" s="39">
        <f t="shared" ca="1" si="4"/>
        <v>0</v>
      </c>
      <c r="I153" s="39">
        <f t="shared" ca="1" si="5"/>
        <v>0</v>
      </c>
    </row>
    <row r="154" spans="1:9" x14ac:dyDescent="0.25">
      <c r="A154" s="4" t="s">
        <v>7542</v>
      </c>
      <c r="B154" s="5">
        <v>45960</v>
      </c>
      <c r="C154" s="4" t="s">
        <v>7409</v>
      </c>
      <c r="F154" s="38">
        <f ca="1">SUMIF('1) Import fichier Remi (coller)'!C:Y,A154,'1) Import fichier Remi (coller)'!R:R)</f>
        <v>0</v>
      </c>
      <c r="G154">
        <f ca="1">SUMIF('1) Import fichier Remi (coller)'!C:Y,A154,'1) Import fichier Remi (coller)'!T:T)</f>
        <v>0</v>
      </c>
      <c r="H154" s="39">
        <f t="shared" ca="1" si="4"/>
        <v>0</v>
      </c>
      <c r="I154" s="39">
        <f t="shared" ca="1" si="5"/>
        <v>0</v>
      </c>
    </row>
    <row r="155" spans="1:9" x14ac:dyDescent="0.25">
      <c r="A155" s="4" t="s">
        <v>7542</v>
      </c>
      <c r="B155" s="5">
        <v>45960</v>
      </c>
      <c r="C155" s="4" t="s">
        <v>7409</v>
      </c>
      <c r="F155" s="38">
        <f ca="1">SUMIF('1) Import fichier Remi (coller)'!C:Y,A155,'1) Import fichier Remi (coller)'!R:R)</f>
        <v>0</v>
      </c>
      <c r="G155">
        <f ca="1">SUMIF('1) Import fichier Remi (coller)'!C:Y,A155,'1) Import fichier Remi (coller)'!T:T)</f>
        <v>0</v>
      </c>
      <c r="H155" s="39">
        <f t="shared" ca="1" si="4"/>
        <v>0</v>
      </c>
      <c r="I155" s="39">
        <f t="shared" ca="1" si="5"/>
        <v>0</v>
      </c>
    </row>
    <row r="156" spans="1:9" x14ac:dyDescent="0.25">
      <c r="A156" s="4" t="s">
        <v>7542</v>
      </c>
      <c r="B156" s="5">
        <v>45960</v>
      </c>
      <c r="C156" s="4" t="s">
        <v>7409</v>
      </c>
      <c r="F156" s="38">
        <f ca="1">SUMIF('1) Import fichier Remi (coller)'!C:Y,A156,'1) Import fichier Remi (coller)'!R:R)</f>
        <v>0</v>
      </c>
      <c r="G156">
        <f ca="1">SUMIF('1) Import fichier Remi (coller)'!C:Y,A156,'1) Import fichier Remi (coller)'!T:T)</f>
        <v>0</v>
      </c>
      <c r="H156" s="39">
        <f t="shared" ca="1" si="4"/>
        <v>0</v>
      </c>
      <c r="I156" s="39">
        <f t="shared" ca="1" si="5"/>
        <v>0</v>
      </c>
    </row>
    <row r="157" spans="1:9" x14ac:dyDescent="0.25">
      <c r="A157" s="4" t="s">
        <v>7542</v>
      </c>
      <c r="B157" s="5">
        <v>45960</v>
      </c>
      <c r="C157" s="4" t="s">
        <v>7409</v>
      </c>
      <c r="F157" s="38">
        <f ca="1">SUMIF('1) Import fichier Remi (coller)'!C:Y,A157,'1) Import fichier Remi (coller)'!R:R)</f>
        <v>0</v>
      </c>
      <c r="G157">
        <f ca="1">SUMIF('1) Import fichier Remi (coller)'!C:Y,A157,'1) Import fichier Remi (coller)'!T:T)</f>
        <v>0</v>
      </c>
      <c r="H157" s="39">
        <f t="shared" ca="1" si="4"/>
        <v>0</v>
      </c>
      <c r="I157" s="39">
        <f t="shared" ca="1" si="5"/>
        <v>0</v>
      </c>
    </row>
    <row r="158" spans="1:9" x14ac:dyDescent="0.25">
      <c r="A158" s="4" t="s">
        <v>7543</v>
      </c>
      <c r="B158" s="5">
        <v>45960</v>
      </c>
      <c r="C158" s="4" t="s">
        <v>7567</v>
      </c>
      <c r="F158" s="38">
        <f ca="1">SUMIF('1) Import fichier Remi (coller)'!C:Y,A158,'1) Import fichier Remi (coller)'!R:R)</f>
        <v>0</v>
      </c>
      <c r="G158">
        <f ca="1">SUMIF('1) Import fichier Remi (coller)'!C:Y,A158,'1) Import fichier Remi (coller)'!T:T)</f>
        <v>0</v>
      </c>
      <c r="H158" s="39">
        <f t="shared" ca="1" si="4"/>
        <v>0</v>
      </c>
      <c r="I158" s="39">
        <f t="shared" ca="1" si="5"/>
        <v>0</v>
      </c>
    </row>
    <row r="159" spans="1:9" x14ac:dyDescent="0.25">
      <c r="A159" s="4" t="s">
        <v>7543</v>
      </c>
      <c r="B159" s="5">
        <v>45960</v>
      </c>
      <c r="C159" s="4" t="s">
        <v>7567</v>
      </c>
      <c r="F159" s="38">
        <f ca="1">SUMIF('1) Import fichier Remi (coller)'!C:Y,A159,'1) Import fichier Remi (coller)'!R:R)</f>
        <v>0</v>
      </c>
      <c r="G159">
        <f ca="1">SUMIF('1) Import fichier Remi (coller)'!C:Y,A159,'1) Import fichier Remi (coller)'!T:T)</f>
        <v>0</v>
      </c>
      <c r="H159" s="39">
        <f t="shared" ca="1" si="4"/>
        <v>0</v>
      </c>
      <c r="I159" s="39">
        <f t="shared" ca="1" si="5"/>
        <v>0</v>
      </c>
    </row>
    <row r="160" spans="1:9" x14ac:dyDescent="0.25">
      <c r="A160" s="4" t="s">
        <v>7543</v>
      </c>
      <c r="B160" s="5">
        <v>45960</v>
      </c>
      <c r="C160" s="4" t="s">
        <v>7567</v>
      </c>
      <c r="F160" s="38">
        <f ca="1">SUMIF('1) Import fichier Remi (coller)'!C:Y,A160,'1) Import fichier Remi (coller)'!R:R)</f>
        <v>0</v>
      </c>
      <c r="G160">
        <f ca="1">SUMIF('1) Import fichier Remi (coller)'!C:Y,A160,'1) Import fichier Remi (coller)'!T:T)</f>
        <v>0</v>
      </c>
      <c r="H160" s="39">
        <f t="shared" ca="1" si="4"/>
        <v>0</v>
      </c>
      <c r="I160" s="39">
        <f t="shared" ca="1" si="5"/>
        <v>0</v>
      </c>
    </row>
    <row r="161" spans="1:9" x14ac:dyDescent="0.25">
      <c r="A161" s="4" t="s">
        <v>7544</v>
      </c>
      <c r="B161" s="5">
        <v>45960</v>
      </c>
      <c r="C161" s="4" t="s">
        <v>7567</v>
      </c>
      <c r="F161" s="38">
        <f ca="1">SUMIF('1) Import fichier Remi (coller)'!C:Y,A161,'1) Import fichier Remi (coller)'!R:R)</f>
        <v>0</v>
      </c>
      <c r="G161">
        <f ca="1">SUMIF('1) Import fichier Remi (coller)'!C:Y,A161,'1) Import fichier Remi (coller)'!T:T)</f>
        <v>0</v>
      </c>
      <c r="H161" s="39">
        <f t="shared" ca="1" si="4"/>
        <v>0</v>
      </c>
      <c r="I161" s="39">
        <f t="shared" ca="1" si="5"/>
        <v>0</v>
      </c>
    </row>
    <row r="162" spans="1:9" x14ac:dyDescent="0.25">
      <c r="A162" s="4" t="s">
        <v>7544</v>
      </c>
      <c r="B162" s="5">
        <v>45960</v>
      </c>
      <c r="C162" s="4" t="s">
        <v>7567</v>
      </c>
      <c r="F162" s="38">
        <f ca="1">SUMIF('1) Import fichier Remi (coller)'!C:Y,A162,'1) Import fichier Remi (coller)'!R:R)</f>
        <v>0</v>
      </c>
      <c r="G162">
        <f ca="1">SUMIF('1) Import fichier Remi (coller)'!C:Y,A162,'1) Import fichier Remi (coller)'!T:T)</f>
        <v>0</v>
      </c>
      <c r="H162" s="39">
        <f t="shared" ca="1" si="4"/>
        <v>0</v>
      </c>
      <c r="I162" s="39">
        <f t="shared" ca="1" si="5"/>
        <v>0</v>
      </c>
    </row>
    <row r="163" spans="1:9" x14ac:dyDescent="0.25">
      <c r="A163" s="4" t="s">
        <v>7545</v>
      </c>
      <c r="B163" s="5">
        <v>45960</v>
      </c>
      <c r="C163" s="4" t="s">
        <v>7411</v>
      </c>
      <c r="F163" s="38">
        <f ca="1">SUMIF('1) Import fichier Remi (coller)'!C:Y,A163,'1) Import fichier Remi (coller)'!R:R)</f>
        <v>0</v>
      </c>
      <c r="G163">
        <f ca="1">SUMIF('1) Import fichier Remi (coller)'!C:Y,A163,'1) Import fichier Remi (coller)'!T:T)</f>
        <v>0</v>
      </c>
      <c r="H163" s="39">
        <f t="shared" ca="1" si="4"/>
        <v>0</v>
      </c>
      <c r="I163" s="39">
        <f t="shared" ca="1" si="5"/>
        <v>0</v>
      </c>
    </row>
    <row r="164" spans="1:9" x14ac:dyDescent="0.25">
      <c r="A164" s="4" t="s">
        <v>7545</v>
      </c>
      <c r="B164" s="5">
        <v>45960</v>
      </c>
      <c r="C164" s="4" t="s">
        <v>7411</v>
      </c>
      <c r="F164" s="38">
        <f ca="1">SUMIF('1) Import fichier Remi (coller)'!C:Y,A164,'1) Import fichier Remi (coller)'!R:R)</f>
        <v>0</v>
      </c>
      <c r="G164">
        <f ca="1">SUMIF('1) Import fichier Remi (coller)'!C:Y,A164,'1) Import fichier Remi (coller)'!T:T)</f>
        <v>0</v>
      </c>
      <c r="H164" s="39">
        <f t="shared" ca="1" si="4"/>
        <v>0</v>
      </c>
      <c r="I164" s="39">
        <f t="shared" ca="1" si="5"/>
        <v>0</v>
      </c>
    </row>
    <row r="165" spans="1:9" x14ac:dyDescent="0.25">
      <c r="A165" s="4" t="s">
        <v>7546</v>
      </c>
      <c r="B165" s="5">
        <v>45960</v>
      </c>
      <c r="C165" s="4" t="s">
        <v>7445</v>
      </c>
      <c r="F165" s="38">
        <f ca="1">SUMIF('1) Import fichier Remi (coller)'!C:Y,A165,'1) Import fichier Remi (coller)'!R:R)</f>
        <v>0</v>
      </c>
      <c r="G165">
        <f ca="1">SUMIF('1) Import fichier Remi (coller)'!C:Y,A165,'1) Import fichier Remi (coller)'!T:T)</f>
        <v>0</v>
      </c>
      <c r="H165" s="39">
        <f t="shared" ca="1" si="4"/>
        <v>0</v>
      </c>
      <c r="I165" s="39">
        <f t="shared" ca="1" si="5"/>
        <v>0</v>
      </c>
    </row>
    <row r="166" spans="1:9" x14ac:dyDescent="0.25">
      <c r="A166" s="4" t="s">
        <v>7547</v>
      </c>
      <c r="B166" s="5">
        <v>45960</v>
      </c>
      <c r="C166" s="4" t="s">
        <v>7409</v>
      </c>
      <c r="F166" s="38">
        <f ca="1">SUMIF('1) Import fichier Remi (coller)'!C:Y,A166,'1) Import fichier Remi (coller)'!R:R)</f>
        <v>0</v>
      </c>
      <c r="G166">
        <f ca="1">SUMIF('1) Import fichier Remi (coller)'!C:Y,A166,'1) Import fichier Remi (coller)'!T:T)</f>
        <v>0</v>
      </c>
      <c r="H166" s="39">
        <f t="shared" ca="1" si="4"/>
        <v>0</v>
      </c>
      <c r="I166" s="39">
        <f t="shared" ca="1" si="5"/>
        <v>0</v>
      </c>
    </row>
    <row r="167" spans="1:9" x14ac:dyDescent="0.25">
      <c r="A167" s="4" t="s">
        <v>7548</v>
      </c>
      <c r="B167" s="5">
        <v>45960</v>
      </c>
      <c r="C167" s="4" t="s">
        <v>7367</v>
      </c>
      <c r="F167" s="38">
        <f ca="1">SUMIF('1) Import fichier Remi (coller)'!C:Y,A167,'1) Import fichier Remi (coller)'!R:R)</f>
        <v>0</v>
      </c>
      <c r="G167">
        <f ca="1">SUMIF('1) Import fichier Remi (coller)'!C:Y,A167,'1) Import fichier Remi (coller)'!T:T)</f>
        <v>0</v>
      </c>
      <c r="H167" s="39">
        <f t="shared" ca="1" si="4"/>
        <v>0</v>
      </c>
      <c r="I167" s="39">
        <f t="shared" ca="1" si="5"/>
        <v>0</v>
      </c>
    </row>
    <row r="168" spans="1:9" x14ac:dyDescent="0.25">
      <c r="A168" s="4" t="s">
        <v>7549</v>
      </c>
      <c r="B168" s="5">
        <v>45960</v>
      </c>
      <c r="C168" s="4" t="s">
        <v>7409</v>
      </c>
      <c r="F168" s="38">
        <f ca="1">SUMIF('1) Import fichier Remi (coller)'!C:Y,A168,'1) Import fichier Remi (coller)'!R:R)</f>
        <v>0</v>
      </c>
      <c r="G168">
        <f ca="1">SUMIF('1) Import fichier Remi (coller)'!C:Y,A168,'1) Import fichier Remi (coller)'!T:T)</f>
        <v>0</v>
      </c>
      <c r="H168" s="39">
        <f t="shared" ca="1" si="4"/>
        <v>0</v>
      </c>
      <c r="I168" s="39">
        <f t="shared" ca="1" si="5"/>
        <v>0</v>
      </c>
    </row>
    <row r="169" spans="1:9" x14ac:dyDescent="0.25">
      <c r="A169" s="4" t="s">
        <v>7550</v>
      </c>
      <c r="B169" s="5">
        <v>45961</v>
      </c>
      <c r="C169" s="4" t="s">
        <v>7367</v>
      </c>
      <c r="F169" s="38">
        <f ca="1">SUMIF('1) Import fichier Remi (coller)'!C:Y,A169,'1) Import fichier Remi (coller)'!R:R)</f>
        <v>0</v>
      </c>
      <c r="G169">
        <f ca="1">SUMIF('1) Import fichier Remi (coller)'!C:Y,A169,'1) Import fichier Remi (coller)'!T:T)</f>
        <v>0</v>
      </c>
      <c r="H169" s="39">
        <f t="shared" ca="1" si="4"/>
        <v>0</v>
      </c>
      <c r="I169" s="39">
        <f t="shared" ca="1" si="5"/>
        <v>0</v>
      </c>
    </row>
    <row r="170" spans="1:9" x14ac:dyDescent="0.25">
      <c r="A170" s="4"/>
      <c r="B170" s="5"/>
      <c r="C170" s="4"/>
      <c r="F170" s="38">
        <f ca="1">SUMIF('1) Import fichier Remi (coller)'!C:Y,A170,'1) Import fichier Remi (coller)'!R:R)</f>
        <v>0</v>
      </c>
      <c r="G170">
        <f ca="1">SUMIF('1) Import fichier Remi (coller)'!C:Y,A170,'1) Import fichier Remi (coller)'!T:T)</f>
        <v>0</v>
      </c>
      <c r="H170" s="39">
        <f t="shared" ca="1" si="4"/>
        <v>0</v>
      </c>
      <c r="I170" s="39">
        <f t="shared" ca="1" si="5"/>
        <v>0</v>
      </c>
    </row>
    <row r="171" spans="1:9" x14ac:dyDescent="0.25">
      <c r="A171" s="4"/>
      <c r="B171" s="5"/>
      <c r="C171" s="4"/>
      <c r="F171" s="38">
        <f ca="1">SUMIF('1) Import fichier Remi (coller)'!C:Y,A171,'1) Import fichier Remi (coller)'!R:R)</f>
        <v>0</v>
      </c>
      <c r="G171">
        <f ca="1">SUMIF('1) Import fichier Remi (coller)'!C:Y,A171,'1) Import fichier Remi (coller)'!T:T)</f>
        <v>0</v>
      </c>
      <c r="H171" s="39">
        <f t="shared" ca="1" si="4"/>
        <v>0</v>
      </c>
      <c r="I171" s="39">
        <f t="shared" ca="1" si="5"/>
        <v>0</v>
      </c>
    </row>
    <row r="172" spans="1:9" x14ac:dyDescent="0.25">
      <c r="A172" s="4"/>
      <c r="B172" s="5"/>
      <c r="C172" s="4"/>
      <c r="F172" s="38">
        <f ca="1">SUMIF('1) Import fichier Remi (coller)'!C:Y,A172,'1) Import fichier Remi (coller)'!R:R)</f>
        <v>0</v>
      </c>
      <c r="G172">
        <f ca="1">SUMIF('1) Import fichier Remi (coller)'!C:Y,A172,'1) Import fichier Remi (coller)'!T:T)</f>
        <v>0</v>
      </c>
      <c r="H172" s="39">
        <f t="shared" ca="1" si="4"/>
        <v>0</v>
      </c>
      <c r="I172" s="39">
        <f t="shared" ca="1" si="5"/>
        <v>0</v>
      </c>
    </row>
    <row r="173" spans="1:9" x14ac:dyDescent="0.25">
      <c r="A173" s="4"/>
      <c r="B173" s="5"/>
      <c r="C173" s="4"/>
      <c r="F173" s="38">
        <f ca="1">SUMIF('1) Import fichier Remi (coller)'!C:Y,A173,'1) Import fichier Remi (coller)'!R:R)</f>
        <v>0</v>
      </c>
      <c r="G173">
        <f ca="1">SUMIF('1) Import fichier Remi (coller)'!C:Y,A173,'1) Import fichier Remi (coller)'!T:T)</f>
        <v>0</v>
      </c>
      <c r="H173" s="39">
        <f t="shared" ca="1" si="4"/>
        <v>0</v>
      </c>
      <c r="I173" s="39">
        <f t="shared" ca="1" si="5"/>
        <v>0</v>
      </c>
    </row>
    <row r="174" spans="1:9" x14ac:dyDescent="0.25">
      <c r="A174" s="4"/>
      <c r="B174" s="5"/>
      <c r="C174" s="4"/>
      <c r="F174" s="38">
        <f ca="1">SUMIF('1) Import fichier Remi (coller)'!C:Y,A174,'1) Import fichier Remi (coller)'!R:R)</f>
        <v>0</v>
      </c>
      <c r="G174">
        <f ca="1">SUMIF('1) Import fichier Remi (coller)'!C:Y,A174,'1) Import fichier Remi (coller)'!T:T)</f>
        <v>0</v>
      </c>
      <c r="H174" s="39">
        <f t="shared" ca="1" si="4"/>
        <v>0</v>
      </c>
      <c r="I174" s="39">
        <f t="shared" ca="1" si="5"/>
        <v>0</v>
      </c>
    </row>
    <row r="175" spans="1:9" x14ac:dyDescent="0.25">
      <c r="A175" s="4"/>
      <c r="B175" s="5"/>
      <c r="C175" s="4"/>
      <c r="F175" s="38">
        <f ca="1">SUMIF('1) Import fichier Remi (coller)'!C:Y,A175,'1) Import fichier Remi (coller)'!R:R)</f>
        <v>0</v>
      </c>
      <c r="G175">
        <f ca="1">SUMIF('1) Import fichier Remi (coller)'!C:Y,A175,'1) Import fichier Remi (coller)'!T:T)</f>
        <v>0</v>
      </c>
      <c r="H175" s="39">
        <f t="shared" ca="1" si="4"/>
        <v>0</v>
      </c>
      <c r="I175" s="39">
        <f t="shared" ca="1" si="5"/>
        <v>0</v>
      </c>
    </row>
    <row r="176" spans="1:9" x14ac:dyDescent="0.25">
      <c r="A176" s="4"/>
      <c r="B176" s="5"/>
      <c r="C176" s="4"/>
      <c r="F176" s="38">
        <f ca="1">SUMIF('1) Import fichier Remi (coller)'!C:Y,A176,'1) Import fichier Remi (coller)'!R:R)</f>
        <v>0</v>
      </c>
      <c r="G176">
        <f ca="1">SUMIF('1) Import fichier Remi (coller)'!C:Y,A176,'1) Import fichier Remi (coller)'!T:T)</f>
        <v>0</v>
      </c>
      <c r="H176" s="39">
        <f t="shared" ca="1" si="4"/>
        <v>0</v>
      </c>
      <c r="I176" s="39">
        <f t="shared" ca="1" si="5"/>
        <v>0</v>
      </c>
    </row>
    <row r="177" spans="1:9" x14ac:dyDescent="0.25">
      <c r="A177" s="4"/>
      <c r="B177" s="5"/>
      <c r="C177" s="4"/>
      <c r="F177" s="38">
        <f ca="1">SUMIF('1) Import fichier Remi (coller)'!C:Y,A177,'1) Import fichier Remi (coller)'!R:R)</f>
        <v>0</v>
      </c>
      <c r="G177">
        <f ca="1">SUMIF('1) Import fichier Remi (coller)'!C:Y,A177,'1) Import fichier Remi (coller)'!T:T)</f>
        <v>0</v>
      </c>
      <c r="H177" s="39">
        <f t="shared" ca="1" si="4"/>
        <v>0</v>
      </c>
      <c r="I177" s="39">
        <f t="shared" ca="1" si="5"/>
        <v>0</v>
      </c>
    </row>
    <row r="178" spans="1:9" x14ac:dyDescent="0.25">
      <c r="A178" s="4"/>
      <c r="B178" s="5"/>
      <c r="C178" s="4"/>
      <c r="F178" s="38">
        <f ca="1">SUMIF('1) Import fichier Remi (coller)'!C:Y,A178,'1) Import fichier Remi (coller)'!R:R)</f>
        <v>0</v>
      </c>
      <c r="G178">
        <f ca="1">SUMIF('1) Import fichier Remi (coller)'!C:Y,A178,'1) Import fichier Remi (coller)'!T:T)</f>
        <v>0</v>
      </c>
      <c r="H178" s="39">
        <f t="shared" ca="1" si="4"/>
        <v>0</v>
      </c>
      <c r="I178" s="39">
        <f t="shared" ca="1" si="5"/>
        <v>0</v>
      </c>
    </row>
    <row r="179" spans="1:9" x14ac:dyDescent="0.25">
      <c r="A179" s="4"/>
      <c r="B179" s="5"/>
      <c r="C179" s="4"/>
      <c r="F179" s="38">
        <f ca="1">SUMIF('1) Import fichier Remi (coller)'!C:Y,A179,'1) Import fichier Remi (coller)'!R:R)</f>
        <v>0</v>
      </c>
      <c r="G179">
        <f ca="1">SUMIF('1) Import fichier Remi (coller)'!C:Y,A179,'1) Import fichier Remi (coller)'!T:T)</f>
        <v>0</v>
      </c>
      <c r="H179" s="39">
        <f t="shared" ref="H179:H192" ca="1" si="6">D179-F179</f>
        <v>0</v>
      </c>
      <c r="I179" s="39">
        <f t="shared" ref="I179:I192" ca="1" si="7">E179-G179</f>
        <v>0</v>
      </c>
    </row>
    <row r="180" spans="1:9" x14ac:dyDescent="0.25">
      <c r="A180" s="4"/>
      <c r="B180" s="5"/>
      <c r="C180" s="4"/>
      <c r="F180" s="38">
        <f ca="1">SUMIF('1) Import fichier Remi (coller)'!C:Y,A180,'1) Import fichier Remi (coller)'!R:R)</f>
        <v>0</v>
      </c>
      <c r="G180">
        <f ca="1">SUMIF('1) Import fichier Remi (coller)'!C:Y,A180,'1) Import fichier Remi (coller)'!T:T)</f>
        <v>0</v>
      </c>
      <c r="H180" s="39">
        <f t="shared" ca="1" si="6"/>
        <v>0</v>
      </c>
      <c r="I180" s="39">
        <f t="shared" ca="1" si="7"/>
        <v>0</v>
      </c>
    </row>
    <row r="181" spans="1:9" x14ac:dyDescent="0.25">
      <c r="A181" s="4"/>
      <c r="B181" s="5"/>
      <c r="C181" s="4"/>
      <c r="F181" s="38">
        <f ca="1">SUMIF('1) Import fichier Remi (coller)'!C:Y,A181,'1) Import fichier Remi (coller)'!R:R)</f>
        <v>0</v>
      </c>
      <c r="G181">
        <f ca="1">SUMIF('1) Import fichier Remi (coller)'!C:Y,A181,'1) Import fichier Remi (coller)'!T:T)</f>
        <v>0</v>
      </c>
      <c r="H181" s="39">
        <f t="shared" ca="1" si="6"/>
        <v>0</v>
      </c>
      <c r="I181" s="39">
        <f t="shared" ca="1" si="7"/>
        <v>0</v>
      </c>
    </row>
    <row r="182" spans="1:9" x14ac:dyDescent="0.25">
      <c r="A182" s="4"/>
      <c r="B182" s="5"/>
      <c r="C182" s="4"/>
      <c r="F182" s="38">
        <f ca="1">SUMIF('1) Import fichier Remi (coller)'!C:Y,A182,'1) Import fichier Remi (coller)'!R:R)</f>
        <v>0</v>
      </c>
      <c r="G182">
        <f ca="1">SUMIF('1) Import fichier Remi (coller)'!C:Y,A182,'1) Import fichier Remi (coller)'!T:T)</f>
        <v>0</v>
      </c>
      <c r="H182" s="39">
        <f t="shared" ca="1" si="6"/>
        <v>0</v>
      </c>
      <c r="I182" s="39">
        <f t="shared" ca="1" si="7"/>
        <v>0</v>
      </c>
    </row>
    <row r="183" spans="1:9" x14ac:dyDescent="0.25">
      <c r="A183" s="4"/>
      <c r="B183" s="5"/>
      <c r="C183" s="4"/>
      <c r="F183" s="38">
        <f ca="1">SUMIF('1) Import fichier Remi (coller)'!C:Y,A183,'1) Import fichier Remi (coller)'!R:R)</f>
        <v>0</v>
      </c>
      <c r="G183">
        <f ca="1">SUMIF('1) Import fichier Remi (coller)'!C:Y,A183,'1) Import fichier Remi (coller)'!T:T)</f>
        <v>0</v>
      </c>
      <c r="H183" s="39">
        <f t="shared" ca="1" si="6"/>
        <v>0</v>
      </c>
      <c r="I183" s="39">
        <f t="shared" ca="1" si="7"/>
        <v>0</v>
      </c>
    </row>
    <row r="184" spans="1:9" x14ac:dyDescent="0.25">
      <c r="A184" s="4"/>
      <c r="B184" s="5"/>
      <c r="C184" s="4"/>
      <c r="F184" s="38">
        <f ca="1">SUMIF('1) Import fichier Remi (coller)'!C:Y,A184,'1) Import fichier Remi (coller)'!R:R)</f>
        <v>0</v>
      </c>
      <c r="G184">
        <f ca="1">SUMIF('1) Import fichier Remi (coller)'!C:Y,A184,'1) Import fichier Remi (coller)'!T:T)</f>
        <v>0</v>
      </c>
      <c r="H184" s="39">
        <f t="shared" ca="1" si="6"/>
        <v>0</v>
      </c>
      <c r="I184" s="39">
        <f t="shared" ca="1" si="7"/>
        <v>0</v>
      </c>
    </row>
    <row r="185" spans="1:9" x14ac:dyDescent="0.25">
      <c r="A185" s="4"/>
      <c r="B185" s="5"/>
      <c r="C185" s="4"/>
      <c r="F185" s="38">
        <f ca="1">SUMIF('1) Import fichier Remi (coller)'!C:Y,A185,'1) Import fichier Remi (coller)'!R:R)</f>
        <v>0</v>
      </c>
      <c r="G185">
        <f ca="1">SUMIF('1) Import fichier Remi (coller)'!C:Y,A185,'1) Import fichier Remi (coller)'!T:T)</f>
        <v>0</v>
      </c>
      <c r="H185" s="39">
        <f t="shared" ca="1" si="6"/>
        <v>0</v>
      </c>
      <c r="I185" s="39">
        <f t="shared" ca="1" si="7"/>
        <v>0</v>
      </c>
    </row>
    <row r="186" spans="1:9" x14ac:dyDescent="0.25">
      <c r="A186" s="4"/>
      <c r="B186" s="5"/>
      <c r="C186" s="4"/>
      <c r="F186" s="38">
        <f ca="1">SUMIF('1) Import fichier Remi (coller)'!C:Y,A186,'1) Import fichier Remi (coller)'!R:R)</f>
        <v>0</v>
      </c>
      <c r="G186">
        <f ca="1">SUMIF('1) Import fichier Remi (coller)'!C:Y,A186,'1) Import fichier Remi (coller)'!T:T)</f>
        <v>0</v>
      </c>
      <c r="H186" s="39">
        <f t="shared" ca="1" si="6"/>
        <v>0</v>
      </c>
      <c r="I186" s="39">
        <f t="shared" ca="1" si="7"/>
        <v>0</v>
      </c>
    </row>
    <row r="187" spans="1:9" x14ac:dyDescent="0.25">
      <c r="A187" s="4"/>
      <c r="B187" s="5"/>
      <c r="C187" s="4"/>
      <c r="F187" s="38">
        <f ca="1">SUMIF('1) Import fichier Remi (coller)'!C:Y,A187,'1) Import fichier Remi (coller)'!R:R)</f>
        <v>0</v>
      </c>
      <c r="G187">
        <f ca="1">SUMIF('1) Import fichier Remi (coller)'!C:Y,A187,'1) Import fichier Remi (coller)'!T:T)</f>
        <v>0</v>
      </c>
      <c r="H187" s="39">
        <f t="shared" ca="1" si="6"/>
        <v>0</v>
      </c>
      <c r="I187" s="39">
        <f t="shared" ca="1" si="7"/>
        <v>0</v>
      </c>
    </row>
    <row r="188" spans="1:9" x14ac:dyDescent="0.25">
      <c r="A188" s="4"/>
      <c r="B188" s="5"/>
      <c r="C188" s="4"/>
      <c r="F188" s="38">
        <f ca="1">SUMIF('1) Import fichier Remi (coller)'!C:Y,A188,'1) Import fichier Remi (coller)'!R:R)</f>
        <v>0</v>
      </c>
      <c r="G188">
        <f ca="1">SUMIF('1) Import fichier Remi (coller)'!C:Y,A188,'1) Import fichier Remi (coller)'!T:T)</f>
        <v>0</v>
      </c>
      <c r="H188" s="39">
        <f t="shared" ca="1" si="6"/>
        <v>0</v>
      </c>
      <c r="I188" s="39">
        <f t="shared" ca="1" si="7"/>
        <v>0</v>
      </c>
    </row>
    <row r="189" spans="1:9" x14ac:dyDescent="0.25">
      <c r="A189" s="4"/>
      <c r="B189" s="5"/>
      <c r="C189" s="4"/>
      <c r="F189" s="38">
        <f ca="1">SUMIF('1) Import fichier Remi (coller)'!C:Y,A189,'1) Import fichier Remi (coller)'!R:R)</f>
        <v>0</v>
      </c>
      <c r="G189">
        <f ca="1">SUMIF('1) Import fichier Remi (coller)'!C:Y,A189,'1) Import fichier Remi (coller)'!T:T)</f>
        <v>0</v>
      </c>
      <c r="H189" s="39">
        <f t="shared" ca="1" si="6"/>
        <v>0</v>
      </c>
      <c r="I189" s="39">
        <f t="shared" ca="1" si="7"/>
        <v>0</v>
      </c>
    </row>
    <row r="190" spans="1:9" x14ac:dyDescent="0.25">
      <c r="A190" s="4"/>
      <c r="B190" s="5"/>
      <c r="C190" s="4"/>
      <c r="F190" s="38">
        <f ca="1">SUMIF('1) Import fichier Remi (coller)'!C:Y,A190,'1) Import fichier Remi (coller)'!R:R)</f>
        <v>0</v>
      </c>
      <c r="G190">
        <f ca="1">SUMIF('1) Import fichier Remi (coller)'!C:Y,A190,'1) Import fichier Remi (coller)'!T:T)</f>
        <v>0</v>
      </c>
      <c r="H190" s="39">
        <f t="shared" ca="1" si="6"/>
        <v>0</v>
      </c>
      <c r="I190" s="39">
        <f t="shared" ca="1" si="7"/>
        <v>0</v>
      </c>
    </row>
    <row r="191" spans="1:9" x14ac:dyDescent="0.25">
      <c r="A191" s="4"/>
      <c r="B191" s="5"/>
      <c r="C191" s="4"/>
      <c r="F191" s="38">
        <f ca="1">SUMIF('1) Import fichier Remi (coller)'!C:Y,A191,'1) Import fichier Remi (coller)'!R:R)</f>
        <v>0</v>
      </c>
      <c r="G191">
        <f ca="1">SUMIF('1) Import fichier Remi (coller)'!C:Y,A191,'1) Import fichier Remi (coller)'!T:T)</f>
        <v>0</v>
      </c>
      <c r="H191" s="39">
        <f t="shared" ca="1" si="6"/>
        <v>0</v>
      </c>
      <c r="I191" s="39">
        <f t="shared" ca="1" si="7"/>
        <v>0</v>
      </c>
    </row>
    <row r="192" spans="1:9" x14ac:dyDescent="0.25">
      <c r="A192" s="4"/>
      <c r="B192" s="5"/>
      <c r="C192" s="4"/>
      <c r="F192" s="38">
        <f ca="1">SUMIF('1) Import fichier Remi (coller)'!C:Y,A192,'1) Import fichier Remi (coller)'!R:R)</f>
        <v>0</v>
      </c>
      <c r="G192">
        <f ca="1">SUMIF('1) Import fichier Remi (coller)'!C:Y,A192,'1) Import fichier Remi (coller)'!T:T)</f>
        <v>0</v>
      </c>
      <c r="H192" s="39">
        <f t="shared" ca="1" si="6"/>
        <v>0</v>
      </c>
      <c r="I192" s="39">
        <f t="shared" ca="1" si="7"/>
        <v>0</v>
      </c>
    </row>
    <row r="193" spans="1:3" x14ac:dyDescent="0.25">
      <c r="A193" s="4"/>
      <c r="B193" s="5"/>
      <c r="C193" s="4"/>
    </row>
    <row r="194" spans="1:3" x14ac:dyDescent="0.25">
      <c r="A194" s="4"/>
      <c r="B194" s="5"/>
      <c r="C194" s="4"/>
    </row>
    <row r="195" spans="1:3" x14ac:dyDescent="0.25">
      <c r="A195" s="4"/>
      <c r="B195" s="5"/>
      <c r="C195" s="4"/>
    </row>
    <row r="196" spans="1:3" x14ac:dyDescent="0.25">
      <c r="A196" s="4"/>
      <c r="B196" s="5"/>
      <c r="C196" s="4"/>
    </row>
    <row r="197" spans="1:3" x14ac:dyDescent="0.25">
      <c r="A197" s="4"/>
      <c r="B197" s="5"/>
      <c r="C197" s="4"/>
    </row>
    <row r="198" spans="1:3" x14ac:dyDescent="0.25">
      <c r="A198" s="4"/>
      <c r="B198" s="5"/>
      <c r="C198" s="4"/>
    </row>
    <row r="199" spans="1:3" x14ac:dyDescent="0.25">
      <c r="A199" s="4"/>
      <c r="B199" s="5"/>
      <c r="C199" s="4"/>
    </row>
    <row r="200" spans="1:3" x14ac:dyDescent="0.25">
      <c r="A200" s="4"/>
      <c r="B200" s="5"/>
      <c r="C200" s="4"/>
    </row>
    <row r="201" spans="1:3" x14ac:dyDescent="0.25">
      <c r="A201" s="4"/>
      <c r="B201" s="5"/>
      <c r="C201" s="4"/>
    </row>
    <row r="202" spans="1:3" x14ac:dyDescent="0.25">
      <c r="A202" s="4"/>
      <c r="B202" s="5"/>
      <c r="C202" s="4"/>
    </row>
    <row r="203" spans="1:3" x14ac:dyDescent="0.25">
      <c r="A203" s="4"/>
      <c r="B203" s="5"/>
      <c r="C203" s="4"/>
    </row>
    <row r="204" spans="1:3" x14ac:dyDescent="0.25">
      <c r="A204" s="4"/>
      <c r="B204" s="5"/>
      <c r="C204" s="4"/>
    </row>
    <row r="205" spans="1:3" x14ac:dyDescent="0.25">
      <c r="A205" s="4"/>
      <c r="B205" s="5"/>
      <c r="C205" s="4"/>
    </row>
    <row r="206" spans="1:3" x14ac:dyDescent="0.25">
      <c r="A206" s="4"/>
      <c r="B206" s="5"/>
      <c r="C206" s="4"/>
    </row>
    <row r="207" spans="1:3" x14ac:dyDescent="0.25">
      <c r="A207" s="4"/>
      <c r="B207" s="5"/>
      <c r="C207" s="4"/>
    </row>
    <row r="208" spans="1:3" x14ac:dyDescent="0.25">
      <c r="A208" s="4"/>
      <c r="B208" s="5"/>
      <c r="C208" s="4"/>
    </row>
    <row r="209" spans="1:3" x14ac:dyDescent="0.25">
      <c r="A209" s="4"/>
      <c r="B209" s="5"/>
      <c r="C209" s="4"/>
    </row>
    <row r="210" spans="1:3" x14ac:dyDescent="0.25">
      <c r="A210" s="4"/>
      <c r="B210" s="5"/>
      <c r="C210" s="4"/>
    </row>
    <row r="211" spans="1:3" x14ac:dyDescent="0.25">
      <c r="A211" s="4"/>
      <c r="B211" s="5"/>
      <c r="C211" s="4"/>
    </row>
    <row r="212" spans="1:3" x14ac:dyDescent="0.25">
      <c r="A212" s="4"/>
      <c r="B212" s="5"/>
      <c r="C212" s="4"/>
    </row>
    <row r="213" spans="1:3" x14ac:dyDescent="0.25">
      <c r="A213" s="4"/>
      <c r="B213" s="5"/>
      <c r="C213" s="4"/>
    </row>
    <row r="214" spans="1:3" x14ac:dyDescent="0.25">
      <c r="A214" s="4"/>
      <c r="B214" s="5"/>
      <c r="C214" s="4"/>
    </row>
    <row r="215" spans="1:3" x14ac:dyDescent="0.25">
      <c r="A215" s="4"/>
      <c r="B215" s="5"/>
      <c r="C215" s="4"/>
    </row>
    <row r="216" spans="1:3" x14ac:dyDescent="0.25">
      <c r="A216" s="4"/>
      <c r="B216" s="5"/>
      <c r="C216" s="4"/>
    </row>
    <row r="217" spans="1:3" x14ac:dyDescent="0.25">
      <c r="A217" s="4"/>
      <c r="B217" s="5"/>
      <c r="C217" s="4"/>
    </row>
    <row r="218" spans="1:3" x14ac:dyDescent="0.25">
      <c r="A218" s="4"/>
      <c r="B218" s="5"/>
      <c r="C218" s="4"/>
    </row>
    <row r="219" spans="1:3" x14ac:dyDescent="0.25">
      <c r="A219" s="4"/>
      <c r="B219" s="5"/>
      <c r="C219" s="4"/>
    </row>
    <row r="220" spans="1:3" x14ac:dyDescent="0.25">
      <c r="A220" s="4"/>
      <c r="B220" s="5"/>
      <c r="C220" s="4"/>
    </row>
    <row r="221" spans="1:3" x14ac:dyDescent="0.25">
      <c r="A221" s="4"/>
      <c r="B221" s="5"/>
      <c r="C221" s="4"/>
    </row>
    <row r="222" spans="1:3" x14ac:dyDescent="0.25">
      <c r="A222" s="4"/>
      <c r="B222" s="5"/>
      <c r="C222" s="4"/>
    </row>
    <row r="223" spans="1:3" x14ac:dyDescent="0.25">
      <c r="A223" s="4"/>
      <c r="B223" s="5"/>
      <c r="C223" s="4"/>
    </row>
    <row r="224" spans="1:3" x14ac:dyDescent="0.25">
      <c r="A224" s="4"/>
      <c r="B224" s="5"/>
      <c r="C224" s="4"/>
    </row>
    <row r="225" spans="1:3" x14ac:dyDescent="0.25">
      <c r="A225" s="4"/>
      <c r="B225" s="5"/>
      <c r="C225" s="4"/>
    </row>
    <row r="226" spans="1:3" x14ac:dyDescent="0.25">
      <c r="A226" s="4"/>
      <c r="B226" s="5"/>
      <c r="C226" s="4"/>
    </row>
    <row r="227" spans="1:3" x14ac:dyDescent="0.25">
      <c r="A227" s="4"/>
      <c r="B227" s="5"/>
      <c r="C227" s="4"/>
    </row>
    <row r="228" spans="1:3" x14ac:dyDescent="0.25">
      <c r="A228" s="4"/>
      <c r="B228" s="5"/>
      <c r="C228" s="4"/>
    </row>
    <row r="229" spans="1:3" x14ac:dyDescent="0.25">
      <c r="A229" s="4"/>
      <c r="B229" s="5"/>
      <c r="C229" s="4"/>
    </row>
    <row r="230" spans="1:3" x14ac:dyDescent="0.25">
      <c r="A230" s="4"/>
      <c r="B230" s="5"/>
      <c r="C230" s="4"/>
    </row>
    <row r="231" spans="1:3" x14ac:dyDescent="0.25">
      <c r="A231" s="4"/>
      <c r="B231" s="5"/>
      <c r="C231" s="4"/>
    </row>
    <row r="232" spans="1:3" x14ac:dyDescent="0.25">
      <c r="A232" s="4"/>
      <c r="B232" s="5"/>
      <c r="C232" s="4"/>
    </row>
    <row r="233" spans="1:3" x14ac:dyDescent="0.25">
      <c r="A233" s="4"/>
      <c r="B233" s="5"/>
      <c r="C233" s="4"/>
    </row>
    <row r="234" spans="1:3" x14ac:dyDescent="0.25">
      <c r="A234" s="4"/>
      <c r="B234" s="5"/>
      <c r="C234" s="4"/>
    </row>
    <row r="235" spans="1:3" x14ac:dyDescent="0.25">
      <c r="A235" s="4"/>
      <c r="B235" s="5"/>
      <c r="C235" s="4"/>
    </row>
    <row r="236" spans="1:3" x14ac:dyDescent="0.25">
      <c r="A236" s="4"/>
      <c r="B236" s="5"/>
      <c r="C236" s="4"/>
    </row>
    <row r="237" spans="1:3" x14ac:dyDescent="0.25">
      <c r="A237" s="4"/>
      <c r="B237" s="5"/>
      <c r="C237" s="4"/>
    </row>
    <row r="238" spans="1:3" x14ac:dyDescent="0.25">
      <c r="A238" s="4"/>
      <c r="B238" s="5"/>
      <c r="C238" s="4"/>
    </row>
    <row r="239" spans="1:3" x14ac:dyDescent="0.25">
      <c r="A239" s="4"/>
      <c r="B239" s="5"/>
      <c r="C239" s="4"/>
    </row>
    <row r="240" spans="1:3" x14ac:dyDescent="0.25">
      <c r="A240" s="4"/>
      <c r="B240" s="5"/>
      <c r="C240" s="4"/>
    </row>
    <row r="241" spans="1:3" x14ac:dyDescent="0.25">
      <c r="A241" s="4"/>
      <c r="B241" s="5"/>
      <c r="C241" s="4"/>
    </row>
    <row r="242" spans="1:3" x14ac:dyDescent="0.25">
      <c r="A242" s="4"/>
      <c r="B242" s="5"/>
      <c r="C242" s="4"/>
    </row>
    <row r="243" spans="1:3" x14ac:dyDescent="0.25">
      <c r="A243" s="4"/>
      <c r="B243" s="5"/>
      <c r="C243" s="4"/>
    </row>
    <row r="244" spans="1:3" x14ac:dyDescent="0.25">
      <c r="A244" s="4"/>
      <c r="B244" s="5"/>
      <c r="C244" s="4"/>
    </row>
    <row r="245" spans="1:3" x14ac:dyDescent="0.25">
      <c r="A245" s="4"/>
      <c r="B245" s="5"/>
      <c r="C245" s="4"/>
    </row>
    <row r="246" spans="1:3" x14ac:dyDescent="0.25">
      <c r="A246" s="4"/>
      <c r="B246" s="5"/>
      <c r="C246" s="4"/>
    </row>
    <row r="247" spans="1:3" x14ac:dyDescent="0.25">
      <c r="A247" s="4"/>
      <c r="B247" s="5"/>
      <c r="C247" s="4"/>
    </row>
    <row r="248" spans="1:3" x14ac:dyDescent="0.25">
      <c r="A248" s="4"/>
      <c r="B248" s="5"/>
      <c r="C248" s="4"/>
    </row>
    <row r="249" spans="1:3" x14ac:dyDescent="0.25">
      <c r="A249" s="4"/>
      <c r="B249" s="5"/>
      <c r="C249" s="4"/>
    </row>
    <row r="250" spans="1:3" x14ac:dyDescent="0.25">
      <c r="A250" s="4"/>
      <c r="B250" s="5"/>
      <c r="C250" s="4"/>
    </row>
    <row r="251" spans="1:3" x14ac:dyDescent="0.25">
      <c r="A251" s="4"/>
      <c r="B251" s="5"/>
      <c r="C251" s="4"/>
    </row>
    <row r="252" spans="1:3" x14ac:dyDescent="0.25">
      <c r="A252" s="4"/>
      <c r="B252" s="5"/>
      <c r="C252" s="4"/>
    </row>
    <row r="253" spans="1:3" x14ac:dyDescent="0.25">
      <c r="A253" s="4"/>
      <c r="B253" s="5"/>
      <c r="C253" s="4"/>
    </row>
    <row r="254" spans="1:3" x14ac:dyDescent="0.25">
      <c r="A254" s="4"/>
      <c r="B254" s="5"/>
      <c r="C254" s="4"/>
    </row>
    <row r="255" spans="1:3" x14ac:dyDescent="0.25">
      <c r="A255" s="4"/>
      <c r="B255" s="5"/>
      <c r="C255" s="4"/>
    </row>
    <row r="256" spans="1:3" x14ac:dyDescent="0.25">
      <c r="A256" s="4"/>
      <c r="B256" s="5"/>
      <c r="C256" s="4"/>
    </row>
    <row r="257" spans="1:3" x14ac:dyDescent="0.25">
      <c r="A257" s="4"/>
      <c r="B257" s="5"/>
      <c r="C257" s="4"/>
    </row>
    <row r="258" spans="1:3" x14ac:dyDescent="0.25">
      <c r="A258" s="4"/>
      <c r="B258" s="5"/>
      <c r="C258" s="4"/>
    </row>
    <row r="259" spans="1:3" x14ac:dyDescent="0.25">
      <c r="A259" s="4"/>
      <c r="B259" s="5"/>
      <c r="C259" s="4"/>
    </row>
    <row r="260" spans="1:3" x14ac:dyDescent="0.25">
      <c r="A260" s="4"/>
      <c r="B260" s="5"/>
      <c r="C260" s="4"/>
    </row>
    <row r="261" spans="1:3" x14ac:dyDescent="0.25">
      <c r="A261" s="4"/>
      <c r="B261" s="5"/>
      <c r="C261" s="4"/>
    </row>
    <row r="262" spans="1:3" x14ac:dyDescent="0.25">
      <c r="A262" s="4"/>
      <c r="B262" s="5"/>
      <c r="C262" s="4"/>
    </row>
    <row r="263" spans="1:3" x14ac:dyDescent="0.25">
      <c r="A263" s="4"/>
      <c r="B263" s="5"/>
      <c r="C263" s="4"/>
    </row>
    <row r="264" spans="1:3" x14ac:dyDescent="0.25">
      <c r="A264" s="4"/>
      <c r="B264" s="5"/>
      <c r="C264" s="4"/>
    </row>
    <row r="265" spans="1:3" x14ac:dyDescent="0.25">
      <c r="A265" s="4"/>
      <c r="B265" s="5"/>
      <c r="C265" s="4"/>
    </row>
    <row r="266" spans="1:3" x14ac:dyDescent="0.25">
      <c r="A266" s="4"/>
      <c r="B266" s="5"/>
      <c r="C266" s="4"/>
    </row>
    <row r="267" spans="1:3" x14ac:dyDescent="0.25">
      <c r="A267" s="4"/>
      <c r="B267" s="5"/>
      <c r="C267" s="4"/>
    </row>
    <row r="268" spans="1:3" x14ac:dyDescent="0.25">
      <c r="A268" s="4"/>
      <c r="B268" s="5"/>
      <c r="C268" s="4"/>
    </row>
    <row r="269" spans="1:3" x14ac:dyDescent="0.25">
      <c r="A269" s="4"/>
      <c r="B269" s="5"/>
      <c r="C269" s="4"/>
    </row>
    <row r="270" spans="1:3" x14ac:dyDescent="0.25">
      <c r="A270" s="4"/>
      <c r="B270" s="5"/>
      <c r="C270" s="4"/>
    </row>
    <row r="271" spans="1:3" x14ac:dyDescent="0.25">
      <c r="A271" s="4"/>
      <c r="B271" s="5"/>
      <c r="C271" s="4"/>
    </row>
    <row r="272" spans="1:3" x14ac:dyDescent="0.25">
      <c r="A272" s="4"/>
      <c r="B272" s="5"/>
      <c r="C272" s="4"/>
    </row>
    <row r="273" spans="1:3" x14ac:dyDescent="0.25">
      <c r="A273" s="4"/>
      <c r="B273" s="5"/>
      <c r="C273" s="4"/>
    </row>
    <row r="274" spans="1:3" x14ac:dyDescent="0.25">
      <c r="A274" s="4"/>
      <c r="B274" s="5"/>
      <c r="C274" s="4"/>
    </row>
    <row r="275" spans="1:3" x14ac:dyDescent="0.25">
      <c r="A275" s="4"/>
      <c r="B275" s="5"/>
      <c r="C275" s="4"/>
    </row>
    <row r="276" spans="1:3" x14ac:dyDescent="0.25">
      <c r="A276" s="4"/>
      <c r="B276" s="5"/>
      <c r="C276" s="4"/>
    </row>
    <row r="277" spans="1:3" x14ac:dyDescent="0.25">
      <c r="A277" s="4"/>
      <c r="B277" s="5"/>
      <c r="C277" s="4"/>
    </row>
    <row r="278" spans="1:3" x14ac:dyDescent="0.25">
      <c r="A278" s="4"/>
      <c r="B278" s="5"/>
      <c r="C278" s="4"/>
    </row>
    <row r="279" spans="1:3" x14ac:dyDescent="0.25">
      <c r="A279" s="4"/>
      <c r="B279" s="5"/>
      <c r="C279" s="4"/>
    </row>
    <row r="280" spans="1:3" x14ac:dyDescent="0.25">
      <c r="A280" s="4"/>
      <c r="B280" s="5"/>
      <c r="C280" s="4"/>
    </row>
    <row r="281" spans="1:3" x14ac:dyDescent="0.25">
      <c r="A281" s="4"/>
      <c r="B281" s="5"/>
      <c r="C281" s="4"/>
    </row>
    <row r="282" spans="1:3" x14ac:dyDescent="0.25">
      <c r="A282" s="4"/>
      <c r="B282" s="5"/>
      <c r="C282" s="4"/>
    </row>
    <row r="283" spans="1:3" x14ac:dyDescent="0.25">
      <c r="A283" s="4"/>
      <c r="B283" s="5"/>
      <c r="C283" s="4"/>
    </row>
    <row r="284" spans="1:3" x14ac:dyDescent="0.25">
      <c r="A284" s="4"/>
      <c r="B284" s="5"/>
      <c r="C284" s="4"/>
    </row>
    <row r="285" spans="1:3" x14ac:dyDescent="0.25">
      <c r="A285" s="4"/>
      <c r="B285" s="5"/>
      <c r="C285" s="4"/>
    </row>
    <row r="286" spans="1:3" x14ac:dyDescent="0.25">
      <c r="A286" s="4"/>
      <c r="B286" s="5"/>
      <c r="C286" s="4"/>
    </row>
    <row r="287" spans="1:3" x14ac:dyDescent="0.25">
      <c r="A287" s="4"/>
      <c r="B287" s="5"/>
      <c r="C287" s="4"/>
    </row>
    <row r="288" spans="1:3" x14ac:dyDescent="0.25">
      <c r="A288" s="4"/>
      <c r="B288" s="5"/>
      <c r="C288" s="4"/>
    </row>
    <row r="289" spans="1:3" x14ac:dyDescent="0.25">
      <c r="A289" s="4"/>
      <c r="B289" s="5"/>
      <c r="C289" s="4"/>
    </row>
    <row r="290" spans="1:3" x14ac:dyDescent="0.25">
      <c r="A290" s="4"/>
      <c r="B290" s="5"/>
      <c r="C290" s="4"/>
    </row>
    <row r="291" spans="1:3" x14ac:dyDescent="0.25">
      <c r="A291" s="4"/>
      <c r="B291" s="5"/>
      <c r="C291" s="4"/>
    </row>
    <row r="292" spans="1:3" x14ac:dyDescent="0.25">
      <c r="A292" s="4"/>
      <c r="B292" s="5"/>
      <c r="C292" s="4"/>
    </row>
    <row r="293" spans="1:3" x14ac:dyDescent="0.25">
      <c r="A293" s="4"/>
      <c r="B293" s="5"/>
    </row>
    <row r="294" spans="1:3" x14ac:dyDescent="0.25">
      <c r="A294" s="4"/>
      <c r="B294" s="5"/>
      <c r="C294" s="4"/>
    </row>
    <row r="295" spans="1:3" x14ac:dyDescent="0.25">
      <c r="A295" s="4"/>
      <c r="B295" s="5"/>
      <c r="C295" s="4"/>
    </row>
    <row r="296" spans="1:3" x14ac:dyDescent="0.25">
      <c r="A296" s="4"/>
      <c r="B296" s="5"/>
      <c r="C296" s="4"/>
    </row>
    <row r="297" spans="1:3" x14ac:dyDescent="0.25">
      <c r="A297" s="4"/>
      <c r="B297" s="5"/>
      <c r="C297" s="4"/>
    </row>
    <row r="298" spans="1:3" x14ac:dyDescent="0.25">
      <c r="A298" s="4"/>
      <c r="B298" s="5"/>
      <c r="C298" s="4"/>
    </row>
    <row r="299" spans="1:3" x14ac:dyDescent="0.25">
      <c r="A299" s="4"/>
      <c r="B299" s="5"/>
      <c r="C299" s="4"/>
    </row>
    <row r="300" spans="1:3" x14ac:dyDescent="0.25">
      <c r="A300" s="4"/>
      <c r="B300" s="5"/>
      <c r="C300" s="4"/>
    </row>
    <row r="301" spans="1:3" x14ac:dyDescent="0.25">
      <c r="A301" s="4"/>
      <c r="B301" s="5"/>
      <c r="C301" s="4"/>
    </row>
    <row r="302" spans="1:3" x14ac:dyDescent="0.25">
      <c r="A302" s="4"/>
      <c r="B302" s="5"/>
      <c r="C302" s="4"/>
    </row>
    <row r="303" spans="1:3" x14ac:dyDescent="0.25">
      <c r="A303" s="4"/>
      <c r="B303" s="5"/>
      <c r="C303" s="4"/>
    </row>
    <row r="304" spans="1:3" x14ac:dyDescent="0.25">
      <c r="A304" s="4"/>
      <c r="B304" s="5"/>
      <c r="C304" s="4"/>
    </row>
    <row r="305" spans="1:3" x14ac:dyDescent="0.25">
      <c r="A305" s="4"/>
      <c r="B305" s="5"/>
      <c r="C305" s="4"/>
    </row>
    <row r="306" spans="1:3" x14ac:dyDescent="0.25">
      <c r="A306" s="4"/>
      <c r="B306" s="5"/>
      <c r="C306" s="4"/>
    </row>
    <row r="307" spans="1:3" x14ac:dyDescent="0.25">
      <c r="A307" s="4"/>
      <c r="B307" s="5"/>
      <c r="C307" s="4"/>
    </row>
  </sheetData>
  <autoFilter ref="A1:I50" xr:uid="{DC696348-E2C4-47BC-BA11-761C8363D276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DDB1-E87B-4DB8-ABF1-F8A386EBF564}">
  <sheetPr>
    <tabColor theme="1"/>
  </sheetPr>
  <dimension ref="A1:D537"/>
  <sheetViews>
    <sheetView workbookViewId="0">
      <pane ySplit="1" topLeftCell="A495" activePane="bottomLeft" state="frozen"/>
      <selection pane="bottomLeft" activeCell="C537" sqref="C537"/>
    </sheetView>
  </sheetViews>
  <sheetFormatPr baseColWidth="10" defaultRowHeight="15" x14ac:dyDescent="0.25"/>
  <cols>
    <col min="1" max="1" width="61.42578125" bestFit="1" customWidth="1"/>
    <col min="3" max="3" width="18.5703125" bestFit="1" customWidth="1"/>
  </cols>
  <sheetData>
    <row r="1" spans="1:3" x14ac:dyDescent="0.25">
      <c r="A1" s="21" t="s">
        <v>266</v>
      </c>
      <c r="B1" s="21" t="s">
        <v>474</v>
      </c>
      <c r="C1" s="21" t="s">
        <v>475</v>
      </c>
    </row>
    <row r="2" spans="1:3" x14ac:dyDescent="0.25">
      <c r="A2" t="s">
        <v>518</v>
      </c>
      <c r="B2">
        <v>410000001</v>
      </c>
      <c r="C2" s="22" t="s">
        <v>22</v>
      </c>
    </row>
    <row r="3" spans="1:3" x14ac:dyDescent="0.25">
      <c r="A3" t="s">
        <v>536</v>
      </c>
      <c r="B3">
        <v>410000002</v>
      </c>
      <c r="C3" s="22" t="s">
        <v>306</v>
      </c>
    </row>
    <row r="4" spans="1:3" x14ac:dyDescent="0.25">
      <c r="A4" t="s">
        <v>499</v>
      </c>
      <c r="B4">
        <v>410000005</v>
      </c>
      <c r="C4" s="22" t="s">
        <v>31</v>
      </c>
    </row>
    <row r="5" spans="1:3" x14ac:dyDescent="0.25">
      <c r="A5" t="s">
        <v>554</v>
      </c>
      <c r="B5">
        <v>410000015</v>
      </c>
      <c r="C5" s="22" t="s">
        <v>284</v>
      </c>
    </row>
    <row r="6" spans="1:3" x14ac:dyDescent="0.25">
      <c r="A6" t="s">
        <v>526</v>
      </c>
      <c r="B6">
        <v>410000016</v>
      </c>
      <c r="C6" s="22" t="s">
        <v>286</v>
      </c>
    </row>
    <row r="7" spans="1:3" x14ac:dyDescent="0.25">
      <c r="A7" t="s">
        <v>491</v>
      </c>
      <c r="B7">
        <v>410000018</v>
      </c>
      <c r="C7" s="22" t="s">
        <v>118</v>
      </c>
    </row>
    <row r="8" spans="1:3" x14ac:dyDescent="0.25">
      <c r="A8" t="s">
        <v>528</v>
      </c>
      <c r="B8">
        <v>410000020</v>
      </c>
      <c r="C8" s="22" t="s">
        <v>231</v>
      </c>
    </row>
    <row r="9" spans="1:3" x14ac:dyDescent="0.25">
      <c r="A9" t="s">
        <v>533</v>
      </c>
      <c r="B9">
        <v>410000024</v>
      </c>
      <c r="C9" s="22" t="s">
        <v>301</v>
      </c>
    </row>
    <row r="10" spans="1:3" x14ac:dyDescent="0.25">
      <c r="A10" t="s">
        <v>537</v>
      </c>
      <c r="B10">
        <v>410000029</v>
      </c>
      <c r="C10" s="22" t="s">
        <v>119</v>
      </c>
    </row>
    <row r="11" spans="1:3" x14ac:dyDescent="0.25">
      <c r="A11" t="s">
        <v>541</v>
      </c>
      <c r="B11">
        <v>410000033</v>
      </c>
      <c r="C11" s="22" t="s">
        <v>44</v>
      </c>
    </row>
    <row r="12" spans="1:3" x14ac:dyDescent="0.25">
      <c r="A12" t="s">
        <v>575</v>
      </c>
      <c r="B12">
        <v>410000035</v>
      </c>
      <c r="C12" s="22" t="s">
        <v>36</v>
      </c>
    </row>
    <row r="13" spans="1:3" x14ac:dyDescent="0.25">
      <c r="A13" t="s">
        <v>552</v>
      </c>
      <c r="B13">
        <v>410000036</v>
      </c>
      <c r="C13" s="22" t="s">
        <v>32</v>
      </c>
    </row>
    <row r="14" spans="1:3" x14ac:dyDescent="0.25">
      <c r="A14" t="s">
        <v>524</v>
      </c>
      <c r="B14">
        <v>410000040</v>
      </c>
      <c r="C14" s="22" t="s">
        <v>236</v>
      </c>
    </row>
    <row r="15" spans="1:3" x14ac:dyDescent="0.25">
      <c r="A15" t="s">
        <v>543</v>
      </c>
      <c r="B15">
        <v>410000043</v>
      </c>
      <c r="C15" s="22" t="s">
        <v>325</v>
      </c>
    </row>
    <row r="16" spans="1:3" x14ac:dyDescent="0.25">
      <c r="A16" t="s">
        <v>548</v>
      </c>
      <c r="B16">
        <v>410000048</v>
      </c>
      <c r="C16" s="22" t="s">
        <v>333</v>
      </c>
    </row>
    <row r="17" spans="1:3" x14ac:dyDescent="0.25">
      <c r="A17" t="s">
        <v>553</v>
      </c>
      <c r="B17">
        <v>410000053</v>
      </c>
      <c r="C17" s="22" t="s">
        <v>339</v>
      </c>
    </row>
    <row r="18" spans="1:3" x14ac:dyDescent="0.25">
      <c r="A18" t="s">
        <v>503</v>
      </c>
      <c r="B18">
        <v>410000057</v>
      </c>
      <c r="C18" s="22" t="s">
        <v>350</v>
      </c>
    </row>
    <row r="19" spans="1:3" x14ac:dyDescent="0.25">
      <c r="A19" t="s">
        <v>559</v>
      </c>
      <c r="B19">
        <v>410000059</v>
      </c>
      <c r="C19" s="22" t="s">
        <v>33</v>
      </c>
    </row>
    <row r="20" spans="1:3" x14ac:dyDescent="0.25">
      <c r="A20" t="s">
        <v>716</v>
      </c>
      <c r="B20">
        <v>410000060</v>
      </c>
      <c r="C20" s="22" t="s">
        <v>120</v>
      </c>
    </row>
    <row r="21" spans="1:3" x14ac:dyDescent="0.25">
      <c r="A21" t="s">
        <v>560</v>
      </c>
      <c r="B21">
        <v>410000061</v>
      </c>
      <c r="C21" s="22" t="s">
        <v>168</v>
      </c>
    </row>
    <row r="22" spans="1:3" x14ac:dyDescent="0.25">
      <c r="A22" t="s">
        <v>504</v>
      </c>
      <c r="B22">
        <v>410000063</v>
      </c>
      <c r="C22" s="22" t="s">
        <v>355</v>
      </c>
    </row>
    <row r="23" spans="1:3" x14ac:dyDescent="0.25">
      <c r="A23" s="4" t="s">
        <v>7395</v>
      </c>
      <c r="B23">
        <v>410000066</v>
      </c>
      <c r="C23" s="4" t="s">
        <v>7377</v>
      </c>
    </row>
    <row r="24" spans="1:3" x14ac:dyDescent="0.25">
      <c r="A24" s="4" t="s">
        <v>7007</v>
      </c>
      <c r="B24">
        <v>410000070</v>
      </c>
      <c r="C24" s="4" t="s">
        <v>6934</v>
      </c>
    </row>
    <row r="25" spans="1:3" x14ac:dyDescent="0.25">
      <c r="A25" t="s">
        <v>512</v>
      </c>
      <c r="B25">
        <v>410000077</v>
      </c>
      <c r="C25" s="22" t="s">
        <v>362</v>
      </c>
    </row>
    <row r="26" spans="1:3" x14ac:dyDescent="0.25">
      <c r="A26" t="s">
        <v>675</v>
      </c>
      <c r="B26">
        <v>410000079</v>
      </c>
      <c r="C26" s="22" t="s">
        <v>45</v>
      </c>
    </row>
    <row r="27" spans="1:3" x14ac:dyDescent="0.25">
      <c r="A27" t="s">
        <v>368</v>
      </c>
      <c r="B27">
        <v>410000082</v>
      </c>
      <c r="C27" s="25" t="s">
        <v>204</v>
      </c>
    </row>
    <row r="28" spans="1:3" x14ac:dyDescent="0.25">
      <c r="A28" t="s">
        <v>506</v>
      </c>
      <c r="B28">
        <v>410000090</v>
      </c>
      <c r="C28" s="22" t="s">
        <v>378</v>
      </c>
    </row>
    <row r="29" spans="1:3" x14ac:dyDescent="0.25">
      <c r="A29" t="s">
        <v>506</v>
      </c>
      <c r="B29">
        <v>410000090</v>
      </c>
      <c r="C29" s="22" t="s">
        <v>145</v>
      </c>
    </row>
    <row r="30" spans="1:3" x14ac:dyDescent="0.25">
      <c r="A30" t="s">
        <v>597</v>
      </c>
      <c r="B30">
        <v>410000091</v>
      </c>
      <c r="C30" s="22" t="s">
        <v>380</v>
      </c>
    </row>
    <row r="31" spans="1:3" x14ac:dyDescent="0.25">
      <c r="A31" t="s">
        <v>633</v>
      </c>
      <c r="B31">
        <v>410000094</v>
      </c>
      <c r="C31" s="22" t="s">
        <v>431</v>
      </c>
    </row>
    <row r="32" spans="1:3" x14ac:dyDescent="0.25">
      <c r="A32" t="s">
        <v>511</v>
      </c>
      <c r="B32">
        <v>410000098</v>
      </c>
      <c r="C32" s="22" t="s">
        <v>26</v>
      </c>
    </row>
    <row r="33" spans="1:3" x14ac:dyDescent="0.25">
      <c r="A33" t="s">
        <v>564</v>
      </c>
      <c r="B33">
        <v>410000101</v>
      </c>
      <c r="C33" s="22" t="s">
        <v>388</v>
      </c>
    </row>
    <row r="34" spans="1:3" x14ac:dyDescent="0.25">
      <c r="A34" t="s">
        <v>580</v>
      </c>
      <c r="B34">
        <v>410000108</v>
      </c>
      <c r="C34" s="22" t="s">
        <v>218</v>
      </c>
    </row>
    <row r="35" spans="1:3" x14ac:dyDescent="0.25">
      <c r="A35" t="s">
        <v>517</v>
      </c>
      <c r="B35">
        <v>410000110</v>
      </c>
      <c r="C35" s="22" t="s">
        <v>390</v>
      </c>
    </row>
    <row r="36" spans="1:3" x14ac:dyDescent="0.25">
      <c r="A36" t="s">
        <v>517</v>
      </c>
      <c r="B36">
        <v>410000110</v>
      </c>
      <c r="C36" s="22" t="s">
        <v>145</v>
      </c>
    </row>
    <row r="37" spans="1:3" x14ac:dyDescent="0.25">
      <c r="A37" t="s">
        <v>585</v>
      </c>
      <c r="B37">
        <v>410000112</v>
      </c>
      <c r="C37" s="22" t="s">
        <v>94</v>
      </c>
    </row>
    <row r="38" spans="1:3" x14ac:dyDescent="0.25">
      <c r="A38" t="s">
        <v>546</v>
      </c>
      <c r="B38">
        <v>410000117</v>
      </c>
      <c r="C38" s="22" t="s">
        <v>401</v>
      </c>
    </row>
    <row r="39" spans="1:3" x14ac:dyDescent="0.25">
      <c r="A39" t="s">
        <v>611</v>
      </c>
      <c r="B39">
        <v>410000119</v>
      </c>
      <c r="C39" s="22" t="s">
        <v>7264</v>
      </c>
    </row>
    <row r="40" spans="1:3" x14ac:dyDescent="0.25">
      <c r="A40" t="s">
        <v>500</v>
      </c>
      <c r="B40">
        <v>410000122</v>
      </c>
      <c r="C40" s="22" t="s">
        <v>121</v>
      </c>
    </row>
    <row r="41" spans="1:3" x14ac:dyDescent="0.25">
      <c r="A41" t="s">
        <v>717</v>
      </c>
      <c r="B41">
        <v>410000123</v>
      </c>
      <c r="C41" s="22" t="s">
        <v>411</v>
      </c>
    </row>
    <row r="42" spans="1:3" x14ac:dyDescent="0.25">
      <c r="A42" t="s">
        <v>509</v>
      </c>
      <c r="B42">
        <v>410000125</v>
      </c>
      <c r="C42" s="22" t="s">
        <v>415</v>
      </c>
    </row>
    <row r="43" spans="1:3" x14ac:dyDescent="0.25">
      <c r="A43" t="s">
        <v>562</v>
      </c>
      <c r="B43">
        <v>410000126</v>
      </c>
      <c r="C43" s="22" t="s">
        <v>443</v>
      </c>
    </row>
    <row r="44" spans="1:3" x14ac:dyDescent="0.25">
      <c r="A44" t="s">
        <v>593</v>
      </c>
      <c r="B44">
        <v>410000128</v>
      </c>
      <c r="C44" s="22" t="s">
        <v>417</v>
      </c>
    </row>
    <row r="45" spans="1:3" x14ac:dyDescent="0.25">
      <c r="A45" t="s">
        <v>599</v>
      </c>
      <c r="B45">
        <v>410000134</v>
      </c>
      <c r="C45" s="22" t="s">
        <v>122</v>
      </c>
    </row>
    <row r="46" spans="1:3" x14ac:dyDescent="0.25">
      <c r="A46" t="s">
        <v>556</v>
      </c>
      <c r="B46">
        <v>410000141</v>
      </c>
      <c r="C46" s="22" t="s">
        <v>206</v>
      </c>
    </row>
    <row r="47" spans="1:3" x14ac:dyDescent="0.25">
      <c r="A47" t="s">
        <v>602</v>
      </c>
      <c r="B47">
        <v>410000142</v>
      </c>
      <c r="C47" s="22" t="s">
        <v>434</v>
      </c>
    </row>
    <row r="48" spans="1:3" x14ac:dyDescent="0.25">
      <c r="A48" t="s">
        <v>603</v>
      </c>
      <c r="B48">
        <v>410000143</v>
      </c>
      <c r="C48" s="22" t="s">
        <v>436</v>
      </c>
    </row>
    <row r="49" spans="1:3" x14ac:dyDescent="0.25">
      <c r="A49" t="s">
        <v>608</v>
      </c>
      <c r="B49">
        <v>410000146</v>
      </c>
      <c r="C49" s="22" t="s">
        <v>444</v>
      </c>
    </row>
    <row r="50" spans="1:3" x14ac:dyDescent="0.25">
      <c r="A50" s="25" t="s">
        <v>6917</v>
      </c>
      <c r="B50">
        <v>410000156</v>
      </c>
      <c r="C50" s="25" t="s">
        <v>74</v>
      </c>
    </row>
    <row r="51" spans="1:3" x14ac:dyDescent="0.25">
      <c r="A51" t="s">
        <v>587</v>
      </c>
      <c r="B51">
        <v>410000157</v>
      </c>
      <c r="C51" s="22" t="s">
        <v>38</v>
      </c>
    </row>
    <row r="52" spans="1:3" x14ac:dyDescent="0.25">
      <c r="A52" t="s">
        <v>601</v>
      </c>
      <c r="B52">
        <v>410000163</v>
      </c>
      <c r="C52" s="22" t="s">
        <v>189</v>
      </c>
    </row>
    <row r="53" spans="1:3" x14ac:dyDescent="0.25">
      <c r="A53" t="s">
        <v>493</v>
      </c>
      <c r="B53">
        <v>410000170</v>
      </c>
      <c r="C53" s="22" t="s">
        <v>24</v>
      </c>
    </row>
    <row r="54" spans="1:3" x14ac:dyDescent="0.25">
      <c r="A54" s="4" t="s">
        <v>7006</v>
      </c>
      <c r="B54">
        <v>410000172</v>
      </c>
      <c r="C54" s="4" t="s">
        <v>6933</v>
      </c>
    </row>
    <row r="55" spans="1:3" x14ac:dyDescent="0.25">
      <c r="A55" t="s">
        <v>492</v>
      </c>
      <c r="B55">
        <v>410000174</v>
      </c>
      <c r="C55" s="22" t="s">
        <v>23</v>
      </c>
    </row>
    <row r="56" spans="1:3" x14ac:dyDescent="0.25">
      <c r="A56" s="4" t="s">
        <v>7782</v>
      </c>
      <c r="B56">
        <v>410000186</v>
      </c>
      <c r="C56" t="s">
        <v>7774</v>
      </c>
    </row>
    <row r="57" spans="1:3" x14ac:dyDescent="0.25">
      <c r="A57" t="s">
        <v>571</v>
      </c>
      <c r="B57">
        <v>410000188</v>
      </c>
      <c r="C57" s="22" t="s">
        <v>371</v>
      </c>
    </row>
    <row r="58" spans="1:3" x14ac:dyDescent="0.25">
      <c r="A58" t="s">
        <v>652</v>
      </c>
      <c r="B58">
        <v>410000191</v>
      </c>
      <c r="C58" s="22" t="s">
        <v>439</v>
      </c>
    </row>
    <row r="59" spans="1:3" x14ac:dyDescent="0.25">
      <c r="A59" s="25" t="s">
        <v>6918</v>
      </c>
      <c r="B59">
        <v>410000192</v>
      </c>
      <c r="C59" s="25" t="s">
        <v>232</v>
      </c>
    </row>
    <row r="60" spans="1:3" x14ac:dyDescent="0.25">
      <c r="A60" t="s">
        <v>581</v>
      </c>
      <c r="B60">
        <v>410000193</v>
      </c>
      <c r="C60" s="22" t="s">
        <v>299</v>
      </c>
    </row>
    <row r="61" spans="1:3" x14ac:dyDescent="0.25">
      <c r="A61" t="s">
        <v>497</v>
      </c>
      <c r="B61">
        <v>410000195</v>
      </c>
      <c r="C61" s="22" t="s">
        <v>429</v>
      </c>
    </row>
    <row r="62" spans="1:3" x14ac:dyDescent="0.25">
      <c r="A62" t="s">
        <v>600</v>
      </c>
      <c r="B62">
        <v>410000200</v>
      </c>
      <c r="C62" s="22" t="s">
        <v>430</v>
      </c>
    </row>
    <row r="63" spans="1:3" x14ac:dyDescent="0.25">
      <c r="A63" t="s">
        <v>612</v>
      </c>
      <c r="B63">
        <v>410000202</v>
      </c>
      <c r="C63" s="22" t="s">
        <v>341</v>
      </c>
    </row>
    <row r="64" spans="1:3" x14ac:dyDescent="0.25">
      <c r="A64" t="s">
        <v>574</v>
      </c>
      <c r="B64">
        <v>410000204</v>
      </c>
      <c r="C64" s="22" t="s">
        <v>381</v>
      </c>
    </row>
    <row r="65" spans="1:3" x14ac:dyDescent="0.25">
      <c r="A65" t="s">
        <v>530</v>
      </c>
      <c r="B65">
        <v>410000209</v>
      </c>
      <c r="C65" s="22" t="s">
        <v>291</v>
      </c>
    </row>
    <row r="66" spans="1:3" x14ac:dyDescent="0.25">
      <c r="A66" t="s">
        <v>665</v>
      </c>
      <c r="B66">
        <v>410000211</v>
      </c>
      <c r="C66" s="22" t="s">
        <v>269</v>
      </c>
    </row>
    <row r="67" spans="1:3" x14ac:dyDescent="0.25">
      <c r="A67" s="4" t="s">
        <v>7016</v>
      </c>
      <c r="B67">
        <v>410000212</v>
      </c>
      <c r="C67" s="4" t="s">
        <v>7891</v>
      </c>
    </row>
    <row r="68" spans="1:3" x14ac:dyDescent="0.25">
      <c r="A68" t="s">
        <v>594</v>
      </c>
      <c r="B68">
        <v>410000213</v>
      </c>
      <c r="C68" s="22" t="s">
        <v>39</v>
      </c>
    </row>
    <row r="69" spans="1:3" x14ac:dyDescent="0.25">
      <c r="A69" t="s">
        <v>630</v>
      </c>
      <c r="B69">
        <v>410000216</v>
      </c>
      <c r="C69" s="22" t="s">
        <v>42</v>
      </c>
    </row>
    <row r="70" spans="1:3" x14ac:dyDescent="0.25">
      <c r="A70" t="s">
        <v>2541</v>
      </c>
      <c r="B70">
        <v>410000220</v>
      </c>
      <c r="C70" t="s">
        <v>7952</v>
      </c>
    </row>
    <row r="71" spans="1:3" x14ac:dyDescent="0.25">
      <c r="A71" t="s">
        <v>592</v>
      </c>
      <c r="B71">
        <v>410000226</v>
      </c>
      <c r="C71" s="22" t="s">
        <v>123</v>
      </c>
    </row>
    <row r="72" spans="1:3" x14ac:dyDescent="0.25">
      <c r="A72" t="s">
        <v>595</v>
      </c>
      <c r="B72">
        <v>410000229</v>
      </c>
      <c r="C72" s="22" t="s">
        <v>422</v>
      </c>
    </row>
    <row r="73" spans="1:3" x14ac:dyDescent="0.25">
      <c r="A73" t="s">
        <v>628</v>
      </c>
      <c r="B73">
        <v>410000236</v>
      </c>
      <c r="C73" s="22" t="s">
        <v>42</v>
      </c>
    </row>
    <row r="74" spans="1:3" x14ac:dyDescent="0.25">
      <c r="A74" t="s">
        <v>476</v>
      </c>
      <c r="B74">
        <v>410000241</v>
      </c>
      <c r="C74" s="22" t="s">
        <v>124</v>
      </c>
    </row>
    <row r="75" spans="1:3" x14ac:dyDescent="0.25">
      <c r="A75" t="s">
        <v>476</v>
      </c>
      <c r="B75">
        <v>410000241</v>
      </c>
      <c r="C75" s="22" t="s">
        <v>87</v>
      </c>
    </row>
    <row r="76" spans="1:3" x14ac:dyDescent="0.25">
      <c r="A76" t="s">
        <v>502</v>
      </c>
      <c r="B76">
        <v>410000245</v>
      </c>
      <c r="C76" s="22" t="s">
        <v>348</v>
      </c>
    </row>
    <row r="77" spans="1:3" x14ac:dyDescent="0.25">
      <c r="A77" t="s">
        <v>539</v>
      </c>
      <c r="B77">
        <v>410000247</v>
      </c>
      <c r="C77" s="22" t="s">
        <v>314</v>
      </c>
    </row>
    <row r="78" spans="1:3" x14ac:dyDescent="0.25">
      <c r="A78" t="s">
        <v>555</v>
      </c>
      <c r="B78">
        <v>410000251</v>
      </c>
      <c r="C78" s="22" t="s">
        <v>125</v>
      </c>
    </row>
    <row r="79" spans="1:3" x14ac:dyDescent="0.25">
      <c r="A79" t="s">
        <v>570</v>
      </c>
      <c r="B79">
        <v>410000252</v>
      </c>
      <c r="C79" s="22" t="s">
        <v>35</v>
      </c>
    </row>
    <row r="80" spans="1:3" x14ac:dyDescent="0.25">
      <c r="A80" t="s">
        <v>540</v>
      </c>
      <c r="B80">
        <v>410000253</v>
      </c>
      <c r="C80" s="22" t="s">
        <v>315</v>
      </c>
    </row>
    <row r="81" spans="1:3" x14ac:dyDescent="0.25">
      <c r="A81" t="s">
        <v>544</v>
      </c>
      <c r="B81">
        <v>410000255</v>
      </c>
      <c r="C81" s="22" t="s">
        <v>326</v>
      </c>
    </row>
    <row r="82" spans="1:3" x14ac:dyDescent="0.25">
      <c r="A82" t="s">
        <v>702</v>
      </c>
      <c r="B82">
        <v>410000258</v>
      </c>
      <c r="C82" s="22" t="s">
        <v>173</v>
      </c>
    </row>
    <row r="83" spans="1:3" x14ac:dyDescent="0.25">
      <c r="A83" t="str">
        <f ca="1">IF($A83="","",IF(ISERROR(VLOOKUP(LEFT('1) Import fichier Remi (coller)'!#REF!,9),'Concordance client liv et fact'!$A:$H,8,FALSE))=TRUE,VLOOKUP(LEFT('1) Import fichier Remi (coller)'!#REF!,9)+0,'Clients R2'!$A:$CY,2,FALSE),VLOOKUP(VLOOKUP(LEFT('1) Import fichier Remi (coller)'!#REF!,9),'Concordance client liv et fact'!$A:$H,7,FALSE)+0,'Clients R2'!$A:$CY,2,FALSE)))</f>
        <v xml:space="preserve">RCUBE PROFESSIONAL     </v>
      </c>
      <c r="B83">
        <v>410000264</v>
      </c>
      <c r="C83" t="s">
        <v>7722</v>
      </c>
    </row>
    <row r="84" spans="1:3" x14ac:dyDescent="0.25">
      <c r="A84" t="s">
        <v>654</v>
      </c>
      <c r="B84">
        <v>410000267</v>
      </c>
      <c r="C84" s="22" t="s">
        <v>356</v>
      </c>
    </row>
    <row r="85" spans="1:3" x14ac:dyDescent="0.25">
      <c r="A85" t="s">
        <v>634</v>
      </c>
      <c r="B85">
        <v>410000268</v>
      </c>
      <c r="C85" s="22" t="s">
        <v>448</v>
      </c>
    </row>
    <row r="86" spans="1:3" x14ac:dyDescent="0.25">
      <c r="A86" t="s">
        <v>7986</v>
      </c>
      <c r="B86">
        <v>410000276</v>
      </c>
      <c r="C86" t="s">
        <v>7987</v>
      </c>
    </row>
    <row r="87" spans="1:3" x14ac:dyDescent="0.25">
      <c r="A87" t="s">
        <v>495</v>
      </c>
      <c r="B87">
        <v>410000277</v>
      </c>
      <c r="C87" s="26" t="s">
        <v>25</v>
      </c>
    </row>
    <row r="88" spans="1:3" x14ac:dyDescent="0.25">
      <c r="A88" t="s">
        <v>584</v>
      </c>
      <c r="B88">
        <v>410000278</v>
      </c>
      <c r="C88" s="22" t="s">
        <v>190</v>
      </c>
    </row>
    <row r="89" spans="1:3" x14ac:dyDescent="0.25">
      <c r="A89" t="s">
        <v>674</v>
      </c>
      <c r="B89">
        <v>410000280</v>
      </c>
      <c r="C89" s="22" t="s">
        <v>357</v>
      </c>
    </row>
    <row r="90" spans="1:3" x14ac:dyDescent="0.25">
      <c r="A90" t="s">
        <v>507</v>
      </c>
      <c r="B90">
        <v>410000281</v>
      </c>
      <c r="C90" s="22" t="s">
        <v>126</v>
      </c>
    </row>
    <row r="91" spans="1:3" x14ac:dyDescent="0.25">
      <c r="A91" t="s">
        <v>568</v>
      </c>
      <c r="B91">
        <v>410000282</v>
      </c>
      <c r="C91" s="22" t="s">
        <v>366</v>
      </c>
    </row>
    <row r="92" spans="1:3" x14ac:dyDescent="0.25">
      <c r="A92" t="s">
        <v>647</v>
      </c>
      <c r="B92">
        <v>410000286</v>
      </c>
      <c r="C92" s="22" t="s">
        <v>127</v>
      </c>
    </row>
    <row r="93" spans="1:3" x14ac:dyDescent="0.25">
      <c r="A93" t="s">
        <v>604</v>
      </c>
      <c r="B93">
        <v>410000290</v>
      </c>
      <c r="C93" s="22" t="s">
        <v>78</v>
      </c>
    </row>
    <row r="94" spans="1:3" x14ac:dyDescent="0.25">
      <c r="A94" t="s">
        <v>605</v>
      </c>
      <c r="B94">
        <v>410000291</v>
      </c>
      <c r="C94" s="22" t="s">
        <v>238</v>
      </c>
    </row>
    <row r="95" spans="1:3" x14ac:dyDescent="0.25">
      <c r="A95" t="s">
        <v>649</v>
      </c>
      <c r="B95">
        <v>410000292</v>
      </c>
      <c r="C95" s="22" t="s">
        <v>438</v>
      </c>
    </row>
    <row r="96" spans="1:3" x14ac:dyDescent="0.25">
      <c r="A96" t="s">
        <v>609</v>
      </c>
      <c r="B96">
        <v>410000299</v>
      </c>
      <c r="C96" s="22" t="s">
        <v>214</v>
      </c>
    </row>
    <row r="97" spans="1:3" x14ac:dyDescent="0.25">
      <c r="A97" t="s">
        <v>569</v>
      </c>
      <c r="B97">
        <v>410000300</v>
      </c>
      <c r="C97" s="22" t="s">
        <v>369</v>
      </c>
    </row>
    <row r="98" spans="1:3" x14ac:dyDescent="0.25">
      <c r="A98" t="s">
        <v>726</v>
      </c>
      <c r="B98">
        <v>410000308</v>
      </c>
      <c r="C98" s="22" t="s">
        <v>329</v>
      </c>
    </row>
    <row r="99" spans="1:3" x14ac:dyDescent="0.25">
      <c r="A99" t="s">
        <v>648</v>
      </c>
      <c r="B99">
        <v>410000311</v>
      </c>
      <c r="C99" s="22" t="s">
        <v>43</v>
      </c>
    </row>
    <row r="100" spans="1:3" x14ac:dyDescent="0.25">
      <c r="A100" t="s">
        <v>629</v>
      </c>
      <c r="B100">
        <v>410000312</v>
      </c>
      <c r="C100" s="22" t="s">
        <v>275</v>
      </c>
    </row>
    <row r="101" spans="1:3" x14ac:dyDescent="0.25">
      <c r="A101" t="s">
        <v>588</v>
      </c>
      <c r="B101">
        <v>410000313</v>
      </c>
      <c r="C101" s="22" t="s">
        <v>407</v>
      </c>
    </row>
    <row r="102" spans="1:3" x14ac:dyDescent="0.25">
      <c r="A102" t="s">
        <v>730</v>
      </c>
      <c r="B102">
        <v>410000324</v>
      </c>
      <c r="C102" s="22" t="s">
        <v>285</v>
      </c>
    </row>
    <row r="103" spans="1:3" x14ac:dyDescent="0.25">
      <c r="A103" t="s">
        <v>557</v>
      </c>
      <c r="B103">
        <v>410000326</v>
      </c>
      <c r="C103" s="22" t="s">
        <v>128</v>
      </c>
    </row>
    <row r="104" spans="1:3" x14ac:dyDescent="0.25">
      <c r="A104" t="s">
        <v>7192</v>
      </c>
      <c r="B104">
        <v>410000340</v>
      </c>
      <c r="C104" s="4" t="s">
        <v>7189</v>
      </c>
    </row>
    <row r="105" spans="1:3" x14ac:dyDescent="0.25">
      <c r="A105" t="s">
        <v>516</v>
      </c>
      <c r="B105">
        <v>410000342</v>
      </c>
      <c r="C105" s="22" t="s">
        <v>129</v>
      </c>
    </row>
    <row r="106" spans="1:3" x14ac:dyDescent="0.25">
      <c r="A106" t="s">
        <v>576</v>
      </c>
      <c r="B106">
        <v>410000343</v>
      </c>
      <c r="C106" s="22" t="s">
        <v>396</v>
      </c>
    </row>
    <row r="107" spans="1:3" x14ac:dyDescent="0.25">
      <c r="A107" t="s">
        <v>494</v>
      </c>
      <c r="B107">
        <v>410000344</v>
      </c>
      <c r="C107" s="22" t="s">
        <v>335</v>
      </c>
    </row>
    <row r="108" spans="1:3" x14ac:dyDescent="0.25">
      <c r="A108" t="s">
        <v>582</v>
      </c>
      <c r="B108">
        <v>410000350</v>
      </c>
      <c r="C108" s="22" t="s">
        <v>419</v>
      </c>
    </row>
    <row r="109" spans="1:3" x14ac:dyDescent="0.25">
      <c r="A109" t="s">
        <v>527</v>
      </c>
      <c r="B109">
        <v>410000357</v>
      </c>
      <c r="C109" s="22" t="s">
        <v>288</v>
      </c>
    </row>
    <row r="110" spans="1:3" x14ac:dyDescent="0.25">
      <c r="A110" t="s">
        <v>618</v>
      </c>
      <c r="B110">
        <v>410000358</v>
      </c>
      <c r="C110" s="22" t="s">
        <v>412</v>
      </c>
    </row>
    <row r="111" spans="1:3" x14ac:dyDescent="0.25">
      <c r="A111" s="4" t="s">
        <v>3446</v>
      </c>
      <c r="B111">
        <v>410000370</v>
      </c>
      <c r="C111" t="s">
        <v>7696</v>
      </c>
    </row>
    <row r="112" spans="1:3" x14ac:dyDescent="0.25">
      <c r="A112" t="s">
        <v>538</v>
      </c>
      <c r="B112">
        <v>410000371</v>
      </c>
      <c r="C112" s="22" t="s">
        <v>174</v>
      </c>
    </row>
    <row r="113" spans="1:3" x14ac:dyDescent="0.25">
      <c r="A113" t="s">
        <v>567</v>
      </c>
      <c r="B113">
        <v>410000378</v>
      </c>
      <c r="C113" s="22" t="s">
        <v>176</v>
      </c>
    </row>
    <row r="114" spans="1:3" x14ac:dyDescent="0.25">
      <c r="A114" t="s">
        <v>7854</v>
      </c>
      <c r="B114">
        <v>410000380</v>
      </c>
      <c r="C114" t="s">
        <v>7849</v>
      </c>
    </row>
    <row r="115" spans="1:3" x14ac:dyDescent="0.25">
      <c r="A115" t="s">
        <v>513</v>
      </c>
      <c r="B115">
        <v>410000384</v>
      </c>
      <c r="C115" s="22" t="s">
        <v>309</v>
      </c>
    </row>
    <row r="116" spans="1:3" x14ac:dyDescent="0.25">
      <c r="A116" s="25" t="s">
        <v>6919</v>
      </c>
      <c r="B116">
        <v>410000387</v>
      </c>
      <c r="C116" s="25" t="s">
        <v>398</v>
      </c>
    </row>
    <row r="117" spans="1:3" x14ac:dyDescent="0.25">
      <c r="A117" t="s">
        <v>619</v>
      </c>
      <c r="B117">
        <v>410000390</v>
      </c>
      <c r="C117" s="22" t="s">
        <v>41</v>
      </c>
    </row>
    <row r="118" spans="1:3" x14ac:dyDescent="0.25">
      <c r="A118" s="4" t="s">
        <v>7108</v>
      </c>
      <c r="B118">
        <v>410000391</v>
      </c>
      <c r="C118" t="s">
        <v>7105</v>
      </c>
    </row>
    <row r="119" spans="1:3" x14ac:dyDescent="0.25">
      <c r="A119" t="s">
        <v>610</v>
      </c>
      <c r="B119">
        <v>410000394</v>
      </c>
      <c r="C119" s="22" t="s">
        <v>40</v>
      </c>
    </row>
    <row r="120" spans="1:3" x14ac:dyDescent="0.25">
      <c r="A120" t="s">
        <v>632</v>
      </c>
      <c r="B120">
        <v>410000395</v>
      </c>
      <c r="C120" s="22" t="s">
        <v>328</v>
      </c>
    </row>
    <row r="121" spans="1:3" x14ac:dyDescent="0.25">
      <c r="A121" t="s">
        <v>666</v>
      </c>
      <c r="B121">
        <v>410000399</v>
      </c>
      <c r="C121" s="22" t="s">
        <v>267</v>
      </c>
    </row>
    <row r="122" spans="1:3" x14ac:dyDescent="0.25">
      <c r="A122" t="s">
        <v>549</v>
      </c>
      <c r="B122">
        <v>410000404</v>
      </c>
      <c r="C122" s="22" t="s">
        <v>30</v>
      </c>
    </row>
    <row r="123" spans="1:3" x14ac:dyDescent="0.25">
      <c r="A123" t="s">
        <v>691</v>
      </c>
      <c r="B123">
        <v>410000408</v>
      </c>
      <c r="C123" s="22" t="s">
        <v>48</v>
      </c>
    </row>
    <row r="124" spans="1:3" x14ac:dyDescent="0.25">
      <c r="A124" t="s">
        <v>689</v>
      </c>
      <c r="B124">
        <v>410000409</v>
      </c>
      <c r="C124" s="22" t="s">
        <v>47</v>
      </c>
    </row>
    <row r="125" spans="1:3" x14ac:dyDescent="0.25">
      <c r="A125" t="s">
        <v>510</v>
      </c>
      <c r="B125">
        <v>410000410</v>
      </c>
      <c r="C125" s="22" t="s">
        <v>418</v>
      </c>
    </row>
    <row r="126" spans="1:3" x14ac:dyDescent="0.25">
      <c r="A126" t="s">
        <v>650</v>
      </c>
      <c r="B126">
        <v>410000417</v>
      </c>
      <c r="C126" s="22" t="s">
        <v>233</v>
      </c>
    </row>
    <row r="127" spans="1:3" x14ac:dyDescent="0.25">
      <c r="A127" t="s">
        <v>563</v>
      </c>
      <c r="B127">
        <v>410000418</v>
      </c>
      <c r="C127" s="22" t="s">
        <v>130</v>
      </c>
    </row>
    <row r="128" spans="1:3" x14ac:dyDescent="0.25">
      <c r="A128" s="25" t="s">
        <v>6920</v>
      </c>
      <c r="B128">
        <v>410000419</v>
      </c>
      <c r="C128" s="25" t="s">
        <v>283</v>
      </c>
    </row>
    <row r="129" spans="1:3" x14ac:dyDescent="0.25">
      <c r="A129" t="s">
        <v>586</v>
      </c>
      <c r="B129">
        <v>410000420</v>
      </c>
      <c r="C129" s="22" t="s">
        <v>37</v>
      </c>
    </row>
    <row r="130" spans="1:3" x14ac:dyDescent="0.25">
      <c r="A130" t="s">
        <v>521</v>
      </c>
      <c r="B130">
        <v>410000424</v>
      </c>
      <c r="C130" s="22" t="s">
        <v>27</v>
      </c>
    </row>
    <row r="131" spans="1:3" x14ac:dyDescent="0.25">
      <c r="A131" t="s">
        <v>591</v>
      </c>
      <c r="B131">
        <v>410000430</v>
      </c>
      <c r="C131" s="22" t="s">
        <v>220</v>
      </c>
    </row>
    <row r="132" spans="1:3" x14ac:dyDescent="0.25">
      <c r="A132" t="s">
        <v>531</v>
      </c>
      <c r="B132">
        <v>410000431</v>
      </c>
      <c r="C132" s="22" t="s">
        <v>294</v>
      </c>
    </row>
    <row r="133" spans="1:3" x14ac:dyDescent="0.25">
      <c r="A133" t="s">
        <v>542</v>
      </c>
      <c r="B133">
        <v>410000435</v>
      </c>
      <c r="C133" s="22" t="s">
        <v>429</v>
      </c>
    </row>
    <row r="134" spans="1:3" x14ac:dyDescent="0.25">
      <c r="A134" t="s">
        <v>542</v>
      </c>
      <c r="B134">
        <v>410000435</v>
      </c>
      <c r="C134" s="22" t="s">
        <v>354</v>
      </c>
    </row>
    <row r="135" spans="1:3" x14ac:dyDescent="0.25">
      <c r="A135" t="s">
        <v>678</v>
      </c>
      <c r="B135">
        <v>410000436</v>
      </c>
      <c r="C135" s="22" t="s">
        <v>46</v>
      </c>
    </row>
    <row r="136" spans="1:3" x14ac:dyDescent="0.25">
      <c r="A136" t="s">
        <v>733</v>
      </c>
      <c r="B136">
        <v>410000438</v>
      </c>
      <c r="C136" s="22" t="s">
        <v>346</v>
      </c>
    </row>
    <row r="137" spans="1:3" x14ac:dyDescent="0.25">
      <c r="A137" t="s">
        <v>558</v>
      </c>
      <c r="B137">
        <v>410000449</v>
      </c>
      <c r="C137" s="22" t="s">
        <v>351</v>
      </c>
    </row>
    <row r="138" spans="1:3" x14ac:dyDescent="0.25">
      <c r="A138" t="s">
        <v>7154</v>
      </c>
      <c r="B138">
        <v>410000452</v>
      </c>
      <c r="C138" t="s">
        <v>7137</v>
      </c>
    </row>
    <row r="139" spans="1:3" x14ac:dyDescent="0.25">
      <c r="A139" s="25" t="s">
        <v>6913</v>
      </c>
      <c r="B139">
        <v>410000454</v>
      </c>
      <c r="C139" s="29" t="s">
        <v>7887</v>
      </c>
    </row>
    <row r="140" spans="1:3" x14ac:dyDescent="0.25">
      <c r="A140" t="s">
        <v>572</v>
      </c>
      <c r="B140">
        <v>410000459</v>
      </c>
      <c r="C140" s="22" t="s">
        <v>131</v>
      </c>
    </row>
    <row r="141" spans="1:3" x14ac:dyDescent="0.25">
      <c r="A141" t="s">
        <v>550</v>
      </c>
      <c r="B141">
        <v>410000460</v>
      </c>
      <c r="C141" s="22" t="s">
        <v>334</v>
      </c>
    </row>
    <row r="142" spans="1:3" x14ac:dyDescent="0.25">
      <c r="A142" s="9" t="s">
        <v>7691</v>
      </c>
      <c r="B142" s="44">
        <v>410000461</v>
      </c>
      <c r="C142" s="44" t="s">
        <v>7690</v>
      </c>
    </row>
    <row r="143" spans="1:3" x14ac:dyDescent="0.25">
      <c r="A143" t="s">
        <v>508</v>
      </c>
      <c r="B143">
        <v>410000463</v>
      </c>
      <c r="C143" s="22" t="s">
        <v>410</v>
      </c>
    </row>
    <row r="144" spans="1:3" x14ac:dyDescent="0.25">
      <c r="A144" t="s">
        <v>794</v>
      </c>
      <c r="B144">
        <v>410000467</v>
      </c>
      <c r="C144" s="22" t="s">
        <v>421</v>
      </c>
    </row>
    <row r="145" spans="1:3" x14ac:dyDescent="0.25">
      <c r="A145" t="s">
        <v>501</v>
      </c>
      <c r="B145">
        <v>410000471</v>
      </c>
      <c r="C145" s="22" t="s">
        <v>132</v>
      </c>
    </row>
    <row r="146" spans="1:3" x14ac:dyDescent="0.25">
      <c r="A146" t="s">
        <v>596</v>
      </c>
      <c r="B146">
        <v>410000473</v>
      </c>
      <c r="C146" s="22" t="s">
        <v>212</v>
      </c>
    </row>
    <row r="147" spans="1:3" x14ac:dyDescent="0.25">
      <c r="A147" t="s">
        <v>532</v>
      </c>
      <c r="B147">
        <v>410000477</v>
      </c>
      <c r="C147" s="22" t="s">
        <v>29</v>
      </c>
    </row>
    <row r="148" spans="1:3" x14ac:dyDescent="0.25">
      <c r="A148" t="s">
        <v>671</v>
      </c>
      <c r="B148">
        <v>410000478</v>
      </c>
      <c r="C148" s="22" t="s">
        <v>327</v>
      </c>
    </row>
    <row r="149" spans="1:3" x14ac:dyDescent="0.25">
      <c r="A149" t="s">
        <v>701</v>
      </c>
      <c r="B149">
        <v>410000487</v>
      </c>
      <c r="C149" s="22" t="s">
        <v>6927</v>
      </c>
    </row>
    <row r="150" spans="1:3" x14ac:dyDescent="0.25">
      <c r="A150" t="s">
        <v>651</v>
      </c>
      <c r="B150">
        <v>410000489</v>
      </c>
      <c r="C150" s="22" t="s">
        <v>133</v>
      </c>
    </row>
    <row r="151" spans="1:3" x14ac:dyDescent="0.25">
      <c r="A151" t="s">
        <v>561</v>
      </c>
      <c r="B151">
        <v>410000492</v>
      </c>
      <c r="C151" s="22" t="s">
        <v>34</v>
      </c>
    </row>
    <row r="152" spans="1:3" x14ac:dyDescent="0.25">
      <c r="A152" s="4" t="s">
        <v>7008</v>
      </c>
      <c r="B152">
        <v>410000494</v>
      </c>
      <c r="C152" s="4" t="s">
        <v>6935</v>
      </c>
    </row>
    <row r="153" spans="1:3" x14ac:dyDescent="0.25">
      <c r="A153" t="s">
        <v>621</v>
      </c>
      <c r="B153">
        <v>410000500</v>
      </c>
      <c r="C153" s="22" t="s">
        <v>365</v>
      </c>
    </row>
    <row r="154" spans="1:3" x14ac:dyDescent="0.25">
      <c r="A154" t="s">
        <v>547</v>
      </c>
      <c r="B154">
        <v>410000502</v>
      </c>
      <c r="C154" s="22" t="s">
        <v>331</v>
      </c>
    </row>
    <row r="155" spans="1:3" x14ac:dyDescent="0.25">
      <c r="A155" t="s">
        <v>577</v>
      </c>
      <c r="B155">
        <v>410000503</v>
      </c>
      <c r="C155" s="22" t="s">
        <v>442</v>
      </c>
    </row>
    <row r="156" spans="1:3" x14ac:dyDescent="0.25">
      <c r="A156" t="s">
        <v>704</v>
      </c>
      <c r="B156">
        <v>410000504</v>
      </c>
      <c r="C156" s="22" t="s">
        <v>221</v>
      </c>
    </row>
    <row r="157" spans="1:3" x14ac:dyDescent="0.25">
      <c r="A157" t="s">
        <v>535</v>
      </c>
      <c r="B157">
        <v>410000506</v>
      </c>
      <c r="C157" s="22" t="s">
        <v>193</v>
      </c>
    </row>
    <row r="158" spans="1:3" x14ac:dyDescent="0.25">
      <c r="A158" s="4" t="s">
        <v>7067</v>
      </c>
      <c r="B158">
        <v>410000507</v>
      </c>
      <c r="C158" s="4" t="s">
        <v>7024</v>
      </c>
    </row>
    <row r="159" spans="1:3" x14ac:dyDescent="0.25">
      <c r="A159" t="s">
        <v>653</v>
      </c>
      <c r="B159">
        <v>410000508</v>
      </c>
      <c r="C159" s="22" t="s">
        <v>22</v>
      </c>
    </row>
    <row r="160" spans="1:3" x14ac:dyDescent="0.25">
      <c r="A160" t="s">
        <v>607</v>
      </c>
      <c r="B160">
        <v>410000511</v>
      </c>
      <c r="C160" s="22" t="s">
        <v>77</v>
      </c>
    </row>
    <row r="161" spans="1:3" x14ac:dyDescent="0.25">
      <c r="A161" t="s">
        <v>664</v>
      </c>
      <c r="B161">
        <v>410000513</v>
      </c>
      <c r="C161" s="22" t="s">
        <v>287</v>
      </c>
    </row>
    <row r="162" spans="1:3" x14ac:dyDescent="0.25">
      <c r="A162" t="s">
        <v>656</v>
      </c>
      <c r="B162">
        <v>410000514</v>
      </c>
      <c r="C162" s="22" t="s">
        <v>223</v>
      </c>
    </row>
    <row r="163" spans="1:3" x14ac:dyDescent="0.25">
      <c r="A163" s="4" t="s">
        <v>7575</v>
      </c>
      <c r="B163">
        <v>410000517</v>
      </c>
      <c r="C163" s="4" t="s">
        <v>7569</v>
      </c>
    </row>
    <row r="164" spans="1:3" x14ac:dyDescent="0.25">
      <c r="A164" t="s">
        <v>529</v>
      </c>
      <c r="B164">
        <v>410000518</v>
      </c>
      <c r="C164" s="22" t="s">
        <v>28</v>
      </c>
    </row>
    <row r="165" spans="1:3" x14ac:dyDescent="0.25">
      <c r="A165" t="s">
        <v>529</v>
      </c>
      <c r="B165">
        <v>410000518</v>
      </c>
      <c r="C165" s="22" t="s">
        <v>307</v>
      </c>
    </row>
    <row r="166" spans="1:3" x14ac:dyDescent="0.25">
      <c r="A166" t="s">
        <v>589</v>
      </c>
      <c r="B166">
        <v>410000521</v>
      </c>
      <c r="C166" s="22" t="s">
        <v>409</v>
      </c>
    </row>
    <row r="167" spans="1:3" x14ac:dyDescent="0.25">
      <c r="A167" t="s">
        <v>478</v>
      </c>
      <c r="B167">
        <v>410000527</v>
      </c>
      <c r="C167" s="22" t="s">
        <v>274</v>
      </c>
    </row>
    <row r="168" spans="1:3" x14ac:dyDescent="0.25">
      <c r="A168" t="s">
        <v>484</v>
      </c>
      <c r="B168">
        <v>410000529</v>
      </c>
      <c r="C168" s="22" t="s">
        <v>374</v>
      </c>
    </row>
    <row r="169" spans="1:3" x14ac:dyDescent="0.25">
      <c r="A169" t="s">
        <v>487</v>
      </c>
      <c r="B169">
        <v>410000530</v>
      </c>
      <c r="C169" s="22" t="s">
        <v>239</v>
      </c>
    </row>
    <row r="170" spans="1:3" x14ac:dyDescent="0.25">
      <c r="A170" t="s">
        <v>481</v>
      </c>
      <c r="B170">
        <v>410000532</v>
      </c>
      <c r="C170" s="22" t="s">
        <v>305</v>
      </c>
    </row>
    <row r="171" spans="1:3" x14ac:dyDescent="0.25">
      <c r="A171" t="s">
        <v>479</v>
      </c>
      <c r="B171">
        <v>410000533</v>
      </c>
      <c r="C171" s="22" t="s">
        <v>240</v>
      </c>
    </row>
    <row r="172" spans="1:3" x14ac:dyDescent="0.25">
      <c r="A172" t="s">
        <v>482</v>
      </c>
      <c r="B172">
        <v>410000535</v>
      </c>
      <c r="C172" s="22" t="s">
        <v>406</v>
      </c>
    </row>
    <row r="173" spans="1:3" x14ac:dyDescent="0.25">
      <c r="A173" t="s">
        <v>485</v>
      </c>
      <c r="B173">
        <v>410000536</v>
      </c>
      <c r="C173" s="22" t="s">
        <v>241</v>
      </c>
    </row>
    <row r="174" spans="1:3" x14ac:dyDescent="0.25">
      <c r="A174" t="s">
        <v>483</v>
      </c>
      <c r="B174">
        <v>410000540</v>
      </c>
      <c r="C174" s="22" t="s">
        <v>321</v>
      </c>
    </row>
    <row r="175" spans="1:3" x14ac:dyDescent="0.25">
      <c r="A175" t="s">
        <v>480</v>
      </c>
      <c r="B175">
        <v>410000541</v>
      </c>
      <c r="C175" s="22" t="s">
        <v>242</v>
      </c>
    </row>
    <row r="176" spans="1:3" x14ac:dyDescent="0.25">
      <c r="A176" t="s">
        <v>658</v>
      </c>
      <c r="B176">
        <v>410000544</v>
      </c>
      <c r="C176" s="22" t="s">
        <v>177</v>
      </c>
    </row>
    <row r="177" spans="1:3" x14ac:dyDescent="0.25">
      <c r="A177" t="s">
        <v>669</v>
      </c>
      <c r="B177">
        <v>410000545</v>
      </c>
      <c r="C177" s="22" t="s">
        <v>310</v>
      </c>
    </row>
    <row r="178" spans="1:3" x14ac:dyDescent="0.25">
      <c r="A178" t="s">
        <v>488</v>
      </c>
      <c r="B178">
        <v>410000546</v>
      </c>
      <c r="C178" s="22" t="s">
        <v>420</v>
      </c>
    </row>
    <row r="179" spans="1:3" x14ac:dyDescent="0.25">
      <c r="A179" t="s">
        <v>545</v>
      </c>
      <c r="B179">
        <v>410000550</v>
      </c>
      <c r="C179" s="22" t="s">
        <v>80</v>
      </c>
    </row>
    <row r="180" spans="1:3" x14ac:dyDescent="0.25">
      <c r="A180" t="s">
        <v>681</v>
      </c>
      <c r="B180">
        <v>410000552</v>
      </c>
      <c r="C180" s="22" t="s">
        <v>224</v>
      </c>
    </row>
    <row r="181" spans="1:3" x14ac:dyDescent="0.25">
      <c r="A181" t="s">
        <v>670</v>
      </c>
      <c r="B181">
        <v>410000553</v>
      </c>
      <c r="C181" s="22" t="s">
        <v>313</v>
      </c>
    </row>
    <row r="182" spans="1:3" x14ac:dyDescent="0.25">
      <c r="A182" t="s">
        <v>680</v>
      </c>
      <c r="B182">
        <v>410000556</v>
      </c>
      <c r="C182" s="22" t="s">
        <v>81</v>
      </c>
    </row>
    <row r="183" spans="1:3" x14ac:dyDescent="0.25">
      <c r="A183" t="s">
        <v>686</v>
      </c>
      <c r="B183">
        <v>410000561</v>
      </c>
      <c r="C183" s="22" t="s">
        <v>243</v>
      </c>
    </row>
    <row r="184" spans="1:3" x14ac:dyDescent="0.25">
      <c r="A184" t="s">
        <v>657</v>
      </c>
      <c r="B184">
        <v>410000563</v>
      </c>
      <c r="C184" s="22" t="s">
        <v>134</v>
      </c>
    </row>
    <row r="185" spans="1:3" x14ac:dyDescent="0.25">
      <c r="A185" t="s">
        <v>566</v>
      </c>
      <c r="B185">
        <v>410000564</v>
      </c>
      <c r="C185" s="22" t="s">
        <v>359</v>
      </c>
    </row>
    <row r="186" spans="1:3" x14ac:dyDescent="0.25">
      <c r="A186" t="s">
        <v>677</v>
      </c>
      <c r="B186">
        <v>410000566</v>
      </c>
      <c r="C186" s="22" t="s">
        <v>135</v>
      </c>
    </row>
    <row r="187" spans="1:3" x14ac:dyDescent="0.25">
      <c r="A187" t="s">
        <v>735</v>
      </c>
      <c r="B187">
        <v>410000568</v>
      </c>
      <c r="C187" s="22" t="s">
        <v>318</v>
      </c>
    </row>
    <row r="188" spans="1:3" x14ac:dyDescent="0.25">
      <c r="A188" t="s">
        <v>489</v>
      </c>
      <c r="B188">
        <v>410000569</v>
      </c>
      <c r="C188" s="22" t="s">
        <v>244</v>
      </c>
    </row>
    <row r="189" spans="1:3" x14ac:dyDescent="0.25">
      <c r="A189" t="s">
        <v>489</v>
      </c>
      <c r="B189">
        <v>410000569</v>
      </c>
      <c r="C189" s="22" t="s">
        <v>244</v>
      </c>
    </row>
    <row r="190" spans="1:3" x14ac:dyDescent="0.25">
      <c r="A190" t="s">
        <v>525</v>
      </c>
      <c r="B190">
        <v>410000571</v>
      </c>
      <c r="C190" s="22" t="s">
        <v>382</v>
      </c>
    </row>
    <row r="191" spans="1:3" x14ac:dyDescent="0.25">
      <c r="A191" t="s">
        <v>579</v>
      </c>
      <c r="B191">
        <v>410000572</v>
      </c>
      <c r="C191" s="22" t="s">
        <v>383</v>
      </c>
    </row>
    <row r="192" spans="1:3" x14ac:dyDescent="0.25">
      <c r="A192" t="s">
        <v>7187</v>
      </c>
      <c r="B192">
        <v>410000573</v>
      </c>
      <c r="C192" t="s">
        <v>7185</v>
      </c>
    </row>
    <row r="193" spans="1:3" x14ac:dyDescent="0.25">
      <c r="A193" s="4" t="s">
        <v>7009</v>
      </c>
      <c r="B193">
        <v>410000576</v>
      </c>
      <c r="C193" s="4" t="s">
        <v>6936</v>
      </c>
    </row>
    <row r="194" spans="1:3" x14ac:dyDescent="0.25">
      <c r="A194" t="s">
        <v>590</v>
      </c>
      <c r="B194">
        <v>410000579</v>
      </c>
      <c r="C194" s="22" t="s">
        <v>414</v>
      </c>
    </row>
    <row r="195" spans="1:3" x14ac:dyDescent="0.25">
      <c r="A195" t="s">
        <v>578</v>
      </c>
      <c r="B195">
        <v>410000580</v>
      </c>
      <c r="C195" s="22" t="s">
        <v>435</v>
      </c>
    </row>
    <row r="196" spans="1:3" x14ac:dyDescent="0.25">
      <c r="A196" t="s">
        <v>551</v>
      </c>
      <c r="B196">
        <v>410000581</v>
      </c>
      <c r="C196" s="22" t="s">
        <v>336</v>
      </c>
    </row>
    <row r="197" spans="1:3" x14ac:dyDescent="0.25">
      <c r="A197" t="s">
        <v>668</v>
      </c>
      <c r="B197">
        <v>410000583</v>
      </c>
      <c r="C197" s="22" t="s">
        <v>268</v>
      </c>
    </row>
    <row r="198" spans="1:3" x14ac:dyDescent="0.25">
      <c r="A198" t="s">
        <v>667</v>
      </c>
      <c r="B198">
        <v>410000584</v>
      </c>
      <c r="C198" s="22" t="s">
        <v>226</v>
      </c>
    </row>
    <row r="199" spans="1:3" x14ac:dyDescent="0.25">
      <c r="A199" t="s">
        <v>583</v>
      </c>
      <c r="B199">
        <v>410000585</v>
      </c>
      <c r="C199" s="22" t="s">
        <v>82</v>
      </c>
    </row>
    <row r="200" spans="1:3" x14ac:dyDescent="0.25">
      <c r="A200" t="s">
        <v>534</v>
      </c>
      <c r="B200">
        <v>410000586</v>
      </c>
      <c r="C200" s="22" t="s">
        <v>290</v>
      </c>
    </row>
    <row r="201" spans="1:3" x14ac:dyDescent="0.25">
      <c r="A201" t="s">
        <v>655</v>
      </c>
      <c r="B201">
        <v>410000589</v>
      </c>
      <c r="C201" s="22" t="s">
        <v>83</v>
      </c>
    </row>
    <row r="202" spans="1:3" x14ac:dyDescent="0.25">
      <c r="A202" s="44" t="s">
        <v>7957</v>
      </c>
      <c r="B202" s="44">
        <v>410000590</v>
      </c>
      <c r="C202" t="s">
        <v>7958</v>
      </c>
    </row>
    <row r="203" spans="1:3" x14ac:dyDescent="0.25">
      <c r="A203" t="s">
        <v>724</v>
      </c>
      <c r="B203">
        <v>410000591</v>
      </c>
      <c r="C203" s="22" t="s">
        <v>432</v>
      </c>
    </row>
    <row r="204" spans="1:3" x14ac:dyDescent="0.25">
      <c r="A204" t="s">
        <v>515</v>
      </c>
      <c r="B204">
        <v>410000593</v>
      </c>
      <c r="C204" s="22" t="s">
        <v>84</v>
      </c>
    </row>
    <row r="205" spans="1:3" x14ac:dyDescent="0.25">
      <c r="A205" s="4" t="s">
        <v>7010</v>
      </c>
      <c r="B205">
        <v>410000594</v>
      </c>
      <c r="C205" s="4" t="s">
        <v>6937</v>
      </c>
    </row>
    <row r="206" spans="1:3" x14ac:dyDescent="0.25">
      <c r="A206" t="s">
        <v>631</v>
      </c>
      <c r="B206">
        <v>410000596</v>
      </c>
      <c r="C206" s="22" t="s">
        <v>136</v>
      </c>
    </row>
    <row r="207" spans="1:3" x14ac:dyDescent="0.25">
      <c r="A207" t="s">
        <v>672</v>
      </c>
      <c r="B207">
        <v>410000598</v>
      </c>
      <c r="C207" s="22" t="s">
        <v>293</v>
      </c>
    </row>
    <row r="208" spans="1:3" x14ac:dyDescent="0.25">
      <c r="A208" t="s">
        <v>755</v>
      </c>
      <c r="B208">
        <v>410000599</v>
      </c>
      <c r="C208" s="22" t="s">
        <v>137</v>
      </c>
    </row>
    <row r="209" spans="1:3" x14ac:dyDescent="0.25">
      <c r="A209" t="s">
        <v>673</v>
      </c>
      <c r="B209">
        <v>410000602</v>
      </c>
      <c r="C209" s="22" t="s">
        <v>7820</v>
      </c>
    </row>
    <row r="210" spans="1:3" x14ac:dyDescent="0.25">
      <c r="A210" t="s">
        <v>616</v>
      </c>
      <c r="B210">
        <v>410000606</v>
      </c>
      <c r="C210" s="22" t="s">
        <v>440</v>
      </c>
    </row>
    <row r="211" spans="1:3" x14ac:dyDescent="0.25">
      <c r="A211" t="s">
        <v>614</v>
      </c>
      <c r="B211">
        <v>410000607</v>
      </c>
      <c r="C211" s="22" t="s">
        <v>426</v>
      </c>
    </row>
    <row r="212" spans="1:3" x14ac:dyDescent="0.25">
      <c r="A212" t="s">
        <v>659</v>
      </c>
      <c r="B212">
        <v>410000608</v>
      </c>
      <c r="C212" s="22" t="s">
        <v>138</v>
      </c>
    </row>
    <row r="213" spans="1:3" x14ac:dyDescent="0.25">
      <c r="A213" s="4" t="s">
        <v>955</v>
      </c>
      <c r="B213">
        <v>410000609</v>
      </c>
      <c r="C213" s="4" t="s">
        <v>6938</v>
      </c>
    </row>
    <row r="214" spans="1:3" x14ac:dyDescent="0.25">
      <c r="A214" t="s">
        <v>514</v>
      </c>
      <c r="B214">
        <v>410000610</v>
      </c>
      <c r="C214" s="22" t="s">
        <v>347</v>
      </c>
    </row>
    <row r="215" spans="1:3" x14ac:dyDescent="0.25">
      <c r="A215" t="s">
        <v>684</v>
      </c>
      <c r="B215">
        <v>410000612</v>
      </c>
      <c r="C215" s="22" t="s">
        <v>449</v>
      </c>
    </row>
    <row r="216" spans="1:3" x14ac:dyDescent="0.25">
      <c r="A216" t="s">
        <v>565</v>
      </c>
      <c r="B216">
        <v>410000614</v>
      </c>
      <c r="C216" s="22" t="s">
        <v>194</v>
      </c>
    </row>
    <row r="217" spans="1:3" x14ac:dyDescent="0.25">
      <c r="A217" t="s">
        <v>573</v>
      </c>
      <c r="B217">
        <v>410000618</v>
      </c>
      <c r="C217" s="22" t="s">
        <v>375</v>
      </c>
    </row>
    <row r="218" spans="1:3" x14ac:dyDescent="0.25">
      <c r="A218" t="s">
        <v>598</v>
      </c>
      <c r="B218">
        <v>410000623</v>
      </c>
      <c r="C218" s="22" t="s">
        <v>423</v>
      </c>
    </row>
    <row r="219" spans="1:3" x14ac:dyDescent="0.25">
      <c r="A219" t="s">
        <v>606</v>
      </c>
      <c r="B219">
        <v>410000624</v>
      </c>
      <c r="C219" s="22" t="s">
        <v>139</v>
      </c>
    </row>
    <row r="220" spans="1:3" x14ac:dyDescent="0.25">
      <c r="A220" t="s">
        <v>523</v>
      </c>
      <c r="B220">
        <v>410000626</v>
      </c>
      <c r="C220" s="22" t="s">
        <v>140</v>
      </c>
    </row>
    <row r="221" spans="1:3" x14ac:dyDescent="0.25">
      <c r="A221" t="s">
        <v>635</v>
      </c>
      <c r="B221">
        <v>410000631</v>
      </c>
      <c r="C221" s="22" t="s">
        <v>447</v>
      </c>
    </row>
    <row r="222" spans="1:3" x14ac:dyDescent="0.25">
      <c r="A222" t="s">
        <v>522</v>
      </c>
      <c r="B222">
        <v>410000632</v>
      </c>
      <c r="C222" s="22" t="s">
        <v>141</v>
      </c>
    </row>
    <row r="223" spans="1:3" x14ac:dyDescent="0.25">
      <c r="A223" t="s">
        <v>803</v>
      </c>
      <c r="B223">
        <v>410000634</v>
      </c>
      <c r="C223" s="22" t="s">
        <v>276</v>
      </c>
    </row>
    <row r="224" spans="1:3" x14ac:dyDescent="0.25">
      <c r="A224" t="s">
        <v>498</v>
      </c>
      <c r="B224">
        <v>410000637</v>
      </c>
      <c r="C224" s="22" t="s">
        <v>86</v>
      </c>
    </row>
    <row r="225" spans="1:3" x14ac:dyDescent="0.25">
      <c r="A225" t="s">
        <v>620</v>
      </c>
      <c r="B225">
        <v>410000641</v>
      </c>
      <c r="C225" s="22" t="s">
        <v>195</v>
      </c>
    </row>
    <row r="226" spans="1:3" x14ac:dyDescent="0.25">
      <c r="A226" t="s">
        <v>643</v>
      </c>
      <c r="B226">
        <v>410000644</v>
      </c>
      <c r="C226" s="22" t="s">
        <v>208</v>
      </c>
    </row>
    <row r="227" spans="1:3" x14ac:dyDescent="0.25">
      <c r="A227" t="s">
        <v>622</v>
      </c>
      <c r="B227">
        <v>410000647</v>
      </c>
      <c r="C227" s="22" t="s">
        <v>311</v>
      </c>
    </row>
    <row r="228" spans="1:3" x14ac:dyDescent="0.25">
      <c r="A228" t="s">
        <v>622</v>
      </c>
      <c r="B228">
        <v>410000647</v>
      </c>
      <c r="C228" s="22" t="s">
        <v>208</v>
      </c>
    </row>
    <row r="229" spans="1:3" x14ac:dyDescent="0.25">
      <c r="A229" t="s">
        <v>682</v>
      </c>
      <c r="B229">
        <v>410000649</v>
      </c>
      <c r="C229" s="22" t="s">
        <v>402</v>
      </c>
    </row>
    <row r="230" spans="1:3" x14ac:dyDescent="0.25">
      <c r="A230" t="s">
        <v>646</v>
      </c>
      <c r="B230">
        <v>410000650</v>
      </c>
      <c r="C230" s="22" t="s">
        <v>208</v>
      </c>
    </row>
    <row r="231" spans="1:3" x14ac:dyDescent="0.25">
      <c r="A231" t="s">
        <v>645</v>
      </c>
      <c r="B231">
        <v>410000652</v>
      </c>
      <c r="C231" s="22" t="s">
        <v>208</v>
      </c>
    </row>
    <row r="232" spans="1:3" x14ac:dyDescent="0.25">
      <c r="A232" t="s">
        <v>639</v>
      </c>
      <c r="B232">
        <v>410000653</v>
      </c>
      <c r="C232" s="22" t="s">
        <v>208</v>
      </c>
    </row>
    <row r="233" spans="1:3" x14ac:dyDescent="0.25">
      <c r="A233" t="s">
        <v>636</v>
      </c>
      <c r="B233">
        <v>410000655</v>
      </c>
      <c r="C233" s="22" t="s">
        <v>342</v>
      </c>
    </row>
    <row r="234" spans="1:3" x14ac:dyDescent="0.25">
      <c r="A234" t="s">
        <v>644</v>
      </c>
      <c r="B234">
        <v>410000656</v>
      </c>
      <c r="C234" s="22" t="s">
        <v>208</v>
      </c>
    </row>
    <row r="235" spans="1:3" x14ac:dyDescent="0.25">
      <c r="A235" t="s">
        <v>637</v>
      </c>
      <c r="B235">
        <v>410000661</v>
      </c>
      <c r="C235" s="22" t="s">
        <v>300</v>
      </c>
    </row>
    <row r="236" spans="1:3" x14ac:dyDescent="0.25">
      <c r="A236" t="s">
        <v>641</v>
      </c>
      <c r="B236">
        <v>410000662</v>
      </c>
      <c r="C236" s="22" t="s">
        <v>208</v>
      </c>
    </row>
    <row r="237" spans="1:3" x14ac:dyDescent="0.25">
      <c r="A237" t="s">
        <v>642</v>
      </c>
      <c r="B237">
        <v>410000663</v>
      </c>
      <c r="C237" s="22" t="s">
        <v>208</v>
      </c>
    </row>
    <row r="238" spans="1:3" x14ac:dyDescent="0.25">
      <c r="A238" t="s">
        <v>638</v>
      </c>
      <c r="B238">
        <v>410000664</v>
      </c>
      <c r="C238" s="22" t="s">
        <v>278</v>
      </c>
    </row>
    <row r="239" spans="1:3" x14ac:dyDescent="0.25">
      <c r="A239" t="s">
        <v>505</v>
      </c>
      <c r="B239">
        <v>410000668</v>
      </c>
      <c r="C239" s="22" t="s">
        <v>142</v>
      </c>
    </row>
    <row r="240" spans="1:3" x14ac:dyDescent="0.25">
      <c r="A240" t="s">
        <v>613</v>
      </c>
      <c r="B240">
        <v>410000669</v>
      </c>
      <c r="C240" s="22" t="s">
        <v>312</v>
      </c>
    </row>
    <row r="241" spans="1:3" x14ac:dyDescent="0.25">
      <c r="A241" t="s">
        <v>490</v>
      </c>
      <c r="B241">
        <v>410000670</v>
      </c>
      <c r="C241" s="22" t="s">
        <v>165</v>
      </c>
    </row>
    <row r="242" spans="1:3" x14ac:dyDescent="0.25">
      <c r="A242" t="s">
        <v>519</v>
      </c>
      <c r="B242">
        <v>410000671</v>
      </c>
      <c r="C242" s="22" t="s">
        <v>143</v>
      </c>
    </row>
    <row r="243" spans="1:3" x14ac:dyDescent="0.25">
      <c r="A243" t="s">
        <v>520</v>
      </c>
      <c r="B243">
        <v>410000677</v>
      </c>
      <c r="C243" s="22" t="s">
        <v>79</v>
      </c>
    </row>
    <row r="244" spans="1:3" x14ac:dyDescent="0.25">
      <c r="A244" t="s">
        <v>624</v>
      </c>
      <c r="B244">
        <v>410000684</v>
      </c>
      <c r="C244" s="22" t="s">
        <v>87</v>
      </c>
    </row>
    <row r="245" spans="1:3" x14ac:dyDescent="0.25">
      <c r="A245" t="s">
        <v>660</v>
      </c>
      <c r="B245">
        <v>410000685</v>
      </c>
      <c r="C245" s="22" t="s">
        <v>363</v>
      </c>
    </row>
    <row r="246" spans="1:3" x14ac:dyDescent="0.25">
      <c r="A246" t="s">
        <v>617</v>
      </c>
      <c r="B246">
        <v>410000686</v>
      </c>
      <c r="C246" s="22" t="s">
        <v>353</v>
      </c>
    </row>
    <row r="247" spans="1:3" x14ac:dyDescent="0.25">
      <c r="A247" t="s">
        <v>615</v>
      </c>
      <c r="B247">
        <v>410000687</v>
      </c>
      <c r="C247" s="22" t="s">
        <v>144</v>
      </c>
    </row>
    <row r="248" spans="1:3" x14ac:dyDescent="0.25">
      <c r="A248" t="s">
        <v>496</v>
      </c>
      <c r="B248">
        <v>410000688</v>
      </c>
      <c r="C248" s="22" t="s">
        <v>145</v>
      </c>
    </row>
    <row r="249" spans="1:3" x14ac:dyDescent="0.25">
      <c r="A249" t="s">
        <v>661</v>
      </c>
      <c r="B249">
        <v>410000689</v>
      </c>
      <c r="C249" s="22" t="s">
        <v>88</v>
      </c>
    </row>
    <row r="250" spans="1:3" x14ac:dyDescent="0.25">
      <c r="A250" t="s">
        <v>640</v>
      </c>
      <c r="B250">
        <v>410000692</v>
      </c>
      <c r="C250" s="22" t="s">
        <v>208</v>
      </c>
    </row>
    <row r="251" spans="1:3" x14ac:dyDescent="0.25">
      <c r="A251" s="4" t="s">
        <v>7576</v>
      </c>
      <c r="B251">
        <v>410000694</v>
      </c>
      <c r="C251" s="4" t="s">
        <v>7570</v>
      </c>
    </row>
    <row r="252" spans="1:3" x14ac:dyDescent="0.25">
      <c r="A252" s="4" t="s">
        <v>7011</v>
      </c>
      <c r="B252">
        <v>410000695</v>
      </c>
      <c r="C252" s="4" t="s">
        <v>6939</v>
      </c>
    </row>
    <row r="253" spans="1:3" x14ac:dyDescent="0.25">
      <c r="A253" s="4" t="s">
        <v>7012</v>
      </c>
      <c r="B253">
        <v>410000700</v>
      </c>
      <c r="C253" s="4" t="s">
        <v>6940</v>
      </c>
    </row>
    <row r="254" spans="1:3" x14ac:dyDescent="0.25">
      <c r="A254" t="s">
        <v>676</v>
      </c>
      <c r="B254">
        <v>410000701</v>
      </c>
      <c r="C254" s="22" t="s">
        <v>89</v>
      </c>
    </row>
    <row r="255" spans="1:3" x14ac:dyDescent="0.25">
      <c r="A255" t="s">
        <v>486</v>
      </c>
      <c r="B255">
        <v>410000705</v>
      </c>
      <c r="C255" s="22" t="s">
        <v>424</v>
      </c>
    </row>
    <row r="256" spans="1:3" x14ac:dyDescent="0.25">
      <c r="A256" t="s">
        <v>625</v>
      </c>
      <c r="B256">
        <v>410000707</v>
      </c>
      <c r="C256" s="22" t="s">
        <v>277</v>
      </c>
    </row>
    <row r="257" spans="1:3" x14ac:dyDescent="0.25">
      <c r="A257" t="s">
        <v>623</v>
      </c>
      <c r="B257">
        <v>410000708</v>
      </c>
      <c r="C257" s="22" t="s">
        <v>405</v>
      </c>
    </row>
    <row r="258" spans="1:3" x14ac:dyDescent="0.25">
      <c r="A258" t="s">
        <v>627</v>
      </c>
      <c r="B258">
        <v>410000710</v>
      </c>
      <c r="C258" s="22" t="s">
        <v>151</v>
      </c>
    </row>
    <row r="259" spans="1:3" x14ac:dyDescent="0.25">
      <c r="A259" t="s">
        <v>663</v>
      </c>
      <c r="B259">
        <v>410000711</v>
      </c>
      <c r="C259" s="22" t="s">
        <v>271</v>
      </c>
    </row>
    <row r="260" spans="1:3" x14ac:dyDescent="0.25">
      <c r="A260" t="s">
        <v>662</v>
      </c>
      <c r="B260">
        <v>410000712</v>
      </c>
      <c r="C260" s="22" t="s">
        <v>179</v>
      </c>
    </row>
    <row r="261" spans="1:3" x14ac:dyDescent="0.25">
      <c r="A261" t="s">
        <v>713</v>
      </c>
      <c r="B261">
        <v>410000725</v>
      </c>
      <c r="C261" s="22" t="s">
        <v>446</v>
      </c>
    </row>
    <row r="262" spans="1:3" x14ac:dyDescent="0.25">
      <c r="A262" t="s">
        <v>753</v>
      </c>
      <c r="B262">
        <v>410000727</v>
      </c>
      <c r="C262" s="22" t="s">
        <v>90</v>
      </c>
    </row>
    <row r="263" spans="1:3" x14ac:dyDescent="0.25">
      <c r="A263" t="s">
        <v>694</v>
      </c>
      <c r="B263">
        <v>410000730</v>
      </c>
      <c r="C263" s="22" t="s">
        <v>91</v>
      </c>
    </row>
    <row r="264" spans="1:3" x14ac:dyDescent="0.25">
      <c r="A264" t="s">
        <v>7294</v>
      </c>
      <c r="B264">
        <v>410000731</v>
      </c>
      <c r="C264" t="s">
        <v>7288</v>
      </c>
    </row>
    <row r="265" spans="1:3" x14ac:dyDescent="0.25">
      <c r="A265" t="s">
        <v>679</v>
      </c>
      <c r="B265">
        <v>410000732</v>
      </c>
      <c r="C265" s="22" t="s">
        <v>307</v>
      </c>
    </row>
    <row r="266" spans="1:3" x14ac:dyDescent="0.25">
      <c r="A266" t="s">
        <v>626</v>
      </c>
      <c r="B266">
        <v>410000733</v>
      </c>
      <c r="C266" s="22" t="s">
        <v>387</v>
      </c>
    </row>
    <row r="267" spans="1:3" x14ac:dyDescent="0.25">
      <c r="A267" t="s">
        <v>477</v>
      </c>
      <c r="B267">
        <v>410000734</v>
      </c>
      <c r="C267" s="22" t="s">
        <v>280</v>
      </c>
    </row>
    <row r="268" spans="1:3" x14ac:dyDescent="0.25">
      <c r="A268" t="s">
        <v>685</v>
      </c>
      <c r="B268">
        <v>410000736</v>
      </c>
      <c r="C268" s="22" t="s">
        <v>441</v>
      </c>
    </row>
    <row r="269" spans="1:3" x14ac:dyDescent="0.25">
      <c r="A269" t="s">
        <v>5411</v>
      </c>
      <c r="B269">
        <v>410000737</v>
      </c>
      <c r="C269" t="s">
        <v>7876</v>
      </c>
    </row>
    <row r="270" spans="1:3" x14ac:dyDescent="0.25">
      <c r="A270" t="s">
        <v>7295</v>
      </c>
      <c r="B270">
        <v>410000739</v>
      </c>
      <c r="C270" t="s">
        <v>7289</v>
      </c>
    </row>
    <row r="271" spans="1:3" x14ac:dyDescent="0.25">
      <c r="A271" t="s">
        <v>683</v>
      </c>
      <c r="B271">
        <v>410000742</v>
      </c>
      <c r="C271" s="22" t="s">
        <v>389</v>
      </c>
    </row>
    <row r="272" spans="1:3" x14ac:dyDescent="0.25">
      <c r="A272" t="str">
        <f ca="1">IF($A272="","",IF(ISERROR(VLOOKUP(LEFT('1) Import fichier Remi (coller)'!$A306,9),'Concordance client liv et fact'!$A:$H,8,FALSE))=TRUE,VLOOKUP(LEFT('1) Import fichier Remi (coller)'!$A306,9)+0,'Clients R2'!$A:$CY,2,FALSE),VLOOKUP(VLOOKUP(LEFT('1) Import fichier Remi (coller)'!$A306,9),'Concordance client liv et fact'!$A:$H,7,FALSE)+0,'Clients R2'!$A:$CY,2,FALSE)))</f>
        <v xml:space="preserve">DMS-SECURITY SPRL      </v>
      </c>
      <c r="B272">
        <v>410000749</v>
      </c>
      <c r="C272" t="s">
        <v>7877</v>
      </c>
    </row>
    <row r="273" spans="1:3" x14ac:dyDescent="0.25">
      <c r="A273" t="s">
        <v>697</v>
      </c>
      <c r="B273">
        <v>410000750</v>
      </c>
      <c r="C273" s="22" t="s">
        <v>450</v>
      </c>
    </row>
    <row r="274" spans="1:3" x14ac:dyDescent="0.25">
      <c r="A274" s="25" t="s">
        <v>6915</v>
      </c>
      <c r="B274">
        <v>410000751</v>
      </c>
      <c r="C274" s="25" t="s">
        <v>428</v>
      </c>
    </row>
    <row r="275" spans="1:3" x14ac:dyDescent="0.25">
      <c r="A275" t="s">
        <v>727</v>
      </c>
      <c r="B275">
        <v>410000752</v>
      </c>
      <c r="C275" s="22" t="s">
        <v>317</v>
      </c>
    </row>
    <row r="276" spans="1:3" x14ac:dyDescent="0.25">
      <c r="A276" s="4" t="s">
        <v>7267</v>
      </c>
      <c r="B276">
        <v>410000753</v>
      </c>
      <c r="C276" t="s">
        <v>7268</v>
      </c>
    </row>
    <row r="277" spans="1:3" x14ac:dyDescent="0.25">
      <c r="A277" s="13" t="s">
        <v>7826</v>
      </c>
      <c r="B277">
        <v>410000754</v>
      </c>
      <c r="C277" t="s">
        <v>7831</v>
      </c>
    </row>
    <row r="278" spans="1:3" x14ac:dyDescent="0.25">
      <c r="A278" t="s">
        <v>731</v>
      </c>
      <c r="B278">
        <v>410000756</v>
      </c>
      <c r="C278" s="22" t="s">
        <v>379</v>
      </c>
    </row>
    <row r="279" spans="1:3" x14ac:dyDescent="0.25">
      <c r="A279" t="s">
        <v>692</v>
      </c>
      <c r="B279">
        <v>410000757</v>
      </c>
      <c r="C279" s="22" t="s">
        <v>92</v>
      </c>
    </row>
    <row r="280" spans="1:3" x14ac:dyDescent="0.25">
      <c r="A280" t="s">
        <v>728</v>
      </c>
      <c r="B280">
        <v>410000758</v>
      </c>
      <c r="C280" s="22" t="s">
        <v>352</v>
      </c>
    </row>
    <row r="281" spans="1:3" x14ac:dyDescent="0.25">
      <c r="A281" t="s">
        <v>729</v>
      </c>
      <c r="B281">
        <v>410000759</v>
      </c>
      <c r="C281" s="22" t="s">
        <v>93</v>
      </c>
    </row>
    <row r="282" spans="1:3" x14ac:dyDescent="0.25">
      <c r="A282" t="s">
        <v>741</v>
      </c>
      <c r="B282">
        <v>410000761</v>
      </c>
      <c r="C282" s="22" t="s">
        <v>437</v>
      </c>
    </row>
    <row r="283" spans="1:3" x14ac:dyDescent="0.25">
      <c r="A283" t="s">
        <v>693</v>
      </c>
      <c r="B283">
        <v>410000762</v>
      </c>
      <c r="C283" s="22" t="s">
        <v>94</v>
      </c>
    </row>
    <row r="284" spans="1:3" x14ac:dyDescent="0.25">
      <c r="A284" t="s">
        <v>714</v>
      </c>
      <c r="B284">
        <v>410000766</v>
      </c>
      <c r="C284" s="22" t="s">
        <v>95</v>
      </c>
    </row>
    <row r="285" spans="1:3" x14ac:dyDescent="0.25">
      <c r="A285" t="s">
        <v>719</v>
      </c>
      <c r="B285">
        <v>410000767</v>
      </c>
      <c r="C285" s="22" t="s">
        <v>96</v>
      </c>
    </row>
    <row r="286" spans="1:3" x14ac:dyDescent="0.25">
      <c r="A286" t="s">
        <v>760</v>
      </c>
      <c r="B286">
        <v>410000768</v>
      </c>
      <c r="C286" s="22" t="s">
        <v>97</v>
      </c>
    </row>
    <row r="287" spans="1:3" x14ac:dyDescent="0.25">
      <c r="A287" t="s">
        <v>703</v>
      </c>
      <c r="B287">
        <v>410000769</v>
      </c>
      <c r="C287" s="22" t="s">
        <v>98</v>
      </c>
    </row>
    <row r="288" spans="1:3" x14ac:dyDescent="0.25">
      <c r="A288" t="s">
        <v>709</v>
      </c>
      <c r="B288">
        <v>410000770</v>
      </c>
      <c r="C288" s="22" t="s">
        <v>99</v>
      </c>
    </row>
    <row r="289" spans="1:4" x14ac:dyDescent="0.25">
      <c r="A289" t="s">
        <v>782</v>
      </c>
      <c r="B289">
        <v>410000772</v>
      </c>
      <c r="C289" s="22" t="s">
        <v>249</v>
      </c>
    </row>
    <row r="290" spans="1:4" x14ac:dyDescent="0.25">
      <c r="A290" s="25" t="s">
        <v>6916</v>
      </c>
      <c r="B290">
        <v>410000773</v>
      </c>
      <c r="C290" s="25" t="s">
        <v>199</v>
      </c>
    </row>
    <row r="291" spans="1:4" x14ac:dyDescent="0.25">
      <c r="A291" t="s">
        <v>762</v>
      </c>
      <c r="B291">
        <v>410000779</v>
      </c>
      <c r="C291" s="22" t="s">
        <v>100</v>
      </c>
    </row>
    <row r="292" spans="1:4" x14ac:dyDescent="0.25">
      <c r="A292" t="s">
        <v>690</v>
      </c>
      <c r="B292">
        <v>410000780</v>
      </c>
      <c r="C292" s="22" t="s">
        <v>101</v>
      </c>
    </row>
    <row r="293" spans="1:4" x14ac:dyDescent="0.25">
      <c r="A293" t="s">
        <v>688</v>
      </c>
      <c r="B293">
        <v>410000784</v>
      </c>
      <c r="C293" s="22" t="s">
        <v>316</v>
      </c>
    </row>
    <row r="294" spans="1:4" x14ac:dyDescent="0.25">
      <c r="A294" s="4" t="s">
        <v>7013</v>
      </c>
      <c r="B294">
        <v>410000786</v>
      </c>
      <c r="C294" s="4" t="s">
        <v>6941</v>
      </c>
    </row>
    <row r="295" spans="1:4" x14ac:dyDescent="0.25">
      <c r="A295" t="s">
        <v>732</v>
      </c>
      <c r="B295">
        <v>410000787</v>
      </c>
      <c r="C295" s="22" t="s">
        <v>245</v>
      </c>
    </row>
    <row r="296" spans="1:4" x14ac:dyDescent="0.25">
      <c r="A296" t="s">
        <v>699</v>
      </c>
      <c r="B296">
        <v>410000790</v>
      </c>
      <c r="C296" s="22" t="s">
        <v>102</v>
      </c>
    </row>
    <row r="297" spans="1:4" x14ac:dyDescent="0.25">
      <c r="A297" t="s">
        <v>742</v>
      </c>
      <c r="B297">
        <v>410000792</v>
      </c>
      <c r="C297" s="22" t="s">
        <v>229</v>
      </c>
    </row>
    <row r="298" spans="1:4" x14ac:dyDescent="0.25">
      <c r="A298" t="s">
        <v>725</v>
      </c>
      <c r="B298">
        <v>410000795</v>
      </c>
      <c r="C298" s="22" t="s">
        <v>208</v>
      </c>
    </row>
    <row r="299" spans="1:4" x14ac:dyDescent="0.25">
      <c r="A299" t="s">
        <v>734</v>
      </c>
      <c r="B299">
        <v>410000797</v>
      </c>
      <c r="C299" s="22" t="s">
        <v>377</v>
      </c>
    </row>
    <row r="300" spans="1:4" x14ac:dyDescent="0.25">
      <c r="A300" t="s">
        <v>722</v>
      </c>
      <c r="B300">
        <v>410000798</v>
      </c>
      <c r="C300" s="22" t="s">
        <v>103</v>
      </c>
    </row>
    <row r="301" spans="1:4" x14ac:dyDescent="0.25">
      <c r="A301" s="4" t="s">
        <v>7134</v>
      </c>
      <c r="B301">
        <v>410000801</v>
      </c>
      <c r="C301" s="4" t="s">
        <v>7113</v>
      </c>
    </row>
    <row r="302" spans="1:4" x14ac:dyDescent="0.25">
      <c r="A302" t="s">
        <v>687</v>
      </c>
      <c r="B302">
        <v>410000806</v>
      </c>
      <c r="C302" s="22" t="s">
        <v>408</v>
      </c>
    </row>
    <row r="303" spans="1:4" x14ac:dyDescent="0.25">
      <c r="A303" s="4" t="s">
        <v>6794</v>
      </c>
      <c r="B303">
        <v>410000807</v>
      </c>
      <c r="C303" s="28" t="s">
        <v>6789</v>
      </c>
      <c r="D303" t="s">
        <v>6914</v>
      </c>
    </row>
    <row r="304" spans="1:4" x14ac:dyDescent="0.25">
      <c r="A304" t="s">
        <v>721</v>
      </c>
      <c r="B304">
        <v>410000809</v>
      </c>
      <c r="C304" s="22" t="s">
        <v>104</v>
      </c>
    </row>
    <row r="305" spans="1:3" x14ac:dyDescent="0.25">
      <c r="A305" t="s">
        <v>736</v>
      </c>
      <c r="B305">
        <v>410000812</v>
      </c>
      <c r="C305" s="22" t="s">
        <v>150</v>
      </c>
    </row>
    <row r="306" spans="1:3" x14ac:dyDescent="0.25">
      <c r="A306" t="s">
        <v>700</v>
      </c>
      <c r="B306">
        <v>410000813</v>
      </c>
      <c r="C306" s="22" t="s">
        <v>332</v>
      </c>
    </row>
    <row r="307" spans="1:3" x14ac:dyDescent="0.25">
      <c r="A307" t="s">
        <v>698</v>
      </c>
      <c r="B307">
        <v>410000814</v>
      </c>
      <c r="C307" s="22" t="s">
        <v>209</v>
      </c>
    </row>
    <row r="308" spans="1:3" x14ac:dyDescent="0.25">
      <c r="A308" t="s">
        <v>696</v>
      </c>
      <c r="B308">
        <v>410000815</v>
      </c>
      <c r="C308" s="22" t="s">
        <v>105</v>
      </c>
    </row>
    <row r="309" spans="1:3" x14ac:dyDescent="0.25">
      <c r="A309" t="s">
        <v>695</v>
      </c>
      <c r="B309">
        <v>410000816</v>
      </c>
      <c r="C309" s="22" t="s">
        <v>425</v>
      </c>
    </row>
    <row r="310" spans="1:3" x14ac:dyDescent="0.25">
      <c r="A310" t="s">
        <v>706</v>
      </c>
      <c r="B310">
        <v>410000821</v>
      </c>
      <c r="C310" s="22" t="s">
        <v>106</v>
      </c>
    </row>
    <row r="311" spans="1:3" x14ac:dyDescent="0.25">
      <c r="A311" t="s">
        <v>740</v>
      </c>
      <c r="B311">
        <v>410000824</v>
      </c>
      <c r="C311" s="22" t="s">
        <v>107</v>
      </c>
    </row>
    <row r="312" spans="1:3" x14ac:dyDescent="0.25">
      <c r="A312" s="25" t="s">
        <v>261</v>
      </c>
      <c r="B312">
        <v>410000825</v>
      </c>
      <c r="C312" s="25" t="s">
        <v>308</v>
      </c>
    </row>
    <row r="313" spans="1:3" x14ac:dyDescent="0.25">
      <c r="A313" t="s">
        <v>718</v>
      </c>
      <c r="B313">
        <v>410000828</v>
      </c>
      <c r="C313" s="22" t="s">
        <v>146</v>
      </c>
    </row>
    <row r="314" spans="1:3" x14ac:dyDescent="0.25">
      <c r="A314" t="s">
        <v>766</v>
      </c>
      <c r="B314">
        <v>410000831</v>
      </c>
      <c r="C314" s="22" t="s">
        <v>292</v>
      </c>
    </row>
    <row r="315" spans="1:3" x14ac:dyDescent="0.25">
      <c r="A315" t="s">
        <v>707</v>
      </c>
      <c r="B315">
        <v>410000832</v>
      </c>
      <c r="C315" s="22" t="s">
        <v>108</v>
      </c>
    </row>
    <row r="316" spans="1:3" x14ac:dyDescent="0.25">
      <c r="A316" t="s">
        <v>710</v>
      </c>
      <c r="B316">
        <v>410000833</v>
      </c>
      <c r="C316" s="22" t="s">
        <v>297</v>
      </c>
    </row>
    <row r="317" spans="1:3" x14ac:dyDescent="0.25">
      <c r="A317" t="s">
        <v>711</v>
      </c>
      <c r="B317">
        <v>410000836</v>
      </c>
      <c r="C317" s="22" t="s">
        <v>181</v>
      </c>
    </row>
    <row r="318" spans="1:3" x14ac:dyDescent="0.25">
      <c r="A318" t="s">
        <v>781</v>
      </c>
      <c r="B318">
        <v>410000838</v>
      </c>
      <c r="C318" s="22" t="s">
        <v>109</v>
      </c>
    </row>
    <row r="319" spans="1:3" x14ac:dyDescent="0.25">
      <c r="A319" t="s">
        <v>783</v>
      </c>
      <c r="B319">
        <v>410000839</v>
      </c>
      <c r="C319" s="22" t="s">
        <v>364</v>
      </c>
    </row>
    <row r="320" spans="1:3" x14ac:dyDescent="0.25">
      <c r="A320" t="s">
        <v>770</v>
      </c>
      <c r="B320">
        <v>410000840</v>
      </c>
      <c r="C320" s="22" t="s">
        <v>250</v>
      </c>
    </row>
    <row r="321" spans="1:3" x14ac:dyDescent="0.25">
      <c r="A321" t="s">
        <v>744</v>
      </c>
      <c r="B321">
        <v>410000841</v>
      </c>
      <c r="C321" s="22" t="s">
        <v>296</v>
      </c>
    </row>
    <row r="322" spans="1:3" x14ac:dyDescent="0.25">
      <c r="A322" t="s">
        <v>708</v>
      </c>
      <c r="B322">
        <v>410000843</v>
      </c>
      <c r="C322" s="22" t="s">
        <v>404</v>
      </c>
    </row>
    <row r="323" spans="1:3" x14ac:dyDescent="0.25">
      <c r="A323" t="s">
        <v>705</v>
      </c>
      <c r="B323">
        <v>410000844</v>
      </c>
      <c r="C323" s="22" t="s">
        <v>298</v>
      </c>
    </row>
    <row r="324" spans="1:3" x14ac:dyDescent="0.25">
      <c r="A324" s="25" t="s">
        <v>281</v>
      </c>
      <c r="B324">
        <v>410000845</v>
      </c>
      <c r="C324" s="25" t="s">
        <v>110</v>
      </c>
    </row>
    <row r="325" spans="1:3" x14ac:dyDescent="0.25">
      <c r="A325" s="4" t="s">
        <v>7151</v>
      </c>
      <c r="B325">
        <v>410000855</v>
      </c>
      <c r="C325" s="35" t="s">
        <v>7150</v>
      </c>
    </row>
    <row r="326" spans="1:3" x14ac:dyDescent="0.25">
      <c r="A326" t="s">
        <v>754</v>
      </c>
      <c r="B326">
        <v>410000856</v>
      </c>
      <c r="C326" s="22" t="s">
        <v>302</v>
      </c>
    </row>
    <row r="327" spans="1:3" x14ac:dyDescent="0.25">
      <c r="A327" t="s">
        <v>7312</v>
      </c>
      <c r="B327">
        <v>410000863</v>
      </c>
      <c r="C327" s="4" t="s">
        <v>7311</v>
      </c>
    </row>
    <row r="328" spans="1:3" x14ac:dyDescent="0.25">
      <c r="A328" t="s">
        <v>774</v>
      </c>
      <c r="B328">
        <v>410000865</v>
      </c>
      <c r="C328" s="22" t="s">
        <v>320</v>
      </c>
    </row>
    <row r="329" spans="1:3" x14ac:dyDescent="0.25">
      <c r="A329" t="s">
        <v>723</v>
      </c>
      <c r="B329">
        <v>410000867</v>
      </c>
      <c r="C329" s="22" t="s">
        <v>111</v>
      </c>
    </row>
    <row r="330" spans="1:3" x14ac:dyDescent="0.25">
      <c r="A330" t="s">
        <v>800</v>
      </c>
      <c r="B330">
        <v>410000870</v>
      </c>
      <c r="C330" s="22" t="s">
        <v>147</v>
      </c>
    </row>
    <row r="331" spans="1:3" x14ac:dyDescent="0.25">
      <c r="A331" t="s">
        <v>775</v>
      </c>
      <c r="B331">
        <v>410000871</v>
      </c>
      <c r="C331" s="22" t="s">
        <v>340</v>
      </c>
    </row>
    <row r="332" spans="1:3" x14ac:dyDescent="0.25">
      <c r="A332" t="s">
        <v>715</v>
      </c>
      <c r="B332">
        <v>410000872</v>
      </c>
      <c r="C332" s="22" t="s">
        <v>304</v>
      </c>
    </row>
    <row r="333" spans="1:3" x14ac:dyDescent="0.25">
      <c r="A333" t="s">
        <v>739</v>
      </c>
      <c r="B333">
        <v>410000873</v>
      </c>
      <c r="C333" s="22" t="s">
        <v>343</v>
      </c>
    </row>
    <row r="334" spans="1:3" x14ac:dyDescent="0.25">
      <c r="A334" t="s">
        <v>776</v>
      </c>
      <c r="B334">
        <v>410000878</v>
      </c>
      <c r="C334" s="22" t="s">
        <v>148</v>
      </c>
    </row>
    <row r="335" spans="1:3" x14ac:dyDescent="0.25">
      <c r="A335" t="s">
        <v>763</v>
      </c>
      <c r="B335">
        <v>410000880</v>
      </c>
      <c r="C335" s="22" t="s">
        <v>360</v>
      </c>
    </row>
    <row r="336" spans="1:3" x14ac:dyDescent="0.25">
      <c r="A336" t="s">
        <v>797</v>
      </c>
      <c r="B336">
        <v>410000881</v>
      </c>
      <c r="C336" s="22" t="s">
        <v>361</v>
      </c>
    </row>
    <row r="337" spans="1:3" x14ac:dyDescent="0.25">
      <c r="A337" t="s">
        <v>720</v>
      </c>
      <c r="B337">
        <v>410000882</v>
      </c>
      <c r="C337" s="22" t="s">
        <v>112</v>
      </c>
    </row>
    <row r="338" spans="1:3" x14ac:dyDescent="0.25">
      <c r="A338" t="s">
        <v>785</v>
      </c>
      <c r="B338">
        <v>410000883</v>
      </c>
      <c r="C338" s="22" t="s">
        <v>246</v>
      </c>
    </row>
    <row r="339" spans="1:3" x14ac:dyDescent="0.25">
      <c r="A339" t="s">
        <v>786</v>
      </c>
      <c r="B339">
        <v>410000884</v>
      </c>
      <c r="C339" s="22" t="s">
        <v>370</v>
      </c>
    </row>
    <row r="340" spans="1:3" x14ac:dyDescent="0.25">
      <c r="A340" t="s">
        <v>778</v>
      </c>
      <c r="B340">
        <v>410000897</v>
      </c>
      <c r="C340" s="22" t="s">
        <v>392</v>
      </c>
    </row>
    <row r="341" spans="1:3" x14ac:dyDescent="0.25">
      <c r="A341" s="4" t="s">
        <v>7070</v>
      </c>
      <c r="B341">
        <v>410000898</v>
      </c>
      <c r="C341" s="35" t="s">
        <v>7071</v>
      </c>
    </row>
    <row r="342" spans="1:3" x14ac:dyDescent="0.25">
      <c r="A342" t="s">
        <v>788</v>
      </c>
      <c r="B342">
        <v>410000899</v>
      </c>
      <c r="C342" s="22" t="s">
        <v>251</v>
      </c>
    </row>
    <row r="343" spans="1:3" x14ac:dyDescent="0.25">
      <c r="A343" t="s">
        <v>784</v>
      </c>
      <c r="B343">
        <v>410000900</v>
      </c>
      <c r="C343" s="22" t="s">
        <v>149</v>
      </c>
    </row>
    <row r="344" spans="1:3" x14ac:dyDescent="0.25">
      <c r="A344" t="s">
        <v>767</v>
      </c>
      <c r="B344">
        <v>410000901</v>
      </c>
      <c r="C344" s="22" t="s">
        <v>247</v>
      </c>
    </row>
    <row r="345" spans="1:3" x14ac:dyDescent="0.25">
      <c r="A345" t="s">
        <v>757</v>
      </c>
      <c r="B345">
        <v>410000903</v>
      </c>
      <c r="C345" s="22" t="s">
        <v>113</v>
      </c>
    </row>
    <row r="346" spans="1:3" x14ac:dyDescent="0.25">
      <c r="A346" t="s">
        <v>779</v>
      </c>
      <c r="B346">
        <v>410000905</v>
      </c>
      <c r="C346" s="22" t="s">
        <v>400</v>
      </c>
    </row>
    <row r="347" spans="1:3" x14ac:dyDescent="0.25">
      <c r="A347" t="s">
        <v>758</v>
      </c>
      <c r="B347">
        <v>410000906</v>
      </c>
      <c r="C347" s="22" t="s">
        <v>184</v>
      </c>
    </row>
    <row r="348" spans="1:3" x14ac:dyDescent="0.25">
      <c r="A348" t="s">
        <v>801</v>
      </c>
      <c r="B348">
        <v>410000910</v>
      </c>
      <c r="C348" s="22" t="s">
        <v>413</v>
      </c>
    </row>
    <row r="349" spans="1:3" x14ac:dyDescent="0.25">
      <c r="A349" t="s">
        <v>802</v>
      </c>
      <c r="B349">
        <v>410000912</v>
      </c>
      <c r="C349" s="22" t="s">
        <v>248</v>
      </c>
    </row>
    <row r="350" spans="1:3" x14ac:dyDescent="0.25">
      <c r="A350" t="s">
        <v>712</v>
      </c>
      <c r="B350">
        <v>410000915</v>
      </c>
      <c r="C350" s="22" t="s">
        <v>114</v>
      </c>
    </row>
    <row r="351" spans="1:3" x14ac:dyDescent="0.25">
      <c r="A351" t="s">
        <v>777</v>
      </c>
      <c r="B351">
        <v>410000918</v>
      </c>
      <c r="C351" s="22" t="s">
        <v>201</v>
      </c>
    </row>
    <row r="352" spans="1:3" x14ac:dyDescent="0.25">
      <c r="A352" s="29" t="s">
        <v>7014</v>
      </c>
      <c r="B352">
        <v>410000924</v>
      </c>
      <c r="C352" s="25" t="s">
        <v>6929</v>
      </c>
    </row>
    <row r="353" spans="1:3" x14ac:dyDescent="0.25">
      <c r="A353" t="s">
        <v>773</v>
      </c>
      <c r="B353">
        <v>410000925</v>
      </c>
      <c r="C353" s="22" t="s">
        <v>427</v>
      </c>
    </row>
    <row r="354" spans="1:3" x14ac:dyDescent="0.25">
      <c r="A354" t="s">
        <v>787</v>
      </c>
      <c r="B354">
        <v>410000927</v>
      </c>
      <c r="C354" s="22" t="s">
        <v>433</v>
      </c>
    </row>
    <row r="355" spans="1:3" x14ac:dyDescent="0.25">
      <c r="A355" t="s">
        <v>750</v>
      </c>
      <c r="B355">
        <v>410000928</v>
      </c>
      <c r="C355" s="22" t="s">
        <v>117</v>
      </c>
    </row>
    <row r="356" spans="1:3" x14ac:dyDescent="0.25">
      <c r="A356" t="s">
        <v>751</v>
      </c>
      <c r="B356">
        <v>410000933</v>
      </c>
      <c r="C356" s="22" t="s">
        <v>451</v>
      </c>
    </row>
    <row r="357" spans="1:3" x14ac:dyDescent="0.25">
      <c r="A357" t="s">
        <v>737</v>
      </c>
      <c r="B357">
        <v>410000936</v>
      </c>
      <c r="C357" s="22" t="s">
        <v>115</v>
      </c>
    </row>
    <row r="358" spans="1:3" x14ac:dyDescent="0.25">
      <c r="A358" s="4" t="s">
        <v>7443</v>
      </c>
      <c r="B358">
        <v>410000937</v>
      </c>
      <c r="C358" s="4" t="s">
        <v>7444</v>
      </c>
    </row>
    <row r="359" spans="1:3" x14ac:dyDescent="0.25">
      <c r="A359" t="s">
        <v>738</v>
      </c>
      <c r="B359">
        <v>410000938</v>
      </c>
      <c r="C359" s="22" t="s">
        <v>337</v>
      </c>
    </row>
    <row r="360" spans="1:3" x14ac:dyDescent="0.25">
      <c r="A360" t="s">
        <v>765</v>
      </c>
      <c r="B360">
        <v>410000939</v>
      </c>
      <c r="C360" s="22" t="s">
        <v>289</v>
      </c>
    </row>
    <row r="361" spans="1:3" x14ac:dyDescent="0.25">
      <c r="A361" t="s">
        <v>756</v>
      </c>
      <c r="B361">
        <v>410000940</v>
      </c>
      <c r="C361" s="22" t="s">
        <v>116</v>
      </c>
    </row>
    <row r="362" spans="1:3" x14ac:dyDescent="0.25">
      <c r="A362" t="s">
        <v>7989</v>
      </c>
      <c r="B362">
        <v>410000941</v>
      </c>
      <c r="C362" t="s">
        <v>7988</v>
      </c>
    </row>
    <row r="363" spans="1:3" x14ac:dyDescent="0.25">
      <c r="A363" t="s">
        <v>749</v>
      </c>
      <c r="B363">
        <v>410000942</v>
      </c>
      <c r="C363" s="22" t="s">
        <v>319</v>
      </c>
    </row>
    <row r="364" spans="1:3" x14ac:dyDescent="0.25">
      <c r="A364" t="s">
        <v>795</v>
      </c>
      <c r="B364">
        <v>410000943</v>
      </c>
      <c r="C364" s="22" t="s">
        <v>216</v>
      </c>
    </row>
    <row r="365" spans="1:3" x14ac:dyDescent="0.25">
      <c r="A365" t="s">
        <v>769</v>
      </c>
      <c r="B365">
        <v>410000944</v>
      </c>
      <c r="C365" s="22" t="s">
        <v>150</v>
      </c>
    </row>
    <row r="366" spans="1:3" x14ac:dyDescent="0.25">
      <c r="A366" t="s">
        <v>748</v>
      </c>
      <c r="B366">
        <v>410000946</v>
      </c>
      <c r="C366" s="22" t="s">
        <v>211</v>
      </c>
    </row>
    <row r="367" spans="1:3" x14ac:dyDescent="0.25">
      <c r="A367" t="s">
        <v>747</v>
      </c>
      <c r="B367">
        <v>410000947</v>
      </c>
      <c r="C367" s="22" t="s">
        <v>394</v>
      </c>
    </row>
    <row r="368" spans="1:3" x14ac:dyDescent="0.25">
      <c r="A368" t="s">
        <v>745</v>
      </c>
      <c r="B368">
        <v>410000948</v>
      </c>
      <c r="C368" s="22" t="s">
        <v>338</v>
      </c>
    </row>
    <row r="369" spans="1:3" x14ac:dyDescent="0.25">
      <c r="A369" t="s">
        <v>746</v>
      </c>
      <c r="B369">
        <v>410000948</v>
      </c>
      <c r="C369" s="22" t="s">
        <v>416</v>
      </c>
    </row>
    <row r="370" spans="1:3" x14ac:dyDescent="0.25">
      <c r="A370" s="25" t="s">
        <v>323</v>
      </c>
      <c r="B370">
        <v>410000949</v>
      </c>
      <c r="C370" s="25" t="s">
        <v>322</v>
      </c>
    </row>
    <row r="371" spans="1:3" x14ac:dyDescent="0.25">
      <c r="A371" t="s">
        <v>743</v>
      </c>
      <c r="B371">
        <v>410000950</v>
      </c>
      <c r="C371" s="22" t="s">
        <v>295</v>
      </c>
    </row>
    <row r="372" spans="1:3" x14ac:dyDescent="0.25">
      <c r="A372" t="s">
        <v>746</v>
      </c>
      <c r="B372">
        <v>410000951</v>
      </c>
      <c r="C372" s="22" t="s">
        <v>416</v>
      </c>
    </row>
    <row r="373" spans="1:3" x14ac:dyDescent="0.25">
      <c r="A373" t="s">
        <v>752</v>
      </c>
      <c r="B373">
        <v>410000952</v>
      </c>
      <c r="C373" s="22" t="s">
        <v>386</v>
      </c>
    </row>
    <row r="374" spans="1:3" x14ac:dyDescent="0.25">
      <c r="A374" t="s">
        <v>761</v>
      </c>
      <c r="B374">
        <v>410000956</v>
      </c>
      <c r="C374" s="22" t="s">
        <v>373</v>
      </c>
    </row>
    <row r="375" spans="1:3" x14ac:dyDescent="0.25">
      <c r="A375" t="s">
        <v>759</v>
      </c>
      <c r="B375">
        <v>410000957</v>
      </c>
      <c r="C375" s="22" t="s">
        <v>330</v>
      </c>
    </row>
    <row r="376" spans="1:3" x14ac:dyDescent="0.25">
      <c r="A376" t="s">
        <v>764</v>
      </c>
      <c r="B376">
        <v>410000958</v>
      </c>
      <c r="C376" s="22" t="s">
        <v>282</v>
      </c>
    </row>
    <row r="377" spans="1:3" x14ac:dyDescent="0.25">
      <c r="A377" s="25" t="s">
        <v>6921</v>
      </c>
      <c r="B377">
        <v>410000960</v>
      </c>
      <c r="C377" s="25" t="s">
        <v>212</v>
      </c>
    </row>
    <row r="378" spans="1:3" x14ac:dyDescent="0.25">
      <c r="A378" t="s">
        <v>772</v>
      </c>
      <c r="B378">
        <v>410000963</v>
      </c>
      <c r="C378" s="22" t="s">
        <v>349</v>
      </c>
    </row>
    <row r="379" spans="1:3" x14ac:dyDescent="0.25">
      <c r="A379" s="25" t="s">
        <v>6922</v>
      </c>
      <c r="B379">
        <v>410000965</v>
      </c>
      <c r="C379" s="25" t="s">
        <v>384</v>
      </c>
    </row>
    <row r="380" spans="1:3" x14ac:dyDescent="0.25">
      <c r="A380" t="s">
        <v>792</v>
      </c>
      <c r="B380">
        <v>410000966</v>
      </c>
      <c r="C380" s="22" t="s">
        <v>202</v>
      </c>
    </row>
    <row r="381" spans="1:3" x14ac:dyDescent="0.25">
      <c r="A381" t="s">
        <v>768</v>
      </c>
      <c r="B381">
        <v>410000971</v>
      </c>
      <c r="C381" s="22" t="s">
        <v>395</v>
      </c>
    </row>
    <row r="382" spans="1:3" x14ac:dyDescent="0.25">
      <c r="A382" t="s">
        <v>771</v>
      </c>
      <c r="B382">
        <v>410000972</v>
      </c>
      <c r="C382" s="22" t="s">
        <v>234</v>
      </c>
    </row>
    <row r="383" spans="1:3" x14ac:dyDescent="0.25">
      <c r="A383" t="s">
        <v>789</v>
      </c>
      <c r="B383">
        <v>410000974</v>
      </c>
      <c r="C383" s="22" t="s">
        <v>235</v>
      </c>
    </row>
    <row r="384" spans="1:3" x14ac:dyDescent="0.25">
      <c r="A384" t="s">
        <v>791</v>
      </c>
      <c r="B384">
        <v>410000975</v>
      </c>
      <c r="C384" s="22" t="s">
        <v>358</v>
      </c>
    </row>
    <row r="385" spans="1:4" x14ac:dyDescent="0.25">
      <c r="A385" t="s">
        <v>780</v>
      </c>
      <c r="B385">
        <v>410000976</v>
      </c>
      <c r="C385" s="22" t="s">
        <v>403</v>
      </c>
    </row>
    <row r="386" spans="1:4" x14ac:dyDescent="0.25">
      <c r="A386" t="s">
        <v>790</v>
      </c>
      <c r="B386">
        <v>410000977</v>
      </c>
      <c r="C386" s="22" t="s">
        <v>252</v>
      </c>
    </row>
    <row r="387" spans="1:4" x14ac:dyDescent="0.25">
      <c r="A387" t="s">
        <v>799</v>
      </c>
      <c r="B387">
        <v>410000981</v>
      </c>
      <c r="C387" s="22" t="s">
        <v>186</v>
      </c>
    </row>
    <row r="388" spans="1:4" x14ac:dyDescent="0.25">
      <c r="A388" t="s">
        <v>7855</v>
      </c>
      <c r="B388">
        <v>410000982</v>
      </c>
      <c r="C388" t="s">
        <v>7850</v>
      </c>
    </row>
    <row r="389" spans="1:4" x14ac:dyDescent="0.25">
      <c r="A389" t="s">
        <v>8018</v>
      </c>
      <c r="B389" s="44">
        <v>410000986</v>
      </c>
      <c r="C389" t="s">
        <v>8017</v>
      </c>
    </row>
    <row r="390" spans="1:4" x14ac:dyDescent="0.25">
      <c r="A390" t="s">
        <v>793</v>
      </c>
      <c r="B390">
        <v>410000989</v>
      </c>
      <c r="C390" s="22" t="s">
        <v>230</v>
      </c>
    </row>
    <row r="391" spans="1:4" x14ac:dyDescent="0.25">
      <c r="A391" t="s">
        <v>798</v>
      </c>
      <c r="B391">
        <v>410000991</v>
      </c>
      <c r="C391" s="22" t="s">
        <v>6942</v>
      </c>
    </row>
    <row r="392" spans="1:4" x14ac:dyDescent="0.25">
      <c r="A392" t="s">
        <v>796</v>
      </c>
      <c r="B392">
        <v>410000994</v>
      </c>
      <c r="C392" s="22" t="s">
        <v>213</v>
      </c>
    </row>
    <row r="393" spans="1:4" x14ac:dyDescent="0.25">
      <c r="A393" s="4" t="s">
        <v>6806</v>
      </c>
      <c r="B393">
        <v>410000998</v>
      </c>
      <c r="C393" s="28" t="s">
        <v>6801</v>
      </c>
      <c r="D393" t="s">
        <v>6914</v>
      </c>
    </row>
    <row r="394" spans="1:4" x14ac:dyDescent="0.25">
      <c r="A394" s="4" t="s">
        <v>6806</v>
      </c>
      <c r="B394">
        <v>410000998</v>
      </c>
      <c r="C394" t="s">
        <v>6801</v>
      </c>
      <c r="D394" t="s">
        <v>6914</v>
      </c>
    </row>
    <row r="395" spans="1:4" x14ac:dyDescent="0.25">
      <c r="A395" s="29" t="s">
        <v>7015</v>
      </c>
      <c r="B395">
        <v>410001002</v>
      </c>
      <c r="C395" s="25" t="s">
        <v>6930</v>
      </c>
    </row>
    <row r="396" spans="1:4" x14ac:dyDescent="0.25">
      <c r="A396" t="s">
        <v>804</v>
      </c>
      <c r="B396">
        <v>410001005</v>
      </c>
      <c r="C396" s="22" t="s">
        <v>237</v>
      </c>
    </row>
    <row r="397" spans="1:4" x14ac:dyDescent="0.25">
      <c r="A397" t="s">
        <v>808</v>
      </c>
      <c r="B397">
        <v>410001009</v>
      </c>
      <c r="C397" s="22" t="s">
        <v>203</v>
      </c>
    </row>
    <row r="398" spans="1:4" x14ac:dyDescent="0.25">
      <c r="A398" t="s">
        <v>805</v>
      </c>
      <c r="B398">
        <v>410001014</v>
      </c>
      <c r="C398" s="22" t="s">
        <v>376</v>
      </c>
    </row>
    <row r="399" spans="1:4" x14ac:dyDescent="0.25">
      <c r="A399" s="25" t="s">
        <v>6923</v>
      </c>
      <c r="B399">
        <v>410001017</v>
      </c>
      <c r="C399" s="25" t="s">
        <v>272</v>
      </c>
    </row>
    <row r="400" spans="1:4" x14ac:dyDescent="0.25">
      <c r="A400" t="s">
        <v>806</v>
      </c>
      <c r="B400">
        <v>410001018</v>
      </c>
      <c r="C400" s="22" t="s">
        <v>256</v>
      </c>
    </row>
    <row r="401" spans="1:4" x14ac:dyDescent="0.25">
      <c r="A401" t="s">
        <v>807</v>
      </c>
      <c r="B401">
        <v>410001021</v>
      </c>
      <c r="C401" s="22" t="s">
        <v>372</v>
      </c>
    </row>
    <row r="402" spans="1:4" x14ac:dyDescent="0.25">
      <c r="A402" s="4" t="s">
        <v>6798</v>
      </c>
      <c r="B402">
        <v>410001021</v>
      </c>
      <c r="C402" s="28" t="s">
        <v>372</v>
      </c>
      <c r="D402" t="s">
        <v>6914</v>
      </c>
    </row>
    <row r="403" spans="1:4" x14ac:dyDescent="0.25">
      <c r="A403" t="s">
        <v>809</v>
      </c>
      <c r="B403">
        <v>410001023</v>
      </c>
      <c r="C403" s="22" t="s">
        <v>254</v>
      </c>
    </row>
    <row r="404" spans="1:4" x14ac:dyDescent="0.25">
      <c r="A404" t="s">
        <v>7733</v>
      </c>
      <c r="B404">
        <v>410001024</v>
      </c>
      <c r="C404" t="s">
        <v>7729</v>
      </c>
    </row>
    <row r="405" spans="1:4" x14ac:dyDescent="0.25">
      <c r="A405" s="4" t="s">
        <v>6807</v>
      </c>
      <c r="B405">
        <v>410001025</v>
      </c>
      <c r="C405" s="28" t="s">
        <v>6803</v>
      </c>
      <c r="D405" t="s">
        <v>6914</v>
      </c>
    </row>
    <row r="406" spans="1:4" x14ac:dyDescent="0.25">
      <c r="A406" s="4" t="s">
        <v>7316</v>
      </c>
      <c r="B406">
        <v>410001027</v>
      </c>
      <c r="C406" t="s">
        <v>7309</v>
      </c>
    </row>
    <row r="407" spans="1:4" x14ac:dyDescent="0.25">
      <c r="A407" s="4" t="s">
        <v>7672</v>
      </c>
      <c r="B407">
        <v>410001030</v>
      </c>
      <c r="C407" s="4" t="s">
        <v>7643</v>
      </c>
    </row>
    <row r="408" spans="1:4" x14ac:dyDescent="0.25">
      <c r="A408" s="4" t="s">
        <v>6795</v>
      </c>
      <c r="B408">
        <v>410001034</v>
      </c>
      <c r="C408" s="28" t="s">
        <v>460</v>
      </c>
      <c r="D408" t="s">
        <v>6914</v>
      </c>
    </row>
    <row r="409" spans="1:4" x14ac:dyDescent="0.25">
      <c r="A409" s="4" t="s">
        <v>6799</v>
      </c>
      <c r="B409">
        <v>410001036</v>
      </c>
      <c r="C409" s="28" t="s">
        <v>6791</v>
      </c>
      <c r="D409" t="s">
        <v>6914</v>
      </c>
    </row>
    <row r="410" spans="1:4" x14ac:dyDescent="0.25">
      <c r="A410" s="4" t="s">
        <v>7064</v>
      </c>
      <c r="B410">
        <v>410001040</v>
      </c>
      <c r="C410" s="35" t="s">
        <v>7062</v>
      </c>
    </row>
    <row r="411" spans="1:4" x14ac:dyDescent="0.25">
      <c r="A411" s="4" t="s">
        <v>6796</v>
      </c>
      <c r="B411">
        <v>410001041</v>
      </c>
      <c r="C411" s="28" t="s">
        <v>6790</v>
      </c>
      <c r="D411" t="s">
        <v>6914</v>
      </c>
    </row>
    <row r="412" spans="1:4" x14ac:dyDescent="0.25">
      <c r="A412" s="4" t="s">
        <v>6800</v>
      </c>
      <c r="B412">
        <v>410001042</v>
      </c>
      <c r="C412" s="28" t="s">
        <v>6792</v>
      </c>
      <c r="D412" t="s">
        <v>6914</v>
      </c>
    </row>
    <row r="413" spans="1:4" x14ac:dyDescent="0.25">
      <c r="A413" s="4" t="s">
        <v>6793</v>
      </c>
      <c r="B413">
        <v>410001043</v>
      </c>
      <c r="C413" s="28" t="s">
        <v>6788</v>
      </c>
      <c r="D413" t="s">
        <v>6914</v>
      </c>
    </row>
    <row r="414" spans="1:4" x14ac:dyDescent="0.25">
      <c r="A414" t="s">
        <v>7157</v>
      </c>
      <c r="B414">
        <v>410001045</v>
      </c>
      <c r="C414" s="36" t="s">
        <v>7156</v>
      </c>
    </row>
    <row r="415" spans="1:4" x14ac:dyDescent="0.25">
      <c r="A415" s="4" t="s">
        <v>6808</v>
      </c>
      <c r="B415">
        <v>410001046</v>
      </c>
      <c r="C415" s="28" t="s">
        <v>6804</v>
      </c>
      <c r="D415" t="s">
        <v>6914</v>
      </c>
    </row>
    <row r="416" spans="1:4" x14ac:dyDescent="0.25">
      <c r="A416" t="s">
        <v>7754</v>
      </c>
      <c r="B416">
        <v>410001048</v>
      </c>
      <c r="C416" t="s">
        <v>7755</v>
      </c>
    </row>
    <row r="417" spans="1:4" x14ac:dyDescent="0.25">
      <c r="A417" s="4" t="s">
        <v>6876</v>
      </c>
      <c r="B417">
        <v>410001050</v>
      </c>
      <c r="C417" s="4" t="s">
        <v>7533</v>
      </c>
    </row>
    <row r="418" spans="1:4" x14ac:dyDescent="0.25">
      <c r="A418" s="4" t="s">
        <v>6797</v>
      </c>
      <c r="B418">
        <v>410001051</v>
      </c>
      <c r="C418" s="28" t="s">
        <v>6925</v>
      </c>
    </row>
    <row r="419" spans="1:4" x14ac:dyDescent="0.25">
      <c r="A419" s="4" t="s">
        <v>6809</v>
      </c>
      <c r="B419">
        <v>410001052</v>
      </c>
      <c r="C419" s="28" t="s">
        <v>6805</v>
      </c>
      <c r="D419" t="s">
        <v>6914</v>
      </c>
    </row>
    <row r="420" spans="1:4" x14ac:dyDescent="0.25">
      <c r="A420" s="35" t="s">
        <v>7065</v>
      </c>
      <c r="B420">
        <v>410001055</v>
      </c>
      <c r="C420" s="35" t="s">
        <v>7061</v>
      </c>
    </row>
    <row r="421" spans="1:4" x14ac:dyDescent="0.25">
      <c r="A421" s="4" t="s">
        <v>6802</v>
      </c>
      <c r="B421">
        <v>410001057</v>
      </c>
      <c r="C421" s="28" t="s">
        <v>6802</v>
      </c>
      <c r="D421" t="s">
        <v>6914</v>
      </c>
    </row>
    <row r="422" spans="1:4" x14ac:dyDescent="0.25">
      <c r="A422" s="4" t="s">
        <v>7364</v>
      </c>
      <c r="B422">
        <v>410001058</v>
      </c>
      <c r="C422" s="4" t="s">
        <v>7364</v>
      </c>
    </row>
    <row r="423" spans="1:4" x14ac:dyDescent="0.25">
      <c r="A423" s="4" t="s">
        <v>7072</v>
      </c>
      <c r="B423">
        <v>410001059</v>
      </c>
      <c r="C423" t="s">
        <v>7068</v>
      </c>
    </row>
    <row r="424" spans="1:4" x14ac:dyDescent="0.25">
      <c r="A424" t="s">
        <v>7159</v>
      </c>
      <c r="B424">
        <v>410001060</v>
      </c>
      <c r="C424" s="36" t="s">
        <v>7158</v>
      </c>
    </row>
    <row r="425" spans="1:4" x14ac:dyDescent="0.25">
      <c r="A425" s="4" t="s">
        <v>7670</v>
      </c>
      <c r="B425">
        <v>410001061</v>
      </c>
      <c r="C425" s="4" t="s">
        <v>7671</v>
      </c>
    </row>
    <row r="426" spans="1:4" x14ac:dyDescent="0.25">
      <c r="A426" t="s">
        <v>7183</v>
      </c>
      <c r="B426">
        <v>410001063</v>
      </c>
      <c r="C426" t="s">
        <v>7181</v>
      </c>
    </row>
    <row r="427" spans="1:4" x14ac:dyDescent="0.25">
      <c r="A427" t="s">
        <v>7181</v>
      </c>
      <c r="B427">
        <v>410001063</v>
      </c>
      <c r="C427" t="s">
        <v>7181</v>
      </c>
    </row>
    <row r="428" spans="1:4" x14ac:dyDescent="0.25">
      <c r="A428" s="4" t="s">
        <v>7315</v>
      </c>
      <c r="B428">
        <v>410001066</v>
      </c>
      <c r="C428" s="4" t="s">
        <v>7314</v>
      </c>
    </row>
    <row r="429" spans="1:4" x14ac:dyDescent="0.25">
      <c r="A429" s="4" t="s">
        <v>7292</v>
      </c>
      <c r="B429">
        <v>410001070</v>
      </c>
      <c r="C429" t="s">
        <v>7293</v>
      </c>
      <c r="D429" t="s">
        <v>7296</v>
      </c>
    </row>
    <row r="430" spans="1:4" x14ac:dyDescent="0.25">
      <c r="A430" s="35" t="s">
        <v>7066</v>
      </c>
      <c r="B430" s="35">
        <v>410001071</v>
      </c>
      <c r="C430" s="35" t="s">
        <v>7063</v>
      </c>
    </row>
    <row r="431" spans="1:4" x14ac:dyDescent="0.25">
      <c r="A431" s="4" t="s">
        <v>7073</v>
      </c>
      <c r="B431">
        <v>410001072</v>
      </c>
      <c r="C431" s="4" t="s">
        <v>7069</v>
      </c>
    </row>
    <row r="432" spans="1:4" x14ac:dyDescent="0.25">
      <c r="A432" t="s">
        <v>7155</v>
      </c>
      <c r="B432">
        <v>410001078</v>
      </c>
      <c r="C432" t="s">
        <v>329</v>
      </c>
    </row>
    <row r="433" spans="1:3" x14ac:dyDescent="0.25">
      <c r="A433" t="s">
        <v>7136</v>
      </c>
      <c r="B433">
        <v>410001081</v>
      </c>
      <c r="C433" t="s">
        <v>7135</v>
      </c>
    </row>
    <row r="434" spans="1:3" x14ac:dyDescent="0.25">
      <c r="A434" t="s">
        <v>7153</v>
      </c>
      <c r="B434">
        <v>410001083</v>
      </c>
      <c r="C434" t="s">
        <v>7152</v>
      </c>
    </row>
    <row r="435" spans="1:3" x14ac:dyDescent="0.25">
      <c r="A435" s="4" t="s">
        <v>7190</v>
      </c>
      <c r="B435">
        <v>410001084</v>
      </c>
      <c r="C435" t="s">
        <v>7191</v>
      </c>
    </row>
    <row r="436" spans="1:3" x14ac:dyDescent="0.25">
      <c r="A436" s="4" t="s">
        <v>7162</v>
      </c>
      <c r="B436">
        <v>410001085</v>
      </c>
      <c r="C436" s="4" t="s">
        <v>7163</v>
      </c>
    </row>
    <row r="437" spans="1:3" x14ac:dyDescent="0.25">
      <c r="A437" t="s">
        <v>7217</v>
      </c>
      <c r="B437">
        <v>410001090</v>
      </c>
      <c r="C437" t="s">
        <v>7217</v>
      </c>
    </row>
    <row r="438" spans="1:3" x14ac:dyDescent="0.25">
      <c r="A438" t="s">
        <v>7184</v>
      </c>
      <c r="B438">
        <v>410001093</v>
      </c>
      <c r="C438" t="s">
        <v>7182</v>
      </c>
    </row>
    <row r="439" spans="1:3" x14ac:dyDescent="0.25">
      <c r="A439" t="s">
        <v>7218</v>
      </c>
      <c r="B439">
        <v>410001093</v>
      </c>
      <c r="C439" t="s">
        <v>7182</v>
      </c>
    </row>
    <row r="440" spans="1:3" x14ac:dyDescent="0.25">
      <c r="A440" t="s">
        <v>7219</v>
      </c>
      <c r="B440">
        <v>410001094</v>
      </c>
      <c r="C440" t="s">
        <v>7219</v>
      </c>
    </row>
    <row r="441" spans="1:3" x14ac:dyDescent="0.25">
      <c r="A441" s="4" t="s">
        <v>7253</v>
      </c>
      <c r="B441">
        <v>410001102</v>
      </c>
      <c r="C441" t="s">
        <v>7252</v>
      </c>
    </row>
    <row r="442" spans="1:3" x14ac:dyDescent="0.25">
      <c r="A442" s="4" t="s">
        <v>7308</v>
      </c>
      <c r="B442">
        <v>410001105</v>
      </c>
      <c r="C442" s="4" t="s">
        <v>7307</v>
      </c>
    </row>
    <row r="443" spans="1:3" x14ac:dyDescent="0.25">
      <c r="A443" s="4" t="s">
        <v>7260</v>
      </c>
      <c r="B443">
        <v>410001106</v>
      </c>
      <c r="C443" s="4" t="s">
        <v>7313</v>
      </c>
    </row>
    <row r="444" spans="1:3" x14ac:dyDescent="0.25">
      <c r="A444" s="4" t="s">
        <v>7266</v>
      </c>
      <c r="B444">
        <v>410001107</v>
      </c>
      <c r="C444" s="4" t="s">
        <v>7265</v>
      </c>
    </row>
    <row r="445" spans="1:3" x14ac:dyDescent="0.25">
      <c r="A445" s="4" t="s">
        <v>7468</v>
      </c>
      <c r="B445">
        <v>410001109</v>
      </c>
      <c r="C445" s="4" t="s">
        <v>7469</v>
      </c>
    </row>
    <row r="446" spans="1:3" x14ac:dyDescent="0.25">
      <c r="A446" s="4" t="s">
        <v>7366</v>
      </c>
      <c r="B446">
        <v>410001111</v>
      </c>
      <c r="C446" t="s">
        <v>7365</v>
      </c>
    </row>
    <row r="447" spans="1:3" x14ac:dyDescent="0.25">
      <c r="A447" s="4" t="s">
        <v>7409</v>
      </c>
      <c r="B447">
        <v>410001112</v>
      </c>
      <c r="C447" t="s">
        <v>7409</v>
      </c>
    </row>
    <row r="448" spans="1:3" x14ac:dyDescent="0.25">
      <c r="A448" s="4" t="s">
        <v>7368</v>
      </c>
      <c r="B448">
        <v>410001113</v>
      </c>
      <c r="C448" t="s">
        <v>7367</v>
      </c>
    </row>
    <row r="449" spans="1:3" x14ac:dyDescent="0.25">
      <c r="A449" s="4" t="s">
        <v>7370</v>
      </c>
      <c r="B449">
        <v>410001114</v>
      </c>
      <c r="C449" t="s">
        <v>7369</v>
      </c>
    </row>
    <row r="450" spans="1:3" x14ac:dyDescent="0.25">
      <c r="A450" s="4" t="s">
        <v>7568</v>
      </c>
      <c r="B450">
        <v>410001115</v>
      </c>
      <c r="C450" s="4" t="s">
        <v>7567</v>
      </c>
    </row>
    <row r="451" spans="1:3" x14ac:dyDescent="0.25">
      <c r="A451" s="4" t="s">
        <v>7724</v>
      </c>
      <c r="B451">
        <v>410001116</v>
      </c>
      <c r="C451" t="s">
        <v>7725</v>
      </c>
    </row>
    <row r="452" spans="1:3" x14ac:dyDescent="0.25">
      <c r="A452" s="4" t="s">
        <v>7723</v>
      </c>
      <c r="B452">
        <v>410001118</v>
      </c>
      <c r="C452" t="s">
        <v>7723</v>
      </c>
    </row>
    <row r="453" spans="1:3" x14ac:dyDescent="0.25">
      <c r="A453" s="4" t="s">
        <v>7572</v>
      </c>
      <c r="B453">
        <v>410001121</v>
      </c>
      <c r="C453" t="s">
        <v>7571</v>
      </c>
    </row>
    <row r="454" spans="1:3" x14ac:dyDescent="0.25">
      <c r="A454" s="4" t="s">
        <v>7410</v>
      </c>
      <c r="B454">
        <v>410001122</v>
      </c>
      <c r="C454" t="s">
        <v>7411</v>
      </c>
    </row>
    <row r="455" spans="1:3" x14ac:dyDescent="0.25">
      <c r="A455" s="4" t="s">
        <v>7470</v>
      </c>
      <c r="B455">
        <v>410001124</v>
      </c>
      <c r="C455" s="4" t="s">
        <v>7470</v>
      </c>
    </row>
    <row r="456" spans="1:3" x14ac:dyDescent="0.25">
      <c r="A456" s="4" t="s">
        <v>7442</v>
      </c>
      <c r="B456">
        <v>410001128</v>
      </c>
      <c r="C456" s="4" t="s">
        <v>7441</v>
      </c>
    </row>
    <row r="457" spans="1:3" x14ac:dyDescent="0.25">
      <c r="A457" s="4" t="s">
        <v>7471</v>
      </c>
      <c r="B457">
        <v>410001129</v>
      </c>
      <c r="C457" t="s">
        <v>7472</v>
      </c>
    </row>
    <row r="458" spans="1:3" x14ac:dyDescent="0.25">
      <c r="A458" s="4" t="s">
        <v>7636</v>
      </c>
      <c r="B458">
        <v>410001131</v>
      </c>
      <c r="C458" s="4" t="s">
        <v>7637</v>
      </c>
    </row>
    <row r="459" spans="1:3" x14ac:dyDescent="0.25">
      <c r="A459" s="4" t="s">
        <v>7574</v>
      </c>
      <c r="B459">
        <v>410001136</v>
      </c>
      <c r="C459" t="s">
        <v>7573</v>
      </c>
    </row>
    <row r="460" spans="1:3" x14ac:dyDescent="0.25">
      <c r="A460" t="s">
        <v>7899</v>
      </c>
      <c r="B460">
        <v>410001137</v>
      </c>
      <c r="C460" t="s">
        <v>7901</v>
      </c>
    </row>
    <row r="461" spans="1:3" x14ac:dyDescent="0.25">
      <c r="A461" t="s">
        <v>7764</v>
      </c>
      <c r="B461">
        <v>410001138</v>
      </c>
      <c r="C461" t="s">
        <v>7765</v>
      </c>
    </row>
    <row r="462" spans="1:3" x14ac:dyDescent="0.25">
      <c r="A462" s="4" t="s">
        <v>7601</v>
      </c>
      <c r="B462">
        <v>410001139</v>
      </c>
      <c r="C462" s="4" t="s">
        <v>7600</v>
      </c>
    </row>
    <row r="463" spans="1:3" x14ac:dyDescent="0.25">
      <c r="A463" s="4" t="s">
        <v>7593</v>
      </c>
      <c r="B463">
        <v>410001140</v>
      </c>
      <c r="C463" s="4" t="s">
        <v>465</v>
      </c>
    </row>
    <row r="464" spans="1:3" x14ac:dyDescent="0.25">
      <c r="A464" s="4" t="s">
        <v>7621</v>
      </c>
      <c r="B464">
        <v>410001144</v>
      </c>
      <c r="C464" t="s">
        <v>7620</v>
      </c>
    </row>
    <row r="465" spans="1:3" x14ac:dyDescent="0.25">
      <c r="A465" s="4" t="s">
        <v>7666</v>
      </c>
      <c r="B465">
        <v>410001145</v>
      </c>
      <c r="C465" s="4" t="s">
        <v>7667</v>
      </c>
    </row>
    <row r="466" spans="1:3" x14ac:dyDescent="0.25">
      <c r="A466" s="35" t="s">
        <v>7718</v>
      </c>
      <c r="B466" s="35">
        <v>410001146</v>
      </c>
      <c r="C466" t="s">
        <v>7719</v>
      </c>
    </row>
    <row r="467" spans="1:3" x14ac:dyDescent="0.25">
      <c r="A467" s="4" t="s">
        <v>7668</v>
      </c>
      <c r="B467">
        <v>410001147</v>
      </c>
      <c r="C467" s="4" t="s">
        <v>7669</v>
      </c>
    </row>
    <row r="468" spans="1:3" x14ac:dyDescent="0.25">
      <c r="A468" t="s">
        <v>7745</v>
      </c>
      <c r="B468">
        <v>410001149</v>
      </c>
      <c r="C468" t="s">
        <v>7746</v>
      </c>
    </row>
    <row r="469" spans="1:3" x14ac:dyDescent="0.25">
      <c r="A469" s="4" t="s">
        <v>7717</v>
      </c>
      <c r="B469">
        <v>410001150</v>
      </c>
      <c r="C469" t="s">
        <v>7716</v>
      </c>
    </row>
    <row r="470" spans="1:3" x14ac:dyDescent="0.25">
      <c r="A470" s="4" t="s">
        <v>7720</v>
      </c>
      <c r="B470">
        <v>410001153</v>
      </c>
      <c r="C470" t="s">
        <v>7721</v>
      </c>
    </row>
    <row r="471" spans="1:3" x14ac:dyDescent="0.25">
      <c r="A471" s="4" t="s">
        <v>7687</v>
      </c>
      <c r="B471">
        <v>410001154</v>
      </c>
      <c r="C471" t="s">
        <v>7688</v>
      </c>
    </row>
    <row r="472" spans="1:3" x14ac:dyDescent="0.25">
      <c r="A472" t="s">
        <v>7734</v>
      </c>
      <c r="B472">
        <v>410001155</v>
      </c>
      <c r="C472" t="s">
        <v>7730</v>
      </c>
    </row>
    <row r="473" spans="1:3" x14ac:dyDescent="0.25">
      <c r="A473" t="s">
        <v>7726</v>
      </c>
      <c r="B473">
        <v>410001156</v>
      </c>
      <c r="C473" t="s">
        <v>7731</v>
      </c>
    </row>
    <row r="474" spans="1:3" x14ac:dyDescent="0.25">
      <c r="A474" t="s">
        <v>7732</v>
      </c>
      <c r="B474">
        <v>410001159</v>
      </c>
      <c r="C474" t="s">
        <v>7732</v>
      </c>
    </row>
    <row r="475" spans="1:3" x14ac:dyDescent="0.25">
      <c r="A475" t="s">
        <v>7735</v>
      </c>
      <c r="B475">
        <v>410001161</v>
      </c>
      <c r="C475" t="s">
        <v>7736</v>
      </c>
    </row>
    <row r="476" spans="1:3" x14ac:dyDescent="0.25">
      <c r="A476" t="s">
        <v>7741</v>
      </c>
      <c r="B476">
        <v>410001162</v>
      </c>
      <c r="C476" t="s">
        <v>7742</v>
      </c>
    </row>
    <row r="477" spans="1:3" x14ac:dyDescent="0.25">
      <c r="A477" t="s">
        <v>7827</v>
      </c>
      <c r="B477">
        <v>410001163</v>
      </c>
      <c r="C477" t="s">
        <v>7845</v>
      </c>
    </row>
    <row r="478" spans="1:3" x14ac:dyDescent="0.25">
      <c r="A478" t="s">
        <v>7750</v>
      </c>
      <c r="B478">
        <v>410001164</v>
      </c>
      <c r="C478" t="s">
        <v>7749</v>
      </c>
    </row>
    <row r="479" spans="1:3" x14ac:dyDescent="0.25">
      <c r="A479" t="s">
        <v>7727</v>
      </c>
      <c r="B479">
        <v>410001165</v>
      </c>
      <c r="C479" t="s">
        <v>7728</v>
      </c>
    </row>
    <row r="480" spans="1:3" x14ac:dyDescent="0.25">
      <c r="A480" t="s">
        <v>7748</v>
      </c>
      <c r="B480">
        <v>410001165</v>
      </c>
      <c r="C480" t="s">
        <v>7728</v>
      </c>
    </row>
    <row r="481" spans="1:3" x14ac:dyDescent="0.25">
      <c r="A481" t="s">
        <v>7744</v>
      </c>
      <c r="B481">
        <v>410001168</v>
      </c>
      <c r="C481" t="s">
        <v>7743</v>
      </c>
    </row>
    <row r="482" spans="1:3" x14ac:dyDescent="0.25">
      <c r="A482" t="s">
        <v>7737</v>
      </c>
      <c r="B482">
        <v>410001170</v>
      </c>
      <c r="C482" t="s">
        <v>7738</v>
      </c>
    </row>
    <row r="483" spans="1:3" x14ac:dyDescent="0.25">
      <c r="A483" t="s">
        <v>7737</v>
      </c>
      <c r="B483">
        <v>410001170</v>
      </c>
      <c r="C483" t="s">
        <v>7738</v>
      </c>
    </row>
    <row r="484" spans="1:3" x14ac:dyDescent="0.25">
      <c r="A484" t="s">
        <v>7757</v>
      </c>
      <c r="B484">
        <v>410001174</v>
      </c>
      <c r="C484" t="s">
        <v>7756</v>
      </c>
    </row>
    <row r="485" spans="1:3" x14ac:dyDescent="0.25">
      <c r="A485" t="s">
        <v>7758</v>
      </c>
      <c r="B485">
        <v>410001176</v>
      </c>
      <c r="C485" t="s">
        <v>7760</v>
      </c>
    </row>
    <row r="486" spans="1:3" x14ac:dyDescent="0.25">
      <c r="A486" t="s">
        <v>7770</v>
      </c>
      <c r="B486">
        <v>410001177</v>
      </c>
      <c r="C486" t="s">
        <v>7771</v>
      </c>
    </row>
    <row r="487" spans="1:3" x14ac:dyDescent="0.25">
      <c r="A487" t="s">
        <v>7759</v>
      </c>
      <c r="B487">
        <v>410001179</v>
      </c>
      <c r="C487" t="s">
        <v>7761</v>
      </c>
    </row>
    <row r="488" spans="1:3" x14ac:dyDescent="0.25">
      <c r="A488" t="s">
        <v>7762</v>
      </c>
      <c r="B488">
        <v>410001181</v>
      </c>
      <c r="C488" t="s">
        <v>7763</v>
      </c>
    </row>
    <row r="489" spans="1:3" x14ac:dyDescent="0.25">
      <c r="A489" t="s">
        <v>7766</v>
      </c>
      <c r="B489">
        <v>410001182</v>
      </c>
      <c r="C489" t="s">
        <v>7767</v>
      </c>
    </row>
    <row r="490" spans="1:3" x14ac:dyDescent="0.25">
      <c r="A490" t="s">
        <v>7772</v>
      </c>
      <c r="B490">
        <v>410001183</v>
      </c>
      <c r="C490" t="s">
        <v>7773</v>
      </c>
    </row>
    <row r="491" spans="1:3" x14ac:dyDescent="0.25">
      <c r="A491" t="s">
        <v>7783</v>
      </c>
      <c r="B491">
        <v>410001185</v>
      </c>
      <c r="C491" t="s">
        <v>7784</v>
      </c>
    </row>
    <row r="492" spans="1:3" x14ac:dyDescent="0.25">
      <c r="A492" t="s">
        <v>7768</v>
      </c>
      <c r="B492">
        <v>410001187</v>
      </c>
      <c r="C492" t="s">
        <v>7769</v>
      </c>
    </row>
    <row r="493" spans="1:3" x14ac:dyDescent="0.25">
      <c r="A493" t="s">
        <v>7830</v>
      </c>
      <c r="B493">
        <v>410001188</v>
      </c>
      <c r="C493" t="s">
        <v>7848</v>
      </c>
    </row>
    <row r="494" spans="1:3" x14ac:dyDescent="0.25">
      <c r="A494" t="s">
        <v>7785</v>
      </c>
      <c r="B494">
        <v>410001190</v>
      </c>
      <c r="C494" t="s">
        <v>7786</v>
      </c>
    </row>
    <row r="495" spans="1:3" x14ac:dyDescent="0.25">
      <c r="A495" t="s">
        <v>7821</v>
      </c>
      <c r="B495">
        <v>410001191</v>
      </c>
      <c r="C495" t="s">
        <v>7883</v>
      </c>
    </row>
    <row r="496" spans="1:3" x14ac:dyDescent="0.25">
      <c r="A496" t="s">
        <v>7828</v>
      </c>
      <c r="B496">
        <v>410001193</v>
      </c>
      <c r="C496" t="s">
        <v>7846</v>
      </c>
    </row>
    <row r="497" spans="1:3" x14ac:dyDescent="0.25">
      <c r="A497" t="s">
        <v>7870</v>
      </c>
      <c r="B497">
        <v>410001195</v>
      </c>
      <c r="C497" t="s">
        <v>7871</v>
      </c>
    </row>
    <row r="498" spans="1:3" x14ac:dyDescent="0.25">
      <c r="A498" t="s">
        <v>7829</v>
      </c>
      <c r="B498">
        <v>410001197</v>
      </c>
      <c r="C498" t="s">
        <v>7847</v>
      </c>
    </row>
    <row r="499" spans="1:3" x14ac:dyDescent="0.25">
      <c r="A499" t="s">
        <v>7805</v>
      </c>
      <c r="B499">
        <v>410001198</v>
      </c>
      <c r="C499" t="s">
        <v>7806</v>
      </c>
    </row>
    <row r="500" spans="1:3" x14ac:dyDescent="0.25">
      <c r="A500" t="s">
        <v>7866</v>
      </c>
      <c r="B500">
        <v>410001199</v>
      </c>
      <c r="C500" t="s">
        <v>7865</v>
      </c>
    </row>
    <row r="501" spans="1:3" x14ac:dyDescent="0.25">
      <c r="A501" t="s">
        <v>7815</v>
      </c>
      <c r="B501">
        <v>410001200</v>
      </c>
      <c r="C501" t="s">
        <v>7814</v>
      </c>
    </row>
    <row r="502" spans="1:3" x14ac:dyDescent="0.25">
      <c r="A502" t="s">
        <v>7861</v>
      </c>
      <c r="B502">
        <v>410001202</v>
      </c>
      <c r="C502" t="s">
        <v>7861</v>
      </c>
    </row>
    <row r="503" spans="1:3" x14ac:dyDescent="0.25">
      <c r="A503" t="s">
        <v>7859</v>
      </c>
      <c r="B503">
        <v>410001205</v>
      </c>
      <c r="C503" t="s">
        <v>7860</v>
      </c>
    </row>
    <row r="504" spans="1:3" x14ac:dyDescent="0.25">
      <c r="A504" t="s">
        <v>7857</v>
      </c>
      <c r="B504">
        <v>410001206</v>
      </c>
      <c r="C504" s="46" t="s">
        <v>7858</v>
      </c>
    </row>
    <row r="505" spans="1:3" x14ac:dyDescent="0.25">
      <c r="A505" t="s">
        <v>7994</v>
      </c>
      <c r="B505" s="44">
        <v>410001208</v>
      </c>
      <c r="C505" t="s">
        <v>7997</v>
      </c>
    </row>
    <row r="506" spans="1:3" x14ac:dyDescent="0.25">
      <c r="A506" s="44" t="s">
        <v>7915</v>
      </c>
      <c r="B506" s="44">
        <v>410001209</v>
      </c>
      <c r="C506" s="44" t="s">
        <v>7918</v>
      </c>
    </row>
    <row r="507" spans="1:3" x14ac:dyDescent="0.25">
      <c r="A507" s="44" t="s">
        <v>7943</v>
      </c>
      <c r="B507" s="44">
        <v>410001222</v>
      </c>
      <c r="C507" t="s">
        <v>7942</v>
      </c>
    </row>
    <row r="508" spans="1:3" x14ac:dyDescent="0.25">
      <c r="A508" s="44" t="s">
        <v>7913</v>
      </c>
      <c r="B508" s="44">
        <v>410001228</v>
      </c>
      <c r="C508" s="44" t="s">
        <v>7912</v>
      </c>
    </row>
    <row r="509" spans="1:3" x14ac:dyDescent="0.25">
      <c r="A509" s="44" t="s">
        <v>7900</v>
      </c>
      <c r="B509" s="44">
        <v>410001230</v>
      </c>
      <c r="C509" s="44" t="s">
        <v>7902</v>
      </c>
    </row>
    <row r="510" spans="1:3" x14ac:dyDescent="0.25">
      <c r="A510" s="44" t="s">
        <v>7914</v>
      </c>
      <c r="B510" s="44">
        <v>410001245</v>
      </c>
      <c r="C510" s="44" t="s">
        <v>7917</v>
      </c>
    </row>
    <row r="511" spans="1:3" x14ac:dyDescent="0.25">
      <c r="A511" t="s">
        <v>7869</v>
      </c>
      <c r="B511">
        <v>410001251</v>
      </c>
      <c r="C511" t="s">
        <v>7903</v>
      </c>
    </row>
    <row r="512" spans="1:3" x14ac:dyDescent="0.25">
      <c r="A512" t="s">
        <v>7867</v>
      </c>
      <c r="B512">
        <v>410001256</v>
      </c>
      <c r="C512" t="s">
        <v>7868</v>
      </c>
    </row>
    <row r="513" spans="1:3" x14ac:dyDescent="0.25">
      <c r="A513" t="s">
        <v>7879</v>
      </c>
      <c r="B513">
        <v>410001259</v>
      </c>
      <c r="C513" t="s">
        <v>7878</v>
      </c>
    </row>
    <row r="514" spans="1:3" x14ac:dyDescent="0.25">
      <c r="A514" s="44" t="s">
        <v>7938</v>
      </c>
      <c r="B514" s="44">
        <v>410001261</v>
      </c>
      <c r="C514" s="44" t="s">
        <v>7922</v>
      </c>
    </row>
    <row r="515" spans="1:3" x14ac:dyDescent="0.25">
      <c r="A515" t="s">
        <v>7882</v>
      </c>
      <c r="B515">
        <v>410001262</v>
      </c>
      <c r="C515" t="s">
        <v>7822</v>
      </c>
    </row>
    <row r="516" spans="1:3" x14ac:dyDescent="0.25">
      <c r="A516" t="s">
        <v>7898</v>
      </c>
      <c r="B516">
        <v>410001267</v>
      </c>
      <c r="C516" t="s">
        <v>7897</v>
      </c>
    </row>
    <row r="517" spans="1:3" x14ac:dyDescent="0.25">
      <c r="A517" t="s">
        <v>7896</v>
      </c>
      <c r="B517">
        <v>410001268</v>
      </c>
      <c r="C517" t="s">
        <v>8019</v>
      </c>
    </row>
    <row r="518" spans="1:3" ht="15.75" x14ac:dyDescent="0.25">
      <c r="A518" s="47" t="s">
        <v>7894</v>
      </c>
      <c r="B518">
        <v>410001269</v>
      </c>
      <c r="C518" t="s">
        <v>7895</v>
      </c>
    </row>
    <row r="519" spans="1:3" ht="15.75" x14ac:dyDescent="0.25">
      <c r="A519" t="s">
        <v>7892</v>
      </c>
      <c r="B519">
        <v>410001270</v>
      </c>
      <c r="C519" s="47" t="s">
        <v>7893</v>
      </c>
    </row>
    <row r="520" spans="1:3" x14ac:dyDescent="0.25">
      <c r="A520" t="s">
        <v>7905</v>
      </c>
      <c r="B520">
        <v>410001271</v>
      </c>
      <c r="C520" t="s">
        <v>7904</v>
      </c>
    </row>
    <row r="521" spans="1:3" x14ac:dyDescent="0.25">
      <c r="A521" t="s">
        <v>7907</v>
      </c>
      <c r="B521">
        <v>410001272</v>
      </c>
      <c r="C521" t="s">
        <v>7906</v>
      </c>
    </row>
    <row r="522" spans="1:3" x14ac:dyDescent="0.25">
      <c r="A522" s="44" t="s">
        <v>7916</v>
      </c>
      <c r="B522" s="44">
        <v>410001273</v>
      </c>
      <c r="C522" s="44" t="s">
        <v>7919</v>
      </c>
    </row>
    <row r="523" spans="1:3" x14ac:dyDescent="0.25">
      <c r="A523" t="s">
        <v>7909</v>
      </c>
      <c r="B523">
        <v>410001274</v>
      </c>
      <c r="C523" t="s">
        <v>7908</v>
      </c>
    </row>
    <row r="524" spans="1:3" x14ac:dyDescent="0.25">
      <c r="A524" t="s">
        <v>7911</v>
      </c>
      <c r="B524">
        <v>410001275</v>
      </c>
      <c r="C524" t="s">
        <v>7910</v>
      </c>
    </row>
    <row r="525" spans="1:3" x14ac:dyDescent="0.25">
      <c r="A525" s="44" t="s">
        <v>7921</v>
      </c>
      <c r="B525" s="44">
        <v>410001276</v>
      </c>
      <c r="C525" t="s">
        <v>7920</v>
      </c>
    </row>
    <row r="526" spans="1:3" x14ac:dyDescent="0.25">
      <c r="A526" s="44" t="s">
        <v>7953</v>
      </c>
      <c r="B526" s="44">
        <v>410001277</v>
      </c>
      <c r="C526" t="s">
        <v>7954</v>
      </c>
    </row>
    <row r="527" spans="1:3" x14ac:dyDescent="0.25">
      <c r="A527" s="44" t="s">
        <v>7960</v>
      </c>
      <c r="B527" s="44">
        <v>410001278</v>
      </c>
      <c r="C527" t="s">
        <v>7959</v>
      </c>
    </row>
    <row r="528" spans="1:3" x14ac:dyDescent="0.25">
      <c r="A528" t="s">
        <v>7965</v>
      </c>
      <c r="B528" s="44">
        <v>410001279</v>
      </c>
      <c r="C528" t="s">
        <v>7964</v>
      </c>
    </row>
    <row r="529" spans="1:3" x14ac:dyDescent="0.25">
      <c r="A529" t="s">
        <v>7970</v>
      </c>
      <c r="B529" s="44">
        <v>410001280</v>
      </c>
      <c r="C529" t="s">
        <v>7969</v>
      </c>
    </row>
    <row r="530" spans="1:3" x14ac:dyDescent="0.25">
      <c r="A530" s="44" t="s">
        <v>7980</v>
      </c>
      <c r="B530" s="44">
        <v>410001281</v>
      </c>
      <c r="C530" t="s">
        <v>7979</v>
      </c>
    </row>
    <row r="531" spans="1:3" x14ac:dyDescent="0.25">
      <c r="A531" s="44" t="s">
        <v>7974</v>
      </c>
      <c r="B531" s="44">
        <v>410001282</v>
      </c>
      <c r="C531" t="s">
        <v>7973</v>
      </c>
    </row>
    <row r="532" spans="1:3" x14ac:dyDescent="0.25">
      <c r="A532" t="s">
        <v>8013</v>
      </c>
      <c r="B532" s="44">
        <v>410001283</v>
      </c>
      <c r="C532" t="s">
        <v>8014</v>
      </c>
    </row>
    <row r="533" spans="1:3" x14ac:dyDescent="0.25">
      <c r="A533" t="s">
        <v>8001</v>
      </c>
      <c r="B533" s="44">
        <v>410001284</v>
      </c>
      <c r="C533" t="s">
        <v>8000</v>
      </c>
    </row>
    <row r="534" spans="1:3" x14ac:dyDescent="0.25">
      <c r="A534" t="s">
        <v>8005</v>
      </c>
      <c r="B534" s="44">
        <v>410001285</v>
      </c>
      <c r="C534" t="s">
        <v>8004</v>
      </c>
    </row>
    <row r="535" spans="1:3" x14ac:dyDescent="0.25">
      <c r="A535" t="s">
        <v>8009</v>
      </c>
      <c r="B535" s="44">
        <v>410001286</v>
      </c>
      <c r="C535" t="s">
        <v>8008</v>
      </c>
    </row>
    <row r="536" spans="1:3" x14ac:dyDescent="0.25">
      <c r="A536" t="s">
        <v>8035</v>
      </c>
      <c r="B536" s="44">
        <v>410001204</v>
      </c>
      <c r="C536" t="s">
        <v>8034</v>
      </c>
    </row>
    <row r="537" spans="1:3" x14ac:dyDescent="0.25">
      <c r="A537" t="s">
        <v>8189</v>
      </c>
      <c r="B537" s="44">
        <v>410001287</v>
      </c>
      <c r="C537" t="s">
        <v>8188</v>
      </c>
    </row>
  </sheetData>
  <autoFilter ref="A1:C530" xr:uid="{5479DDB1-E87B-4DB8-ABF1-F8A386EBF564}"/>
  <sortState xmlns:xlrd2="http://schemas.microsoft.com/office/spreadsheetml/2017/richdata2" ref="A2:D535">
    <sortCondition ref="B2:B535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8EBA-6ACA-4518-A150-DE2318860829}">
  <sheetPr filterMode="1">
    <tabColor theme="4"/>
  </sheetPr>
  <dimension ref="A1:CY1205"/>
  <sheetViews>
    <sheetView topLeftCell="C1" workbookViewId="0">
      <selection activeCell="CX1" sqref="CX1"/>
    </sheetView>
  </sheetViews>
  <sheetFormatPr baseColWidth="10" defaultRowHeight="15" x14ac:dyDescent="0.25"/>
  <cols>
    <col min="1" max="1" width="10" bestFit="1" customWidth="1"/>
    <col min="2" max="2" width="35.5703125" bestFit="1" customWidth="1"/>
    <col min="3" max="3" width="19" bestFit="1" customWidth="1"/>
    <col min="4" max="4" width="10" bestFit="1" customWidth="1"/>
    <col min="5" max="21" width="2" hidden="1" customWidth="1"/>
    <col min="22" max="22" width="2" bestFit="1" customWidth="1"/>
    <col min="23" max="24" width="2" hidden="1" customWidth="1"/>
    <col min="25" max="25" width="13.140625" bestFit="1" customWidth="1"/>
    <col min="26" max="26" width="37.85546875" hidden="1" customWidth="1"/>
    <col min="27" max="27" width="39" bestFit="1" customWidth="1"/>
    <col min="28" max="28" width="5.28515625" bestFit="1" customWidth="1"/>
    <col min="29" max="29" width="9" bestFit="1" customWidth="1"/>
    <col min="30" max="30" width="30.85546875" bestFit="1" customWidth="1"/>
    <col min="31" max="32" width="13.85546875" hidden="1" customWidth="1"/>
    <col min="33" max="33" width="35.140625" hidden="1" customWidth="1"/>
    <col min="34" max="34" width="30.42578125" hidden="1" customWidth="1"/>
    <col min="35" max="35" width="27.7109375" hidden="1" customWidth="1"/>
    <col min="36" max="36" width="23.5703125" hidden="1" customWidth="1"/>
    <col min="37" max="37" width="25.28515625" hidden="1" customWidth="1"/>
    <col min="38" max="38" width="22.42578125" hidden="1" customWidth="1"/>
    <col min="39" max="39" width="9.28515625" hidden="1" customWidth="1"/>
    <col min="40" max="40" width="2" hidden="1" customWidth="1"/>
    <col min="41" max="41" width="4.7109375" hidden="1" customWidth="1"/>
    <col min="42" max="44" width="3" hidden="1" customWidth="1"/>
    <col min="45" max="51" width="2" hidden="1" customWidth="1"/>
    <col min="52" max="52" width="4.7109375" hidden="1" customWidth="1"/>
    <col min="53" max="53" width="4.28515625" hidden="1" customWidth="1"/>
    <col min="54" max="54" width="4.5703125" hidden="1" customWidth="1"/>
    <col min="55" max="55" width="4.7109375" hidden="1" customWidth="1"/>
    <col min="56" max="60" width="2" hidden="1" customWidth="1"/>
    <col min="61" max="61" width="10" bestFit="1" customWidth="1"/>
    <col min="62" max="62" width="8.85546875" bestFit="1" customWidth="1"/>
    <col min="63" max="63" width="4.5703125" bestFit="1" customWidth="1"/>
    <col min="64" max="64" width="35.5703125" bestFit="1" customWidth="1"/>
    <col min="65" max="67" width="9" hidden="1" customWidth="1"/>
    <col min="68" max="68" width="4.7109375" hidden="1" customWidth="1"/>
    <col min="69" max="69" width="4.140625" hidden="1" customWidth="1"/>
    <col min="70" max="70" width="11.85546875" hidden="1" customWidth="1"/>
    <col min="71" max="71" width="14.42578125" hidden="1" customWidth="1"/>
    <col min="72" max="73" width="2" hidden="1" customWidth="1"/>
    <col min="74" max="74" width="6.5703125" hidden="1" customWidth="1"/>
    <col min="75" max="75" width="4.7109375" hidden="1" customWidth="1"/>
    <col min="76" max="76" width="2" hidden="1" customWidth="1"/>
    <col min="77" max="78" width="4.28515625" hidden="1" customWidth="1"/>
    <col min="79" max="80" width="2" hidden="1" customWidth="1"/>
    <col min="81" max="81" width="22.140625" hidden="1" customWidth="1"/>
    <col min="82" max="83" width="2" hidden="1" customWidth="1"/>
    <col min="84" max="84" width="3" hidden="1" customWidth="1"/>
    <col min="85" max="86" width="2" hidden="1" customWidth="1"/>
    <col min="87" max="87" width="4.140625" hidden="1" customWidth="1"/>
    <col min="88" max="88" width="8" hidden="1" customWidth="1"/>
    <col min="89" max="89" width="17.85546875" hidden="1" customWidth="1"/>
    <col min="90" max="98" width="2" hidden="1" customWidth="1"/>
    <col min="99" max="99" width="18.42578125" hidden="1" customWidth="1"/>
    <col min="100" max="100" width="11" bestFit="1" customWidth="1"/>
    <col min="101" max="101" width="18.42578125" bestFit="1" customWidth="1"/>
    <col min="102" max="102" width="47.140625" bestFit="1" customWidth="1"/>
    <col min="103" max="103" width="4.28515625" bestFit="1" customWidth="1"/>
  </cols>
  <sheetData>
    <row r="1" spans="1:103" x14ac:dyDescent="0.25">
      <c r="A1">
        <v>410000001</v>
      </c>
      <c r="B1" t="s">
        <v>970</v>
      </c>
      <c r="C1" t="s">
        <v>971</v>
      </c>
      <c r="D1">
        <v>401100000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1</v>
      </c>
      <c r="W1">
        <v>1</v>
      </c>
      <c r="X1">
        <v>1</v>
      </c>
      <c r="Y1" t="s">
        <v>972</v>
      </c>
      <c r="Z1" t="s">
        <v>973</v>
      </c>
      <c r="AA1" t="s">
        <v>974</v>
      </c>
      <c r="AB1" t="s">
        <v>975</v>
      </c>
      <c r="AC1">
        <v>4040</v>
      </c>
      <c r="AD1" t="s">
        <v>976</v>
      </c>
      <c r="AE1">
        <v>3242279557</v>
      </c>
      <c r="AF1">
        <v>3242279524</v>
      </c>
      <c r="AG1" t="s">
        <v>977</v>
      </c>
      <c r="AH1" t="s">
        <v>977</v>
      </c>
      <c r="AI1">
        <v>46510</v>
      </c>
      <c r="AJ1" t="s">
        <v>978</v>
      </c>
      <c r="AK1" t="s">
        <v>978</v>
      </c>
      <c r="AL1" t="s">
        <v>978</v>
      </c>
      <c r="AM1" t="s">
        <v>979</v>
      </c>
      <c r="AN1">
        <v>0</v>
      </c>
      <c r="AO1" t="s">
        <v>257</v>
      </c>
      <c r="AP1">
        <v>0</v>
      </c>
      <c r="AQ1">
        <v>1</v>
      </c>
      <c r="AR1">
        <v>43</v>
      </c>
      <c r="AS1">
        <v>1</v>
      </c>
      <c r="AT1">
        <v>0</v>
      </c>
      <c r="AU1">
        <v>1</v>
      </c>
      <c r="AV1">
        <v>0</v>
      </c>
      <c r="AW1">
        <v>0</v>
      </c>
      <c r="AX1">
        <v>0</v>
      </c>
      <c r="AY1">
        <v>1</v>
      </c>
      <c r="AZ1" t="s">
        <v>257</v>
      </c>
      <c r="BA1" t="s">
        <v>980</v>
      </c>
      <c r="BB1" t="s">
        <v>981</v>
      </c>
      <c r="BC1" t="s">
        <v>257</v>
      </c>
      <c r="BD1">
        <v>0</v>
      </c>
      <c r="BE1">
        <v>0</v>
      </c>
      <c r="BF1">
        <v>1</v>
      </c>
      <c r="BG1">
        <v>0</v>
      </c>
      <c r="BH1">
        <v>5</v>
      </c>
      <c r="BI1">
        <v>0</v>
      </c>
      <c r="BJ1" t="s">
        <v>982</v>
      </c>
      <c r="BK1" t="s">
        <v>981</v>
      </c>
      <c r="BL1" t="s">
        <v>970</v>
      </c>
      <c r="BM1">
        <v>20140919</v>
      </c>
      <c r="BN1">
        <v>20251121</v>
      </c>
      <c r="BO1">
        <v>0</v>
      </c>
      <c r="BP1" t="s">
        <v>257</v>
      </c>
      <c r="BQ1" t="s">
        <v>983</v>
      </c>
      <c r="BR1" t="s">
        <v>978</v>
      </c>
      <c r="BS1" t="s">
        <v>979</v>
      </c>
      <c r="BT1">
        <v>0</v>
      </c>
      <c r="BU1">
        <v>0</v>
      </c>
      <c r="BV1" t="s">
        <v>984</v>
      </c>
      <c r="BW1" t="s">
        <v>257</v>
      </c>
      <c r="BX1">
        <v>0</v>
      </c>
      <c r="BY1" t="s">
        <v>980</v>
      </c>
      <c r="BZ1" t="s">
        <v>980</v>
      </c>
      <c r="CA1">
        <v>0</v>
      </c>
      <c r="CB1">
        <v>0</v>
      </c>
      <c r="CC1" t="s">
        <v>985</v>
      </c>
      <c r="CD1">
        <v>0</v>
      </c>
      <c r="CE1">
        <v>0</v>
      </c>
      <c r="CF1">
        <v>0</v>
      </c>
      <c r="CG1">
        <v>0</v>
      </c>
      <c r="CH1">
        <v>0</v>
      </c>
      <c r="CI1" t="s">
        <v>983</v>
      </c>
      <c r="CJ1" t="s">
        <v>972</v>
      </c>
      <c r="CK1" t="s">
        <v>986</v>
      </c>
      <c r="CL1">
        <v>0</v>
      </c>
      <c r="CM1">
        <v>1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 t="s">
        <v>987</v>
      </c>
      <c r="CV1">
        <v>400008001</v>
      </c>
      <c r="CW1" t="s">
        <v>987</v>
      </c>
      <c r="CX1" t="s">
        <v>988</v>
      </c>
      <c r="CY1" t="s">
        <v>989</v>
      </c>
    </row>
    <row r="2" spans="1:103" hidden="1" x14ac:dyDescent="0.25">
      <c r="A2">
        <v>410000002</v>
      </c>
      <c r="B2" t="s">
        <v>990</v>
      </c>
      <c r="C2" t="s">
        <v>991</v>
      </c>
      <c r="D2">
        <v>401100000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 t="s">
        <v>972</v>
      </c>
      <c r="Z2" t="s">
        <v>987</v>
      </c>
      <c r="AA2" t="s">
        <v>992</v>
      </c>
      <c r="AB2" t="s">
        <v>975</v>
      </c>
      <c r="AC2">
        <v>6000</v>
      </c>
      <c r="AD2" t="s">
        <v>993</v>
      </c>
      <c r="AE2" t="s">
        <v>994</v>
      </c>
      <c r="AF2" t="s">
        <v>995</v>
      </c>
      <c r="AG2" t="s">
        <v>977</v>
      </c>
      <c r="AH2" t="s">
        <v>996</v>
      </c>
      <c r="AI2">
        <v>45402</v>
      </c>
      <c r="AJ2" t="s">
        <v>997</v>
      </c>
      <c r="AK2" t="s">
        <v>978</v>
      </c>
      <c r="AL2" t="s">
        <v>978</v>
      </c>
      <c r="AM2" t="s">
        <v>979</v>
      </c>
      <c r="AN2">
        <v>0</v>
      </c>
      <c r="AO2" t="s">
        <v>257</v>
      </c>
      <c r="AP2">
        <v>0</v>
      </c>
      <c r="AQ2">
        <v>1</v>
      </c>
      <c r="AR2">
        <v>43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  <c r="AZ2" t="s">
        <v>257</v>
      </c>
      <c r="BA2" t="s">
        <v>980</v>
      </c>
      <c r="BB2" t="s">
        <v>981</v>
      </c>
      <c r="BC2" t="s">
        <v>257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 t="s">
        <v>998</v>
      </c>
      <c r="BK2" t="s">
        <v>981</v>
      </c>
      <c r="BL2" t="s">
        <v>990</v>
      </c>
      <c r="BM2">
        <v>20141001</v>
      </c>
      <c r="BN2">
        <v>20230417</v>
      </c>
      <c r="BO2">
        <v>0</v>
      </c>
      <c r="BP2" t="s">
        <v>257</v>
      </c>
      <c r="BQ2" t="s">
        <v>983</v>
      </c>
      <c r="BR2" t="s">
        <v>978</v>
      </c>
      <c r="BS2" t="s">
        <v>999</v>
      </c>
      <c r="BT2">
        <v>0</v>
      </c>
      <c r="BU2">
        <v>0</v>
      </c>
      <c r="BV2" t="s">
        <v>984</v>
      </c>
      <c r="BW2" t="s">
        <v>257</v>
      </c>
      <c r="BX2">
        <v>0</v>
      </c>
      <c r="BY2" t="s">
        <v>980</v>
      </c>
      <c r="BZ2" t="s">
        <v>257</v>
      </c>
      <c r="CA2">
        <v>0</v>
      </c>
      <c r="CB2">
        <v>0</v>
      </c>
      <c r="CC2" t="s">
        <v>1000</v>
      </c>
      <c r="CD2">
        <v>0</v>
      </c>
      <c r="CE2">
        <v>0</v>
      </c>
      <c r="CF2">
        <v>0</v>
      </c>
      <c r="CG2">
        <v>0</v>
      </c>
      <c r="CH2">
        <v>0</v>
      </c>
      <c r="CI2" t="s">
        <v>983</v>
      </c>
      <c r="CJ2" t="s">
        <v>972</v>
      </c>
      <c r="CK2" t="s">
        <v>986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 t="s">
        <v>987</v>
      </c>
      <c r="CV2">
        <v>400008002</v>
      </c>
      <c r="CW2" t="s">
        <v>987</v>
      </c>
      <c r="CX2" t="s">
        <v>1001</v>
      </c>
      <c r="CY2" t="s">
        <v>989</v>
      </c>
    </row>
    <row r="3" spans="1:103" hidden="1" x14ac:dyDescent="0.25">
      <c r="A3">
        <v>410000003</v>
      </c>
      <c r="B3" t="s">
        <v>1002</v>
      </c>
      <c r="C3" t="s">
        <v>1003</v>
      </c>
      <c r="D3">
        <v>401100000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 t="s">
        <v>972</v>
      </c>
      <c r="Z3" t="s">
        <v>1004</v>
      </c>
      <c r="AA3" t="s">
        <v>1005</v>
      </c>
      <c r="AB3" t="s">
        <v>975</v>
      </c>
      <c r="AC3">
        <v>1150</v>
      </c>
      <c r="AD3" t="s">
        <v>1006</v>
      </c>
      <c r="AE3" t="s">
        <v>1007</v>
      </c>
      <c r="AF3" t="s">
        <v>1008</v>
      </c>
      <c r="AG3" t="s">
        <v>977</v>
      </c>
      <c r="AH3" t="s">
        <v>1009</v>
      </c>
      <c r="AI3">
        <v>69201</v>
      </c>
      <c r="AJ3" t="s">
        <v>997</v>
      </c>
      <c r="AK3" t="s">
        <v>978</v>
      </c>
      <c r="AL3" t="s">
        <v>978</v>
      </c>
      <c r="AM3" t="s">
        <v>979</v>
      </c>
      <c r="AN3">
        <v>0</v>
      </c>
      <c r="AO3" t="s">
        <v>257</v>
      </c>
      <c r="AP3">
        <v>0</v>
      </c>
      <c r="AQ3">
        <v>1</v>
      </c>
      <c r="AR3">
        <v>43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1</v>
      </c>
      <c r="AZ3" t="s">
        <v>257</v>
      </c>
      <c r="BA3" t="s">
        <v>980</v>
      </c>
      <c r="BB3" t="s">
        <v>1010</v>
      </c>
      <c r="BC3" t="s">
        <v>257</v>
      </c>
      <c r="BD3">
        <v>0</v>
      </c>
      <c r="BE3">
        <v>0</v>
      </c>
      <c r="BF3">
        <v>1</v>
      </c>
      <c r="BG3">
        <v>0</v>
      </c>
      <c r="BH3">
        <v>0</v>
      </c>
      <c r="BI3">
        <v>410000040</v>
      </c>
      <c r="BJ3" t="s">
        <v>998</v>
      </c>
      <c r="BK3" t="s">
        <v>981</v>
      </c>
      <c r="BL3" t="s">
        <v>1011</v>
      </c>
      <c r="BM3">
        <v>20141002</v>
      </c>
      <c r="BN3">
        <v>20220131</v>
      </c>
      <c r="BO3">
        <v>20150205</v>
      </c>
      <c r="BP3" t="s">
        <v>257</v>
      </c>
      <c r="BQ3" t="s">
        <v>983</v>
      </c>
      <c r="BR3" t="s">
        <v>978</v>
      </c>
      <c r="BS3" t="s">
        <v>1012</v>
      </c>
      <c r="BT3">
        <v>0</v>
      </c>
      <c r="BU3">
        <v>0</v>
      </c>
      <c r="BV3" t="s">
        <v>1013</v>
      </c>
      <c r="BW3" t="s">
        <v>257</v>
      </c>
      <c r="BX3">
        <v>0</v>
      </c>
      <c r="BY3" t="s">
        <v>980</v>
      </c>
      <c r="BZ3" t="s">
        <v>257</v>
      </c>
      <c r="CA3">
        <v>0</v>
      </c>
      <c r="CB3">
        <v>0</v>
      </c>
      <c r="CC3" t="s">
        <v>1014</v>
      </c>
      <c r="CD3">
        <v>0</v>
      </c>
      <c r="CE3">
        <v>0</v>
      </c>
      <c r="CF3">
        <v>0</v>
      </c>
      <c r="CG3">
        <v>0</v>
      </c>
      <c r="CH3">
        <v>0</v>
      </c>
      <c r="CI3" t="s">
        <v>983</v>
      </c>
      <c r="CJ3" t="s">
        <v>972</v>
      </c>
      <c r="CK3" t="s">
        <v>986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t="s">
        <v>987</v>
      </c>
      <c r="CV3">
        <v>400008003</v>
      </c>
      <c r="CW3" t="s">
        <v>987</v>
      </c>
      <c r="CX3" t="s">
        <v>1015</v>
      </c>
      <c r="CY3" t="s">
        <v>989</v>
      </c>
    </row>
    <row r="4" spans="1:103" hidden="1" x14ac:dyDescent="0.25">
      <c r="A4">
        <v>410000004</v>
      </c>
      <c r="B4" t="s">
        <v>1016</v>
      </c>
      <c r="C4" t="s">
        <v>1017</v>
      </c>
      <c r="D4">
        <v>401100000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 t="s">
        <v>972</v>
      </c>
      <c r="Z4" t="s">
        <v>987</v>
      </c>
      <c r="AA4" t="s">
        <v>1018</v>
      </c>
      <c r="AB4" t="s">
        <v>975</v>
      </c>
      <c r="AC4">
        <v>4000</v>
      </c>
      <c r="AD4" t="s">
        <v>1019</v>
      </c>
      <c r="AE4" t="s">
        <v>1020</v>
      </c>
      <c r="AF4" t="s">
        <v>979</v>
      </c>
      <c r="AG4" t="s">
        <v>977</v>
      </c>
      <c r="AH4">
        <v>0</v>
      </c>
      <c r="AI4">
        <v>74104</v>
      </c>
      <c r="AJ4" t="s">
        <v>978</v>
      </c>
      <c r="AK4">
        <v>0</v>
      </c>
      <c r="AL4" t="s">
        <v>978</v>
      </c>
      <c r="AM4" t="s">
        <v>979</v>
      </c>
      <c r="AN4">
        <v>0</v>
      </c>
      <c r="AO4" t="s">
        <v>257</v>
      </c>
      <c r="AP4">
        <v>0</v>
      </c>
      <c r="AQ4">
        <v>1</v>
      </c>
      <c r="AR4">
        <v>43</v>
      </c>
      <c r="AS4">
        <v>1</v>
      </c>
      <c r="AT4">
        <v>0</v>
      </c>
      <c r="AU4">
        <v>1</v>
      </c>
      <c r="AV4">
        <v>0</v>
      </c>
      <c r="AW4">
        <v>0</v>
      </c>
      <c r="AX4">
        <v>0</v>
      </c>
      <c r="AY4">
        <v>1</v>
      </c>
      <c r="AZ4" t="s">
        <v>257</v>
      </c>
      <c r="BA4" t="s">
        <v>980</v>
      </c>
      <c r="BB4" t="s">
        <v>1010</v>
      </c>
      <c r="BC4" t="s">
        <v>257</v>
      </c>
      <c r="BD4">
        <v>0</v>
      </c>
      <c r="BE4">
        <v>0</v>
      </c>
      <c r="BF4">
        <v>1</v>
      </c>
      <c r="BG4">
        <v>0</v>
      </c>
      <c r="BH4">
        <v>0</v>
      </c>
      <c r="BI4">
        <v>410000001</v>
      </c>
      <c r="BJ4" t="s">
        <v>1021</v>
      </c>
      <c r="BK4" t="s">
        <v>981</v>
      </c>
      <c r="BL4" t="s">
        <v>1016</v>
      </c>
      <c r="BM4">
        <v>20141002</v>
      </c>
      <c r="BN4">
        <v>20220131</v>
      </c>
      <c r="BO4">
        <v>20150126</v>
      </c>
      <c r="BP4" t="s">
        <v>257</v>
      </c>
      <c r="BQ4" t="s">
        <v>983</v>
      </c>
      <c r="BR4" t="s">
        <v>978</v>
      </c>
      <c r="BS4" t="s">
        <v>979</v>
      </c>
      <c r="BT4">
        <v>0</v>
      </c>
      <c r="BU4">
        <v>0</v>
      </c>
      <c r="BV4" t="s">
        <v>984</v>
      </c>
      <c r="BW4" t="s">
        <v>257</v>
      </c>
      <c r="BX4">
        <v>0</v>
      </c>
      <c r="BY4" t="s">
        <v>980</v>
      </c>
      <c r="BZ4" t="s">
        <v>257</v>
      </c>
      <c r="CA4">
        <v>0</v>
      </c>
      <c r="CB4">
        <v>0</v>
      </c>
      <c r="CC4" t="s">
        <v>1022</v>
      </c>
      <c r="CD4">
        <v>0</v>
      </c>
      <c r="CE4">
        <v>0</v>
      </c>
      <c r="CF4">
        <v>0</v>
      </c>
      <c r="CG4">
        <v>0</v>
      </c>
      <c r="CH4">
        <v>0</v>
      </c>
      <c r="CI4" t="s">
        <v>983</v>
      </c>
      <c r="CJ4" t="s">
        <v>972</v>
      </c>
      <c r="CK4" t="s">
        <v>986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t="s">
        <v>987</v>
      </c>
      <c r="CV4">
        <v>400008004</v>
      </c>
      <c r="CW4" t="s">
        <v>987</v>
      </c>
      <c r="CX4" t="s">
        <v>1023</v>
      </c>
      <c r="CY4" t="s">
        <v>989</v>
      </c>
    </row>
    <row r="5" spans="1:103" hidden="1" x14ac:dyDescent="0.25">
      <c r="A5">
        <v>410000005</v>
      </c>
      <c r="B5" t="s">
        <v>1024</v>
      </c>
      <c r="C5" t="s">
        <v>971</v>
      </c>
      <c r="D5">
        <v>401100000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</v>
      </c>
      <c r="W5">
        <v>1</v>
      </c>
      <c r="X5">
        <v>1</v>
      </c>
      <c r="Y5" t="s">
        <v>1025</v>
      </c>
      <c r="Z5" t="s">
        <v>1026</v>
      </c>
      <c r="AA5" t="s">
        <v>1027</v>
      </c>
      <c r="AB5" t="s">
        <v>975</v>
      </c>
      <c r="AC5">
        <v>4970</v>
      </c>
      <c r="AD5" t="s">
        <v>1028</v>
      </c>
      <c r="AE5" t="s">
        <v>1029</v>
      </c>
      <c r="AF5" t="s">
        <v>1030</v>
      </c>
      <c r="AG5" t="s">
        <v>977</v>
      </c>
      <c r="AH5">
        <v>0</v>
      </c>
      <c r="AI5" t="s">
        <v>1031</v>
      </c>
      <c r="AJ5" t="s">
        <v>978</v>
      </c>
      <c r="AK5" t="s">
        <v>1032</v>
      </c>
      <c r="AL5" t="s">
        <v>978</v>
      </c>
      <c r="AM5" t="s">
        <v>979</v>
      </c>
      <c r="AN5">
        <v>0</v>
      </c>
      <c r="AO5" t="s">
        <v>257</v>
      </c>
      <c r="AP5">
        <v>0</v>
      </c>
      <c r="AQ5">
        <v>1</v>
      </c>
      <c r="AR5">
        <v>43</v>
      </c>
      <c r="AS5">
        <v>1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 t="s">
        <v>257</v>
      </c>
      <c r="BA5" t="s">
        <v>980</v>
      </c>
      <c r="BB5" t="s">
        <v>981</v>
      </c>
      <c r="BC5" t="s">
        <v>257</v>
      </c>
      <c r="BD5">
        <v>0</v>
      </c>
      <c r="BE5">
        <v>0</v>
      </c>
      <c r="BF5">
        <v>1</v>
      </c>
      <c r="BG5">
        <v>0</v>
      </c>
      <c r="BH5">
        <v>0</v>
      </c>
      <c r="BI5">
        <v>410000001</v>
      </c>
      <c r="BJ5" t="s">
        <v>982</v>
      </c>
      <c r="BK5" t="s">
        <v>981</v>
      </c>
      <c r="BL5" t="s">
        <v>1024</v>
      </c>
      <c r="BM5">
        <v>20141002</v>
      </c>
      <c r="BN5">
        <v>20240916</v>
      </c>
      <c r="BO5">
        <v>0</v>
      </c>
      <c r="BP5" t="s">
        <v>257</v>
      </c>
      <c r="BQ5" t="s">
        <v>983</v>
      </c>
      <c r="BR5" t="s">
        <v>978</v>
      </c>
      <c r="BS5" t="s">
        <v>979</v>
      </c>
      <c r="BT5">
        <v>0</v>
      </c>
      <c r="BU5">
        <v>0</v>
      </c>
      <c r="BV5" t="s">
        <v>984</v>
      </c>
      <c r="BW5" t="s">
        <v>257</v>
      </c>
      <c r="BX5">
        <v>0</v>
      </c>
      <c r="BY5" t="s">
        <v>980</v>
      </c>
      <c r="BZ5" t="s">
        <v>257</v>
      </c>
      <c r="CA5">
        <v>0</v>
      </c>
      <c r="CB5">
        <v>0</v>
      </c>
      <c r="CC5" t="s">
        <v>1033</v>
      </c>
      <c r="CD5">
        <v>0</v>
      </c>
      <c r="CE5">
        <v>0</v>
      </c>
      <c r="CF5">
        <v>0</v>
      </c>
      <c r="CG5">
        <v>0</v>
      </c>
      <c r="CH5">
        <v>0</v>
      </c>
      <c r="CI5" t="s">
        <v>983</v>
      </c>
      <c r="CJ5" t="s">
        <v>972</v>
      </c>
      <c r="CK5" t="s">
        <v>986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t="s">
        <v>987</v>
      </c>
      <c r="CV5">
        <v>400008005</v>
      </c>
      <c r="CW5" t="s">
        <v>987</v>
      </c>
      <c r="CX5" t="s">
        <v>1034</v>
      </c>
      <c r="CY5" t="s">
        <v>989</v>
      </c>
    </row>
    <row r="6" spans="1:103" hidden="1" x14ac:dyDescent="0.25">
      <c r="A6">
        <v>410000006</v>
      </c>
      <c r="B6" t="s">
        <v>1035</v>
      </c>
      <c r="C6" t="s">
        <v>978</v>
      </c>
      <c r="D6">
        <v>401100000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</v>
      </c>
      <c r="W6">
        <v>1</v>
      </c>
      <c r="X6">
        <v>1</v>
      </c>
      <c r="Y6" t="s">
        <v>972</v>
      </c>
      <c r="Z6" t="s">
        <v>987</v>
      </c>
      <c r="AA6" t="s">
        <v>1036</v>
      </c>
      <c r="AB6" t="s">
        <v>975</v>
      </c>
      <c r="AC6">
        <v>4683</v>
      </c>
      <c r="AD6" t="s">
        <v>1037</v>
      </c>
      <c r="AE6" t="s">
        <v>979</v>
      </c>
      <c r="AF6" t="s">
        <v>979</v>
      </c>
      <c r="AG6" t="s">
        <v>977</v>
      </c>
      <c r="AH6">
        <v>10</v>
      </c>
      <c r="AI6" t="s">
        <v>1031</v>
      </c>
      <c r="AJ6" t="s">
        <v>978</v>
      </c>
      <c r="AK6">
        <v>0</v>
      </c>
      <c r="AL6" t="s">
        <v>978</v>
      </c>
      <c r="AM6" t="s">
        <v>979</v>
      </c>
      <c r="AN6">
        <v>0</v>
      </c>
      <c r="AO6" t="s">
        <v>257</v>
      </c>
      <c r="AP6">
        <v>0</v>
      </c>
      <c r="AQ6">
        <v>1</v>
      </c>
      <c r="AR6">
        <v>43</v>
      </c>
      <c r="AS6">
        <v>1</v>
      </c>
      <c r="AT6">
        <v>0</v>
      </c>
      <c r="AU6">
        <v>1</v>
      </c>
      <c r="AV6">
        <v>0</v>
      </c>
      <c r="AW6">
        <v>0</v>
      </c>
      <c r="AX6">
        <v>0</v>
      </c>
      <c r="AY6">
        <v>1</v>
      </c>
      <c r="AZ6" t="s">
        <v>257</v>
      </c>
      <c r="BA6" t="s">
        <v>980</v>
      </c>
      <c r="BB6" t="s">
        <v>1010</v>
      </c>
      <c r="BC6" t="s">
        <v>257</v>
      </c>
      <c r="BD6">
        <v>0</v>
      </c>
      <c r="BE6">
        <v>0</v>
      </c>
      <c r="BF6">
        <v>1</v>
      </c>
      <c r="BG6">
        <v>0</v>
      </c>
      <c r="BH6">
        <v>0</v>
      </c>
      <c r="BI6">
        <v>410000001</v>
      </c>
      <c r="BJ6" t="s">
        <v>1021</v>
      </c>
      <c r="BK6" t="s">
        <v>981</v>
      </c>
      <c r="BL6" t="s">
        <v>1035</v>
      </c>
      <c r="BM6">
        <v>20141002</v>
      </c>
      <c r="BN6">
        <v>20220131</v>
      </c>
      <c r="BO6">
        <v>20150217</v>
      </c>
      <c r="BP6" t="s">
        <v>257</v>
      </c>
      <c r="BQ6" t="s">
        <v>983</v>
      </c>
      <c r="BR6" t="s">
        <v>978</v>
      </c>
      <c r="BS6" t="s">
        <v>979</v>
      </c>
      <c r="BT6">
        <v>0</v>
      </c>
      <c r="BU6">
        <v>0</v>
      </c>
      <c r="BV6" t="s">
        <v>984</v>
      </c>
      <c r="BW6" t="s">
        <v>257</v>
      </c>
      <c r="BX6">
        <v>0</v>
      </c>
      <c r="BY6" t="s">
        <v>980</v>
      </c>
      <c r="BZ6" t="s">
        <v>257</v>
      </c>
      <c r="CA6">
        <v>0</v>
      </c>
      <c r="CB6">
        <v>0</v>
      </c>
      <c r="CC6" t="s">
        <v>1038</v>
      </c>
      <c r="CD6">
        <v>0</v>
      </c>
      <c r="CE6">
        <v>0</v>
      </c>
      <c r="CF6">
        <v>0</v>
      </c>
      <c r="CG6">
        <v>0</v>
      </c>
      <c r="CH6">
        <v>0</v>
      </c>
      <c r="CI6" t="s">
        <v>983</v>
      </c>
      <c r="CJ6" t="s">
        <v>972</v>
      </c>
      <c r="CK6" t="s">
        <v>986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 t="s">
        <v>987</v>
      </c>
      <c r="CV6">
        <v>400008006</v>
      </c>
      <c r="CW6" t="s">
        <v>987</v>
      </c>
      <c r="CX6" t="s">
        <v>1023</v>
      </c>
      <c r="CY6" t="s">
        <v>989</v>
      </c>
    </row>
    <row r="7" spans="1:103" hidden="1" x14ac:dyDescent="0.25">
      <c r="A7">
        <v>410000007</v>
      </c>
      <c r="B7" t="s">
        <v>1039</v>
      </c>
      <c r="C7" t="s">
        <v>1040</v>
      </c>
      <c r="D7">
        <v>401100000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 t="s">
        <v>972</v>
      </c>
      <c r="Z7" t="s">
        <v>987</v>
      </c>
      <c r="AA7" t="s">
        <v>1041</v>
      </c>
      <c r="AB7" t="s">
        <v>975</v>
      </c>
      <c r="AC7">
        <v>4040</v>
      </c>
      <c r="AD7" t="s">
        <v>976</v>
      </c>
      <c r="AE7" t="s">
        <v>1042</v>
      </c>
      <c r="AF7" t="s">
        <v>1043</v>
      </c>
      <c r="AG7" t="s">
        <v>977</v>
      </c>
      <c r="AH7">
        <v>0</v>
      </c>
      <c r="AI7">
        <v>25620</v>
      </c>
      <c r="AJ7" t="s">
        <v>978</v>
      </c>
      <c r="AK7">
        <v>0</v>
      </c>
      <c r="AL7" t="s">
        <v>978</v>
      </c>
      <c r="AM7" t="s">
        <v>979</v>
      </c>
      <c r="AN7">
        <v>0</v>
      </c>
      <c r="AO7" t="s">
        <v>257</v>
      </c>
      <c r="AP7">
        <v>0</v>
      </c>
      <c r="AQ7">
        <v>1</v>
      </c>
      <c r="AR7">
        <v>43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1</v>
      </c>
      <c r="AZ7" t="s">
        <v>257</v>
      </c>
      <c r="BA7" t="s">
        <v>980</v>
      </c>
      <c r="BB7" t="s">
        <v>981</v>
      </c>
      <c r="BC7" t="s">
        <v>257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 t="s">
        <v>998</v>
      </c>
      <c r="BK7" t="s">
        <v>981</v>
      </c>
      <c r="BL7" t="s">
        <v>1039</v>
      </c>
      <c r="BM7">
        <v>20141002</v>
      </c>
      <c r="BN7">
        <v>20220131</v>
      </c>
      <c r="BO7">
        <v>0</v>
      </c>
      <c r="BP7" t="s">
        <v>257</v>
      </c>
      <c r="BQ7" t="s">
        <v>983</v>
      </c>
      <c r="BR7" t="s">
        <v>978</v>
      </c>
      <c r="BS7" t="s">
        <v>979</v>
      </c>
      <c r="BT7">
        <v>0</v>
      </c>
      <c r="BU7">
        <v>0</v>
      </c>
      <c r="BV7" t="s">
        <v>1013</v>
      </c>
      <c r="BW7" t="s">
        <v>257</v>
      </c>
      <c r="BX7">
        <v>0</v>
      </c>
      <c r="BY7" t="s">
        <v>980</v>
      </c>
      <c r="BZ7" t="s">
        <v>257</v>
      </c>
      <c r="CA7">
        <v>0</v>
      </c>
      <c r="CB7">
        <v>0</v>
      </c>
      <c r="CC7" t="s">
        <v>985</v>
      </c>
      <c r="CD7">
        <v>0</v>
      </c>
      <c r="CE7">
        <v>0</v>
      </c>
      <c r="CF7">
        <v>0</v>
      </c>
      <c r="CG7">
        <v>0</v>
      </c>
      <c r="CH7">
        <v>0</v>
      </c>
      <c r="CI7" t="s">
        <v>983</v>
      </c>
      <c r="CJ7" t="s">
        <v>972</v>
      </c>
      <c r="CK7" t="s">
        <v>986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 t="s">
        <v>987</v>
      </c>
      <c r="CV7">
        <v>400008007</v>
      </c>
      <c r="CW7" t="s">
        <v>987</v>
      </c>
      <c r="CX7" t="s">
        <v>1044</v>
      </c>
      <c r="CY7" t="s">
        <v>989</v>
      </c>
    </row>
    <row r="8" spans="1:103" hidden="1" x14ac:dyDescent="0.25">
      <c r="A8">
        <v>410000008</v>
      </c>
      <c r="B8" t="s">
        <v>1045</v>
      </c>
      <c r="C8" t="s">
        <v>1046</v>
      </c>
      <c r="D8">
        <v>401100000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 t="s">
        <v>972</v>
      </c>
      <c r="Z8" t="s">
        <v>987</v>
      </c>
      <c r="AA8" t="s">
        <v>1047</v>
      </c>
      <c r="AB8" t="s">
        <v>975</v>
      </c>
      <c r="AC8">
        <v>6032</v>
      </c>
      <c r="AD8" t="s">
        <v>1048</v>
      </c>
      <c r="AE8" t="s">
        <v>1049</v>
      </c>
      <c r="AF8" t="s">
        <v>1050</v>
      </c>
      <c r="AG8" t="s">
        <v>977</v>
      </c>
      <c r="AH8">
        <v>90</v>
      </c>
      <c r="AI8">
        <v>69201</v>
      </c>
      <c r="AJ8" t="s">
        <v>1051</v>
      </c>
      <c r="AK8">
        <v>0</v>
      </c>
      <c r="AL8" t="s">
        <v>978</v>
      </c>
      <c r="AM8" t="s">
        <v>979</v>
      </c>
      <c r="AN8">
        <v>0</v>
      </c>
      <c r="AO8" t="s">
        <v>257</v>
      </c>
      <c r="AP8">
        <v>0</v>
      </c>
      <c r="AQ8">
        <v>1</v>
      </c>
      <c r="AR8">
        <v>43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>
        <v>1</v>
      </c>
      <c r="AZ8" t="s">
        <v>257</v>
      </c>
      <c r="BA8" t="s">
        <v>980</v>
      </c>
      <c r="BB8" t="s">
        <v>981</v>
      </c>
      <c r="BC8" t="s">
        <v>257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 t="s">
        <v>998</v>
      </c>
      <c r="BK8" t="s">
        <v>981</v>
      </c>
      <c r="BL8" t="s">
        <v>1045</v>
      </c>
      <c r="BM8">
        <v>20141002</v>
      </c>
      <c r="BN8">
        <v>20220131</v>
      </c>
      <c r="BO8">
        <v>0</v>
      </c>
      <c r="BP8" t="s">
        <v>257</v>
      </c>
      <c r="BQ8" t="s">
        <v>983</v>
      </c>
      <c r="BR8" t="s">
        <v>978</v>
      </c>
      <c r="BS8" t="s">
        <v>1052</v>
      </c>
      <c r="BT8">
        <v>0</v>
      </c>
      <c r="BU8">
        <v>0</v>
      </c>
      <c r="BV8" t="s">
        <v>1013</v>
      </c>
      <c r="BW8" t="s">
        <v>257</v>
      </c>
      <c r="BX8">
        <v>0</v>
      </c>
      <c r="BY8" t="s">
        <v>980</v>
      </c>
      <c r="BZ8" t="s">
        <v>257</v>
      </c>
      <c r="CA8">
        <v>0</v>
      </c>
      <c r="CB8">
        <v>0</v>
      </c>
      <c r="CC8" t="s">
        <v>1053</v>
      </c>
      <c r="CD8">
        <v>0</v>
      </c>
      <c r="CE8">
        <v>0</v>
      </c>
      <c r="CF8">
        <v>0</v>
      </c>
      <c r="CG8">
        <v>0</v>
      </c>
      <c r="CH8">
        <v>0</v>
      </c>
      <c r="CI8" t="s">
        <v>983</v>
      </c>
      <c r="CJ8" t="s">
        <v>972</v>
      </c>
      <c r="CK8" t="s">
        <v>986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 t="s">
        <v>987</v>
      </c>
      <c r="CV8">
        <v>400008008</v>
      </c>
      <c r="CW8" t="s">
        <v>987</v>
      </c>
      <c r="CX8" t="s">
        <v>1054</v>
      </c>
      <c r="CY8" t="s">
        <v>989</v>
      </c>
    </row>
    <row r="9" spans="1:103" hidden="1" x14ac:dyDescent="0.25">
      <c r="A9">
        <v>410000009</v>
      </c>
      <c r="B9" t="s">
        <v>1055</v>
      </c>
      <c r="C9" t="s">
        <v>1056</v>
      </c>
      <c r="D9">
        <v>401100000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 t="s">
        <v>972</v>
      </c>
      <c r="Z9" t="s">
        <v>987</v>
      </c>
      <c r="AA9" t="s">
        <v>1057</v>
      </c>
      <c r="AB9" t="s">
        <v>975</v>
      </c>
      <c r="AC9">
        <v>6180</v>
      </c>
      <c r="AD9" t="s">
        <v>1058</v>
      </c>
      <c r="AE9" t="s">
        <v>1059</v>
      </c>
      <c r="AF9" t="s">
        <v>1060</v>
      </c>
      <c r="AG9" t="s">
        <v>977</v>
      </c>
      <c r="AH9">
        <v>74</v>
      </c>
      <c r="AI9">
        <v>46331</v>
      </c>
      <c r="AJ9" t="s">
        <v>1051</v>
      </c>
      <c r="AK9">
        <v>0</v>
      </c>
      <c r="AL9" t="s">
        <v>978</v>
      </c>
      <c r="AM9" t="s">
        <v>979</v>
      </c>
      <c r="AN9">
        <v>0</v>
      </c>
      <c r="AO9" t="s">
        <v>257</v>
      </c>
      <c r="AP9">
        <v>0</v>
      </c>
      <c r="AQ9">
        <v>1</v>
      </c>
      <c r="AR9">
        <v>43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 t="s">
        <v>257</v>
      </c>
      <c r="BA9" t="s">
        <v>980</v>
      </c>
      <c r="BB9" t="s">
        <v>980</v>
      </c>
      <c r="BC9" t="s">
        <v>257</v>
      </c>
      <c r="BD9">
        <v>0</v>
      </c>
      <c r="BE9">
        <v>0</v>
      </c>
      <c r="BF9">
        <v>1</v>
      </c>
      <c r="BG9">
        <v>0</v>
      </c>
      <c r="BH9">
        <v>0</v>
      </c>
      <c r="BI9">
        <v>410000174</v>
      </c>
      <c r="BJ9" t="s">
        <v>998</v>
      </c>
      <c r="BK9" t="s">
        <v>981</v>
      </c>
      <c r="BL9" t="s">
        <v>1055</v>
      </c>
      <c r="BM9">
        <v>20141002</v>
      </c>
      <c r="BN9">
        <v>20220131</v>
      </c>
      <c r="BO9">
        <v>20150622</v>
      </c>
      <c r="BP9" t="s">
        <v>257</v>
      </c>
      <c r="BQ9" t="s">
        <v>983</v>
      </c>
      <c r="BR9" t="s">
        <v>978</v>
      </c>
      <c r="BS9" t="s">
        <v>1061</v>
      </c>
      <c r="BT9">
        <v>0</v>
      </c>
      <c r="BU9">
        <v>0</v>
      </c>
      <c r="BV9" t="s">
        <v>1013</v>
      </c>
      <c r="BW9" t="s">
        <v>257</v>
      </c>
      <c r="BX9">
        <v>0</v>
      </c>
      <c r="BY9" t="s">
        <v>980</v>
      </c>
      <c r="BZ9" t="s">
        <v>257</v>
      </c>
      <c r="CA9">
        <v>0</v>
      </c>
      <c r="CB9">
        <v>0</v>
      </c>
      <c r="CC9" t="s">
        <v>1062</v>
      </c>
      <c r="CD9">
        <v>0</v>
      </c>
      <c r="CE9">
        <v>0</v>
      </c>
      <c r="CF9">
        <v>0</v>
      </c>
      <c r="CG9">
        <v>0</v>
      </c>
      <c r="CH9">
        <v>0</v>
      </c>
      <c r="CI9" t="s">
        <v>983</v>
      </c>
      <c r="CJ9" t="s">
        <v>972</v>
      </c>
      <c r="CK9" t="s">
        <v>986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 t="s">
        <v>987</v>
      </c>
      <c r="CV9">
        <v>400008009</v>
      </c>
      <c r="CW9" t="s">
        <v>987</v>
      </c>
      <c r="CX9" t="s">
        <v>1063</v>
      </c>
      <c r="CY9" t="s">
        <v>989</v>
      </c>
    </row>
    <row r="10" spans="1:103" hidden="1" x14ac:dyDescent="0.25">
      <c r="A10">
        <v>410000010</v>
      </c>
      <c r="B10" t="s">
        <v>1064</v>
      </c>
      <c r="C10" t="s">
        <v>978</v>
      </c>
      <c r="D10">
        <v>401100000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</v>
      </c>
      <c r="W10">
        <v>1</v>
      </c>
      <c r="X10">
        <v>1</v>
      </c>
      <c r="Y10" t="s">
        <v>1025</v>
      </c>
      <c r="Z10" t="s">
        <v>987</v>
      </c>
      <c r="AA10" t="s">
        <v>1065</v>
      </c>
      <c r="AB10" t="s">
        <v>975</v>
      </c>
      <c r="AC10">
        <v>1030</v>
      </c>
      <c r="AD10" t="s">
        <v>1066</v>
      </c>
      <c r="AE10" t="s">
        <v>1067</v>
      </c>
      <c r="AF10" t="s">
        <v>1068</v>
      </c>
      <c r="AG10" t="s">
        <v>977</v>
      </c>
      <c r="AH10">
        <v>24</v>
      </c>
      <c r="AI10" t="s">
        <v>1031</v>
      </c>
      <c r="AJ10" t="s">
        <v>1069</v>
      </c>
      <c r="AK10">
        <v>0</v>
      </c>
      <c r="AL10" t="s">
        <v>978</v>
      </c>
      <c r="AM10" t="s">
        <v>979</v>
      </c>
      <c r="AN10">
        <v>0</v>
      </c>
      <c r="AO10" t="s">
        <v>257</v>
      </c>
      <c r="AP10">
        <v>0</v>
      </c>
      <c r="AQ10">
        <v>1</v>
      </c>
      <c r="AR10">
        <v>43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 t="s">
        <v>257</v>
      </c>
      <c r="BA10" t="s">
        <v>980</v>
      </c>
      <c r="BB10" t="s">
        <v>981</v>
      </c>
      <c r="BC10" t="s">
        <v>257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410000081</v>
      </c>
      <c r="BJ10" t="s">
        <v>1021</v>
      </c>
      <c r="BK10" t="s">
        <v>981</v>
      </c>
      <c r="BL10" t="s">
        <v>1064</v>
      </c>
      <c r="BM10">
        <v>20141002</v>
      </c>
      <c r="BN10">
        <v>20220131</v>
      </c>
      <c r="BO10">
        <v>0</v>
      </c>
      <c r="BP10" t="s">
        <v>257</v>
      </c>
      <c r="BQ10" t="s">
        <v>983</v>
      </c>
      <c r="BR10" t="s">
        <v>978</v>
      </c>
      <c r="BS10" t="s">
        <v>979</v>
      </c>
      <c r="BT10">
        <v>0</v>
      </c>
      <c r="BU10">
        <v>0</v>
      </c>
      <c r="BV10" t="s">
        <v>1013</v>
      </c>
      <c r="BW10" t="s">
        <v>257</v>
      </c>
      <c r="BX10">
        <v>0</v>
      </c>
      <c r="BY10" t="s">
        <v>980</v>
      </c>
      <c r="BZ10" t="s">
        <v>257</v>
      </c>
      <c r="CA10">
        <v>0</v>
      </c>
      <c r="CB10">
        <v>0</v>
      </c>
      <c r="CC10" t="s">
        <v>1070</v>
      </c>
      <c r="CD10">
        <v>0</v>
      </c>
      <c r="CE10">
        <v>0</v>
      </c>
      <c r="CF10">
        <v>0</v>
      </c>
      <c r="CG10">
        <v>0</v>
      </c>
      <c r="CH10">
        <v>0</v>
      </c>
      <c r="CI10" t="s">
        <v>983</v>
      </c>
      <c r="CJ10" t="s">
        <v>972</v>
      </c>
      <c r="CK10" t="s">
        <v>986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 t="s">
        <v>987</v>
      </c>
      <c r="CV10">
        <v>400008010</v>
      </c>
      <c r="CW10" t="s">
        <v>987</v>
      </c>
      <c r="CX10" t="s">
        <v>1071</v>
      </c>
      <c r="CY10" t="s">
        <v>989</v>
      </c>
    </row>
    <row r="11" spans="1:103" hidden="1" x14ac:dyDescent="0.25">
      <c r="A11">
        <v>410000011</v>
      </c>
      <c r="B11" t="s">
        <v>1072</v>
      </c>
      <c r="C11" t="s">
        <v>1073</v>
      </c>
      <c r="D11">
        <v>401100000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 t="s">
        <v>1074</v>
      </c>
      <c r="Z11" t="s">
        <v>987</v>
      </c>
      <c r="AA11" t="s">
        <v>1075</v>
      </c>
      <c r="AB11" t="s">
        <v>975</v>
      </c>
      <c r="AC11">
        <v>4340</v>
      </c>
      <c r="AD11" t="s">
        <v>1076</v>
      </c>
      <c r="AE11" t="s">
        <v>1077</v>
      </c>
      <c r="AF11" t="s">
        <v>1078</v>
      </c>
      <c r="AG11" t="s">
        <v>977</v>
      </c>
      <c r="AH11" t="s">
        <v>977</v>
      </c>
      <c r="AI11">
        <v>47716</v>
      </c>
      <c r="AJ11" t="s">
        <v>978</v>
      </c>
      <c r="AK11">
        <v>0</v>
      </c>
      <c r="AL11" t="s">
        <v>978</v>
      </c>
      <c r="AM11" t="s">
        <v>979</v>
      </c>
      <c r="AN11">
        <v>0</v>
      </c>
      <c r="AO11" t="s">
        <v>257</v>
      </c>
      <c r="AP11">
        <v>0</v>
      </c>
      <c r="AQ11">
        <v>1</v>
      </c>
      <c r="AR11">
        <v>43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1</v>
      </c>
      <c r="AZ11" t="s">
        <v>257</v>
      </c>
      <c r="BA11" t="s">
        <v>980</v>
      </c>
      <c r="BB11" t="s">
        <v>980</v>
      </c>
      <c r="BC11" t="s">
        <v>257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410000162</v>
      </c>
      <c r="BJ11" t="s">
        <v>998</v>
      </c>
      <c r="BK11" t="s">
        <v>981</v>
      </c>
      <c r="BL11" t="s">
        <v>1072</v>
      </c>
      <c r="BM11">
        <v>20141002</v>
      </c>
      <c r="BN11">
        <v>20220131</v>
      </c>
      <c r="BO11">
        <v>20150330</v>
      </c>
      <c r="BP11" t="s">
        <v>257</v>
      </c>
      <c r="BQ11" t="s">
        <v>983</v>
      </c>
      <c r="BR11" t="s">
        <v>978</v>
      </c>
      <c r="BS11" t="s">
        <v>1079</v>
      </c>
      <c r="BT11">
        <v>0</v>
      </c>
      <c r="BU11">
        <v>0</v>
      </c>
      <c r="BV11" t="s">
        <v>1013</v>
      </c>
      <c r="BW11" t="s">
        <v>257</v>
      </c>
      <c r="BX11">
        <v>0</v>
      </c>
      <c r="BY11" t="s">
        <v>980</v>
      </c>
      <c r="BZ11" t="s">
        <v>257</v>
      </c>
      <c r="CA11">
        <v>0</v>
      </c>
      <c r="CB11">
        <v>0</v>
      </c>
      <c r="CC11" t="s">
        <v>1080</v>
      </c>
      <c r="CD11">
        <v>0</v>
      </c>
      <c r="CE11">
        <v>0</v>
      </c>
      <c r="CF11">
        <v>0</v>
      </c>
      <c r="CG11">
        <v>0</v>
      </c>
      <c r="CH11">
        <v>0</v>
      </c>
      <c r="CI11" t="s">
        <v>983</v>
      </c>
      <c r="CJ11" t="s">
        <v>972</v>
      </c>
      <c r="CK11" t="s">
        <v>986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 t="s">
        <v>987</v>
      </c>
      <c r="CV11">
        <v>400008011</v>
      </c>
      <c r="CW11" t="s">
        <v>987</v>
      </c>
      <c r="CX11" t="s">
        <v>1081</v>
      </c>
      <c r="CY11" t="s">
        <v>989</v>
      </c>
    </row>
    <row r="12" spans="1:103" hidden="1" x14ac:dyDescent="0.25">
      <c r="A12">
        <v>410000012</v>
      </c>
      <c r="B12" t="s">
        <v>1082</v>
      </c>
      <c r="C12" t="s">
        <v>1083</v>
      </c>
      <c r="D12">
        <v>401100000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 t="s">
        <v>972</v>
      </c>
      <c r="Z12" t="s">
        <v>987</v>
      </c>
      <c r="AA12" t="s">
        <v>1084</v>
      </c>
      <c r="AB12" t="s">
        <v>975</v>
      </c>
      <c r="AC12">
        <v>4683</v>
      </c>
      <c r="AD12" t="s">
        <v>1037</v>
      </c>
      <c r="AE12" t="s">
        <v>1085</v>
      </c>
      <c r="AF12" t="s">
        <v>1086</v>
      </c>
      <c r="AG12" t="s">
        <v>977</v>
      </c>
      <c r="AH12">
        <v>10</v>
      </c>
      <c r="AI12">
        <v>14130</v>
      </c>
      <c r="AJ12" t="s">
        <v>1087</v>
      </c>
      <c r="AK12">
        <v>0</v>
      </c>
      <c r="AL12" t="s">
        <v>978</v>
      </c>
      <c r="AM12" t="s">
        <v>979</v>
      </c>
      <c r="AN12">
        <v>0</v>
      </c>
      <c r="AO12" t="s">
        <v>257</v>
      </c>
      <c r="AP12">
        <v>0</v>
      </c>
      <c r="AQ12">
        <v>1</v>
      </c>
      <c r="AR12">
        <v>43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  <c r="AZ12" t="s">
        <v>257</v>
      </c>
      <c r="BA12" t="s">
        <v>980</v>
      </c>
      <c r="BB12" t="s">
        <v>1010</v>
      </c>
      <c r="BC12" t="s">
        <v>257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 t="s">
        <v>998</v>
      </c>
      <c r="BK12" t="s">
        <v>981</v>
      </c>
      <c r="BL12" t="s">
        <v>1082</v>
      </c>
      <c r="BM12">
        <v>20141002</v>
      </c>
      <c r="BN12">
        <v>20220131</v>
      </c>
      <c r="BO12">
        <v>20220131</v>
      </c>
      <c r="BP12" t="s">
        <v>257</v>
      </c>
      <c r="BQ12" t="s">
        <v>983</v>
      </c>
      <c r="BR12" t="s">
        <v>978</v>
      </c>
      <c r="BS12" t="s">
        <v>979</v>
      </c>
      <c r="BT12">
        <v>0</v>
      </c>
      <c r="BU12">
        <v>0</v>
      </c>
      <c r="BV12" t="s">
        <v>1013</v>
      </c>
      <c r="BW12" t="s">
        <v>257</v>
      </c>
      <c r="BX12">
        <v>0</v>
      </c>
      <c r="BY12" t="s">
        <v>980</v>
      </c>
      <c r="BZ12" t="s">
        <v>257</v>
      </c>
      <c r="CA12">
        <v>0</v>
      </c>
      <c r="CB12">
        <v>0</v>
      </c>
      <c r="CC12" t="s">
        <v>1088</v>
      </c>
      <c r="CD12">
        <v>0</v>
      </c>
      <c r="CE12">
        <v>0</v>
      </c>
      <c r="CF12">
        <v>0</v>
      </c>
      <c r="CG12">
        <v>0</v>
      </c>
      <c r="CH12">
        <v>0</v>
      </c>
      <c r="CI12" t="s">
        <v>983</v>
      </c>
      <c r="CJ12" t="s">
        <v>972</v>
      </c>
      <c r="CK12" t="s">
        <v>986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 t="s">
        <v>987</v>
      </c>
      <c r="CV12">
        <v>400008012</v>
      </c>
      <c r="CW12" t="s">
        <v>987</v>
      </c>
      <c r="CX12" t="s">
        <v>1081</v>
      </c>
      <c r="CY12" t="s">
        <v>989</v>
      </c>
    </row>
    <row r="13" spans="1:103" hidden="1" x14ac:dyDescent="0.25">
      <c r="A13">
        <v>410000013</v>
      </c>
      <c r="B13" t="s">
        <v>1089</v>
      </c>
      <c r="C13" t="s">
        <v>1090</v>
      </c>
      <c r="D13">
        <v>401100000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 t="s">
        <v>1091</v>
      </c>
      <c r="Z13" t="s">
        <v>987</v>
      </c>
      <c r="AA13" t="s">
        <v>1092</v>
      </c>
      <c r="AB13" t="s">
        <v>975</v>
      </c>
      <c r="AC13">
        <v>4651</v>
      </c>
      <c r="AD13" t="s">
        <v>1093</v>
      </c>
      <c r="AE13" t="s">
        <v>1094</v>
      </c>
      <c r="AF13" t="s">
        <v>1095</v>
      </c>
      <c r="AG13" t="s">
        <v>977</v>
      </c>
      <c r="AH13">
        <v>24</v>
      </c>
      <c r="AI13">
        <v>28220</v>
      </c>
      <c r="AJ13" t="s">
        <v>978</v>
      </c>
      <c r="AK13">
        <v>0</v>
      </c>
      <c r="AL13" t="s">
        <v>978</v>
      </c>
      <c r="AM13" t="s">
        <v>979</v>
      </c>
      <c r="AN13">
        <v>0</v>
      </c>
      <c r="AO13" t="s">
        <v>257</v>
      </c>
      <c r="AP13">
        <v>0</v>
      </c>
      <c r="AQ13">
        <v>1</v>
      </c>
      <c r="AR13">
        <v>43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 t="s">
        <v>257</v>
      </c>
      <c r="BA13" t="s">
        <v>980</v>
      </c>
      <c r="BB13" t="s">
        <v>981</v>
      </c>
      <c r="BC13" t="s">
        <v>257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 t="s">
        <v>998</v>
      </c>
      <c r="BK13" t="s">
        <v>981</v>
      </c>
      <c r="BL13" t="s">
        <v>1089</v>
      </c>
      <c r="BM13">
        <v>20141002</v>
      </c>
      <c r="BN13">
        <v>20220131</v>
      </c>
      <c r="BO13">
        <v>0</v>
      </c>
      <c r="BP13" t="s">
        <v>257</v>
      </c>
      <c r="BQ13" t="s">
        <v>983</v>
      </c>
      <c r="BR13" t="s">
        <v>978</v>
      </c>
      <c r="BS13" t="s">
        <v>1096</v>
      </c>
      <c r="BT13">
        <v>0</v>
      </c>
      <c r="BU13">
        <v>0</v>
      </c>
      <c r="BV13" t="s">
        <v>1013</v>
      </c>
      <c r="BW13" t="s">
        <v>257</v>
      </c>
      <c r="BX13">
        <v>0</v>
      </c>
      <c r="BY13" t="s">
        <v>980</v>
      </c>
      <c r="BZ13" t="s">
        <v>257</v>
      </c>
      <c r="CA13">
        <v>0</v>
      </c>
      <c r="CB13">
        <v>0</v>
      </c>
      <c r="CC13" t="s">
        <v>1097</v>
      </c>
      <c r="CD13">
        <v>0</v>
      </c>
      <c r="CE13">
        <v>0</v>
      </c>
      <c r="CF13">
        <v>0</v>
      </c>
      <c r="CG13">
        <v>0</v>
      </c>
      <c r="CH13">
        <v>0</v>
      </c>
      <c r="CI13" t="s">
        <v>983</v>
      </c>
      <c r="CJ13" t="s">
        <v>972</v>
      </c>
      <c r="CK13" t="s">
        <v>986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 t="s">
        <v>987</v>
      </c>
      <c r="CV13">
        <v>400008013</v>
      </c>
      <c r="CW13" t="s">
        <v>987</v>
      </c>
      <c r="CX13" t="s">
        <v>1081</v>
      </c>
      <c r="CY13" t="s">
        <v>989</v>
      </c>
    </row>
    <row r="14" spans="1:103" hidden="1" x14ac:dyDescent="0.25">
      <c r="A14">
        <v>410000014</v>
      </c>
      <c r="B14" t="s">
        <v>1098</v>
      </c>
      <c r="C14" t="s">
        <v>1099</v>
      </c>
      <c r="D14">
        <v>401100000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 t="s">
        <v>1091</v>
      </c>
      <c r="Z14" t="s">
        <v>987</v>
      </c>
      <c r="AA14" t="s">
        <v>1100</v>
      </c>
      <c r="AB14" t="s">
        <v>975</v>
      </c>
      <c r="AC14">
        <v>4520</v>
      </c>
      <c r="AD14" t="s">
        <v>1101</v>
      </c>
      <c r="AE14" t="s">
        <v>1102</v>
      </c>
      <c r="AF14" t="s">
        <v>1103</v>
      </c>
      <c r="AG14" t="s">
        <v>977</v>
      </c>
      <c r="AH14">
        <v>60</v>
      </c>
      <c r="AI14">
        <v>86906</v>
      </c>
      <c r="AJ14" t="s">
        <v>978</v>
      </c>
      <c r="AK14">
        <v>0</v>
      </c>
      <c r="AL14" t="s">
        <v>978</v>
      </c>
      <c r="AM14" t="s">
        <v>979</v>
      </c>
      <c r="AN14">
        <v>0</v>
      </c>
      <c r="AO14" t="s">
        <v>257</v>
      </c>
      <c r="AP14">
        <v>0</v>
      </c>
      <c r="AQ14">
        <v>1</v>
      </c>
      <c r="AR14">
        <v>43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1</v>
      </c>
      <c r="AZ14" t="s">
        <v>257</v>
      </c>
      <c r="BA14" t="s">
        <v>980</v>
      </c>
      <c r="BB14" t="s">
        <v>981</v>
      </c>
      <c r="BC14" t="s">
        <v>257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 t="s">
        <v>998</v>
      </c>
      <c r="BK14" t="s">
        <v>981</v>
      </c>
      <c r="BL14" t="s">
        <v>1098</v>
      </c>
      <c r="BM14">
        <v>20141002</v>
      </c>
      <c r="BN14">
        <v>20220131</v>
      </c>
      <c r="BO14">
        <v>0</v>
      </c>
      <c r="BP14" t="s">
        <v>257</v>
      </c>
      <c r="BQ14" t="s">
        <v>983</v>
      </c>
      <c r="BR14" t="s">
        <v>978</v>
      </c>
      <c r="BS14" t="s">
        <v>1104</v>
      </c>
      <c r="BT14">
        <v>0</v>
      </c>
      <c r="BU14">
        <v>0</v>
      </c>
      <c r="BV14" t="s">
        <v>1013</v>
      </c>
      <c r="BW14" t="s">
        <v>257</v>
      </c>
      <c r="BX14">
        <v>0</v>
      </c>
      <c r="BY14" t="s">
        <v>980</v>
      </c>
      <c r="BZ14" t="s">
        <v>257</v>
      </c>
      <c r="CA14">
        <v>0</v>
      </c>
      <c r="CB14">
        <v>0</v>
      </c>
      <c r="CC14" t="s">
        <v>1033</v>
      </c>
      <c r="CD14">
        <v>0</v>
      </c>
      <c r="CE14">
        <v>0</v>
      </c>
      <c r="CF14">
        <v>0</v>
      </c>
      <c r="CG14">
        <v>0</v>
      </c>
      <c r="CH14">
        <v>0</v>
      </c>
      <c r="CI14" t="s">
        <v>983</v>
      </c>
      <c r="CJ14" t="s">
        <v>972</v>
      </c>
      <c r="CK14" t="s">
        <v>986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 t="s">
        <v>987</v>
      </c>
      <c r="CV14">
        <v>400008014</v>
      </c>
      <c r="CW14" t="s">
        <v>987</v>
      </c>
      <c r="CX14" t="s">
        <v>1105</v>
      </c>
      <c r="CY14" t="s">
        <v>989</v>
      </c>
    </row>
    <row r="15" spans="1:103" hidden="1" x14ac:dyDescent="0.25">
      <c r="A15">
        <v>410000015</v>
      </c>
      <c r="B15" t="s">
        <v>1106</v>
      </c>
      <c r="C15" t="s">
        <v>1107</v>
      </c>
      <c r="D15">
        <v>401100000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 t="s">
        <v>1091</v>
      </c>
      <c r="Z15" t="s">
        <v>1108</v>
      </c>
      <c r="AA15" t="s">
        <v>1109</v>
      </c>
      <c r="AB15" t="s">
        <v>975</v>
      </c>
      <c r="AC15">
        <v>5310</v>
      </c>
      <c r="AD15" t="s">
        <v>1110</v>
      </c>
      <c r="AE15" t="s">
        <v>1111</v>
      </c>
      <c r="AF15" t="s">
        <v>979</v>
      </c>
      <c r="AG15" t="s">
        <v>977</v>
      </c>
      <c r="AH15">
        <v>76</v>
      </c>
      <c r="AI15">
        <v>12</v>
      </c>
      <c r="AJ15" t="s">
        <v>1112</v>
      </c>
      <c r="AK15">
        <v>0</v>
      </c>
      <c r="AL15" t="s">
        <v>978</v>
      </c>
      <c r="AM15" t="s">
        <v>979</v>
      </c>
      <c r="AN15">
        <v>0</v>
      </c>
      <c r="AO15" t="s">
        <v>257</v>
      </c>
      <c r="AP15">
        <v>0</v>
      </c>
      <c r="AQ15">
        <v>1</v>
      </c>
      <c r="AR15">
        <v>43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  <c r="AZ15" t="s">
        <v>257</v>
      </c>
      <c r="BA15" t="s">
        <v>980</v>
      </c>
      <c r="BB15" t="s">
        <v>981</v>
      </c>
      <c r="BC15" t="s">
        <v>257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 t="s">
        <v>998</v>
      </c>
      <c r="BK15" t="s">
        <v>981</v>
      </c>
      <c r="BL15" t="s">
        <v>1106</v>
      </c>
      <c r="BM15">
        <v>20141002</v>
      </c>
      <c r="BN15">
        <v>20220131</v>
      </c>
      <c r="BO15">
        <v>0</v>
      </c>
      <c r="BP15" t="s">
        <v>257</v>
      </c>
      <c r="BQ15" t="s">
        <v>983</v>
      </c>
      <c r="BR15" t="s">
        <v>978</v>
      </c>
      <c r="BS15" t="s">
        <v>979</v>
      </c>
      <c r="BT15">
        <v>0</v>
      </c>
      <c r="BU15">
        <v>0</v>
      </c>
      <c r="BV15" t="s">
        <v>1013</v>
      </c>
      <c r="BW15" t="s">
        <v>257</v>
      </c>
      <c r="BX15">
        <v>0</v>
      </c>
      <c r="BY15" t="s">
        <v>980</v>
      </c>
      <c r="BZ15" t="s">
        <v>257</v>
      </c>
      <c r="CA15">
        <v>0</v>
      </c>
      <c r="CB15">
        <v>0</v>
      </c>
      <c r="CC15" t="s">
        <v>1113</v>
      </c>
      <c r="CD15">
        <v>0</v>
      </c>
      <c r="CE15">
        <v>0</v>
      </c>
      <c r="CF15">
        <v>0</v>
      </c>
      <c r="CG15">
        <v>0</v>
      </c>
      <c r="CH15">
        <v>0</v>
      </c>
      <c r="CI15" t="s">
        <v>983</v>
      </c>
      <c r="CJ15" t="s">
        <v>972</v>
      </c>
      <c r="CK15" t="s">
        <v>986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 t="s">
        <v>987</v>
      </c>
      <c r="CV15">
        <v>400008015</v>
      </c>
      <c r="CW15" t="s">
        <v>987</v>
      </c>
      <c r="CX15" t="s">
        <v>1114</v>
      </c>
      <c r="CY15" t="s">
        <v>989</v>
      </c>
    </row>
    <row r="16" spans="1:103" hidden="1" x14ac:dyDescent="0.25">
      <c r="A16">
        <v>410000016</v>
      </c>
      <c r="B16" t="s">
        <v>1115</v>
      </c>
      <c r="C16" t="s">
        <v>1116</v>
      </c>
      <c r="D16">
        <v>401100000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 t="s">
        <v>972</v>
      </c>
      <c r="Z16" t="s">
        <v>1117</v>
      </c>
      <c r="AA16" t="s">
        <v>1118</v>
      </c>
      <c r="AB16" t="s">
        <v>975</v>
      </c>
      <c r="AC16">
        <v>4000</v>
      </c>
      <c r="AD16" t="s">
        <v>1019</v>
      </c>
      <c r="AE16">
        <v>478950326</v>
      </c>
      <c r="AF16" t="s">
        <v>979</v>
      </c>
      <c r="AG16" t="s">
        <v>977</v>
      </c>
      <c r="AH16">
        <v>0</v>
      </c>
      <c r="AI16">
        <v>69201</v>
      </c>
      <c r="AJ16" t="s">
        <v>978</v>
      </c>
      <c r="AK16">
        <v>0</v>
      </c>
      <c r="AL16" t="s">
        <v>978</v>
      </c>
      <c r="AM16" t="s">
        <v>979</v>
      </c>
      <c r="AN16">
        <v>0</v>
      </c>
      <c r="AO16" t="s">
        <v>257</v>
      </c>
      <c r="AP16">
        <v>0</v>
      </c>
      <c r="AQ16">
        <v>1</v>
      </c>
      <c r="AR16">
        <v>43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1</v>
      </c>
      <c r="AZ16" t="s">
        <v>257</v>
      </c>
      <c r="BA16" t="s">
        <v>980</v>
      </c>
      <c r="BB16" t="s">
        <v>981</v>
      </c>
      <c r="BC16" t="s">
        <v>257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 t="s">
        <v>998</v>
      </c>
      <c r="BK16" t="s">
        <v>981</v>
      </c>
      <c r="BL16" t="s">
        <v>1115</v>
      </c>
      <c r="BM16">
        <v>20141002</v>
      </c>
      <c r="BN16">
        <v>20230417</v>
      </c>
      <c r="BO16">
        <v>0</v>
      </c>
      <c r="BP16" t="s">
        <v>257</v>
      </c>
      <c r="BQ16" t="s">
        <v>983</v>
      </c>
      <c r="BR16" t="s">
        <v>978</v>
      </c>
      <c r="BS16" t="s">
        <v>979</v>
      </c>
      <c r="BT16">
        <v>0</v>
      </c>
      <c r="BU16">
        <v>0</v>
      </c>
      <c r="BV16" t="s">
        <v>984</v>
      </c>
      <c r="BW16" t="s">
        <v>257</v>
      </c>
      <c r="BX16">
        <v>0</v>
      </c>
      <c r="BY16" t="s">
        <v>980</v>
      </c>
      <c r="BZ16" t="s">
        <v>257</v>
      </c>
      <c r="CA16">
        <v>0</v>
      </c>
      <c r="CB16">
        <v>0</v>
      </c>
      <c r="CC16" t="s">
        <v>1119</v>
      </c>
      <c r="CD16">
        <v>0</v>
      </c>
      <c r="CE16">
        <v>0</v>
      </c>
      <c r="CF16">
        <v>0</v>
      </c>
      <c r="CG16">
        <v>0</v>
      </c>
      <c r="CH16">
        <v>0</v>
      </c>
      <c r="CI16" t="s">
        <v>983</v>
      </c>
      <c r="CJ16" t="s">
        <v>972</v>
      </c>
      <c r="CK16" t="s">
        <v>986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 t="s">
        <v>987</v>
      </c>
      <c r="CV16">
        <v>400008016</v>
      </c>
      <c r="CW16" t="s">
        <v>987</v>
      </c>
      <c r="CX16" t="s">
        <v>1120</v>
      </c>
      <c r="CY16" t="s">
        <v>989</v>
      </c>
    </row>
    <row r="17" spans="1:103" hidden="1" x14ac:dyDescent="0.25">
      <c r="A17">
        <v>410000017</v>
      </c>
      <c r="B17" t="s">
        <v>1121</v>
      </c>
      <c r="C17" t="s">
        <v>1122</v>
      </c>
      <c r="D17">
        <v>401100000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 t="s">
        <v>972</v>
      </c>
      <c r="Z17" t="s">
        <v>987</v>
      </c>
      <c r="AA17" t="s">
        <v>1123</v>
      </c>
      <c r="AB17" t="s">
        <v>975</v>
      </c>
      <c r="AC17">
        <v>4800</v>
      </c>
      <c r="AD17" t="s">
        <v>1124</v>
      </c>
      <c r="AE17" t="s">
        <v>1125</v>
      </c>
      <c r="AF17" t="s">
        <v>1126</v>
      </c>
      <c r="AG17" t="s">
        <v>977</v>
      </c>
      <c r="AH17">
        <v>28</v>
      </c>
      <c r="AI17">
        <v>71201</v>
      </c>
      <c r="AJ17" t="s">
        <v>978</v>
      </c>
      <c r="AK17">
        <v>0</v>
      </c>
      <c r="AL17" t="s">
        <v>978</v>
      </c>
      <c r="AM17" t="s">
        <v>979</v>
      </c>
      <c r="AN17">
        <v>0</v>
      </c>
      <c r="AO17" t="s">
        <v>257</v>
      </c>
      <c r="AP17">
        <v>0</v>
      </c>
      <c r="AQ17">
        <v>1</v>
      </c>
      <c r="AR17">
        <v>43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1</v>
      </c>
      <c r="AZ17" t="s">
        <v>257</v>
      </c>
      <c r="BA17" t="s">
        <v>980</v>
      </c>
      <c r="BB17" t="s">
        <v>981</v>
      </c>
      <c r="BC17" t="s">
        <v>257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 t="s">
        <v>998</v>
      </c>
      <c r="BK17" t="s">
        <v>981</v>
      </c>
      <c r="BL17" t="s">
        <v>1121</v>
      </c>
      <c r="BM17">
        <v>20141002</v>
      </c>
      <c r="BN17">
        <v>20220131</v>
      </c>
      <c r="BO17">
        <v>0</v>
      </c>
      <c r="BP17" t="s">
        <v>257</v>
      </c>
      <c r="BQ17" t="s">
        <v>983</v>
      </c>
      <c r="BR17" t="s">
        <v>978</v>
      </c>
      <c r="BS17" t="s">
        <v>1127</v>
      </c>
      <c r="BT17">
        <v>0</v>
      </c>
      <c r="BU17">
        <v>0</v>
      </c>
      <c r="BV17" t="s">
        <v>1013</v>
      </c>
      <c r="BW17" t="s">
        <v>257</v>
      </c>
      <c r="BX17">
        <v>0</v>
      </c>
      <c r="BY17" t="s">
        <v>980</v>
      </c>
      <c r="BZ17" t="s">
        <v>257</v>
      </c>
      <c r="CA17">
        <v>0</v>
      </c>
      <c r="CB17">
        <v>0</v>
      </c>
      <c r="CC17" t="s">
        <v>1128</v>
      </c>
      <c r="CD17">
        <v>0</v>
      </c>
      <c r="CE17">
        <v>0</v>
      </c>
      <c r="CF17">
        <v>0</v>
      </c>
      <c r="CG17">
        <v>0</v>
      </c>
      <c r="CH17">
        <v>0</v>
      </c>
      <c r="CI17" t="s">
        <v>983</v>
      </c>
      <c r="CJ17" t="s">
        <v>972</v>
      </c>
      <c r="CK17" t="s">
        <v>986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 t="s">
        <v>987</v>
      </c>
      <c r="CV17">
        <v>400008017</v>
      </c>
      <c r="CW17" t="s">
        <v>987</v>
      </c>
      <c r="CX17" t="s">
        <v>1081</v>
      </c>
      <c r="CY17" t="s">
        <v>989</v>
      </c>
    </row>
    <row r="18" spans="1:103" hidden="1" x14ac:dyDescent="0.25">
      <c r="A18">
        <v>410000018</v>
      </c>
      <c r="B18" t="s">
        <v>1129</v>
      </c>
      <c r="C18" t="s">
        <v>1130</v>
      </c>
      <c r="D18">
        <v>401100000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 t="s">
        <v>972</v>
      </c>
      <c r="Z18" t="s">
        <v>987</v>
      </c>
      <c r="AA18" t="s">
        <v>1131</v>
      </c>
      <c r="AB18" t="s">
        <v>975</v>
      </c>
      <c r="AC18">
        <v>4520</v>
      </c>
      <c r="AD18" t="s">
        <v>1132</v>
      </c>
      <c r="AE18" t="s">
        <v>1133</v>
      </c>
      <c r="AF18" t="s">
        <v>1134</v>
      </c>
      <c r="AG18" t="s">
        <v>977</v>
      </c>
      <c r="AH18">
        <v>35</v>
      </c>
      <c r="AI18">
        <v>46349</v>
      </c>
      <c r="AJ18" t="s">
        <v>1135</v>
      </c>
      <c r="AK18">
        <v>0</v>
      </c>
      <c r="AL18" t="s">
        <v>978</v>
      </c>
      <c r="AM18" t="s">
        <v>979</v>
      </c>
      <c r="AN18">
        <v>0</v>
      </c>
      <c r="AO18" t="s">
        <v>257</v>
      </c>
      <c r="AP18">
        <v>0</v>
      </c>
      <c r="AQ18">
        <v>1</v>
      </c>
      <c r="AR18">
        <v>43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1</v>
      </c>
      <c r="AZ18" t="s">
        <v>257</v>
      </c>
      <c r="BA18" t="s">
        <v>980</v>
      </c>
      <c r="BB18" t="s">
        <v>981</v>
      </c>
      <c r="BC18" t="s">
        <v>257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 t="s">
        <v>998</v>
      </c>
      <c r="BK18" t="s">
        <v>981</v>
      </c>
      <c r="BL18" t="s">
        <v>1129</v>
      </c>
      <c r="BM18">
        <v>20141002</v>
      </c>
      <c r="BN18">
        <v>20220131</v>
      </c>
      <c r="BO18">
        <v>0</v>
      </c>
      <c r="BP18" t="s">
        <v>257</v>
      </c>
      <c r="BQ18" t="s">
        <v>983</v>
      </c>
      <c r="BR18" t="s">
        <v>978</v>
      </c>
      <c r="BS18" t="s">
        <v>1136</v>
      </c>
      <c r="BT18">
        <v>0</v>
      </c>
      <c r="BU18">
        <v>0</v>
      </c>
      <c r="BV18" t="s">
        <v>984</v>
      </c>
      <c r="BW18" t="s">
        <v>257</v>
      </c>
      <c r="BX18">
        <v>0</v>
      </c>
      <c r="BY18" t="s">
        <v>980</v>
      </c>
      <c r="BZ18" t="s">
        <v>257</v>
      </c>
      <c r="CA18">
        <v>0</v>
      </c>
      <c r="CB18">
        <v>0</v>
      </c>
      <c r="CC18" t="s">
        <v>1033</v>
      </c>
      <c r="CD18">
        <v>0</v>
      </c>
      <c r="CE18">
        <v>0</v>
      </c>
      <c r="CF18">
        <v>0</v>
      </c>
      <c r="CG18">
        <v>0</v>
      </c>
      <c r="CH18">
        <v>0</v>
      </c>
      <c r="CI18" t="s">
        <v>983</v>
      </c>
      <c r="CJ18" t="s">
        <v>972</v>
      </c>
      <c r="CK18" t="s">
        <v>986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 t="s">
        <v>987</v>
      </c>
      <c r="CV18">
        <v>400008018</v>
      </c>
      <c r="CW18" t="s">
        <v>987</v>
      </c>
      <c r="CX18" t="s">
        <v>1137</v>
      </c>
      <c r="CY18" t="s">
        <v>989</v>
      </c>
    </row>
    <row r="19" spans="1:103" hidden="1" x14ac:dyDescent="0.25">
      <c r="A19">
        <v>410000019</v>
      </c>
      <c r="B19" t="s">
        <v>1138</v>
      </c>
      <c r="C19" t="s">
        <v>978</v>
      </c>
      <c r="D19">
        <v>401100000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</v>
      </c>
      <c r="W19">
        <v>1</v>
      </c>
      <c r="X19">
        <v>1</v>
      </c>
      <c r="Y19" t="s">
        <v>972</v>
      </c>
      <c r="Z19" t="s">
        <v>1139</v>
      </c>
      <c r="AA19" t="s">
        <v>1140</v>
      </c>
      <c r="AB19" t="s">
        <v>975</v>
      </c>
      <c r="AC19">
        <v>4000</v>
      </c>
      <c r="AD19" t="s">
        <v>1019</v>
      </c>
      <c r="AE19" t="s">
        <v>1141</v>
      </c>
      <c r="AF19" t="s">
        <v>1142</v>
      </c>
      <c r="AG19" t="s">
        <v>977</v>
      </c>
      <c r="AH19">
        <v>30</v>
      </c>
      <c r="AI19" t="s">
        <v>1031</v>
      </c>
      <c r="AJ19" t="s">
        <v>978</v>
      </c>
      <c r="AK19">
        <v>0</v>
      </c>
      <c r="AL19" t="s">
        <v>978</v>
      </c>
      <c r="AM19" t="s">
        <v>979</v>
      </c>
      <c r="AN19">
        <v>0</v>
      </c>
      <c r="AO19" t="s">
        <v>257</v>
      </c>
      <c r="AP19">
        <v>0</v>
      </c>
      <c r="AQ19">
        <v>1</v>
      </c>
      <c r="AR19">
        <v>43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 t="s">
        <v>257</v>
      </c>
      <c r="BA19" t="s">
        <v>980</v>
      </c>
      <c r="BB19" t="s">
        <v>981</v>
      </c>
      <c r="BC19" t="s">
        <v>257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 t="s">
        <v>998</v>
      </c>
      <c r="BK19" t="s">
        <v>981</v>
      </c>
      <c r="BL19" t="s">
        <v>1138</v>
      </c>
      <c r="BM19">
        <v>20141002</v>
      </c>
      <c r="BN19">
        <v>20220131</v>
      </c>
      <c r="BO19">
        <v>0</v>
      </c>
      <c r="BP19" t="s">
        <v>257</v>
      </c>
      <c r="BQ19" t="s">
        <v>983</v>
      </c>
      <c r="BR19" t="s">
        <v>978</v>
      </c>
      <c r="BS19" t="s">
        <v>979</v>
      </c>
      <c r="BT19">
        <v>0</v>
      </c>
      <c r="BU19">
        <v>0</v>
      </c>
      <c r="BV19" t="s">
        <v>1013</v>
      </c>
      <c r="BW19" t="s">
        <v>257</v>
      </c>
      <c r="BX19">
        <v>0</v>
      </c>
      <c r="BY19" t="s">
        <v>980</v>
      </c>
      <c r="BZ19" t="s">
        <v>257</v>
      </c>
      <c r="CA19">
        <v>0</v>
      </c>
      <c r="CB19">
        <v>0</v>
      </c>
      <c r="CC19" t="s">
        <v>1143</v>
      </c>
      <c r="CD19">
        <v>0</v>
      </c>
      <c r="CE19">
        <v>0</v>
      </c>
      <c r="CF19">
        <v>0</v>
      </c>
      <c r="CG19">
        <v>0</v>
      </c>
      <c r="CH19">
        <v>0</v>
      </c>
      <c r="CI19" t="s">
        <v>983</v>
      </c>
      <c r="CJ19" t="s">
        <v>972</v>
      </c>
      <c r="CK19" t="s">
        <v>986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 t="s">
        <v>987</v>
      </c>
      <c r="CV19">
        <v>400008019</v>
      </c>
      <c r="CW19" t="s">
        <v>987</v>
      </c>
      <c r="CX19" t="s">
        <v>1144</v>
      </c>
      <c r="CY19" t="s">
        <v>989</v>
      </c>
    </row>
    <row r="20" spans="1:103" hidden="1" x14ac:dyDescent="0.25">
      <c r="A20">
        <v>410000020</v>
      </c>
      <c r="B20" t="s">
        <v>1145</v>
      </c>
      <c r="C20" t="s">
        <v>1146</v>
      </c>
      <c r="D20">
        <v>401100000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 t="s">
        <v>972</v>
      </c>
      <c r="Z20" t="s">
        <v>1147</v>
      </c>
      <c r="AA20" t="s">
        <v>1148</v>
      </c>
      <c r="AB20" t="s">
        <v>975</v>
      </c>
      <c r="AC20">
        <v>4020</v>
      </c>
      <c r="AD20" t="s">
        <v>1149</v>
      </c>
      <c r="AE20" t="s">
        <v>1150</v>
      </c>
      <c r="AF20" t="s">
        <v>1151</v>
      </c>
      <c r="AG20" t="s">
        <v>977</v>
      </c>
      <c r="AH20">
        <v>12</v>
      </c>
      <c r="AI20">
        <v>47299</v>
      </c>
      <c r="AJ20" t="s">
        <v>978</v>
      </c>
      <c r="AK20">
        <v>0</v>
      </c>
      <c r="AL20" t="s">
        <v>978</v>
      </c>
      <c r="AM20" t="s">
        <v>979</v>
      </c>
      <c r="AN20">
        <v>0</v>
      </c>
      <c r="AO20" t="s">
        <v>257</v>
      </c>
      <c r="AP20">
        <v>0</v>
      </c>
      <c r="AQ20">
        <v>1</v>
      </c>
      <c r="AR20">
        <v>43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1</v>
      </c>
      <c r="AZ20" t="s">
        <v>257</v>
      </c>
      <c r="BA20" t="s">
        <v>980</v>
      </c>
      <c r="BB20" t="s">
        <v>981</v>
      </c>
      <c r="BC20" t="s">
        <v>257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 t="s">
        <v>998</v>
      </c>
      <c r="BK20" t="s">
        <v>981</v>
      </c>
      <c r="BL20" t="s">
        <v>1145</v>
      </c>
      <c r="BM20">
        <v>20141002</v>
      </c>
      <c r="BN20">
        <v>20220131</v>
      </c>
      <c r="BO20">
        <v>0</v>
      </c>
      <c r="BP20" t="s">
        <v>257</v>
      </c>
      <c r="BQ20" t="s">
        <v>983</v>
      </c>
      <c r="BR20" t="s">
        <v>978</v>
      </c>
      <c r="BS20" t="s">
        <v>979</v>
      </c>
      <c r="BT20">
        <v>0</v>
      </c>
      <c r="BU20">
        <v>0</v>
      </c>
      <c r="BV20" t="s">
        <v>984</v>
      </c>
      <c r="BW20" t="s">
        <v>257</v>
      </c>
      <c r="BX20">
        <v>0</v>
      </c>
      <c r="BY20" t="s">
        <v>980</v>
      </c>
      <c r="BZ20" t="s">
        <v>257</v>
      </c>
      <c r="CA20">
        <v>0</v>
      </c>
      <c r="CB20">
        <v>0</v>
      </c>
      <c r="CC20" t="s">
        <v>1152</v>
      </c>
      <c r="CD20">
        <v>0</v>
      </c>
      <c r="CE20">
        <v>0</v>
      </c>
      <c r="CF20">
        <v>0</v>
      </c>
      <c r="CG20">
        <v>0</v>
      </c>
      <c r="CH20">
        <v>0</v>
      </c>
      <c r="CI20" t="s">
        <v>983</v>
      </c>
      <c r="CJ20" t="s">
        <v>972</v>
      </c>
      <c r="CK20" t="s">
        <v>986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 t="s">
        <v>987</v>
      </c>
      <c r="CV20">
        <v>400008020</v>
      </c>
      <c r="CW20" t="s">
        <v>987</v>
      </c>
      <c r="CX20" t="s">
        <v>1153</v>
      </c>
      <c r="CY20" t="s">
        <v>989</v>
      </c>
    </row>
    <row r="21" spans="1:103" hidden="1" x14ac:dyDescent="0.25">
      <c r="A21">
        <v>410000021</v>
      </c>
      <c r="B21" t="s">
        <v>1154</v>
      </c>
      <c r="C21" t="s">
        <v>1155</v>
      </c>
      <c r="D21">
        <v>401100000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 t="s">
        <v>972</v>
      </c>
      <c r="Z21" t="s">
        <v>1156</v>
      </c>
      <c r="AA21" t="s">
        <v>1157</v>
      </c>
      <c r="AB21" t="s">
        <v>975</v>
      </c>
      <c r="AC21">
        <v>4800</v>
      </c>
      <c r="AD21" t="s">
        <v>1124</v>
      </c>
      <c r="AE21" t="s">
        <v>1158</v>
      </c>
      <c r="AF21" t="s">
        <v>1159</v>
      </c>
      <c r="AG21" t="s">
        <v>977</v>
      </c>
      <c r="AH21">
        <v>15</v>
      </c>
      <c r="AI21" t="s">
        <v>1031</v>
      </c>
      <c r="AJ21" t="s">
        <v>978</v>
      </c>
      <c r="AK21">
        <v>0</v>
      </c>
      <c r="AL21" t="s">
        <v>978</v>
      </c>
      <c r="AM21" t="s">
        <v>979</v>
      </c>
      <c r="AN21">
        <v>0</v>
      </c>
      <c r="AO21" t="s">
        <v>257</v>
      </c>
      <c r="AP21">
        <v>0</v>
      </c>
      <c r="AQ21">
        <v>1</v>
      </c>
      <c r="AR21">
        <v>43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1</v>
      </c>
      <c r="AZ21" t="s">
        <v>257</v>
      </c>
      <c r="BA21" t="s">
        <v>980</v>
      </c>
      <c r="BB21" t="s">
        <v>981</v>
      </c>
      <c r="BC21" t="s">
        <v>257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 t="s">
        <v>998</v>
      </c>
      <c r="BK21" t="s">
        <v>981</v>
      </c>
      <c r="BL21" t="s">
        <v>1154</v>
      </c>
      <c r="BM21">
        <v>20141002</v>
      </c>
      <c r="BN21">
        <v>20220131</v>
      </c>
      <c r="BO21">
        <v>0</v>
      </c>
      <c r="BP21" t="s">
        <v>257</v>
      </c>
      <c r="BQ21" t="s">
        <v>983</v>
      </c>
      <c r="BR21" t="s">
        <v>978</v>
      </c>
      <c r="BS21" t="s">
        <v>1160</v>
      </c>
      <c r="BT21">
        <v>0</v>
      </c>
      <c r="BU21">
        <v>0</v>
      </c>
      <c r="BV21" t="s">
        <v>1013</v>
      </c>
      <c r="BW21" t="s">
        <v>257</v>
      </c>
      <c r="BX21">
        <v>0</v>
      </c>
      <c r="BY21" t="s">
        <v>980</v>
      </c>
      <c r="BZ21" t="s">
        <v>257</v>
      </c>
      <c r="CA21">
        <v>0</v>
      </c>
      <c r="CB21">
        <v>0</v>
      </c>
      <c r="CC21" t="s">
        <v>1161</v>
      </c>
      <c r="CD21">
        <v>0</v>
      </c>
      <c r="CE21">
        <v>0</v>
      </c>
      <c r="CF21">
        <v>0</v>
      </c>
      <c r="CG21">
        <v>0</v>
      </c>
      <c r="CH21">
        <v>0</v>
      </c>
      <c r="CI21" t="s">
        <v>983</v>
      </c>
      <c r="CJ21" t="s">
        <v>972</v>
      </c>
      <c r="CK21" t="s">
        <v>986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 t="s">
        <v>987</v>
      </c>
      <c r="CV21">
        <v>400008021</v>
      </c>
      <c r="CW21" t="s">
        <v>987</v>
      </c>
      <c r="CX21" t="s">
        <v>1162</v>
      </c>
      <c r="CY21" t="s">
        <v>989</v>
      </c>
    </row>
    <row r="22" spans="1:103" hidden="1" x14ac:dyDescent="0.25">
      <c r="A22">
        <v>410000022</v>
      </c>
      <c r="B22" t="s">
        <v>1163</v>
      </c>
      <c r="C22" t="s">
        <v>1164</v>
      </c>
      <c r="D22">
        <v>401100000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 t="s">
        <v>972</v>
      </c>
      <c r="Z22" t="s">
        <v>987</v>
      </c>
      <c r="AA22" t="s">
        <v>7412</v>
      </c>
      <c r="AB22" t="s">
        <v>975</v>
      </c>
      <c r="AC22">
        <v>4460</v>
      </c>
      <c r="AD22" t="s">
        <v>1946</v>
      </c>
      <c r="AE22" t="s">
        <v>7413</v>
      </c>
      <c r="AF22" t="s">
        <v>979</v>
      </c>
      <c r="AG22" t="s">
        <v>977</v>
      </c>
      <c r="AH22">
        <v>0</v>
      </c>
      <c r="AI22">
        <v>46450</v>
      </c>
      <c r="AJ22" t="s">
        <v>978</v>
      </c>
      <c r="AK22">
        <v>0</v>
      </c>
      <c r="AL22" t="s">
        <v>978</v>
      </c>
      <c r="AM22" t="s">
        <v>979</v>
      </c>
      <c r="AN22">
        <v>0</v>
      </c>
      <c r="AO22" t="s">
        <v>257</v>
      </c>
      <c r="AP22">
        <v>0</v>
      </c>
      <c r="AQ22">
        <v>1</v>
      </c>
      <c r="AR22">
        <v>69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1</v>
      </c>
      <c r="AZ22" t="s">
        <v>257</v>
      </c>
      <c r="BA22" t="s">
        <v>980</v>
      </c>
      <c r="BB22" t="s">
        <v>981</v>
      </c>
      <c r="BC22" t="s">
        <v>257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 t="s">
        <v>1021</v>
      </c>
      <c r="BK22" t="s">
        <v>981</v>
      </c>
      <c r="BL22" t="s">
        <v>1163</v>
      </c>
      <c r="BM22">
        <v>20141002</v>
      </c>
      <c r="BN22">
        <v>20251013</v>
      </c>
      <c r="BO22">
        <v>0</v>
      </c>
      <c r="BP22" t="s">
        <v>257</v>
      </c>
      <c r="BQ22" t="s">
        <v>983</v>
      </c>
      <c r="BR22" t="s">
        <v>978</v>
      </c>
      <c r="BS22" t="s">
        <v>979</v>
      </c>
      <c r="BT22">
        <v>0</v>
      </c>
      <c r="BU22">
        <v>0</v>
      </c>
      <c r="BV22" t="s">
        <v>984</v>
      </c>
      <c r="BW22" t="s">
        <v>257</v>
      </c>
      <c r="BX22">
        <v>0</v>
      </c>
      <c r="BY22" t="s">
        <v>980</v>
      </c>
      <c r="BZ22" t="s">
        <v>257</v>
      </c>
      <c r="CA22">
        <v>0</v>
      </c>
      <c r="CB22">
        <v>0</v>
      </c>
      <c r="CC22" t="s">
        <v>1371</v>
      </c>
      <c r="CD22">
        <v>0</v>
      </c>
      <c r="CE22">
        <v>0</v>
      </c>
      <c r="CF22">
        <v>0</v>
      </c>
      <c r="CG22">
        <v>0</v>
      </c>
      <c r="CH22">
        <v>0</v>
      </c>
      <c r="CI22" t="s">
        <v>983</v>
      </c>
      <c r="CJ22" t="s">
        <v>972</v>
      </c>
      <c r="CK22" t="s">
        <v>986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 t="s">
        <v>987</v>
      </c>
      <c r="CV22">
        <v>400008022</v>
      </c>
      <c r="CW22" t="s">
        <v>987</v>
      </c>
      <c r="CX22" t="s">
        <v>7414</v>
      </c>
      <c r="CY22" t="s">
        <v>989</v>
      </c>
    </row>
    <row r="23" spans="1:103" hidden="1" x14ac:dyDescent="0.25">
      <c r="A23">
        <v>410000023</v>
      </c>
      <c r="B23" t="s">
        <v>1166</v>
      </c>
      <c r="C23" t="s">
        <v>1167</v>
      </c>
      <c r="D23">
        <v>401100000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 t="s">
        <v>972</v>
      </c>
      <c r="Z23" t="s">
        <v>1168</v>
      </c>
      <c r="AA23" t="s">
        <v>1169</v>
      </c>
      <c r="AB23" t="s">
        <v>975</v>
      </c>
      <c r="AC23">
        <v>4300</v>
      </c>
      <c r="AD23" t="s">
        <v>1170</v>
      </c>
      <c r="AE23" t="s">
        <v>1171</v>
      </c>
      <c r="AF23" t="s">
        <v>1172</v>
      </c>
      <c r="AG23" t="s">
        <v>977</v>
      </c>
      <c r="AH23">
        <v>20</v>
      </c>
      <c r="AI23">
        <v>22220</v>
      </c>
      <c r="AJ23" t="s">
        <v>1173</v>
      </c>
      <c r="AK23">
        <v>0</v>
      </c>
      <c r="AL23" t="s">
        <v>978</v>
      </c>
      <c r="AM23" t="s">
        <v>979</v>
      </c>
      <c r="AN23">
        <v>0</v>
      </c>
      <c r="AO23" t="s">
        <v>257</v>
      </c>
      <c r="AP23">
        <v>0</v>
      </c>
      <c r="AQ23">
        <v>1</v>
      </c>
      <c r="AR23">
        <v>43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 t="s">
        <v>257</v>
      </c>
      <c r="BA23" t="s">
        <v>980</v>
      </c>
      <c r="BB23" t="s">
        <v>981</v>
      </c>
      <c r="BC23" t="s">
        <v>257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 t="s">
        <v>998</v>
      </c>
      <c r="BK23" t="s">
        <v>981</v>
      </c>
      <c r="BL23" t="s">
        <v>1166</v>
      </c>
      <c r="BM23">
        <v>20141002</v>
      </c>
      <c r="BN23">
        <v>20220131</v>
      </c>
      <c r="BO23">
        <v>0</v>
      </c>
      <c r="BP23" t="s">
        <v>257</v>
      </c>
      <c r="BQ23" t="s">
        <v>983</v>
      </c>
      <c r="BR23" t="s">
        <v>978</v>
      </c>
      <c r="BS23" t="s">
        <v>1174</v>
      </c>
      <c r="BT23">
        <v>0</v>
      </c>
      <c r="BU23">
        <v>0</v>
      </c>
      <c r="BV23" t="s">
        <v>1013</v>
      </c>
      <c r="BW23" t="s">
        <v>257</v>
      </c>
      <c r="BX23">
        <v>0</v>
      </c>
      <c r="BY23" t="s">
        <v>980</v>
      </c>
      <c r="BZ23" t="s">
        <v>980</v>
      </c>
      <c r="CA23">
        <v>0</v>
      </c>
      <c r="CB23">
        <v>0</v>
      </c>
      <c r="CC23" t="s">
        <v>1128</v>
      </c>
      <c r="CD23">
        <v>0</v>
      </c>
      <c r="CE23">
        <v>0</v>
      </c>
      <c r="CF23">
        <v>0</v>
      </c>
      <c r="CG23">
        <v>0</v>
      </c>
      <c r="CH23">
        <v>0</v>
      </c>
      <c r="CI23" t="s">
        <v>983</v>
      </c>
      <c r="CJ23" t="s">
        <v>972</v>
      </c>
      <c r="CK23" t="s">
        <v>986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 t="s">
        <v>987</v>
      </c>
      <c r="CV23">
        <v>400008023</v>
      </c>
      <c r="CW23" t="s">
        <v>987</v>
      </c>
      <c r="CX23" t="s">
        <v>1175</v>
      </c>
      <c r="CY23" t="s">
        <v>989</v>
      </c>
    </row>
    <row r="24" spans="1:103" hidden="1" x14ac:dyDescent="0.25">
      <c r="A24">
        <v>410000024</v>
      </c>
      <c r="B24" t="s">
        <v>1176</v>
      </c>
      <c r="C24" t="s">
        <v>1177</v>
      </c>
      <c r="D24">
        <v>401100000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 t="s">
        <v>972</v>
      </c>
      <c r="Z24" t="s">
        <v>1178</v>
      </c>
      <c r="AA24" t="s">
        <v>1179</v>
      </c>
      <c r="AB24" t="s">
        <v>975</v>
      </c>
      <c r="AC24">
        <v>4801</v>
      </c>
      <c r="AD24" t="s">
        <v>1180</v>
      </c>
      <c r="AE24" t="s">
        <v>1181</v>
      </c>
      <c r="AF24" t="s">
        <v>1182</v>
      </c>
      <c r="AG24" t="s">
        <v>977</v>
      </c>
      <c r="AH24">
        <v>40</v>
      </c>
      <c r="AI24">
        <v>46349</v>
      </c>
      <c r="AJ24" t="s">
        <v>978</v>
      </c>
      <c r="AK24">
        <v>0</v>
      </c>
      <c r="AL24" t="s">
        <v>978</v>
      </c>
      <c r="AM24" t="s">
        <v>979</v>
      </c>
      <c r="AN24">
        <v>0</v>
      </c>
      <c r="AO24" t="s">
        <v>257</v>
      </c>
      <c r="AP24">
        <v>0</v>
      </c>
      <c r="AQ24">
        <v>1</v>
      </c>
      <c r="AR24">
        <v>43</v>
      </c>
      <c r="AS24">
        <v>1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1</v>
      </c>
      <c r="AZ24" t="s">
        <v>257</v>
      </c>
      <c r="BA24" t="s">
        <v>980</v>
      </c>
      <c r="BB24" t="s">
        <v>981</v>
      </c>
      <c r="BC24" t="s">
        <v>257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 t="s">
        <v>998</v>
      </c>
      <c r="BK24" t="s">
        <v>981</v>
      </c>
      <c r="BL24" t="s">
        <v>1176</v>
      </c>
      <c r="BM24">
        <v>20141002</v>
      </c>
      <c r="BN24">
        <v>20220131</v>
      </c>
      <c r="BO24">
        <v>0</v>
      </c>
      <c r="BP24" t="s">
        <v>257</v>
      </c>
      <c r="BQ24" t="s">
        <v>983</v>
      </c>
      <c r="BR24" t="s">
        <v>978</v>
      </c>
      <c r="BS24" t="s">
        <v>979</v>
      </c>
      <c r="BT24">
        <v>0</v>
      </c>
      <c r="BU24">
        <v>0</v>
      </c>
      <c r="BV24" t="s">
        <v>984</v>
      </c>
      <c r="BW24" t="s">
        <v>257</v>
      </c>
      <c r="BX24">
        <v>0</v>
      </c>
      <c r="BY24" t="s">
        <v>980</v>
      </c>
      <c r="BZ24" t="s">
        <v>257</v>
      </c>
      <c r="CA24">
        <v>0</v>
      </c>
      <c r="CB24">
        <v>0</v>
      </c>
      <c r="CC24" t="s">
        <v>1183</v>
      </c>
      <c r="CD24">
        <v>0</v>
      </c>
      <c r="CE24">
        <v>0</v>
      </c>
      <c r="CF24">
        <v>0</v>
      </c>
      <c r="CG24">
        <v>0</v>
      </c>
      <c r="CH24">
        <v>0</v>
      </c>
      <c r="CI24" t="s">
        <v>983</v>
      </c>
      <c r="CJ24" t="s">
        <v>972</v>
      </c>
      <c r="CK24" t="s">
        <v>986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 t="s">
        <v>987</v>
      </c>
      <c r="CV24">
        <v>400008024</v>
      </c>
      <c r="CW24" t="s">
        <v>987</v>
      </c>
      <c r="CX24" t="s">
        <v>1184</v>
      </c>
      <c r="CY24" t="s">
        <v>989</v>
      </c>
    </row>
    <row r="25" spans="1:103" hidden="1" x14ac:dyDescent="0.25">
      <c r="A25">
        <v>410000025</v>
      </c>
      <c r="B25" t="s">
        <v>1185</v>
      </c>
      <c r="C25" t="s">
        <v>1186</v>
      </c>
      <c r="D25">
        <v>401100000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 t="s">
        <v>1187</v>
      </c>
      <c r="Z25" t="s">
        <v>987</v>
      </c>
      <c r="AA25" t="s">
        <v>1188</v>
      </c>
      <c r="AB25" t="s">
        <v>975</v>
      </c>
      <c r="AC25">
        <v>4910</v>
      </c>
      <c r="AD25" t="s">
        <v>1189</v>
      </c>
      <c r="AE25" t="s">
        <v>1190</v>
      </c>
      <c r="AF25" t="s">
        <v>979</v>
      </c>
      <c r="AG25" t="s">
        <v>977</v>
      </c>
      <c r="AH25">
        <v>40</v>
      </c>
      <c r="AI25">
        <v>81210</v>
      </c>
      <c r="AJ25" t="s">
        <v>978</v>
      </c>
      <c r="AK25">
        <v>0</v>
      </c>
      <c r="AL25" t="s">
        <v>978</v>
      </c>
      <c r="AM25" t="s">
        <v>979</v>
      </c>
      <c r="AN25">
        <v>0</v>
      </c>
      <c r="AO25" t="s">
        <v>257</v>
      </c>
      <c r="AP25">
        <v>0</v>
      </c>
      <c r="AQ25">
        <v>1</v>
      </c>
      <c r="AR25">
        <v>43</v>
      </c>
      <c r="AS25">
        <v>1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1</v>
      </c>
      <c r="AZ25" t="s">
        <v>257</v>
      </c>
      <c r="BA25" t="s">
        <v>980</v>
      </c>
      <c r="BB25" t="s">
        <v>1010</v>
      </c>
      <c r="BC25" t="s">
        <v>257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410000277</v>
      </c>
      <c r="BJ25" t="s">
        <v>998</v>
      </c>
      <c r="BK25" t="s">
        <v>981</v>
      </c>
      <c r="BL25" t="s">
        <v>1185</v>
      </c>
      <c r="BM25">
        <v>20141002</v>
      </c>
      <c r="BN25">
        <v>20220131</v>
      </c>
      <c r="BO25">
        <v>20210426</v>
      </c>
      <c r="BP25" t="s">
        <v>257</v>
      </c>
      <c r="BQ25" t="s">
        <v>983</v>
      </c>
      <c r="BR25" t="s">
        <v>978</v>
      </c>
      <c r="BS25" t="s">
        <v>1191</v>
      </c>
      <c r="BT25">
        <v>0</v>
      </c>
      <c r="BU25">
        <v>0</v>
      </c>
      <c r="BV25" t="s">
        <v>1013</v>
      </c>
      <c r="BW25" t="s">
        <v>257</v>
      </c>
      <c r="BX25">
        <v>0</v>
      </c>
      <c r="BY25" t="s">
        <v>980</v>
      </c>
      <c r="BZ25" t="s">
        <v>257</v>
      </c>
      <c r="CA25">
        <v>0</v>
      </c>
      <c r="CB25">
        <v>0</v>
      </c>
      <c r="CC25" t="s">
        <v>1192</v>
      </c>
      <c r="CD25">
        <v>0</v>
      </c>
      <c r="CE25">
        <v>0</v>
      </c>
      <c r="CF25">
        <v>0</v>
      </c>
      <c r="CG25">
        <v>0</v>
      </c>
      <c r="CH25">
        <v>0</v>
      </c>
      <c r="CI25" t="s">
        <v>983</v>
      </c>
      <c r="CJ25" t="s">
        <v>972</v>
      </c>
      <c r="CK25" t="s">
        <v>986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 t="s">
        <v>987</v>
      </c>
      <c r="CV25">
        <v>400008025</v>
      </c>
      <c r="CW25" t="s">
        <v>987</v>
      </c>
      <c r="CX25" t="s">
        <v>1081</v>
      </c>
      <c r="CY25" t="s">
        <v>989</v>
      </c>
    </row>
    <row r="26" spans="1:103" hidden="1" x14ac:dyDescent="0.25">
      <c r="A26">
        <v>410000026</v>
      </c>
      <c r="B26" t="s">
        <v>1193</v>
      </c>
      <c r="C26" t="s">
        <v>1194</v>
      </c>
      <c r="D26">
        <v>401100000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 t="s">
        <v>1195</v>
      </c>
      <c r="Z26" t="s">
        <v>987</v>
      </c>
      <c r="AA26" t="s">
        <v>1196</v>
      </c>
      <c r="AB26" t="s">
        <v>975</v>
      </c>
      <c r="AC26">
        <v>4651</v>
      </c>
      <c r="AD26" t="s">
        <v>1093</v>
      </c>
      <c r="AE26" t="s">
        <v>1197</v>
      </c>
      <c r="AF26" t="s">
        <v>979</v>
      </c>
      <c r="AG26" t="s">
        <v>977</v>
      </c>
      <c r="AH26">
        <v>40</v>
      </c>
      <c r="AI26">
        <v>96012</v>
      </c>
      <c r="AJ26" t="s">
        <v>978</v>
      </c>
      <c r="AK26">
        <v>0</v>
      </c>
      <c r="AL26" t="s">
        <v>978</v>
      </c>
      <c r="AM26" t="s">
        <v>979</v>
      </c>
      <c r="AN26">
        <v>0</v>
      </c>
      <c r="AO26" t="s">
        <v>257</v>
      </c>
      <c r="AP26">
        <v>0</v>
      </c>
      <c r="AQ26">
        <v>1</v>
      </c>
      <c r="AR26">
        <v>43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 t="s">
        <v>257</v>
      </c>
      <c r="BA26" t="s">
        <v>980</v>
      </c>
      <c r="BB26" t="s">
        <v>1010</v>
      </c>
      <c r="BC26" t="s">
        <v>257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410000277</v>
      </c>
      <c r="BJ26" t="s">
        <v>998</v>
      </c>
      <c r="BK26" t="s">
        <v>981</v>
      </c>
      <c r="BL26" t="s">
        <v>1193</v>
      </c>
      <c r="BM26">
        <v>20141002</v>
      </c>
      <c r="BN26">
        <v>20220131</v>
      </c>
      <c r="BO26">
        <v>20210426</v>
      </c>
      <c r="BP26" t="s">
        <v>257</v>
      </c>
      <c r="BQ26" t="s">
        <v>983</v>
      </c>
      <c r="BR26" t="s">
        <v>978</v>
      </c>
      <c r="BS26" t="s">
        <v>1198</v>
      </c>
      <c r="BT26">
        <v>0</v>
      </c>
      <c r="BU26">
        <v>0</v>
      </c>
      <c r="BV26" t="s">
        <v>1013</v>
      </c>
      <c r="BW26" t="s">
        <v>257</v>
      </c>
      <c r="BX26">
        <v>0</v>
      </c>
      <c r="BY26" t="s">
        <v>980</v>
      </c>
      <c r="BZ26" t="s">
        <v>257</v>
      </c>
      <c r="CA26">
        <v>0</v>
      </c>
      <c r="CB26">
        <v>0</v>
      </c>
      <c r="CC26" t="s">
        <v>1199</v>
      </c>
      <c r="CD26">
        <v>0</v>
      </c>
      <c r="CE26">
        <v>0</v>
      </c>
      <c r="CF26">
        <v>0</v>
      </c>
      <c r="CG26">
        <v>0</v>
      </c>
      <c r="CH26">
        <v>0</v>
      </c>
      <c r="CI26" t="s">
        <v>983</v>
      </c>
      <c r="CJ26" t="s">
        <v>972</v>
      </c>
      <c r="CK26" t="s">
        <v>986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 t="s">
        <v>987</v>
      </c>
      <c r="CV26">
        <v>400008026</v>
      </c>
      <c r="CW26" t="s">
        <v>987</v>
      </c>
      <c r="CX26" t="s">
        <v>1081</v>
      </c>
      <c r="CY26" t="s">
        <v>989</v>
      </c>
    </row>
    <row r="27" spans="1:103" hidden="1" x14ac:dyDescent="0.25">
      <c r="A27">
        <v>410000027</v>
      </c>
      <c r="B27" t="s">
        <v>1200</v>
      </c>
      <c r="C27" t="s">
        <v>1201</v>
      </c>
      <c r="D27">
        <v>401100000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 t="s">
        <v>1202</v>
      </c>
      <c r="Z27" t="s">
        <v>987</v>
      </c>
      <c r="AA27" t="s">
        <v>1203</v>
      </c>
      <c r="AB27" t="s">
        <v>975</v>
      </c>
      <c r="AC27">
        <v>4650</v>
      </c>
      <c r="AD27" t="s">
        <v>1204</v>
      </c>
      <c r="AE27" t="s">
        <v>1205</v>
      </c>
      <c r="AF27" t="s">
        <v>1206</v>
      </c>
      <c r="AG27" t="s">
        <v>977</v>
      </c>
      <c r="AH27">
        <v>30</v>
      </c>
      <c r="AI27">
        <v>69202</v>
      </c>
      <c r="AJ27" t="s">
        <v>978</v>
      </c>
      <c r="AK27">
        <v>0</v>
      </c>
      <c r="AL27" t="s">
        <v>978</v>
      </c>
      <c r="AM27" t="s">
        <v>979</v>
      </c>
      <c r="AN27">
        <v>0</v>
      </c>
      <c r="AO27" t="s">
        <v>257</v>
      </c>
      <c r="AP27">
        <v>0</v>
      </c>
      <c r="AQ27">
        <v>1</v>
      </c>
      <c r="AR27">
        <v>43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1</v>
      </c>
      <c r="AZ27" t="s">
        <v>257</v>
      </c>
      <c r="BA27" t="s">
        <v>980</v>
      </c>
      <c r="BB27" t="s">
        <v>981</v>
      </c>
      <c r="BC27" t="s">
        <v>257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 t="s">
        <v>998</v>
      </c>
      <c r="BK27" t="s">
        <v>981</v>
      </c>
      <c r="BL27" t="s">
        <v>1200</v>
      </c>
      <c r="BM27">
        <v>20141002</v>
      </c>
      <c r="BN27">
        <v>20220131</v>
      </c>
      <c r="BO27">
        <v>0</v>
      </c>
      <c r="BP27" t="s">
        <v>257</v>
      </c>
      <c r="BQ27" t="s">
        <v>983</v>
      </c>
      <c r="BR27" t="s">
        <v>978</v>
      </c>
      <c r="BS27" t="s">
        <v>979</v>
      </c>
      <c r="BT27">
        <v>0</v>
      </c>
      <c r="BU27">
        <v>0</v>
      </c>
      <c r="BV27" t="s">
        <v>1013</v>
      </c>
      <c r="BW27" t="s">
        <v>257</v>
      </c>
      <c r="BX27">
        <v>0</v>
      </c>
      <c r="BY27" t="s">
        <v>980</v>
      </c>
      <c r="BZ27" t="s">
        <v>257</v>
      </c>
      <c r="CA27">
        <v>0</v>
      </c>
      <c r="CB27">
        <v>0</v>
      </c>
      <c r="CC27" t="s">
        <v>1207</v>
      </c>
      <c r="CD27">
        <v>0</v>
      </c>
      <c r="CE27">
        <v>0</v>
      </c>
      <c r="CF27">
        <v>0</v>
      </c>
      <c r="CG27">
        <v>0</v>
      </c>
      <c r="CH27">
        <v>0</v>
      </c>
      <c r="CI27" t="s">
        <v>983</v>
      </c>
      <c r="CJ27" t="s">
        <v>972</v>
      </c>
      <c r="CK27" t="s">
        <v>986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 t="s">
        <v>987</v>
      </c>
      <c r="CV27">
        <v>400008027</v>
      </c>
      <c r="CW27" t="s">
        <v>987</v>
      </c>
      <c r="CX27" t="s">
        <v>1081</v>
      </c>
      <c r="CY27" t="s">
        <v>989</v>
      </c>
    </row>
    <row r="28" spans="1:103" hidden="1" x14ac:dyDescent="0.25">
      <c r="A28">
        <v>410000028</v>
      </c>
      <c r="B28" t="s">
        <v>1208</v>
      </c>
      <c r="C28" t="s">
        <v>991</v>
      </c>
      <c r="D28">
        <v>401100000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 t="s">
        <v>972</v>
      </c>
      <c r="Z28" t="s">
        <v>987</v>
      </c>
      <c r="AA28" t="s">
        <v>1209</v>
      </c>
      <c r="AB28" t="s">
        <v>975</v>
      </c>
      <c r="AC28">
        <v>6000</v>
      </c>
      <c r="AD28" t="s">
        <v>993</v>
      </c>
      <c r="AE28" t="s">
        <v>1210</v>
      </c>
      <c r="AF28" t="s">
        <v>1211</v>
      </c>
      <c r="AG28" t="s">
        <v>977</v>
      </c>
      <c r="AH28">
        <v>70</v>
      </c>
      <c r="AI28">
        <v>45402</v>
      </c>
      <c r="AJ28" t="s">
        <v>1212</v>
      </c>
      <c r="AK28">
        <v>0</v>
      </c>
      <c r="AL28" t="s">
        <v>978</v>
      </c>
      <c r="AM28" t="s">
        <v>979</v>
      </c>
      <c r="AN28">
        <v>0</v>
      </c>
      <c r="AO28" t="s">
        <v>257</v>
      </c>
      <c r="AP28">
        <v>0</v>
      </c>
      <c r="AQ28">
        <v>1</v>
      </c>
      <c r="AR28">
        <v>43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1</v>
      </c>
      <c r="AZ28" t="s">
        <v>257</v>
      </c>
      <c r="BA28" t="s">
        <v>980</v>
      </c>
      <c r="BB28" t="s">
        <v>980</v>
      </c>
      <c r="BC28" t="s">
        <v>257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410000081</v>
      </c>
      <c r="BJ28" t="s">
        <v>1021</v>
      </c>
      <c r="BK28" t="s">
        <v>981</v>
      </c>
      <c r="BL28" t="s">
        <v>1208</v>
      </c>
      <c r="BM28">
        <v>20141002</v>
      </c>
      <c r="BN28">
        <v>20220131</v>
      </c>
      <c r="BO28">
        <v>20150324</v>
      </c>
      <c r="BP28" t="s">
        <v>257</v>
      </c>
      <c r="BQ28" t="s">
        <v>983</v>
      </c>
      <c r="BR28" t="s">
        <v>978</v>
      </c>
      <c r="BS28" t="s">
        <v>979</v>
      </c>
      <c r="BT28">
        <v>0</v>
      </c>
      <c r="BU28">
        <v>0</v>
      </c>
      <c r="BV28" t="s">
        <v>1013</v>
      </c>
      <c r="BW28" t="s">
        <v>257</v>
      </c>
      <c r="BX28">
        <v>0</v>
      </c>
      <c r="BY28" t="s">
        <v>980</v>
      </c>
      <c r="BZ28" t="s">
        <v>257</v>
      </c>
      <c r="CA28">
        <v>0</v>
      </c>
      <c r="CB28">
        <v>0</v>
      </c>
      <c r="CC28" t="s">
        <v>1014</v>
      </c>
      <c r="CD28">
        <v>0</v>
      </c>
      <c r="CE28">
        <v>0</v>
      </c>
      <c r="CF28">
        <v>0</v>
      </c>
      <c r="CG28">
        <v>0</v>
      </c>
      <c r="CH28">
        <v>0</v>
      </c>
      <c r="CI28" t="s">
        <v>983</v>
      </c>
      <c r="CJ28" t="s">
        <v>972</v>
      </c>
      <c r="CK28" t="s">
        <v>986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 t="s">
        <v>987</v>
      </c>
      <c r="CV28">
        <v>400008028</v>
      </c>
      <c r="CW28" t="s">
        <v>987</v>
      </c>
      <c r="CX28" t="s">
        <v>1081</v>
      </c>
      <c r="CY28" t="s">
        <v>989</v>
      </c>
    </row>
    <row r="29" spans="1:103" hidden="1" x14ac:dyDescent="0.25">
      <c r="A29">
        <v>410000029</v>
      </c>
      <c r="B29" t="s">
        <v>1213</v>
      </c>
      <c r="C29" t="s">
        <v>1214</v>
      </c>
      <c r="D29">
        <v>401100000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 t="s">
        <v>972</v>
      </c>
      <c r="Z29" t="s">
        <v>1215</v>
      </c>
      <c r="AA29" t="s">
        <v>1216</v>
      </c>
      <c r="AB29" t="s">
        <v>975</v>
      </c>
      <c r="AC29">
        <v>4608</v>
      </c>
      <c r="AD29" t="s">
        <v>1217</v>
      </c>
      <c r="AE29" t="s">
        <v>1218</v>
      </c>
      <c r="AF29" t="s">
        <v>1219</v>
      </c>
      <c r="AG29" t="s">
        <v>977</v>
      </c>
      <c r="AH29">
        <v>30</v>
      </c>
      <c r="AI29">
        <v>69202</v>
      </c>
      <c r="AJ29" t="s">
        <v>978</v>
      </c>
      <c r="AK29">
        <v>0</v>
      </c>
      <c r="AL29" t="s">
        <v>978</v>
      </c>
      <c r="AM29" t="s">
        <v>979</v>
      </c>
      <c r="AN29">
        <v>0</v>
      </c>
      <c r="AO29" t="s">
        <v>257</v>
      </c>
      <c r="AP29">
        <v>0</v>
      </c>
      <c r="AQ29">
        <v>1</v>
      </c>
      <c r="AR29">
        <v>43</v>
      </c>
      <c r="AS29">
        <v>1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1</v>
      </c>
      <c r="AZ29" t="s">
        <v>257</v>
      </c>
      <c r="BA29" t="s">
        <v>980</v>
      </c>
      <c r="BB29" t="s">
        <v>981</v>
      </c>
      <c r="BC29" t="s">
        <v>257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 t="s">
        <v>998</v>
      </c>
      <c r="BK29" t="s">
        <v>981</v>
      </c>
      <c r="BL29" t="s">
        <v>1213</v>
      </c>
      <c r="BM29">
        <v>20141002</v>
      </c>
      <c r="BN29">
        <v>20220131</v>
      </c>
      <c r="BO29">
        <v>0</v>
      </c>
      <c r="BP29" t="s">
        <v>257</v>
      </c>
      <c r="BQ29" t="s">
        <v>983</v>
      </c>
      <c r="BR29" t="s">
        <v>978</v>
      </c>
      <c r="BS29" t="s">
        <v>979</v>
      </c>
      <c r="BT29">
        <v>0</v>
      </c>
      <c r="BU29">
        <v>0</v>
      </c>
      <c r="BV29" t="s">
        <v>984</v>
      </c>
      <c r="BW29" t="s">
        <v>257</v>
      </c>
      <c r="BX29">
        <v>0</v>
      </c>
      <c r="BY29" t="s">
        <v>980</v>
      </c>
      <c r="BZ29" t="s">
        <v>257</v>
      </c>
      <c r="CA29">
        <v>0</v>
      </c>
      <c r="CB29">
        <v>0</v>
      </c>
      <c r="CC29" t="s">
        <v>1220</v>
      </c>
      <c r="CD29">
        <v>0</v>
      </c>
      <c r="CE29">
        <v>0</v>
      </c>
      <c r="CF29">
        <v>0</v>
      </c>
      <c r="CG29">
        <v>0</v>
      </c>
      <c r="CH29">
        <v>0</v>
      </c>
      <c r="CI29" t="s">
        <v>983</v>
      </c>
      <c r="CJ29" t="s">
        <v>972</v>
      </c>
      <c r="CK29" t="s">
        <v>986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 t="s">
        <v>987</v>
      </c>
      <c r="CV29">
        <v>400008029</v>
      </c>
      <c r="CW29" t="s">
        <v>987</v>
      </c>
      <c r="CX29" t="s">
        <v>1221</v>
      </c>
      <c r="CY29" t="s">
        <v>989</v>
      </c>
    </row>
    <row r="30" spans="1:103" hidden="1" x14ac:dyDescent="0.25">
      <c r="A30">
        <v>410000030</v>
      </c>
      <c r="B30" t="s">
        <v>1222</v>
      </c>
      <c r="C30" t="s">
        <v>1223</v>
      </c>
      <c r="D30">
        <v>401100000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 t="s">
        <v>972</v>
      </c>
      <c r="Z30" t="s">
        <v>987</v>
      </c>
      <c r="AA30" t="s">
        <v>1224</v>
      </c>
      <c r="AB30" t="s">
        <v>975</v>
      </c>
      <c r="AC30">
        <v>1210</v>
      </c>
      <c r="AD30" t="s">
        <v>1066</v>
      </c>
      <c r="AE30" t="s">
        <v>1225</v>
      </c>
      <c r="AF30" t="s">
        <v>1226</v>
      </c>
      <c r="AG30" t="s">
        <v>977</v>
      </c>
      <c r="AH30">
        <v>0</v>
      </c>
      <c r="AI30">
        <v>64910</v>
      </c>
      <c r="AJ30" t="s">
        <v>978</v>
      </c>
      <c r="AK30">
        <v>0</v>
      </c>
      <c r="AL30" t="s">
        <v>978</v>
      </c>
      <c r="AM30" t="s">
        <v>979</v>
      </c>
      <c r="AN30">
        <v>0</v>
      </c>
      <c r="AO30" t="s">
        <v>257</v>
      </c>
      <c r="AP30">
        <v>0</v>
      </c>
      <c r="AQ30">
        <v>1</v>
      </c>
      <c r="AR30">
        <v>43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1</v>
      </c>
      <c r="AZ30" t="s">
        <v>257</v>
      </c>
      <c r="BA30" t="s">
        <v>980</v>
      </c>
      <c r="BB30" t="s">
        <v>981</v>
      </c>
      <c r="BC30" t="s">
        <v>257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 t="s">
        <v>998</v>
      </c>
      <c r="BK30" t="s">
        <v>981</v>
      </c>
      <c r="BL30" t="s">
        <v>1222</v>
      </c>
      <c r="BM30">
        <v>20141002</v>
      </c>
      <c r="BN30">
        <v>20220131</v>
      </c>
      <c r="BO30">
        <v>0</v>
      </c>
      <c r="BP30" t="s">
        <v>257</v>
      </c>
      <c r="BQ30" t="s">
        <v>983</v>
      </c>
      <c r="BR30" t="s">
        <v>978</v>
      </c>
      <c r="BS30" t="s">
        <v>979</v>
      </c>
      <c r="BT30">
        <v>0</v>
      </c>
      <c r="BU30">
        <v>0</v>
      </c>
      <c r="BV30" t="s">
        <v>1013</v>
      </c>
      <c r="BW30" t="s">
        <v>257</v>
      </c>
      <c r="BX30">
        <v>0</v>
      </c>
      <c r="BY30" t="s">
        <v>980</v>
      </c>
      <c r="BZ30" t="s">
        <v>257</v>
      </c>
      <c r="CA30">
        <v>0</v>
      </c>
      <c r="CB30">
        <v>0</v>
      </c>
      <c r="CC30" t="s">
        <v>985</v>
      </c>
      <c r="CD30">
        <v>0</v>
      </c>
      <c r="CE30">
        <v>0</v>
      </c>
      <c r="CF30">
        <v>0</v>
      </c>
      <c r="CG30">
        <v>0</v>
      </c>
      <c r="CH30">
        <v>0</v>
      </c>
      <c r="CI30" t="s">
        <v>983</v>
      </c>
      <c r="CJ30" t="s">
        <v>972</v>
      </c>
      <c r="CK30" t="s">
        <v>986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 t="s">
        <v>987</v>
      </c>
      <c r="CV30">
        <v>400008030</v>
      </c>
      <c r="CW30" t="s">
        <v>987</v>
      </c>
      <c r="CX30" t="s">
        <v>1081</v>
      </c>
      <c r="CY30" t="s">
        <v>989</v>
      </c>
    </row>
    <row r="31" spans="1:103" hidden="1" x14ac:dyDescent="0.25">
      <c r="A31">
        <v>410000031</v>
      </c>
      <c r="B31" t="s">
        <v>1227</v>
      </c>
      <c r="C31" t="s">
        <v>1228</v>
      </c>
      <c r="D31">
        <v>401100000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 t="s">
        <v>1229</v>
      </c>
      <c r="Z31" t="s">
        <v>987</v>
      </c>
      <c r="AA31" t="s">
        <v>1230</v>
      </c>
      <c r="AB31" t="s">
        <v>975</v>
      </c>
      <c r="AC31">
        <v>4683</v>
      </c>
      <c r="AD31" t="s">
        <v>1037</v>
      </c>
      <c r="AE31" t="s">
        <v>1085</v>
      </c>
      <c r="AF31" t="s">
        <v>1231</v>
      </c>
      <c r="AG31" t="s">
        <v>977</v>
      </c>
      <c r="AH31">
        <v>10</v>
      </c>
      <c r="AI31">
        <v>47716</v>
      </c>
      <c r="AJ31" t="s">
        <v>1232</v>
      </c>
      <c r="AK31">
        <v>0</v>
      </c>
      <c r="AL31" t="s">
        <v>978</v>
      </c>
      <c r="AM31" t="s">
        <v>979</v>
      </c>
      <c r="AN31">
        <v>0</v>
      </c>
      <c r="AO31" t="s">
        <v>257</v>
      </c>
      <c r="AP31">
        <v>0</v>
      </c>
      <c r="AQ31">
        <v>1</v>
      </c>
      <c r="AR31">
        <v>43</v>
      </c>
      <c r="AS31">
        <v>1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  <c r="AZ31" t="s">
        <v>257</v>
      </c>
      <c r="BA31" t="s">
        <v>980</v>
      </c>
      <c r="BB31" t="s">
        <v>1010</v>
      </c>
      <c r="BC31" t="s">
        <v>257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 t="s">
        <v>998</v>
      </c>
      <c r="BK31" t="s">
        <v>981</v>
      </c>
      <c r="BL31" t="s">
        <v>1227</v>
      </c>
      <c r="BM31">
        <v>20141002</v>
      </c>
      <c r="BN31">
        <v>20220131</v>
      </c>
      <c r="BO31">
        <v>20150528</v>
      </c>
      <c r="BP31" t="s">
        <v>257</v>
      </c>
      <c r="BQ31" t="s">
        <v>983</v>
      </c>
      <c r="BR31" t="s">
        <v>978</v>
      </c>
      <c r="BS31" t="s">
        <v>979</v>
      </c>
      <c r="BT31">
        <v>0</v>
      </c>
      <c r="BU31">
        <v>0</v>
      </c>
      <c r="BV31" t="s">
        <v>1013</v>
      </c>
      <c r="BW31" t="s">
        <v>257</v>
      </c>
      <c r="BX31">
        <v>0</v>
      </c>
      <c r="BY31" t="s">
        <v>980</v>
      </c>
      <c r="BZ31" t="s">
        <v>257</v>
      </c>
      <c r="CA31">
        <v>0</v>
      </c>
      <c r="CB31">
        <v>0</v>
      </c>
      <c r="CC31" t="s">
        <v>1088</v>
      </c>
      <c r="CD31">
        <v>0</v>
      </c>
      <c r="CE31">
        <v>0</v>
      </c>
      <c r="CF31">
        <v>0</v>
      </c>
      <c r="CG31">
        <v>0</v>
      </c>
      <c r="CH31">
        <v>0</v>
      </c>
      <c r="CI31" t="s">
        <v>983</v>
      </c>
      <c r="CJ31" t="s">
        <v>972</v>
      </c>
      <c r="CK31" t="s">
        <v>986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 t="s">
        <v>987</v>
      </c>
      <c r="CV31">
        <v>400008031</v>
      </c>
      <c r="CW31" t="s">
        <v>987</v>
      </c>
      <c r="CX31" t="s">
        <v>1233</v>
      </c>
      <c r="CY31" t="s">
        <v>989</v>
      </c>
    </row>
    <row r="32" spans="1:103" hidden="1" x14ac:dyDescent="0.25">
      <c r="A32">
        <v>410000032</v>
      </c>
      <c r="B32" t="s">
        <v>1234</v>
      </c>
      <c r="C32" t="s">
        <v>1235</v>
      </c>
      <c r="D32">
        <v>401100000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 t="s">
        <v>1091</v>
      </c>
      <c r="Z32" t="s">
        <v>987</v>
      </c>
      <c r="AA32" t="s">
        <v>1236</v>
      </c>
      <c r="AB32" t="s">
        <v>975</v>
      </c>
      <c r="AC32">
        <v>4400</v>
      </c>
      <c r="AD32" t="s">
        <v>1237</v>
      </c>
      <c r="AE32" t="s">
        <v>1238</v>
      </c>
      <c r="AF32" t="s">
        <v>1239</v>
      </c>
      <c r="AG32" t="s">
        <v>977</v>
      </c>
      <c r="AH32">
        <v>40</v>
      </c>
      <c r="AI32">
        <v>32500</v>
      </c>
      <c r="AJ32" t="s">
        <v>978</v>
      </c>
      <c r="AK32">
        <v>0</v>
      </c>
      <c r="AL32" t="s">
        <v>978</v>
      </c>
      <c r="AM32" t="s">
        <v>979</v>
      </c>
      <c r="AN32">
        <v>0</v>
      </c>
      <c r="AO32" t="s">
        <v>257</v>
      </c>
      <c r="AP32">
        <v>0</v>
      </c>
      <c r="AQ32">
        <v>1</v>
      </c>
      <c r="AR32">
        <v>43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1</v>
      </c>
      <c r="AZ32" t="s">
        <v>257</v>
      </c>
      <c r="BA32" t="s">
        <v>980</v>
      </c>
      <c r="BB32" t="s">
        <v>981</v>
      </c>
      <c r="BC32" t="s">
        <v>257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 t="s">
        <v>998</v>
      </c>
      <c r="BK32" t="s">
        <v>981</v>
      </c>
      <c r="BL32" t="s">
        <v>1234</v>
      </c>
      <c r="BM32">
        <v>20141002</v>
      </c>
      <c r="BN32">
        <v>20220131</v>
      </c>
      <c r="BO32">
        <v>0</v>
      </c>
      <c r="BP32" t="s">
        <v>257</v>
      </c>
      <c r="BQ32" t="s">
        <v>983</v>
      </c>
      <c r="BR32" t="s">
        <v>978</v>
      </c>
      <c r="BS32" t="s">
        <v>1240</v>
      </c>
      <c r="BT32">
        <v>0</v>
      </c>
      <c r="BU32">
        <v>0</v>
      </c>
      <c r="BV32" t="s">
        <v>1013</v>
      </c>
      <c r="BW32" t="s">
        <v>257</v>
      </c>
      <c r="BX32">
        <v>0</v>
      </c>
      <c r="BY32" t="s">
        <v>980</v>
      </c>
      <c r="BZ32" t="s">
        <v>257</v>
      </c>
      <c r="CA32">
        <v>0</v>
      </c>
      <c r="CB32">
        <v>0</v>
      </c>
      <c r="CC32" t="s">
        <v>1220</v>
      </c>
      <c r="CD32">
        <v>0</v>
      </c>
      <c r="CE32">
        <v>0</v>
      </c>
      <c r="CF32">
        <v>0</v>
      </c>
      <c r="CG32">
        <v>0</v>
      </c>
      <c r="CH32">
        <v>0</v>
      </c>
      <c r="CI32" t="s">
        <v>983</v>
      </c>
      <c r="CJ32" t="s">
        <v>972</v>
      </c>
      <c r="CK32" t="s">
        <v>986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 t="s">
        <v>987</v>
      </c>
      <c r="CV32">
        <v>400008032</v>
      </c>
      <c r="CW32" t="s">
        <v>987</v>
      </c>
      <c r="CX32" t="s">
        <v>1081</v>
      </c>
      <c r="CY32" t="s">
        <v>989</v>
      </c>
    </row>
    <row r="33" spans="1:103" hidden="1" x14ac:dyDescent="0.25">
      <c r="A33">
        <v>410000033</v>
      </c>
      <c r="B33" t="s">
        <v>1241</v>
      </c>
      <c r="C33" t="s">
        <v>1242</v>
      </c>
      <c r="D33">
        <v>401100000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 t="s">
        <v>972</v>
      </c>
      <c r="Z33" t="s">
        <v>1243</v>
      </c>
      <c r="AA33" t="s">
        <v>1244</v>
      </c>
      <c r="AB33" t="s">
        <v>975</v>
      </c>
      <c r="AC33">
        <v>5030</v>
      </c>
      <c r="AD33" t="s">
        <v>1245</v>
      </c>
      <c r="AE33" t="s">
        <v>1246</v>
      </c>
      <c r="AF33" t="s">
        <v>1247</v>
      </c>
      <c r="AG33" t="s">
        <v>977</v>
      </c>
      <c r="AH33">
        <v>16</v>
      </c>
      <c r="AI33">
        <v>46460</v>
      </c>
      <c r="AJ33" t="s">
        <v>1248</v>
      </c>
      <c r="AK33" t="s">
        <v>1249</v>
      </c>
      <c r="AL33" t="s">
        <v>978</v>
      </c>
      <c r="AM33" t="s">
        <v>979</v>
      </c>
      <c r="AN33">
        <v>0</v>
      </c>
      <c r="AO33" t="s">
        <v>257</v>
      </c>
      <c r="AP33">
        <v>0</v>
      </c>
      <c r="AQ33">
        <v>1</v>
      </c>
      <c r="AR33">
        <v>43</v>
      </c>
      <c r="AS33">
        <v>1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1</v>
      </c>
      <c r="AZ33" t="s">
        <v>257</v>
      </c>
      <c r="BA33" t="s">
        <v>257</v>
      </c>
      <c r="BB33" t="s">
        <v>981</v>
      </c>
      <c r="BC33" t="s">
        <v>257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 t="s">
        <v>998</v>
      </c>
      <c r="BK33" t="s">
        <v>981</v>
      </c>
      <c r="BL33" t="s">
        <v>1241</v>
      </c>
      <c r="BM33">
        <v>20141002</v>
      </c>
      <c r="BN33">
        <v>20220131</v>
      </c>
      <c r="BO33">
        <v>0</v>
      </c>
      <c r="BP33" t="s">
        <v>257</v>
      </c>
      <c r="BQ33" t="s">
        <v>983</v>
      </c>
      <c r="BR33" t="s">
        <v>978</v>
      </c>
      <c r="BS33" t="s">
        <v>979</v>
      </c>
      <c r="BT33">
        <v>0</v>
      </c>
      <c r="BU33">
        <v>0</v>
      </c>
      <c r="BV33" t="s">
        <v>984</v>
      </c>
      <c r="BW33" t="s">
        <v>257</v>
      </c>
      <c r="BX33">
        <v>0</v>
      </c>
      <c r="BY33" t="s">
        <v>980</v>
      </c>
      <c r="BZ33" t="s">
        <v>257</v>
      </c>
      <c r="CA33">
        <v>0</v>
      </c>
      <c r="CB33">
        <v>0</v>
      </c>
      <c r="CC33" t="s">
        <v>1250</v>
      </c>
      <c r="CD33">
        <v>0</v>
      </c>
      <c r="CE33">
        <v>0</v>
      </c>
      <c r="CF33">
        <v>0</v>
      </c>
      <c r="CG33">
        <v>0</v>
      </c>
      <c r="CH33">
        <v>0</v>
      </c>
      <c r="CI33" t="s">
        <v>983</v>
      </c>
      <c r="CJ33" t="s">
        <v>972</v>
      </c>
      <c r="CK33" t="s">
        <v>986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 t="s">
        <v>987</v>
      </c>
      <c r="CV33">
        <v>400008033</v>
      </c>
      <c r="CW33" t="s">
        <v>987</v>
      </c>
      <c r="CX33" t="s">
        <v>1251</v>
      </c>
      <c r="CY33" t="s">
        <v>989</v>
      </c>
    </row>
    <row r="34" spans="1:103" hidden="1" x14ac:dyDescent="0.25">
      <c r="A34">
        <v>410000034</v>
      </c>
      <c r="B34" t="s">
        <v>1252</v>
      </c>
      <c r="C34" t="s">
        <v>1253</v>
      </c>
      <c r="D34">
        <v>401100000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 t="s">
        <v>972</v>
      </c>
      <c r="Z34" t="s">
        <v>987</v>
      </c>
      <c r="AA34" t="s">
        <v>1254</v>
      </c>
      <c r="AB34" t="s">
        <v>975</v>
      </c>
      <c r="AC34">
        <v>4040</v>
      </c>
      <c r="AD34" t="s">
        <v>976</v>
      </c>
      <c r="AE34" t="s">
        <v>1255</v>
      </c>
      <c r="AF34" t="s">
        <v>1256</v>
      </c>
      <c r="AG34" t="s">
        <v>977</v>
      </c>
      <c r="AH34">
        <v>0</v>
      </c>
      <c r="AI34">
        <v>47410</v>
      </c>
      <c r="AJ34" t="s">
        <v>978</v>
      </c>
      <c r="AK34">
        <v>0</v>
      </c>
      <c r="AL34" t="s">
        <v>978</v>
      </c>
      <c r="AM34" t="s">
        <v>979</v>
      </c>
      <c r="AN34">
        <v>0</v>
      </c>
      <c r="AO34" t="s">
        <v>257</v>
      </c>
      <c r="AP34">
        <v>0</v>
      </c>
      <c r="AQ34">
        <v>1</v>
      </c>
      <c r="AR34">
        <v>43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1</v>
      </c>
      <c r="AZ34" t="s">
        <v>257</v>
      </c>
      <c r="BA34" t="s">
        <v>980</v>
      </c>
      <c r="BB34" t="s">
        <v>981</v>
      </c>
      <c r="BC34" t="s">
        <v>257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 t="s">
        <v>998</v>
      </c>
      <c r="BK34" t="s">
        <v>981</v>
      </c>
      <c r="BL34" t="s">
        <v>1252</v>
      </c>
      <c r="BM34">
        <v>20141002</v>
      </c>
      <c r="BN34">
        <v>20220131</v>
      </c>
      <c r="BO34">
        <v>0</v>
      </c>
      <c r="BP34" t="s">
        <v>257</v>
      </c>
      <c r="BQ34" t="s">
        <v>983</v>
      </c>
      <c r="BR34" t="s">
        <v>978</v>
      </c>
      <c r="BS34" t="s">
        <v>979</v>
      </c>
      <c r="BT34">
        <v>0</v>
      </c>
      <c r="BU34">
        <v>0</v>
      </c>
      <c r="BV34" t="s">
        <v>1013</v>
      </c>
      <c r="BW34" t="s">
        <v>257</v>
      </c>
      <c r="BX34">
        <v>0</v>
      </c>
      <c r="BY34" t="s">
        <v>980</v>
      </c>
      <c r="BZ34" t="s">
        <v>257</v>
      </c>
      <c r="CA34">
        <v>0</v>
      </c>
      <c r="CB34">
        <v>0</v>
      </c>
      <c r="CC34" t="s">
        <v>985</v>
      </c>
      <c r="CD34">
        <v>0</v>
      </c>
      <c r="CE34">
        <v>0</v>
      </c>
      <c r="CF34">
        <v>0</v>
      </c>
      <c r="CG34">
        <v>0</v>
      </c>
      <c r="CH34">
        <v>0</v>
      </c>
      <c r="CI34" t="s">
        <v>983</v>
      </c>
      <c r="CJ34" t="s">
        <v>972</v>
      </c>
      <c r="CK34" t="s">
        <v>986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 t="s">
        <v>987</v>
      </c>
      <c r="CV34">
        <v>400008034</v>
      </c>
      <c r="CW34" t="s">
        <v>987</v>
      </c>
      <c r="CX34" t="s">
        <v>1257</v>
      </c>
      <c r="CY34" t="s">
        <v>989</v>
      </c>
    </row>
    <row r="35" spans="1:103" hidden="1" x14ac:dyDescent="0.25">
      <c r="A35">
        <v>410000035</v>
      </c>
      <c r="B35" t="s">
        <v>1258</v>
      </c>
      <c r="C35" t="s">
        <v>1259</v>
      </c>
      <c r="D35">
        <v>401100000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 t="s">
        <v>972</v>
      </c>
      <c r="Z35" t="s">
        <v>987</v>
      </c>
      <c r="AA35" t="s">
        <v>1260</v>
      </c>
      <c r="AB35" t="s">
        <v>975</v>
      </c>
      <c r="AC35">
        <v>4052</v>
      </c>
      <c r="AD35" t="s">
        <v>1261</v>
      </c>
      <c r="AE35" t="s">
        <v>1262</v>
      </c>
      <c r="AF35" t="s">
        <v>1263</v>
      </c>
      <c r="AG35" t="s">
        <v>977</v>
      </c>
      <c r="AH35">
        <v>50</v>
      </c>
      <c r="AI35">
        <v>69202</v>
      </c>
      <c r="AJ35" t="s">
        <v>978</v>
      </c>
      <c r="AK35">
        <v>0</v>
      </c>
      <c r="AL35" t="s">
        <v>978</v>
      </c>
      <c r="AM35" t="s">
        <v>979</v>
      </c>
      <c r="AN35">
        <v>0</v>
      </c>
      <c r="AO35" t="s">
        <v>257</v>
      </c>
      <c r="AP35">
        <v>0</v>
      </c>
      <c r="AQ35">
        <v>1</v>
      </c>
      <c r="AR35">
        <v>43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 t="s">
        <v>257</v>
      </c>
      <c r="BA35" t="s">
        <v>980</v>
      </c>
      <c r="BB35" t="s">
        <v>981</v>
      </c>
      <c r="BC35" t="s">
        <v>257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 t="s">
        <v>998</v>
      </c>
      <c r="BK35" t="s">
        <v>981</v>
      </c>
      <c r="BL35" t="s">
        <v>1258</v>
      </c>
      <c r="BM35">
        <v>20141002</v>
      </c>
      <c r="BN35">
        <v>20220131</v>
      </c>
      <c r="BO35">
        <v>0</v>
      </c>
      <c r="BP35" t="s">
        <v>257</v>
      </c>
      <c r="BQ35" t="s">
        <v>983</v>
      </c>
      <c r="BR35" t="s">
        <v>978</v>
      </c>
      <c r="BS35" t="s">
        <v>1264</v>
      </c>
      <c r="BT35">
        <v>0</v>
      </c>
      <c r="BU35">
        <v>0</v>
      </c>
      <c r="BV35" t="s">
        <v>984</v>
      </c>
      <c r="BW35" t="s">
        <v>257</v>
      </c>
      <c r="BX35">
        <v>0</v>
      </c>
      <c r="BY35" t="s">
        <v>980</v>
      </c>
      <c r="BZ35" t="s">
        <v>980</v>
      </c>
      <c r="CA35">
        <v>0</v>
      </c>
      <c r="CB35">
        <v>0</v>
      </c>
      <c r="CC35" t="s">
        <v>1161</v>
      </c>
      <c r="CD35">
        <v>0</v>
      </c>
      <c r="CE35">
        <v>0</v>
      </c>
      <c r="CF35">
        <v>0</v>
      </c>
      <c r="CG35">
        <v>0</v>
      </c>
      <c r="CH35">
        <v>0</v>
      </c>
      <c r="CI35" t="s">
        <v>983</v>
      </c>
      <c r="CJ35" t="s">
        <v>972</v>
      </c>
      <c r="CK35" t="s">
        <v>986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 t="s">
        <v>987</v>
      </c>
      <c r="CV35">
        <v>400008035</v>
      </c>
      <c r="CW35" t="s">
        <v>987</v>
      </c>
      <c r="CX35" t="s">
        <v>1265</v>
      </c>
      <c r="CY35" t="s">
        <v>989</v>
      </c>
    </row>
    <row r="36" spans="1:103" hidden="1" x14ac:dyDescent="0.25">
      <c r="A36">
        <v>410000036</v>
      </c>
      <c r="B36" t="s">
        <v>1266</v>
      </c>
      <c r="C36" t="s">
        <v>1267</v>
      </c>
      <c r="D36">
        <v>401100000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 t="s">
        <v>972</v>
      </c>
      <c r="Z36" t="s">
        <v>4723</v>
      </c>
      <c r="AA36" t="s">
        <v>1268</v>
      </c>
      <c r="AB36" t="s">
        <v>975</v>
      </c>
      <c r="AC36">
        <v>4460</v>
      </c>
      <c r="AD36" t="s">
        <v>1269</v>
      </c>
      <c r="AE36" t="s">
        <v>1270</v>
      </c>
      <c r="AF36" t="s">
        <v>979</v>
      </c>
      <c r="AG36" t="s">
        <v>977</v>
      </c>
      <c r="AH36">
        <v>30</v>
      </c>
      <c r="AI36">
        <v>49410</v>
      </c>
      <c r="AJ36" t="s">
        <v>1271</v>
      </c>
      <c r="AK36">
        <v>0</v>
      </c>
      <c r="AL36" t="s">
        <v>978</v>
      </c>
      <c r="AM36" t="s">
        <v>979</v>
      </c>
      <c r="AN36">
        <v>0</v>
      </c>
      <c r="AO36" t="s">
        <v>257</v>
      </c>
      <c r="AP36">
        <v>30</v>
      </c>
      <c r="AQ36">
        <v>1</v>
      </c>
      <c r="AR36">
        <v>43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1</v>
      </c>
      <c r="AZ36" t="s">
        <v>257</v>
      </c>
      <c r="BA36" t="s">
        <v>980</v>
      </c>
      <c r="BB36" t="s">
        <v>981</v>
      </c>
      <c r="BC36" t="s">
        <v>257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 t="s">
        <v>998</v>
      </c>
      <c r="BK36" t="s">
        <v>981</v>
      </c>
      <c r="BL36" t="s">
        <v>1266</v>
      </c>
      <c r="BM36">
        <v>20141002</v>
      </c>
      <c r="BN36">
        <v>20250207</v>
      </c>
      <c r="BO36">
        <v>0</v>
      </c>
      <c r="BP36" t="s">
        <v>257</v>
      </c>
      <c r="BQ36" t="s">
        <v>983</v>
      </c>
      <c r="BR36" t="s">
        <v>978</v>
      </c>
      <c r="BS36">
        <v>32495</v>
      </c>
      <c r="BT36">
        <v>0</v>
      </c>
      <c r="BU36">
        <v>0</v>
      </c>
      <c r="BV36" t="s">
        <v>984</v>
      </c>
      <c r="BW36" t="s">
        <v>257</v>
      </c>
      <c r="BX36">
        <v>0</v>
      </c>
      <c r="BY36" t="s">
        <v>980</v>
      </c>
      <c r="BZ36" t="s">
        <v>980</v>
      </c>
      <c r="CA36">
        <v>0</v>
      </c>
      <c r="CB36">
        <v>0</v>
      </c>
      <c r="CC36" t="s">
        <v>1080</v>
      </c>
      <c r="CD36">
        <v>0</v>
      </c>
      <c r="CE36">
        <v>0</v>
      </c>
      <c r="CF36">
        <v>0</v>
      </c>
      <c r="CG36">
        <v>0</v>
      </c>
      <c r="CH36">
        <v>0</v>
      </c>
      <c r="CI36" t="s">
        <v>983</v>
      </c>
      <c r="CJ36" t="s">
        <v>972</v>
      </c>
      <c r="CK36" t="s">
        <v>986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 t="s">
        <v>987</v>
      </c>
      <c r="CV36">
        <v>400008036</v>
      </c>
      <c r="CW36" t="s">
        <v>987</v>
      </c>
      <c r="CX36" t="s">
        <v>1272</v>
      </c>
      <c r="CY36" t="s">
        <v>989</v>
      </c>
    </row>
    <row r="37" spans="1:103" hidden="1" x14ac:dyDescent="0.25">
      <c r="A37">
        <v>410000037</v>
      </c>
      <c r="B37" t="s">
        <v>1273</v>
      </c>
      <c r="C37" t="s">
        <v>1274</v>
      </c>
      <c r="D37">
        <v>401100000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 t="s">
        <v>972</v>
      </c>
      <c r="Z37" t="s">
        <v>987</v>
      </c>
      <c r="AA37" t="s">
        <v>1275</v>
      </c>
      <c r="AB37" t="s">
        <v>975</v>
      </c>
      <c r="AC37">
        <v>4000</v>
      </c>
      <c r="AD37" t="s">
        <v>1019</v>
      </c>
      <c r="AE37" t="s">
        <v>1276</v>
      </c>
      <c r="AF37" t="s">
        <v>1277</v>
      </c>
      <c r="AG37" t="s">
        <v>977</v>
      </c>
      <c r="AH37">
        <v>20</v>
      </c>
      <c r="AI37">
        <v>10712</v>
      </c>
      <c r="AJ37" t="s">
        <v>978</v>
      </c>
      <c r="AK37">
        <v>0</v>
      </c>
      <c r="AL37" t="s">
        <v>978</v>
      </c>
      <c r="AM37" t="s">
        <v>979</v>
      </c>
      <c r="AN37">
        <v>0</v>
      </c>
      <c r="AO37" t="s">
        <v>257</v>
      </c>
      <c r="AP37">
        <v>0</v>
      </c>
      <c r="AQ37">
        <v>1</v>
      </c>
      <c r="AR37">
        <v>43</v>
      </c>
      <c r="AS37">
        <v>1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1</v>
      </c>
      <c r="AZ37" t="s">
        <v>257</v>
      </c>
      <c r="BA37" t="s">
        <v>980</v>
      </c>
      <c r="BB37" t="s">
        <v>1010</v>
      </c>
      <c r="BC37" t="s">
        <v>257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 t="s">
        <v>998</v>
      </c>
      <c r="BK37" t="s">
        <v>981</v>
      </c>
      <c r="BL37" t="s">
        <v>1273</v>
      </c>
      <c r="BM37">
        <v>20141002</v>
      </c>
      <c r="BN37">
        <v>20220131</v>
      </c>
      <c r="BO37">
        <v>20180914</v>
      </c>
      <c r="BP37" t="s">
        <v>257</v>
      </c>
      <c r="BQ37" t="s">
        <v>983</v>
      </c>
      <c r="BR37" t="s">
        <v>978</v>
      </c>
      <c r="BS37" t="s">
        <v>1278</v>
      </c>
      <c r="BT37">
        <v>0</v>
      </c>
      <c r="BU37">
        <v>0</v>
      </c>
      <c r="BV37" t="s">
        <v>1013</v>
      </c>
      <c r="BW37" t="s">
        <v>257</v>
      </c>
      <c r="BX37">
        <v>0</v>
      </c>
      <c r="BY37" t="s">
        <v>980</v>
      </c>
      <c r="BZ37" t="s">
        <v>257</v>
      </c>
      <c r="CA37">
        <v>0</v>
      </c>
      <c r="CB37">
        <v>0</v>
      </c>
      <c r="CC37" t="s">
        <v>1119</v>
      </c>
      <c r="CD37">
        <v>0</v>
      </c>
      <c r="CE37">
        <v>0</v>
      </c>
      <c r="CF37">
        <v>0</v>
      </c>
      <c r="CG37">
        <v>0</v>
      </c>
      <c r="CH37">
        <v>0</v>
      </c>
      <c r="CI37" t="s">
        <v>983</v>
      </c>
      <c r="CJ37" t="s">
        <v>972</v>
      </c>
      <c r="CK37" t="s">
        <v>986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 t="s">
        <v>987</v>
      </c>
      <c r="CV37">
        <v>400008037</v>
      </c>
      <c r="CW37" t="s">
        <v>987</v>
      </c>
      <c r="CX37" t="s">
        <v>1279</v>
      </c>
      <c r="CY37" t="s">
        <v>989</v>
      </c>
    </row>
    <row r="38" spans="1:103" hidden="1" x14ac:dyDescent="0.25">
      <c r="A38">
        <v>410000038</v>
      </c>
      <c r="B38" t="s">
        <v>1280</v>
      </c>
      <c r="C38" t="s">
        <v>1281</v>
      </c>
      <c r="D38">
        <v>401100000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 t="s">
        <v>972</v>
      </c>
      <c r="Z38" t="s">
        <v>987</v>
      </c>
      <c r="AA38" t="s">
        <v>1282</v>
      </c>
      <c r="AB38" t="s">
        <v>975</v>
      </c>
      <c r="AC38">
        <v>4031</v>
      </c>
      <c r="AD38" t="s">
        <v>1283</v>
      </c>
      <c r="AE38" t="s">
        <v>1284</v>
      </c>
      <c r="AF38" t="s">
        <v>1284</v>
      </c>
      <c r="AG38" t="s">
        <v>977</v>
      </c>
      <c r="AH38">
        <v>0</v>
      </c>
      <c r="AI38">
        <v>62090</v>
      </c>
      <c r="AJ38" t="s">
        <v>978</v>
      </c>
      <c r="AK38">
        <v>0</v>
      </c>
      <c r="AL38" t="s">
        <v>978</v>
      </c>
      <c r="AM38" t="s">
        <v>979</v>
      </c>
      <c r="AN38">
        <v>0</v>
      </c>
      <c r="AO38" t="s">
        <v>257</v>
      </c>
      <c r="AP38">
        <v>0</v>
      </c>
      <c r="AQ38">
        <v>20</v>
      </c>
      <c r="AR38">
        <v>43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1</v>
      </c>
      <c r="AZ38" t="s">
        <v>257</v>
      </c>
      <c r="BA38" t="s">
        <v>980</v>
      </c>
      <c r="BB38" t="s">
        <v>981</v>
      </c>
      <c r="BC38" t="s">
        <v>257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 t="s">
        <v>1285</v>
      </c>
      <c r="BK38" t="s">
        <v>981</v>
      </c>
      <c r="BL38" t="s">
        <v>1280</v>
      </c>
      <c r="BM38">
        <v>20141002</v>
      </c>
      <c r="BN38">
        <v>20231030</v>
      </c>
      <c r="BO38">
        <v>0</v>
      </c>
      <c r="BP38" t="s">
        <v>257</v>
      </c>
      <c r="BQ38" t="s">
        <v>983</v>
      </c>
      <c r="BR38" t="s">
        <v>978</v>
      </c>
      <c r="BS38" t="s">
        <v>979</v>
      </c>
      <c r="BT38">
        <v>0</v>
      </c>
      <c r="BU38">
        <v>0</v>
      </c>
      <c r="BV38" t="s">
        <v>984</v>
      </c>
      <c r="BW38" t="s">
        <v>257</v>
      </c>
      <c r="BX38">
        <v>0</v>
      </c>
      <c r="BY38" t="s">
        <v>980</v>
      </c>
      <c r="BZ38" t="s">
        <v>257</v>
      </c>
      <c r="CA38">
        <v>0</v>
      </c>
      <c r="CB38">
        <v>0</v>
      </c>
      <c r="CC38" t="s">
        <v>1286</v>
      </c>
      <c r="CD38">
        <v>0</v>
      </c>
      <c r="CE38">
        <v>0</v>
      </c>
      <c r="CF38">
        <v>0</v>
      </c>
      <c r="CG38">
        <v>0</v>
      </c>
      <c r="CH38">
        <v>0</v>
      </c>
      <c r="CI38" t="s">
        <v>983</v>
      </c>
      <c r="CJ38" t="s">
        <v>972</v>
      </c>
      <c r="CK38" t="s">
        <v>986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 t="s">
        <v>987</v>
      </c>
      <c r="CV38">
        <v>400008038</v>
      </c>
      <c r="CW38" t="s">
        <v>987</v>
      </c>
      <c r="CX38" t="s">
        <v>1287</v>
      </c>
      <c r="CY38" t="s">
        <v>989</v>
      </c>
    </row>
    <row r="39" spans="1:103" hidden="1" x14ac:dyDescent="0.25">
      <c r="A39">
        <v>410000039</v>
      </c>
      <c r="B39" t="s">
        <v>1288</v>
      </c>
      <c r="C39" t="s">
        <v>1289</v>
      </c>
      <c r="D39">
        <v>401100000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 t="s">
        <v>972</v>
      </c>
      <c r="Z39" t="s">
        <v>1290</v>
      </c>
      <c r="AA39" t="s">
        <v>1291</v>
      </c>
      <c r="AB39" t="s">
        <v>975</v>
      </c>
      <c r="AC39">
        <v>5031</v>
      </c>
      <c r="AD39" t="s">
        <v>1292</v>
      </c>
      <c r="AE39" t="s">
        <v>1293</v>
      </c>
      <c r="AF39" t="s">
        <v>979</v>
      </c>
      <c r="AG39" t="s">
        <v>977</v>
      </c>
      <c r="AH39">
        <v>0</v>
      </c>
      <c r="AI39">
        <v>46421</v>
      </c>
      <c r="AJ39" t="s">
        <v>1294</v>
      </c>
      <c r="AK39">
        <v>0</v>
      </c>
      <c r="AL39" t="s">
        <v>978</v>
      </c>
      <c r="AM39" t="s">
        <v>979</v>
      </c>
      <c r="AN39">
        <v>0</v>
      </c>
      <c r="AO39" t="s">
        <v>257</v>
      </c>
      <c r="AP39">
        <v>0</v>
      </c>
      <c r="AQ39">
        <v>1</v>
      </c>
      <c r="AR39">
        <v>43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1</v>
      </c>
      <c r="AZ39" t="s">
        <v>257</v>
      </c>
      <c r="BA39" t="s">
        <v>980</v>
      </c>
      <c r="BB39" t="s">
        <v>981</v>
      </c>
      <c r="BC39" t="s">
        <v>257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 t="s">
        <v>998</v>
      </c>
      <c r="BK39" t="s">
        <v>981</v>
      </c>
      <c r="BL39" t="s">
        <v>1288</v>
      </c>
      <c r="BM39">
        <v>20141002</v>
      </c>
      <c r="BN39">
        <v>20220131</v>
      </c>
      <c r="BO39">
        <v>0</v>
      </c>
      <c r="BP39" t="s">
        <v>257</v>
      </c>
      <c r="BQ39" t="s">
        <v>983</v>
      </c>
      <c r="BR39" t="s">
        <v>978</v>
      </c>
      <c r="BS39" t="s">
        <v>1295</v>
      </c>
      <c r="BT39">
        <v>0</v>
      </c>
      <c r="BU39">
        <v>0</v>
      </c>
      <c r="BV39" t="s">
        <v>1013</v>
      </c>
      <c r="BW39" t="s">
        <v>257</v>
      </c>
      <c r="BX39">
        <v>0</v>
      </c>
      <c r="BY39" t="s">
        <v>980</v>
      </c>
      <c r="BZ39" t="s">
        <v>257</v>
      </c>
      <c r="CA39">
        <v>0</v>
      </c>
      <c r="CB39">
        <v>0</v>
      </c>
      <c r="CC39" t="s">
        <v>1296</v>
      </c>
      <c r="CD39">
        <v>0</v>
      </c>
      <c r="CE39">
        <v>0</v>
      </c>
      <c r="CF39">
        <v>0</v>
      </c>
      <c r="CG39">
        <v>0</v>
      </c>
      <c r="CH39">
        <v>0</v>
      </c>
      <c r="CI39" t="s">
        <v>983</v>
      </c>
      <c r="CJ39" t="s">
        <v>972</v>
      </c>
      <c r="CK39" t="s">
        <v>986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 t="s">
        <v>987</v>
      </c>
      <c r="CV39">
        <v>400008039</v>
      </c>
      <c r="CW39" t="s">
        <v>987</v>
      </c>
      <c r="CX39" t="s">
        <v>1297</v>
      </c>
      <c r="CY39" t="s">
        <v>989</v>
      </c>
    </row>
    <row r="40" spans="1:103" hidden="1" x14ac:dyDescent="0.25">
      <c r="A40">
        <v>410000040</v>
      </c>
      <c r="B40" t="s">
        <v>1011</v>
      </c>
      <c r="C40" t="s">
        <v>1003</v>
      </c>
      <c r="D40">
        <v>401100000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 t="s">
        <v>972</v>
      </c>
      <c r="Z40" t="s">
        <v>1298</v>
      </c>
      <c r="AA40" t="s">
        <v>1005</v>
      </c>
      <c r="AB40" t="s">
        <v>975</v>
      </c>
      <c r="AC40">
        <v>1150</v>
      </c>
      <c r="AD40" t="s">
        <v>1006</v>
      </c>
      <c r="AE40" t="s">
        <v>1299</v>
      </c>
      <c r="AF40" t="s">
        <v>1300</v>
      </c>
      <c r="AG40" t="s">
        <v>977</v>
      </c>
      <c r="AH40">
        <v>40</v>
      </c>
      <c r="AI40">
        <v>69201</v>
      </c>
      <c r="AJ40" t="s">
        <v>1301</v>
      </c>
      <c r="AK40" t="s">
        <v>1302</v>
      </c>
      <c r="AL40" t="s">
        <v>1303</v>
      </c>
      <c r="AM40" t="s">
        <v>979</v>
      </c>
      <c r="AN40">
        <v>0</v>
      </c>
      <c r="AO40" t="s">
        <v>257</v>
      </c>
      <c r="AP40">
        <v>0</v>
      </c>
      <c r="AQ40">
        <v>1</v>
      </c>
      <c r="AR40">
        <v>43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1</v>
      </c>
      <c r="AZ40" t="s">
        <v>257</v>
      </c>
      <c r="BA40" t="s">
        <v>980</v>
      </c>
      <c r="BB40" t="s">
        <v>981</v>
      </c>
      <c r="BC40" t="s">
        <v>257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 t="s">
        <v>998</v>
      </c>
      <c r="BK40" t="s">
        <v>981</v>
      </c>
      <c r="BL40" t="s">
        <v>1011</v>
      </c>
      <c r="BM40">
        <v>20141002</v>
      </c>
      <c r="BN40">
        <v>20250922</v>
      </c>
      <c r="BO40">
        <v>0</v>
      </c>
      <c r="BP40" t="s">
        <v>257</v>
      </c>
      <c r="BQ40" t="s">
        <v>983</v>
      </c>
      <c r="BR40" t="s">
        <v>978</v>
      </c>
      <c r="BS40" t="s">
        <v>1012</v>
      </c>
      <c r="BT40">
        <v>0</v>
      </c>
      <c r="BU40">
        <v>0</v>
      </c>
      <c r="BV40" t="s">
        <v>984</v>
      </c>
      <c r="BW40" t="s">
        <v>257</v>
      </c>
      <c r="BX40">
        <v>0</v>
      </c>
      <c r="BY40" t="s">
        <v>980</v>
      </c>
      <c r="BZ40" t="s">
        <v>257</v>
      </c>
      <c r="CA40">
        <v>0</v>
      </c>
      <c r="CB40">
        <v>0</v>
      </c>
      <c r="CC40" t="s">
        <v>1304</v>
      </c>
      <c r="CD40">
        <v>0</v>
      </c>
      <c r="CE40">
        <v>0</v>
      </c>
      <c r="CF40">
        <v>0</v>
      </c>
      <c r="CG40">
        <v>0</v>
      </c>
      <c r="CH40">
        <v>0</v>
      </c>
      <c r="CI40" t="s">
        <v>983</v>
      </c>
      <c r="CJ40" t="s">
        <v>972</v>
      </c>
      <c r="CK40" t="s">
        <v>986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 t="s">
        <v>987</v>
      </c>
      <c r="CV40">
        <v>400008040</v>
      </c>
      <c r="CW40" t="s">
        <v>987</v>
      </c>
      <c r="CX40" t="s">
        <v>7317</v>
      </c>
      <c r="CY40" t="s">
        <v>989</v>
      </c>
    </row>
    <row r="41" spans="1:103" hidden="1" x14ac:dyDescent="0.25">
      <c r="A41">
        <v>410000041</v>
      </c>
      <c r="B41" t="s">
        <v>1305</v>
      </c>
      <c r="C41" t="s">
        <v>978</v>
      </c>
      <c r="D41">
        <v>401100000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 t="s">
        <v>972</v>
      </c>
      <c r="Z41" t="s">
        <v>987</v>
      </c>
      <c r="AA41" t="s">
        <v>1306</v>
      </c>
      <c r="AB41" t="s">
        <v>975</v>
      </c>
      <c r="AC41">
        <v>4000</v>
      </c>
      <c r="AD41" t="s">
        <v>1019</v>
      </c>
      <c r="AE41" t="s">
        <v>979</v>
      </c>
      <c r="AF41" t="s">
        <v>979</v>
      </c>
      <c r="AG41" t="s">
        <v>977</v>
      </c>
      <c r="AH41" t="s">
        <v>1031</v>
      </c>
      <c r="AI41" t="s">
        <v>1031</v>
      </c>
      <c r="AJ41" t="s">
        <v>978</v>
      </c>
      <c r="AK41">
        <v>0</v>
      </c>
      <c r="AL41" t="s">
        <v>978</v>
      </c>
      <c r="AM41" t="s">
        <v>979</v>
      </c>
      <c r="AN41">
        <v>0</v>
      </c>
      <c r="AO41" t="s">
        <v>257</v>
      </c>
      <c r="AP41">
        <v>0</v>
      </c>
      <c r="AQ41">
        <v>1</v>
      </c>
      <c r="AR41">
        <v>43</v>
      </c>
      <c r="AS41">
        <v>1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1</v>
      </c>
      <c r="AZ41" t="s">
        <v>257</v>
      </c>
      <c r="BA41" t="s">
        <v>980</v>
      </c>
      <c r="BB41" t="s">
        <v>981</v>
      </c>
      <c r="BC41" t="s">
        <v>257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 t="s">
        <v>998</v>
      </c>
      <c r="BK41" t="s">
        <v>981</v>
      </c>
      <c r="BL41" t="s">
        <v>1305</v>
      </c>
      <c r="BM41">
        <v>20141002</v>
      </c>
      <c r="BN41">
        <v>20220131</v>
      </c>
      <c r="BO41">
        <v>0</v>
      </c>
      <c r="BP41" t="s">
        <v>257</v>
      </c>
      <c r="BQ41" t="s">
        <v>983</v>
      </c>
      <c r="BR41" t="s">
        <v>978</v>
      </c>
      <c r="BS41" t="s">
        <v>1307</v>
      </c>
      <c r="BT41">
        <v>0</v>
      </c>
      <c r="BU41">
        <v>0</v>
      </c>
      <c r="BV41" t="s">
        <v>1013</v>
      </c>
      <c r="BW41" t="s">
        <v>257</v>
      </c>
      <c r="BX41">
        <v>0</v>
      </c>
      <c r="BY41" t="s">
        <v>980</v>
      </c>
      <c r="BZ41" t="s">
        <v>257</v>
      </c>
      <c r="CA41">
        <v>0</v>
      </c>
      <c r="CB41">
        <v>0</v>
      </c>
      <c r="CC41" t="s">
        <v>1308</v>
      </c>
      <c r="CD41">
        <v>0</v>
      </c>
      <c r="CE41">
        <v>0</v>
      </c>
      <c r="CF41">
        <v>0</v>
      </c>
      <c r="CG41">
        <v>0</v>
      </c>
      <c r="CH41">
        <v>0</v>
      </c>
      <c r="CI41" t="s">
        <v>983</v>
      </c>
      <c r="CJ41" t="s">
        <v>972</v>
      </c>
      <c r="CK41" t="s">
        <v>986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 t="s">
        <v>987</v>
      </c>
      <c r="CV41">
        <v>400008041</v>
      </c>
      <c r="CW41" t="s">
        <v>987</v>
      </c>
      <c r="CX41" t="s">
        <v>1081</v>
      </c>
      <c r="CY41" t="s">
        <v>989</v>
      </c>
    </row>
    <row r="42" spans="1:103" hidden="1" x14ac:dyDescent="0.25">
      <c r="A42">
        <v>410000042</v>
      </c>
      <c r="B42" t="s">
        <v>1309</v>
      </c>
      <c r="C42" t="s">
        <v>1310</v>
      </c>
      <c r="D42">
        <v>401100000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 t="s">
        <v>972</v>
      </c>
      <c r="Z42" t="s">
        <v>1311</v>
      </c>
      <c r="AA42" t="s">
        <v>1312</v>
      </c>
      <c r="AB42" t="s">
        <v>975</v>
      </c>
      <c r="AC42">
        <v>4432</v>
      </c>
      <c r="AD42" t="s">
        <v>1313</v>
      </c>
      <c r="AE42" t="s">
        <v>1314</v>
      </c>
      <c r="AF42" t="s">
        <v>1315</v>
      </c>
      <c r="AG42" t="s">
        <v>977</v>
      </c>
      <c r="AH42">
        <v>20</v>
      </c>
      <c r="AI42">
        <v>14199</v>
      </c>
      <c r="AJ42" t="s">
        <v>978</v>
      </c>
      <c r="AK42">
        <v>0</v>
      </c>
      <c r="AL42" t="s">
        <v>978</v>
      </c>
      <c r="AM42" t="s">
        <v>979</v>
      </c>
      <c r="AN42">
        <v>0</v>
      </c>
      <c r="AO42" t="s">
        <v>257</v>
      </c>
      <c r="AP42">
        <v>0</v>
      </c>
      <c r="AQ42">
        <v>1</v>
      </c>
      <c r="AR42">
        <v>43</v>
      </c>
      <c r="AS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1</v>
      </c>
      <c r="AZ42" t="s">
        <v>257</v>
      </c>
      <c r="BA42" t="s">
        <v>980</v>
      </c>
      <c r="BB42" t="s">
        <v>1010</v>
      </c>
      <c r="BC42" t="s">
        <v>257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410000165</v>
      </c>
      <c r="BJ42" t="s">
        <v>998</v>
      </c>
      <c r="BK42" t="s">
        <v>981</v>
      </c>
      <c r="BL42" t="s">
        <v>1309</v>
      </c>
      <c r="BM42">
        <v>20141002</v>
      </c>
      <c r="BN42">
        <v>20220131</v>
      </c>
      <c r="BO42">
        <v>20151117</v>
      </c>
      <c r="BP42" t="s">
        <v>257</v>
      </c>
      <c r="BQ42" t="s">
        <v>983</v>
      </c>
      <c r="BR42" t="s">
        <v>978</v>
      </c>
      <c r="BS42" t="s">
        <v>1316</v>
      </c>
      <c r="BT42">
        <v>0</v>
      </c>
      <c r="BU42">
        <v>0</v>
      </c>
      <c r="BV42" t="s">
        <v>1013</v>
      </c>
      <c r="BW42" t="s">
        <v>257</v>
      </c>
      <c r="BX42">
        <v>0</v>
      </c>
      <c r="BY42" t="s">
        <v>980</v>
      </c>
      <c r="BZ42" t="s">
        <v>257</v>
      </c>
      <c r="CA42">
        <v>0</v>
      </c>
      <c r="CB42">
        <v>0</v>
      </c>
      <c r="CC42" t="s">
        <v>1317</v>
      </c>
      <c r="CD42">
        <v>0</v>
      </c>
      <c r="CE42">
        <v>0</v>
      </c>
      <c r="CF42">
        <v>0</v>
      </c>
      <c r="CG42">
        <v>0</v>
      </c>
      <c r="CH42">
        <v>0</v>
      </c>
      <c r="CI42" t="s">
        <v>983</v>
      </c>
      <c r="CJ42" t="s">
        <v>972</v>
      </c>
      <c r="CK42" t="s">
        <v>986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 t="s">
        <v>987</v>
      </c>
      <c r="CV42">
        <v>400008042</v>
      </c>
      <c r="CW42" t="s">
        <v>987</v>
      </c>
      <c r="CX42" t="s">
        <v>1318</v>
      </c>
      <c r="CY42" t="s">
        <v>989</v>
      </c>
    </row>
    <row r="43" spans="1:103" hidden="1" x14ac:dyDescent="0.25">
      <c r="A43">
        <v>410000043</v>
      </c>
      <c r="B43" t="s">
        <v>1319</v>
      </c>
      <c r="C43" t="s">
        <v>1320</v>
      </c>
      <c r="D43">
        <v>401100000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 t="s">
        <v>1091</v>
      </c>
      <c r="Z43" t="s">
        <v>987</v>
      </c>
      <c r="AA43" t="s">
        <v>1321</v>
      </c>
      <c r="AB43" t="s">
        <v>975</v>
      </c>
      <c r="AC43">
        <v>4877</v>
      </c>
      <c r="AD43" t="s">
        <v>1322</v>
      </c>
      <c r="AE43" t="s">
        <v>1323</v>
      </c>
      <c r="AF43" t="s">
        <v>1324</v>
      </c>
      <c r="AG43" t="s">
        <v>1325</v>
      </c>
      <c r="AH43">
        <v>40</v>
      </c>
      <c r="AI43">
        <v>47781</v>
      </c>
      <c r="AJ43" t="s">
        <v>1326</v>
      </c>
      <c r="AK43" t="s">
        <v>1327</v>
      </c>
      <c r="AL43" t="s">
        <v>978</v>
      </c>
      <c r="AM43" t="s">
        <v>979</v>
      </c>
      <c r="AN43">
        <v>0</v>
      </c>
      <c r="AO43" t="s">
        <v>257</v>
      </c>
      <c r="AP43">
        <v>0</v>
      </c>
      <c r="AQ43">
        <v>1</v>
      </c>
      <c r="AR43">
        <v>43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1</v>
      </c>
      <c r="AZ43" t="s">
        <v>257</v>
      </c>
      <c r="BA43" t="s">
        <v>980</v>
      </c>
      <c r="BB43" t="s">
        <v>981</v>
      </c>
      <c r="BC43" t="s">
        <v>257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 t="s">
        <v>998</v>
      </c>
      <c r="BK43" t="s">
        <v>981</v>
      </c>
      <c r="BL43" t="s">
        <v>1319</v>
      </c>
      <c r="BM43">
        <v>20141002</v>
      </c>
      <c r="BN43">
        <v>20230619</v>
      </c>
      <c r="BO43">
        <v>0</v>
      </c>
      <c r="BP43" t="s">
        <v>257</v>
      </c>
      <c r="BQ43" t="s">
        <v>983</v>
      </c>
      <c r="BR43" t="s">
        <v>978</v>
      </c>
      <c r="BS43" t="s">
        <v>1328</v>
      </c>
      <c r="BT43">
        <v>0</v>
      </c>
      <c r="BU43">
        <v>0</v>
      </c>
      <c r="BV43" t="s">
        <v>984</v>
      </c>
      <c r="BW43" t="s">
        <v>257</v>
      </c>
      <c r="BX43">
        <v>0</v>
      </c>
      <c r="BY43" t="s">
        <v>980</v>
      </c>
      <c r="BZ43" t="s">
        <v>257</v>
      </c>
      <c r="CA43">
        <v>0</v>
      </c>
      <c r="CB43">
        <v>0</v>
      </c>
      <c r="CC43" t="s">
        <v>1329</v>
      </c>
      <c r="CD43">
        <v>0</v>
      </c>
      <c r="CE43">
        <v>0</v>
      </c>
      <c r="CF43">
        <v>0</v>
      </c>
      <c r="CG43">
        <v>0</v>
      </c>
      <c r="CH43">
        <v>0</v>
      </c>
      <c r="CI43" t="s">
        <v>983</v>
      </c>
      <c r="CJ43" t="s">
        <v>972</v>
      </c>
      <c r="CK43" t="s">
        <v>986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 t="s">
        <v>987</v>
      </c>
      <c r="CV43">
        <v>400008043</v>
      </c>
      <c r="CW43" t="s">
        <v>987</v>
      </c>
      <c r="CX43" t="s">
        <v>1330</v>
      </c>
      <c r="CY43" t="s">
        <v>989</v>
      </c>
    </row>
    <row r="44" spans="1:103" hidden="1" x14ac:dyDescent="0.25">
      <c r="A44">
        <v>410000044</v>
      </c>
      <c r="B44" t="s">
        <v>1331</v>
      </c>
      <c r="C44" t="s">
        <v>1332</v>
      </c>
      <c r="D44">
        <v>401100000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 t="s">
        <v>972</v>
      </c>
      <c r="Z44" t="s">
        <v>987</v>
      </c>
      <c r="AA44" t="s">
        <v>1333</v>
      </c>
      <c r="AB44" t="s">
        <v>975</v>
      </c>
      <c r="AC44">
        <v>4800</v>
      </c>
      <c r="AD44" t="s">
        <v>1334</v>
      </c>
      <c r="AE44" t="s">
        <v>1335</v>
      </c>
      <c r="AF44" t="s">
        <v>1336</v>
      </c>
      <c r="AG44" t="s">
        <v>977</v>
      </c>
      <c r="AH44">
        <v>0</v>
      </c>
      <c r="AI44" t="s">
        <v>1337</v>
      </c>
      <c r="AJ44" t="s">
        <v>978</v>
      </c>
      <c r="AK44">
        <v>0</v>
      </c>
      <c r="AL44" t="s">
        <v>978</v>
      </c>
      <c r="AM44" t="s">
        <v>979</v>
      </c>
      <c r="AN44">
        <v>0</v>
      </c>
      <c r="AO44" t="s">
        <v>257</v>
      </c>
      <c r="AP44">
        <v>0</v>
      </c>
      <c r="AQ44">
        <v>1</v>
      </c>
      <c r="AR44">
        <v>43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1</v>
      </c>
      <c r="AZ44" t="s">
        <v>257</v>
      </c>
      <c r="BA44" t="s">
        <v>980</v>
      </c>
      <c r="BB44" t="s">
        <v>981</v>
      </c>
      <c r="BC44" t="s">
        <v>257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 t="s">
        <v>998</v>
      </c>
      <c r="BK44" t="s">
        <v>981</v>
      </c>
      <c r="BL44" t="s">
        <v>1331</v>
      </c>
      <c r="BM44">
        <v>20141002</v>
      </c>
      <c r="BN44">
        <v>20220131</v>
      </c>
      <c r="BO44">
        <v>0</v>
      </c>
      <c r="BP44" t="s">
        <v>257</v>
      </c>
      <c r="BQ44" t="s">
        <v>983</v>
      </c>
      <c r="BR44" t="s">
        <v>978</v>
      </c>
      <c r="BS44" t="s">
        <v>1338</v>
      </c>
      <c r="BT44">
        <v>0</v>
      </c>
      <c r="BU44">
        <v>0</v>
      </c>
      <c r="BV44" t="s">
        <v>1013</v>
      </c>
      <c r="BW44" t="s">
        <v>257</v>
      </c>
      <c r="BX44">
        <v>0</v>
      </c>
      <c r="BY44" t="s">
        <v>980</v>
      </c>
      <c r="BZ44" t="s">
        <v>257</v>
      </c>
      <c r="CA44">
        <v>0</v>
      </c>
      <c r="CB44">
        <v>0</v>
      </c>
      <c r="CC44" t="s">
        <v>1161</v>
      </c>
      <c r="CD44">
        <v>0</v>
      </c>
      <c r="CE44">
        <v>0</v>
      </c>
      <c r="CF44">
        <v>0</v>
      </c>
      <c r="CG44">
        <v>0</v>
      </c>
      <c r="CH44">
        <v>0</v>
      </c>
      <c r="CI44" t="s">
        <v>983</v>
      </c>
      <c r="CJ44" t="s">
        <v>972</v>
      </c>
      <c r="CK44" t="s">
        <v>986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 t="s">
        <v>987</v>
      </c>
      <c r="CV44">
        <v>400008044</v>
      </c>
      <c r="CW44" t="s">
        <v>987</v>
      </c>
      <c r="CX44" t="s">
        <v>1081</v>
      </c>
      <c r="CY44" t="s">
        <v>989</v>
      </c>
    </row>
    <row r="45" spans="1:103" hidden="1" x14ac:dyDescent="0.25">
      <c r="A45">
        <v>410000045</v>
      </c>
      <c r="B45" t="s">
        <v>1339</v>
      </c>
      <c r="C45" t="s">
        <v>1340</v>
      </c>
      <c r="D45">
        <v>401100000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 t="s">
        <v>972</v>
      </c>
      <c r="Z45" t="s">
        <v>987</v>
      </c>
      <c r="AA45" t="s">
        <v>1341</v>
      </c>
      <c r="AB45" t="s">
        <v>975</v>
      </c>
      <c r="AC45">
        <v>4347</v>
      </c>
      <c r="AD45" t="s">
        <v>1342</v>
      </c>
      <c r="AE45" t="s">
        <v>1343</v>
      </c>
      <c r="AF45" t="s">
        <v>1344</v>
      </c>
      <c r="AG45" t="s">
        <v>977</v>
      </c>
      <c r="AH45">
        <v>0</v>
      </c>
      <c r="AI45">
        <v>69201</v>
      </c>
      <c r="AJ45" t="s">
        <v>1345</v>
      </c>
      <c r="AK45" t="s">
        <v>978</v>
      </c>
      <c r="AL45" t="s">
        <v>978</v>
      </c>
      <c r="AM45" t="s">
        <v>979</v>
      </c>
      <c r="AN45">
        <v>0</v>
      </c>
      <c r="AO45" t="s">
        <v>257</v>
      </c>
      <c r="AP45">
        <v>0</v>
      </c>
      <c r="AQ45">
        <v>1</v>
      </c>
      <c r="AR45">
        <v>43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  <c r="AZ45" t="s">
        <v>257</v>
      </c>
      <c r="BA45" t="s">
        <v>980</v>
      </c>
      <c r="BB45" t="s">
        <v>1010</v>
      </c>
      <c r="BC45" t="s">
        <v>257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410000251</v>
      </c>
      <c r="BJ45" t="s">
        <v>998</v>
      </c>
      <c r="BK45" t="s">
        <v>981</v>
      </c>
      <c r="BL45" t="s">
        <v>1339</v>
      </c>
      <c r="BM45">
        <v>20141002</v>
      </c>
      <c r="BN45">
        <v>20220131</v>
      </c>
      <c r="BO45">
        <v>20220131</v>
      </c>
      <c r="BP45" t="s">
        <v>257</v>
      </c>
      <c r="BQ45" t="s">
        <v>983</v>
      </c>
      <c r="BR45" t="s">
        <v>978</v>
      </c>
      <c r="BS45" t="s">
        <v>1346</v>
      </c>
      <c r="BT45">
        <v>0</v>
      </c>
      <c r="BU45">
        <v>0</v>
      </c>
      <c r="BV45" t="s">
        <v>1013</v>
      </c>
      <c r="BW45" t="s">
        <v>257</v>
      </c>
      <c r="BX45">
        <v>0</v>
      </c>
      <c r="BY45" t="s">
        <v>980</v>
      </c>
      <c r="BZ45" t="s">
        <v>257</v>
      </c>
      <c r="CA45">
        <v>0</v>
      </c>
      <c r="CB45">
        <v>0</v>
      </c>
      <c r="CC45" t="s">
        <v>1220</v>
      </c>
      <c r="CD45">
        <v>0</v>
      </c>
      <c r="CE45">
        <v>0</v>
      </c>
      <c r="CF45">
        <v>0</v>
      </c>
      <c r="CG45">
        <v>0</v>
      </c>
      <c r="CH45">
        <v>0</v>
      </c>
      <c r="CI45" t="s">
        <v>983</v>
      </c>
      <c r="CJ45" t="s">
        <v>972</v>
      </c>
      <c r="CK45" t="s">
        <v>986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 t="s">
        <v>987</v>
      </c>
      <c r="CV45">
        <v>400008045</v>
      </c>
      <c r="CW45" t="s">
        <v>987</v>
      </c>
      <c r="CX45" t="s">
        <v>1081</v>
      </c>
      <c r="CY45" t="s">
        <v>989</v>
      </c>
    </row>
    <row r="46" spans="1:103" hidden="1" x14ac:dyDescent="0.25">
      <c r="A46">
        <v>410000046</v>
      </c>
      <c r="B46" t="s">
        <v>1347</v>
      </c>
      <c r="C46" t="s">
        <v>1348</v>
      </c>
      <c r="D46">
        <v>401100000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1</v>
      </c>
      <c r="X46">
        <v>1</v>
      </c>
      <c r="Y46" t="s">
        <v>1349</v>
      </c>
      <c r="Z46" t="s">
        <v>987</v>
      </c>
      <c r="AA46" t="s">
        <v>1350</v>
      </c>
      <c r="AB46" t="s">
        <v>1351</v>
      </c>
      <c r="AC46">
        <v>33520</v>
      </c>
      <c r="AD46" t="s">
        <v>1352</v>
      </c>
      <c r="AE46" t="s">
        <v>1353</v>
      </c>
      <c r="AF46" t="s">
        <v>1354</v>
      </c>
      <c r="AG46" t="s">
        <v>977</v>
      </c>
      <c r="AH46" t="s">
        <v>1355</v>
      </c>
      <c r="AI46" t="s">
        <v>1356</v>
      </c>
      <c r="AJ46" t="s">
        <v>978</v>
      </c>
      <c r="AK46">
        <v>0</v>
      </c>
      <c r="AL46" t="s">
        <v>978</v>
      </c>
      <c r="AM46" t="s">
        <v>979</v>
      </c>
      <c r="AN46">
        <v>0</v>
      </c>
      <c r="AO46" t="s">
        <v>257</v>
      </c>
      <c r="AP46">
        <v>0</v>
      </c>
      <c r="AQ46">
        <v>1</v>
      </c>
      <c r="AR46">
        <v>43</v>
      </c>
      <c r="AS46">
        <v>1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1</v>
      </c>
      <c r="AZ46" t="s">
        <v>257</v>
      </c>
      <c r="BA46" t="s">
        <v>980</v>
      </c>
      <c r="BB46" t="s">
        <v>981</v>
      </c>
      <c r="BC46" t="s">
        <v>257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 t="s">
        <v>998</v>
      </c>
      <c r="BK46" t="s">
        <v>981</v>
      </c>
      <c r="BL46" t="s">
        <v>1347</v>
      </c>
      <c r="BM46">
        <v>20141002</v>
      </c>
      <c r="BN46">
        <v>20220131</v>
      </c>
      <c r="BO46">
        <v>0</v>
      </c>
      <c r="BP46" t="s">
        <v>257</v>
      </c>
      <c r="BQ46" t="s">
        <v>983</v>
      </c>
      <c r="BR46" t="s">
        <v>978</v>
      </c>
      <c r="BS46" t="s">
        <v>979</v>
      </c>
      <c r="BT46">
        <v>0</v>
      </c>
      <c r="BU46">
        <v>0</v>
      </c>
      <c r="BV46" t="s">
        <v>1013</v>
      </c>
      <c r="BW46" t="s">
        <v>257</v>
      </c>
      <c r="BX46">
        <v>0</v>
      </c>
      <c r="BY46" t="s">
        <v>980</v>
      </c>
      <c r="BZ46" t="s">
        <v>257</v>
      </c>
      <c r="CA46">
        <v>0</v>
      </c>
      <c r="CB46">
        <v>0</v>
      </c>
      <c r="CC46" t="s">
        <v>985</v>
      </c>
      <c r="CD46">
        <v>0</v>
      </c>
      <c r="CE46">
        <v>0</v>
      </c>
      <c r="CF46">
        <v>0</v>
      </c>
      <c r="CG46">
        <v>0</v>
      </c>
      <c r="CH46">
        <v>0</v>
      </c>
      <c r="CI46" t="s">
        <v>983</v>
      </c>
      <c r="CJ46" t="s">
        <v>972</v>
      </c>
      <c r="CK46" t="s">
        <v>986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 t="s">
        <v>987</v>
      </c>
      <c r="CV46">
        <v>400008046</v>
      </c>
      <c r="CW46" t="s">
        <v>987</v>
      </c>
      <c r="CX46" t="s">
        <v>1357</v>
      </c>
      <c r="CY46" t="s">
        <v>989</v>
      </c>
    </row>
    <row r="47" spans="1:103" hidden="1" x14ac:dyDescent="0.25">
      <c r="A47">
        <v>410000047</v>
      </c>
      <c r="B47" t="s">
        <v>1358</v>
      </c>
      <c r="C47" t="s">
        <v>1359</v>
      </c>
      <c r="D47">
        <v>401100000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 t="s">
        <v>972</v>
      </c>
      <c r="Z47" t="s">
        <v>987</v>
      </c>
      <c r="AA47" t="s">
        <v>1360</v>
      </c>
      <c r="AB47" t="s">
        <v>975</v>
      </c>
      <c r="AC47">
        <v>6940</v>
      </c>
      <c r="AD47" t="s">
        <v>1361</v>
      </c>
      <c r="AE47" t="s">
        <v>1362</v>
      </c>
      <c r="AF47" t="s">
        <v>979</v>
      </c>
      <c r="AG47" t="s">
        <v>977</v>
      </c>
      <c r="AH47">
        <v>60</v>
      </c>
      <c r="AI47">
        <v>55203</v>
      </c>
      <c r="AJ47" t="s">
        <v>978</v>
      </c>
      <c r="AK47">
        <v>0</v>
      </c>
      <c r="AL47" t="s">
        <v>978</v>
      </c>
      <c r="AM47" t="s">
        <v>979</v>
      </c>
      <c r="AN47">
        <v>0</v>
      </c>
      <c r="AO47" t="s">
        <v>257</v>
      </c>
      <c r="AP47">
        <v>0</v>
      </c>
      <c r="AQ47">
        <v>1</v>
      </c>
      <c r="AR47">
        <v>43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1</v>
      </c>
      <c r="AZ47" t="s">
        <v>257</v>
      </c>
      <c r="BA47" t="s">
        <v>980</v>
      </c>
      <c r="BB47" t="s">
        <v>981</v>
      </c>
      <c r="BC47" t="s">
        <v>257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 t="s">
        <v>998</v>
      </c>
      <c r="BK47" t="s">
        <v>981</v>
      </c>
      <c r="BL47" t="s">
        <v>1358</v>
      </c>
      <c r="BM47">
        <v>20141002</v>
      </c>
      <c r="BN47">
        <v>20220131</v>
      </c>
      <c r="BO47">
        <v>0</v>
      </c>
      <c r="BP47" t="s">
        <v>257</v>
      </c>
      <c r="BQ47" t="s">
        <v>983</v>
      </c>
      <c r="BR47" t="s">
        <v>978</v>
      </c>
      <c r="BS47" t="s">
        <v>979</v>
      </c>
      <c r="BT47">
        <v>0</v>
      </c>
      <c r="BU47">
        <v>0</v>
      </c>
      <c r="BV47" t="s">
        <v>1013</v>
      </c>
      <c r="BW47" t="s">
        <v>257</v>
      </c>
      <c r="BX47">
        <v>0</v>
      </c>
      <c r="BY47" t="s">
        <v>980</v>
      </c>
      <c r="BZ47" t="s">
        <v>257</v>
      </c>
      <c r="CA47">
        <v>0</v>
      </c>
      <c r="CB47">
        <v>0</v>
      </c>
      <c r="CC47" t="s">
        <v>1363</v>
      </c>
      <c r="CD47">
        <v>0</v>
      </c>
      <c r="CE47">
        <v>0</v>
      </c>
      <c r="CF47">
        <v>0</v>
      </c>
      <c r="CG47">
        <v>0</v>
      </c>
      <c r="CH47">
        <v>0</v>
      </c>
      <c r="CI47" t="s">
        <v>983</v>
      </c>
      <c r="CJ47" t="s">
        <v>972</v>
      </c>
      <c r="CK47" t="s">
        <v>986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 t="s">
        <v>987</v>
      </c>
      <c r="CV47">
        <v>400008047</v>
      </c>
      <c r="CW47" t="s">
        <v>987</v>
      </c>
      <c r="CX47" t="s">
        <v>1081</v>
      </c>
      <c r="CY47" t="s">
        <v>989</v>
      </c>
    </row>
    <row r="48" spans="1:103" hidden="1" x14ac:dyDescent="0.25">
      <c r="A48">
        <v>410000048</v>
      </c>
      <c r="B48" t="s">
        <v>1364</v>
      </c>
      <c r="C48" t="s">
        <v>1365</v>
      </c>
      <c r="D48">
        <v>401100000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 t="s">
        <v>972</v>
      </c>
      <c r="Z48" t="s">
        <v>1366</v>
      </c>
      <c r="AA48" t="s">
        <v>1367</v>
      </c>
      <c r="AB48" t="s">
        <v>975</v>
      </c>
      <c r="AC48">
        <v>4620</v>
      </c>
      <c r="AD48" t="s">
        <v>1368</v>
      </c>
      <c r="AE48" t="s">
        <v>1369</v>
      </c>
      <c r="AF48" t="s">
        <v>1370</v>
      </c>
      <c r="AG48" t="s">
        <v>977</v>
      </c>
      <c r="AH48">
        <v>50</v>
      </c>
      <c r="AI48">
        <v>62090</v>
      </c>
      <c r="AJ48" t="s">
        <v>978</v>
      </c>
      <c r="AK48">
        <v>0</v>
      </c>
      <c r="AL48" t="s">
        <v>978</v>
      </c>
      <c r="AM48" t="s">
        <v>979</v>
      </c>
      <c r="AN48">
        <v>0</v>
      </c>
      <c r="AO48" t="s">
        <v>257</v>
      </c>
      <c r="AP48">
        <v>0</v>
      </c>
      <c r="AQ48">
        <v>1</v>
      </c>
      <c r="AR48">
        <v>43</v>
      </c>
      <c r="AS48">
        <v>1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1</v>
      </c>
      <c r="AZ48" t="s">
        <v>257</v>
      </c>
      <c r="BA48" t="s">
        <v>980</v>
      </c>
      <c r="BB48" t="s">
        <v>981</v>
      </c>
      <c r="BC48" t="s">
        <v>257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 t="s">
        <v>998</v>
      </c>
      <c r="BK48" t="s">
        <v>981</v>
      </c>
      <c r="BL48" t="s">
        <v>1364</v>
      </c>
      <c r="BM48">
        <v>20141002</v>
      </c>
      <c r="BN48">
        <v>20220131</v>
      </c>
      <c r="BO48">
        <v>0</v>
      </c>
      <c r="BP48" t="s">
        <v>257</v>
      </c>
      <c r="BQ48" t="s">
        <v>983</v>
      </c>
      <c r="BR48" t="s">
        <v>978</v>
      </c>
      <c r="BS48" t="s">
        <v>979</v>
      </c>
      <c r="BT48">
        <v>0</v>
      </c>
      <c r="BU48">
        <v>0</v>
      </c>
      <c r="BV48" t="s">
        <v>984</v>
      </c>
      <c r="BW48" t="s">
        <v>257</v>
      </c>
      <c r="BX48">
        <v>0</v>
      </c>
      <c r="BY48" t="s">
        <v>980</v>
      </c>
      <c r="BZ48" t="s">
        <v>257</v>
      </c>
      <c r="CA48">
        <v>0</v>
      </c>
      <c r="CB48">
        <v>0</v>
      </c>
      <c r="CC48" t="s">
        <v>1371</v>
      </c>
      <c r="CD48">
        <v>0</v>
      </c>
      <c r="CE48">
        <v>0</v>
      </c>
      <c r="CF48">
        <v>0</v>
      </c>
      <c r="CG48">
        <v>0</v>
      </c>
      <c r="CH48">
        <v>0</v>
      </c>
      <c r="CI48" t="s">
        <v>983</v>
      </c>
      <c r="CJ48" t="s">
        <v>972</v>
      </c>
      <c r="CK48" t="s">
        <v>986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 t="s">
        <v>987</v>
      </c>
      <c r="CV48">
        <v>400008048</v>
      </c>
      <c r="CW48" t="s">
        <v>987</v>
      </c>
      <c r="CX48" t="s">
        <v>1372</v>
      </c>
      <c r="CY48" t="s">
        <v>989</v>
      </c>
    </row>
    <row r="49" spans="1:103" hidden="1" x14ac:dyDescent="0.25">
      <c r="A49">
        <v>410000049</v>
      </c>
      <c r="B49" t="s">
        <v>1373</v>
      </c>
      <c r="C49" t="s">
        <v>1374</v>
      </c>
      <c r="D49">
        <v>401100000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 t="s">
        <v>1375</v>
      </c>
      <c r="Z49" t="s">
        <v>1376</v>
      </c>
      <c r="AA49" t="s">
        <v>1377</v>
      </c>
      <c r="AB49" t="s">
        <v>975</v>
      </c>
      <c r="AC49">
        <v>4802</v>
      </c>
      <c r="AD49" t="s">
        <v>1378</v>
      </c>
      <c r="AE49" t="s">
        <v>1379</v>
      </c>
      <c r="AF49" t="s">
        <v>1380</v>
      </c>
      <c r="AG49" t="s">
        <v>977</v>
      </c>
      <c r="AH49">
        <v>40</v>
      </c>
      <c r="AI49">
        <v>69202</v>
      </c>
      <c r="AJ49" t="s">
        <v>1381</v>
      </c>
      <c r="AK49">
        <v>0</v>
      </c>
      <c r="AL49" t="s">
        <v>978</v>
      </c>
      <c r="AM49" t="s">
        <v>979</v>
      </c>
      <c r="AN49">
        <v>0</v>
      </c>
      <c r="AO49" t="s">
        <v>257</v>
      </c>
      <c r="AP49">
        <v>0</v>
      </c>
      <c r="AQ49">
        <v>1</v>
      </c>
      <c r="AR49">
        <v>43</v>
      </c>
      <c r="AS49">
        <v>1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1</v>
      </c>
      <c r="AZ49" t="s">
        <v>257</v>
      </c>
      <c r="BA49" t="s">
        <v>980</v>
      </c>
      <c r="BB49" t="s">
        <v>1010</v>
      </c>
      <c r="BC49" t="s">
        <v>257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 t="s">
        <v>998</v>
      </c>
      <c r="BK49" t="s">
        <v>981</v>
      </c>
      <c r="BL49" t="s">
        <v>1373</v>
      </c>
      <c r="BM49">
        <v>20141002</v>
      </c>
      <c r="BN49">
        <v>20220131</v>
      </c>
      <c r="BO49">
        <v>20220131</v>
      </c>
      <c r="BP49" t="s">
        <v>257</v>
      </c>
      <c r="BQ49" t="s">
        <v>983</v>
      </c>
      <c r="BR49" t="s">
        <v>978</v>
      </c>
      <c r="BS49" t="s">
        <v>979</v>
      </c>
      <c r="BT49">
        <v>0</v>
      </c>
      <c r="BU49">
        <v>0</v>
      </c>
      <c r="BV49" t="s">
        <v>1013</v>
      </c>
      <c r="BW49" t="s">
        <v>257</v>
      </c>
      <c r="BX49">
        <v>0</v>
      </c>
      <c r="BY49" t="s">
        <v>980</v>
      </c>
      <c r="BZ49" t="s">
        <v>980</v>
      </c>
      <c r="CA49">
        <v>0</v>
      </c>
      <c r="CB49">
        <v>0</v>
      </c>
      <c r="CC49" t="s">
        <v>1128</v>
      </c>
      <c r="CD49">
        <v>0</v>
      </c>
      <c r="CE49">
        <v>0</v>
      </c>
      <c r="CF49">
        <v>0</v>
      </c>
      <c r="CG49">
        <v>0</v>
      </c>
      <c r="CH49">
        <v>0</v>
      </c>
      <c r="CI49" t="s">
        <v>983</v>
      </c>
      <c r="CJ49" t="s">
        <v>972</v>
      </c>
      <c r="CK49" t="s">
        <v>986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 t="s">
        <v>987</v>
      </c>
      <c r="CV49">
        <v>400008049</v>
      </c>
      <c r="CW49" t="s">
        <v>987</v>
      </c>
      <c r="CX49" t="s">
        <v>1382</v>
      </c>
      <c r="CY49" t="s">
        <v>989</v>
      </c>
    </row>
    <row r="50" spans="1:103" hidden="1" x14ac:dyDescent="0.25">
      <c r="A50">
        <v>410000050</v>
      </c>
      <c r="B50" t="s">
        <v>1383</v>
      </c>
      <c r="C50" t="s">
        <v>1384</v>
      </c>
      <c r="D50">
        <v>401100000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 t="s">
        <v>972</v>
      </c>
      <c r="Z50" t="s">
        <v>987</v>
      </c>
      <c r="AA50" t="s">
        <v>1385</v>
      </c>
      <c r="AB50" t="s">
        <v>975</v>
      </c>
      <c r="AC50">
        <v>4900</v>
      </c>
      <c r="AD50" t="s">
        <v>1386</v>
      </c>
      <c r="AE50" t="s">
        <v>1387</v>
      </c>
      <c r="AF50" t="s">
        <v>1388</v>
      </c>
      <c r="AG50" t="s">
        <v>977</v>
      </c>
      <c r="AH50">
        <v>30</v>
      </c>
      <c r="AI50">
        <v>43332</v>
      </c>
      <c r="AJ50" t="s">
        <v>1389</v>
      </c>
      <c r="AK50" t="s">
        <v>1390</v>
      </c>
      <c r="AL50" t="s">
        <v>978</v>
      </c>
      <c r="AM50" t="s">
        <v>979</v>
      </c>
      <c r="AN50">
        <v>0</v>
      </c>
      <c r="AO50" t="s">
        <v>257</v>
      </c>
      <c r="AP50">
        <v>0</v>
      </c>
      <c r="AQ50">
        <v>1</v>
      </c>
      <c r="AR50">
        <v>43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 t="s">
        <v>257</v>
      </c>
      <c r="BA50" t="s">
        <v>980</v>
      </c>
      <c r="BB50" t="s">
        <v>981</v>
      </c>
      <c r="BC50" t="s">
        <v>257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 t="s">
        <v>998</v>
      </c>
      <c r="BK50" t="s">
        <v>981</v>
      </c>
      <c r="BL50" t="s">
        <v>1383</v>
      </c>
      <c r="BM50">
        <v>20141002</v>
      </c>
      <c r="BN50">
        <v>20220131</v>
      </c>
      <c r="BO50">
        <v>0</v>
      </c>
      <c r="BP50" t="s">
        <v>257</v>
      </c>
      <c r="BQ50" t="s">
        <v>983</v>
      </c>
      <c r="BR50" t="s">
        <v>978</v>
      </c>
      <c r="BS50" t="s">
        <v>979</v>
      </c>
      <c r="BT50">
        <v>0</v>
      </c>
      <c r="BU50">
        <v>0</v>
      </c>
      <c r="BV50" t="s">
        <v>1013</v>
      </c>
      <c r="BW50" t="s">
        <v>257</v>
      </c>
      <c r="BX50">
        <v>0</v>
      </c>
      <c r="BY50" t="s">
        <v>980</v>
      </c>
      <c r="BZ50" t="s">
        <v>257</v>
      </c>
      <c r="CA50">
        <v>0</v>
      </c>
      <c r="CB50">
        <v>0</v>
      </c>
      <c r="CC50" t="s">
        <v>1391</v>
      </c>
      <c r="CD50">
        <v>0</v>
      </c>
      <c r="CE50">
        <v>0</v>
      </c>
      <c r="CF50">
        <v>0</v>
      </c>
      <c r="CG50">
        <v>0</v>
      </c>
      <c r="CH50">
        <v>0</v>
      </c>
      <c r="CI50" t="s">
        <v>983</v>
      </c>
      <c r="CJ50" t="s">
        <v>972</v>
      </c>
      <c r="CK50" t="s">
        <v>986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 t="s">
        <v>987</v>
      </c>
      <c r="CV50">
        <v>400008050</v>
      </c>
      <c r="CW50" t="s">
        <v>987</v>
      </c>
      <c r="CX50" t="s">
        <v>1081</v>
      </c>
      <c r="CY50" t="s">
        <v>989</v>
      </c>
    </row>
    <row r="51" spans="1:103" hidden="1" x14ac:dyDescent="0.25">
      <c r="A51">
        <v>410000051</v>
      </c>
      <c r="B51" t="s">
        <v>1392</v>
      </c>
      <c r="C51" t="s">
        <v>1393</v>
      </c>
      <c r="D51">
        <v>401100000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 t="s">
        <v>972</v>
      </c>
      <c r="Z51" t="s">
        <v>987</v>
      </c>
      <c r="AA51" t="s">
        <v>1394</v>
      </c>
      <c r="AB51" t="s">
        <v>975</v>
      </c>
      <c r="AC51">
        <v>4340</v>
      </c>
      <c r="AD51" t="s">
        <v>1076</v>
      </c>
      <c r="AE51" t="s">
        <v>1395</v>
      </c>
      <c r="AF51" t="s">
        <v>1396</v>
      </c>
      <c r="AG51" t="s">
        <v>977</v>
      </c>
      <c r="AH51">
        <v>35</v>
      </c>
      <c r="AI51">
        <v>45111</v>
      </c>
      <c r="AJ51" t="s">
        <v>978</v>
      </c>
      <c r="AK51">
        <v>0</v>
      </c>
      <c r="AL51" t="s">
        <v>978</v>
      </c>
      <c r="AM51" t="s">
        <v>979</v>
      </c>
      <c r="AN51">
        <v>0</v>
      </c>
      <c r="AO51" t="s">
        <v>257</v>
      </c>
      <c r="AP51">
        <v>0</v>
      </c>
      <c r="AQ51">
        <v>1</v>
      </c>
      <c r="AR51">
        <v>43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1</v>
      </c>
      <c r="AZ51" t="s">
        <v>257</v>
      </c>
      <c r="BA51" t="s">
        <v>980</v>
      </c>
      <c r="BB51" t="s">
        <v>981</v>
      </c>
      <c r="BC51" t="s">
        <v>257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 t="s">
        <v>998</v>
      </c>
      <c r="BK51" t="s">
        <v>981</v>
      </c>
      <c r="BL51" t="s">
        <v>1392</v>
      </c>
      <c r="BM51">
        <v>20141002</v>
      </c>
      <c r="BN51">
        <v>20220131</v>
      </c>
      <c r="BO51">
        <v>0</v>
      </c>
      <c r="BP51" t="s">
        <v>257</v>
      </c>
      <c r="BQ51" t="s">
        <v>983</v>
      </c>
      <c r="BR51" t="s">
        <v>978</v>
      </c>
      <c r="BS51" t="s">
        <v>979</v>
      </c>
      <c r="BT51">
        <v>0</v>
      </c>
      <c r="BU51">
        <v>0</v>
      </c>
      <c r="BV51" t="s">
        <v>1013</v>
      </c>
      <c r="BW51" t="s">
        <v>257</v>
      </c>
      <c r="BX51">
        <v>0</v>
      </c>
      <c r="BY51" t="s">
        <v>980</v>
      </c>
      <c r="BZ51" t="s">
        <v>257</v>
      </c>
      <c r="CA51">
        <v>0</v>
      </c>
      <c r="CB51">
        <v>0</v>
      </c>
      <c r="CC51" t="s">
        <v>1397</v>
      </c>
      <c r="CD51">
        <v>0</v>
      </c>
      <c r="CE51">
        <v>0</v>
      </c>
      <c r="CF51">
        <v>0</v>
      </c>
      <c r="CG51">
        <v>0</v>
      </c>
      <c r="CH51">
        <v>0</v>
      </c>
      <c r="CI51" t="s">
        <v>983</v>
      </c>
      <c r="CJ51" t="s">
        <v>972</v>
      </c>
      <c r="CK51" t="s">
        <v>986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 t="s">
        <v>987</v>
      </c>
      <c r="CV51">
        <v>400008051</v>
      </c>
      <c r="CW51" t="s">
        <v>987</v>
      </c>
      <c r="CX51" t="s">
        <v>1081</v>
      </c>
      <c r="CY51" t="s">
        <v>989</v>
      </c>
    </row>
    <row r="52" spans="1:103" hidden="1" x14ac:dyDescent="0.25">
      <c r="A52">
        <v>410000052</v>
      </c>
      <c r="B52" t="s">
        <v>1398</v>
      </c>
      <c r="C52" t="s">
        <v>1399</v>
      </c>
      <c r="D52">
        <v>401100000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 t="s">
        <v>972</v>
      </c>
      <c r="Z52" t="s">
        <v>1400</v>
      </c>
      <c r="AA52" t="s">
        <v>1401</v>
      </c>
      <c r="AB52" t="s">
        <v>975</v>
      </c>
      <c r="AC52">
        <v>4020</v>
      </c>
      <c r="AD52" t="s">
        <v>1019</v>
      </c>
      <c r="AE52" t="s">
        <v>1402</v>
      </c>
      <c r="AF52" t="s">
        <v>979</v>
      </c>
      <c r="AG52" t="s">
        <v>977</v>
      </c>
      <c r="AH52">
        <v>0</v>
      </c>
      <c r="AI52">
        <v>74103</v>
      </c>
      <c r="AJ52" t="s">
        <v>978</v>
      </c>
      <c r="AK52">
        <v>0</v>
      </c>
      <c r="AL52" t="s">
        <v>978</v>
      </c>
      <c r="AM52" t="s">
        <v>979</v>
      </c>
      <c r="AN52">
        <v>0</v>
      </c>
      <c r="AO52" t="s">
        <v>257</v>
      </c>
      <c r="AP52">
        <v>0</v>
      </c>
      <c r="AQ52">
        <v>1</v>
      </c>
      <c r="AR52">
        <v>43</v>
      </c>
      <c r="AS52">
        <v>1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1</v>
      </c>
      <c r="AZ52" t="s">
        <v>257</v>
      </c>
      <c r="BA52" t="s">
        <v>980</v>
      </c>
      <c r="BB52" t="s">
        <v>981</v>
      </c>
      <c r="BC52" t="s">
        <v>257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 t="s">
        <v>998</v>
      </c>
      <c r="BK52" t="s">
        <v>981</v>
      </c>
      <c r="BL52" t="s">
        <v>1398</v>
      </c>
      <c r="BM52">
        <v>20141002</v>
      </c>
      <c r="BN52">
        <v>20220131</v>
      </c>
      <c r="BO52">
        <v>0</v>
      </c>
      <c r="BP52" t="s">
        <v>257</v>
      </c>
      <c r="BQ52" t="s">
        <v>983</v>
      </c>
      <c r="BR52" t="s">
        <v>978</v>
      </c>
      <c r="BS52" t="s">
        <v>1403</v>
      </c>
      <c r="BT52">
        <v>0</v>
      </c>
      <c r="BU52">
        <v>0</v>
      </c>
      <c r="BV52" t="s">
        <v>1013</v>
      </c>
      <c r="BW52" t="s">
        <v>257</v>
      </c>
      <c r="BX52">
        <v>0</v>
      </c>
      <c r="BY52" t="s">
        <v>980</v>
      </c>
      <c r="BZ52" t="s">
        <v>257</v>
      </c>
      <c r="CA52">
        <v>0</v>
      </c>
      <c r="CB52">
        <v>0</v>
      </c>
      <c r="CC52" t="s">
        <v>985</v>
      </c>
      <c r="CD52">
        <v>0</v>
      </c>
      <c r="CE52">
        <v>0</v>
      </c>
      <c r="CF52">
        <v>0</v>
      </c>
      <c r="CG52">
        <v>0</v>
      </c>
      <c r="CH52">
        <v>0</v>
      </c>
      <c r="CI52" t="s">
        <v>983</v>
      </c>
      <c r="CJ52" t="s">
        <v>972</v>
      </c>
      <c r="CK52" t="s">
        <v>986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 t="s">
        <v>987</v>
      </c>
      <c r="CV52">
        <v>400008052</v>
      </c>
      <c r="CW52" t="s">
        <v>987</v>
      </c>
      <c r="CX52" t="s">
        <v>1081</v>
      </c>
      <c r="CY52" t="s">
        <v>989</v>
      </c>
    </row>
    <row r="53" spans="1:103" hidden="1" x14ac:dyDescent="0.25">
      <c r="A53">
        <v>410000053</v>
      </c>
      <c r="B53" t="s">
        <v>1404</v>
      </c>
      <c r="C53" t="s">
        <v>1405</v>
      </c>
      <c r="D53">
        <v>401100000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1</v>
      </c>
      <c r="Y53" t="s">
        <v>972</v>
      </c>
      <c r="Z53" t="s">
        <v>1406</v>
      </c>
      <c r="AA53" t="s">
        <v>1407</v>
      </c>
      <c r="AB53" t="s">
        <v>975</v>
      </c>
      <c r="AC53">
        <v>4040</v>
      </c>
      <c r="AD53" t="s">
        <v>976</v>
      </c>
      <c r="AE53" t="s">
        <v>1408</v>
      </c>
      <c r="AF53" t="s">
        <v>1409</v>
      </c>
      <c r="AG53" t="s">
        <v>1410</v>
      </c>
      <c r="AH53">
        <v>0</v>
      </c>
      <c r="AI53">
        <v>16100</v>
      </c>
      <c r="AJ53" t="s">
        <v>978</v>
      </c>
      <c r="AK53">
        <v>0</v>
      </c>
      <c r="AL53" t="s">
        <v>978</v>
      </c>
      <c r="AM53" t="s">
        <v>979</v>
      </c>
      <c r="AN53">
        <v>0</v>
      </c>
      <c r="AO53" t="s">
        <v>257</v>
      </c>
      <c r="AP53">
        <v>0</v>
      </c>
      <c r="AQ53">
        <v>1</v>
      </c>
      <c r="AR53">
        <v>43</v>
      </c>
      <c r="AS53">
        <v>1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 t="s">
        <v>257</v>
      </c>
      <c r="BA53" t="s">
        <v>980</v>
      </c>
      <c r="BB53" t="s">
        <v>981</v>
      </c>
      <c r="BC53" t="s">
        <v>257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 t="s">
        <v>998</v>
      </c>
      <c r="BK53" t="s">
        <v>981</v>
      </c>
      <c r="BL53" t="s">
        <v>1404</v>
      </c>
      <c r="BM53">
        <v>20141002</v>
      </c>
      <c r="BN53">
        <v>20230612</v>
      </c>
      <c r="BO53">
        <v>0</v>
      </c>
      <c r="BP53" t="s">
        <v>257</v>
      </c>
      <c r="BQ53" t="s">
        <v>983</v>
      </c>
      <c r="BR53" t="s">
        <v>978</v>
      </c>
      <c r="BS53" t="s">
        <v>979</v>
      </c>
      <c r="BT53">
        <v>0</v>
      </c>
      <c r="BU53">
        <v>0</v>
      </c>
      <c r="BV53" t="s">
        <v>1411</v>
      </c>
      <c r="BW53" t="s">
        <v>257</v>
      </c>
      <c r="BX53">
        <v>0</v>
      </c>
      <c r="BY53" t="s">
        <v>980</v>
      </c>
      <c r="BZ53" t="s">
        <v>257</v>
      </c>
      <c r="CA53">
        <v>0</v>
      </c>
      <c r="CB53">
        <v>0</v>
      </c>
      <c r="CC53" t="s">
        <v>985</v>
      </c>
      <c r="CD53">
        <v>0</v>
      </c>
      <c r="CE53">
        <v>0</v>
      </c>
      <c r="CF53">
        <v>0</v>
      </c>
      <c r="CG53">
        <v>0</v>
      </c>
      <c r="CH53">
        <v>0</v>
      </c>
      <c r="CI53" t="s">
        <v>983</v>
      </c>
      <c r="CJ53" t="s">
        <v>972</v>
      </c>
      <c r="CK53" t="s">
        <v>986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 t="s">
        <v>987</v>
      </c>
      <c r="CV53">
        <v>400008053</v>
      </c>
      <c r="CW53" t="s">
        <v>987</v>
      </c>
      <c r="CX53" t="s">
        <v>1412</v>
      </c>
      <c r="CY53" t="s">
        <v>989</v>
      </c>
    </row>
    <row r="54" spans="1:103" hidden="1" x14ac:dyDescent="0.25">
      <c r="A54">
        <v>410000054</v>
      </c>
      <c r="B54" t="s">
        <v>1413</v>
      </c>
      <c r="C54" t="s">
        <v>1414</v>
      </c>
      <c r="D54">
        <v>401100000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</v>
      </c>
      <c r="W54">
        <v>1</v>
      </c>
      <c r="X54">
        <v>1</v>
      </c>
      <c r="Y54" t="s">
        <v>972</v>
      </c>
      <c r="Z54" t="s">
        <v>987</v>
      </c>
      <c r="AA54" t="s">
        <v>1415</v>
      </c>
      <c r="AB54" t="s">
        <v>975</v>
      </c>
      <c r="AC54">
        <v>4980</v>
      </c>
      <c r="AD54" t="s">
        <v>1416</v>
      </c>
      <c r="AE54" t="s">
        <v>1417</v>
      </c>
      <c r="AF54" t="s">
        <v>979</v>
      </c>
      <c r="AG54" t="s">
        <v>977</v>
      </c>
      <c r="AH54">
        <v>0</v>
      </c>
      <c r="AI54" t="s">
        <v>1031</v>
      </c>
      <c r="AJ54" t="s">
        <v>978</v>
      </c>
      <c r="AK54">
        <v>0</v>
      </c>
      <c r="AL54" t="s">
        <v>978</v>
      </c>
      <c r="AM54" t="s">
        <v>979</v>
      </c>
      <c r="AN54">
        <v>0</v>
      </c>
      <c r="AO54" t="s">
        <v>257</v>
      </c>
      <c r="AP54">
        <v>0</v>
      </c>
      <c r="AQ54">
        <v>1</v>
      </c>
      <c r="AR54">
        <v>43</v>
      </c>
      <c r="AS54">
        <v>1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  <c r="AZ54" t="s">
        <v>257</v>
      </c>
      <c r="BA54" t="s">
        <v>980</v>
      </c>
      <c r="BB54" t="s">
        <v>981</v>
      </c>
      <c r="BC54" t="s">
        <v>257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 t="s">
        <v>998</v>
      </c>
      <c r="BK54" t="s">
        <v>981</v>
      </c>
      <c r="BL54" t="s">
        <v>1413</v>
      </c>
      <c r="BM54">
        <v>20141002</v>
      </c>
      <c r="BN54">
        <v>20220131</v>
      </c>
      <c r="BO54">
        <v>0</v>
      </c>
      <c r="BP54" t="s">
        <v>257</v>
      </c>
      <c r="BQ54" t="s">
        <v>983</v>
      </c>
      <c r="BR54" t="s">
        <v>978</v>
      </c>
      <c r="BS54" t="s">
        <v>979</v>
      </c>
      <c r="BT54">
        <v>0</v>
      </c>
      <c r="BU54">
        <v>0</v>
      </c>
      <c r="BV54" t="s">
        <v>1013</v>
      </c>
      <c r="BW54" t="s">
        <v>257</v>
      </c>
      <c r="BX54">
        <v>0</v>
      </c>
      <c r="BY54" t="s">
        <v>980</v>
      </c>
      <c r="BZ54" t="s">
        <v>257</v>
      </c>
      <c r="CA54">
        <v>0</v>
      </c>
      <c r="CB54">
        <v>0</v>
      </c>
      <c r="CC54" t="s">
        <v>1165</v>
      </c>
      <c r="CD54">
        <v>0</v>
      </c>
      <c r="CE54">
        <v>0</v>
      </c>
      <c r="CF54">
        <v>0</v>
      </c>
      <c r="CG54">
        <v>0</v>
      </c>
      <c r="CH54">
        <v>0</v>
      </c>
      <c r="CI54" t="s">
        <v>983</v>
      </c>
      <c r="CJ54" t="s">
        <v>972</v>
      </c>
      <c r="CK54" t="s">
        <v>986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 t="s">
        <v>987</v>
      </c>
      <c r="CV54">
        <v>400008054</v>
      </c>
      <c r="CW54" t="s">
        <v>987</v>
      </c>
      <c r="CX54" t="s">
        <v>1081</v>
      </c>
      <c r="CY54" t="s">
        <v>989</v>
      </c>
    </row>
    <row r="55" spans="1:103" hidden="1" x14ac:dyDescent="0.25">
      <c r="A55">
        <v>410000055</v>
      </c>
      <c r="B55" t="s">
        <v>1418</v>
      </c>
      <c r="C55" t="s">
        <v>978</v>
      </c>
      <c r="D55">
        <v>401100000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 t="s">
        <v>972</v>
      </c>
      <c r="Z55" t="s">
        <v>987</v>
      </c>
      <c r="AA55" t="s">
        <v>1419</v>
      </c>
      <c r="AB55" t="s">
        <v>975</v>
      </c>
      <c r="AC55">
        <v>4690</v>
      </c>
      <c r="AD55" t="s">
        <v>1420</v>
      </c>
      <c r="AE55" t="s">
        <v>1421</v>
      </c>
      <c r="AF55" t="s">
        <v>979</v>
      </c>
      <c r="AG55" t="s">
        <v>977</v>
      </c>
      <c r="AH55">
        <v>0</v>
      </c>
      <c r="AI55" t="s">
        <v>1031</v>
      </c>
      <c r="AJ55" t="s">
        <v>978</v>
      </c>
      <c r="AK55">
        <v>0</v>
      </c>
      <c r="AL55" t="s">
        <v>978</v>
      </c>
      <c r="AM55" t="s">
        <v>979</v>
      </c>
      <c r="AN55">
        <v>0</v>
      </c>
      <c r="AO55" t="s">
        <v>257</v>
      </c>
      <c r="AP55">
        <v>0</v>
      </c>
      <c r="AQ55">
        <v>1</v>
      </c>
      <c r="AR55">
        <v>43</v>
      </c>
      <c r="AS55">
        <v>1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1</v>
      </c>
      <c r="AZ55" t="s">
        <v>257</v>
      </c>
      <c r="BA55" t="s">
        <v>980</v>
      </c>
      <c r="BB55" t="s">
        <v>981</v>
      </c>
      <c r="BC55" t="s">
        <v>257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 t="s">
        <v>998</v>
      </c>
      <c r="BK55" t="s">
        <v>981</v>
      </c>
      <c r="BL55" t="s">
        <v>1418</v>
      </c>
      <c r="BM55">
        <v>20141002</v>
      </c>
      <c r="BN55">
        <v>20220131</v>
      </c>
      <c r="BO55">
        <v>0</v>
      </c>
      <c r="BP55" t="s">
        <v>257</v>
      </c>
      <c r="BQ55" t="s">
        <v>983</v>
      </c>
      <c r="BR55" t="s">
        <v>978</v>
      </c>
      <c r="BS55" t="s">
        <v>1422</v>
      </c>
      <c r="BT55">
        <v>0</v>
      </c>
      <c r="BU55">
        <v>0</v>
      </c>
      <c r="BV55" t="s">
        <v>1013</v>
      </c>
      <c r="BW55" t="s">
        <v>257</v>
      </c>
      <c r="BX55">
        <v>0</v>
      </c>
      <c r="BY55" t="s">
        <v>980</v>
      </c>
      <c r="BZ55" t="s">
        <v>257</v>
      </c>
      <c r="CA55">
        <v>0</v>
      </c>
      <c r="CB55">
        <v>0</v>
      </c>
      <c r="CC55" t="s">
        <v>1308</v>
      </c>
      <c r="CD55">
        <v>0</v>
      </c>
      <c r="CE55">
        <v>0</v>
      </c>
      <c r="CF55">
        <v>0</v>
      </c>
      <c r="CG55">
        <v>0</v>
      </c>
      <c r="CH55">
        <v>0</v>
      </c>
      <c r="CI55" t="s">
        <v>983</v>
      </c>
      <c r="CJ55" t="s">
        <v>972</v>
      </c>
      <c r="CK55" t="s">
        <v>986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 t="s">
        <v>987</v>
      </c>
      <c r="CV55">
        <v>400008055</v>
      </c>
      <c r="CW55" t="s">
        <v>987</v>
      </c>
      <c r="CX55" t="s">
        <v>1081</v>
      </c>
      <c r="CY55" t="s">
        <v>989</v>
      </c>
    </row>
    <row r="56" spans="1:103" hidden="1" x14ac:dyDescent="0.25">
      <c r="A56">
        <v>410000056</v>
      </c>
      <c r="B56" t="s">
        <v>1423</v>
      </c>
      <c r="C56" t="s">
        <v>1424</v>
      </c>
      <c r="D56">
        <v>401100000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 t="s">
        <v>1425</v>
      </c>
      <c r="Z56" t="s">
        <v>987</v>
      </c>
      <c r="AA56" t="s">
        <v>1426</v>
      </c>
      <c r="AB56" t="s">
        <v>975</v>
      </c>
      <c r="AC56">
        <v>1500</v>
      </c>
      <c r="AD56" t="s">
        <v>1427</v>
      </c>
      <c r="AE56" t="s">
        <v>1428</v>
      </c>
      <c r="AF56" t="s">
        <v>979</v>
      </c>
      <c r="AG56" t="s">
        <v>977</v>
      </c>
      <c r="AH56">
        <v>60</v>
      </c>
      <c r="AI56">
        <v>1191</v>
      </c>
      <c r="AJ56" t="s">
        <v>1429</v>
      </c>
      <c r="AK56">
        <v>0</v>
      </c>
      <c r="AL56" t="s">
        <v>978</v>
      </c>
      <c r="AM56" t="s">
        <v>979</v>
      </c>
      <c r="AN56">
        <v>0</v>
      </c>
      <c r="AO56" t="s">
        <v>257</v>
      </c>
      <c r="AP56">
        <v>0</v>
      </c>
      <c r="AQ56">
        <v>1</v>
      </c>
      <c r="AR56">
        <v>43</v>
      </c>
      <c r="AS56">
        <v>1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1</v>
      </c>
      <c r="AZ56" t="s">
        <v>257</v>
      </c>
      <c r="BA56" t="s">
        <v>980</v>
      </c>
      <c r="BB56" t="s">
        <v>1010</v>
      </c>
      <c r="BC56" t="s">
        <v>257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 t="s">
        <v>998</v>
      </c>
      <c r="BK56" t="s">
        <v>981</v>
      </c>
      <c r="BL56" t="s">
        <v>1423</v>
      </c>
      <c r="BM56">
        <v>20141002</v>
      </c>
      <c r="BN56">
        <v>20220131</v>
      </c>
      <c r="BO56">
        <v>20220131</v>
      </c>
      <c r="BP56" t="s">
        <v>257</v>
      </c>
      <c r="BQ56" t="s">
        <v>983</v>
      </c>
      <c r="BR56" t="s">
        <v>978</v>
      </c>
      <c r="BS56" t="s">
        <v>979</v>
      </c>
      <c r="BT56">
        <v>0</v>
      </c>
      <c r="BU56">
        <v>0</v>
      </c>
      <c r="BV56" t="s">
        <v>1013</v>
      </c>
      <c r="BW56" t="s">
        <v>257</v>
      </c>
      <c r="BX56">
        <v>0</v>
      </c>
      <c r="BY56" t="s">
        <v>980</v>
      </c>
      <c r="BZ56" t="s">
        <v>257</v>
      </c>
      <c r="CA56">
        <v>0</v>
      </c>
      <c r="CB56">
        <v>0</v>
      </c>
      <c r="CC56" t="s">
        <v>1430</v>
      </c>
      <c r="CD56">
        <v>0</v>
      </c>
      <c r="CE56">
        <v>0</v>
      </c>
      <c r="CF56">
        <v>0</v>
      </c>
      <c r="CG56">
        <v>0</v>
      </c>
      <c r="CH56">
        <v>0</v>
      </c>
      <c r="CI56" t="s">
        <v>983</v>
      </c>
      <c r="CJ56" t="s">
        <v>972</v>
      </c>
      <c r="CK56" t="s">
        <v>986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 t="s">
        <v>987</v>
      </c>
      <c r="CV56">
        <v>400008056</v>
      </c>
      <c r="CW56" t="s">
        <v>987</v>
      </c>
      <c r="CX56" t="s">
        <v>1081</v>
      </c>
      <c r="CY56" t="s">
        <v>989</v>
      </c>
    </row>
    <row r="57" spans="1:103" hidden="1" x14ac:dyDescent="0.25">
      <c r="A57">
        <v>410000057</v>
      </c>
      <c r="B57" t="s">
        <v>1431</v>
      </c>
      <c r="C57" t="s">
        <v>1432</v>
      </c>
      <c r="D57">
        <v>401100000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 t="s">
        <v>972</v>
      </c>
      <c r="Z57" t="s">
        <v>1433</v>
      </c>
      <c r="AA57" t="s">
        <v>1434</v>
      </c>
      <c r="AB57" t="s">
        <v>975</v>
      </c>
      <c r="AC57">
        <v>5377</v>
      </c>
      <c r="AD57" t="s">
        <v>1435</v>
      </c>
      <c r="AE57" t="s">
        <v>1436</v>
      </c>
      <c r="AF57" t="s">
        <v>1437</v>
      </c>
      <c r="AG57" t="s">
        <v>1438</v>
      </c>
      <c r="AH57">
        <v>90</v>
      </c>
      <c r="AI57">
        <v>46216</v>
      </c>
      <c r="AJ57" t="s">
        <v>1439</v>
      </c>
      <c r="AK57">
        <v>0</v>
      </c>
      <c r="AL57" t="s">
        <v>978</v>
      </c>
      <c r="AM57" t="s">
        <v>979</v>
      </c>
      <c r="AN57">
        <v>0</v>
      </c>
      <c r="AO57" t="s">
        <v>257</v>
      </c>
      <c r="AP57">
        <v>0</v>
      </c>
      <c r="AQ57">
        <v>1</v>
      </c>
      <c r="AR57">
        <v>43</v>
      </c>
      <c r="AS57">
        <v>1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1</v>
      </c>
      <c r="AZ57" t="s">
        <v>257</v>
      </c>
      <c r="BA57" t="s">
        <v>980</v>
      </c>
      <c r="BB57" t="s">
        <v>1010</v>
      </c>
      <c r="BC57" t="s">
        <v>257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410000704</v>
      </c>
      <c r="BJ57" t="s">
        <v>998</v>
      </c>
      <c r="BK57" t="s">
        <v>981</v>
      </c>
      <c r="BL57" t="s">
        <v>1431</v>
      </c>
      <c r="BM57">
        <v>20141002</v>
      </c>
      <c r="BN57">
        <v>20220131</v>
      </c>
      <c r="BO57">
        <v>20210830</v>
      </c>
      <c r="BP57" t="s">
        <v>257</v>
      </c>
      <c r="BQ57" t="s">
        <v>983</v>
      </c>
      <c r="BR57" t="s">
        <v>978</v>
      </c>
      <c r="BS57" t="s">
        <v>1440</v>
      </c>
      <c r="BT57">
        <v>0</v>
      </c>
      <c r="BU57">
        <v>0</v>
      </c>
      <c r="BV57" t="s">
        <v>984</v>
      </c>
      <c r="BW57" t="s">
        <v>257</v>
      </c>
      <c r="BX57">
        <v>0</v>
      </c>
      <c r="BY57" t="s">
        <v>980</v>
      </c>
      <c r="BZ57" t="s">
        <v>980</v>
      </c>
      <c r="CA57">
        <v>0</v>
      </c>
      <c r="CB57">
        <v>0</v>
      </c>
      <c r="CC57" t="s">
        <v>1033</v>
      </c>
      <c r="CD57">
        <v>0</v>
      </c>
      <c r="CE57">
        <v>0</v>
      </c>
      <c r="CF57">
        <v>0</v>
      </c>
      <c r="CG57">
        <v>0</v>
      </c>
      <c r="CH57">
        <v>0</v>
      </c>
      <c r="CI57" t="s">
        <v>983</v>
      </c>
      <c r="CJ57" t="s">
        <v>972</v>
      </c>
      <c r="CK57" t="s">
        <v>986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 t="s">
        <v>987</v>
      </c>
      <c r="CV57">
        <v>400008057</v>
      </c>
      <c r="CW57" t="s">
        <v>987</v>
      </c>
      <c r="CX57" t="s">
        <v>1441</v>
      </c>
      <c r="CY57" t="s">
        <v>989</v>
      </c>
    </row>
    <row r="58" spans="1:103" hidden="1" x14ac:dyDescent="0.25">
      <c r="A58">
        <v>410000058</v>
      </c>
      <c r="B58" t="s">
        <v>1442</v>
      </c>
      <c r="C58" t="s">
        <v>1443</v>
      </c>
      <c r="D58">
        <v>401100000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 t="s">
        <v>972</v>
      </c>
      <c r="Z58" t="s">
        <v>987</v>
      </c>
      <c r="AA58" t="s">
        <v>1444</v>
      </c>
      <c r="AB58" t="s">
        <v>975</v>
      </c>
      <c r="AC58">
        <v>4500</v>
      </c>
      <c r="AD58" t="s">
        <v>1445</v>
      </c>
      <c r="AE58" t="s">
        <v>1446</v>
      </c>
      <c r="AF58" t="s">
        <v>979</v>
      </c>
      <c r="AG58" t="s">
        <v>977</v>
      </c>
      <c r="AH58">
        <v>0</v>
      </c>
      <c r="AI58">
        <v>46732</v>
      </c>
      <c r="AJ58" t="s">
        <v>978</v>
      </c>
      <c r="AK58">
        <v>0</v>
      </c>
      <c r="AL58" t="s">
        <v>978</v>
      </c>
      <c r="AM58" t="s">
        <v>979</v>
      </c>
      <c r="AN58">
        <v>0</v>
      </c>
      <c r="AO58" t="s">
        <v>257</v>
      </c>
      <c r="AP58">
        <v>0</v>
      </c>
      <c r="AQ58">
        <v>1</v>
      </c>
      <c r="AR58">
        <v>43</v>
      </c>
      <c r="AS58">
        <v>1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1</v>
      </c>
      <c r="AZ58" t="s">
        <v>257</v>
      </c>
      <c r="BA58" t="s">
        <v>980</v>
      </c>
      <c r="BB58" t="s">
        <v>981</v>
      </c>
      <c r="BC58" t="s">
        <v>257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 t="s">
        <v>998</v>
      </c>
      <c r="BK58" t="s">
        <v>981</v>
      </c>
      <c r="BL58" t="s">
        <v>1442</v>
      </c>
      <c r="BM58">
        <v>20141002</v>
      </c>
      <c r="BN58">
        <v>20220131</v>
      </c>
      <c r="BO58">
        <v>0</v>
      </c>
      <c r="BP58" t="s">
        <v>257</v>
      </c>
      <c r="BQ58" t="s">
        <v>983</v>
      </c>
      <c r="BR58" t="s">
        <v>978</v>
      </c>
      <c r="BS58" t="s">
        <v>979</v>
      </c>
      <c r="BT58">
        <v>0</v>
      </c>
      <c r="BU58">
        <v>0</v>
      </c>
      <c r="BV58" t="s">
        <v>1013</v>
      </c>
      <c r="BW58" t="s">
        <v>257</v>
      </c>
      <c r="BX58">
        <v>0</v>
      </c>
      <c r="BY58" t="s">
        <v>980</v>
      </c>
      <c r="BZ58" t="s">
        <v>257</v>
      </c>
      <c r="CA58">
        <v>0</v>
      </c>
      <c r="CB58">
        <v>0</v>
      </c>
      <c r="CC58" t="s">
        <v>1070</v>
      </c>
      <c r="CD58">
        <v>0</v>
      </c>
      <c r="CE58">
        <v>0</v>
      </c>
      <c r="CF58">
        <v>0</v>
      </c>
      <c r="CG58">
        <v>0</v>
      </c>
      <c r="CH58">
        <v>0</v>
      </c>
      <c r="CI58" t="s">
        <v>983</v>
      </c>
      <c r="CJ58" t="s">
        <v>972</v>
      </c>
      <c r="CK58" t="s">
        <v>986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 t="s">
        <v>987</v>
      </c>
      <c r="CV58">
        <v>400008058</v>
      </c>
      <c r="CW58" t="s">
        <v>987</v>
      </c>
      <c r="CX58" t="s">
        <v>1447</v>
      </c>
      <c r="CY58" t="s">
        <v>989</v>
      </c>
    </row>
    <row r="59" spans="1:103" hidden="1" x14ac:dyDescent="0.25">
      <c r="A59">
        <v>410000059</v>
      </c>
      <c r="B59" t="s">
        <v>1448</v>
      </c>
      <c r="C59" t="s">
        <v>1449</v>
      </c>
      <c r="D59">
        <v>401100000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1</v>
      </c>
      <c r="Y59" t="s">
        <v>972</v>
      </c>
      <c r="Z59" t="s">
        <v>1450</v>
      </c>
      <c r="AA59" t="s">
        <v>1451</v>
      </c>
      <c r="AB59" t="s">
        <v>975</v>
      </c>
      <c r="AC59">
        <v>4910</v>
      </c>
      <c r="AD59" t="s">
        <v>1189</v>
      </c>
      <c r="AE59" t="s">
        <v>1452</v>
      </c>
      <c r="AF59" t="s">
        <v>1453</v>
      </c>
      <c r="AG59" t="s">
        <v>977</v>
      </c>
      <c r="AH59">
        <v>50</v>
      </c>
      <c r="AI59">
        <v>47762</v>
      </c>
      <c r="AJ59" t="s">
        <v>978</v>
      </c>
      <c r="AK59">
        <v>0</v>
      </c>
      <c r="AL59" t="s">
        <v>978</v>
      </c>
      <c r="AM59" t="s">
        <v>979</v>
      </c>
      <c r="AN59">
        <v>0</v>
      </c>
      <c r="AO59" t="s">
        <v>257</v>
      </c>
      <c r="AP59">
        <v>0</v>
      </c>
      <c r="AQ59">
        <v>1</v>
      </c>
      <c r="AR59">
        <v>43</v>
      </c>
      <c r="AS59">
        <v>1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1</v>
      </c>
      <c r="AZ59" t="s">
        <v>257</v>
      </c>
      <c r="BA59" t="s">
        <v>980</v>
      </c>
      <c r="BB59" t="s">
        <v>981</v>
      </c>
      <c r="BC59" t="s">
        <v>257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 t="s">
        <v>998</v>
      </c>
      <c r="BK59" t="s">
        <v>981</v>
      </c>
      <c r="BL59" t="s">
        <v>1448</v>
      </c>
      <c r="BM59">
        <v>20141002</v>
      </c>
      <c r="BN59">
        <v>20220131</v>
      </c>
      <c r="BO59">
        <v>0</v>
      </c>
      <c r="BP59" t="s">
        <v>257</v>
      </c>
      <c r="BQ59" t="s">
        <v>983</v>
      </c>
      <c r="BR59" t="s">
        <v>978</v>
      </c>
      <c r="BS59" t="s">
        <v>979</v>
      </c>
      <c r="BT59">
        <v>0</v>
      </c>
      <c r="BU59">
        <v>0</v>
      </c>
      <c r="BV59" t="s">
        <v>984</v>
      </c>
      <c r="BW59" t="s">
        <v>257</v>
      </c>
      <c r="BX59">
        <v>0</v>
      </c>
      <c r="BY59" t="s">
        <v>980</v>
      </c>
      <c r="BZ59" t="s">
        <v>980</v>
      </c>
      <c r="CA59">
        <v>0</v>
      </c>
      <c r="CB59">
        <v>0</v>
      </c>
      <c r="CC59" t="s">
        <v>1454</v>
      </c>
      <c r="CD59">
        <v>0</v>
      </c>
      <c r="CE59">
        <v>0</v>
      </c>
      <c r="CF59">
        <v>0</v>
      </c>
      <c r="CG59">
        <v>0</v>
      </c>
      <c r="CH59">
        <v>0</v>
      </c>
      <c r="CI59" t="s">
        <v>983</v>
      </c>
      <c r="CJ59" t="s">
        <v>972</v>
      </c>
      <c r="CK59" t="s">
        <v>986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 t="s">
        <v>987</v>
      </c>
      <c r="CV59">
        <v>400008059</v>
      </c>
      <c r="CW59" t="s">
        <v>987</v>
      </c>
      <c r="CX59" t="s">
        <v>1455</v>
      </c>
      <c r="CY59" t="s">
        <v>989</v>
      </c>
    </row>
    <row r="60" spans="1:103" hidden="1" x14ac:dyDescent="0.25">
      <c r="A60">
        <v>410000060</v>
      </c>
      <c r="B60" t="s">
        <v>1456</v>
      </c>
      <c r="C60" t="s">
        <v>1457</v>
      </c>
      <c r="D60">
        <v>401100000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 t="s">
        <v>972</v>
      </c>
      <c r="Z60" t="s">
        <v>987</v>
      </c>
      <c r="AA60" t="s">
        <v>1458</v>
      </c>
      <c r="AB60" t="s">
        <v>975</v>
      </c>
      <c r="AC60">
        <v>4040</v>
      </c>
      <c r="AD60" t="s">
        <v>976</v>
      </c>
      <c r="AE60" t="s">
        <v>1459</v>
      </c>
      <c r="AF60" t="s">
        <v>1460</v>
      </c>
      <c r="AG60" t="s">
        <v>977</v>
      </c>
      <c r="AH60">
        <v>0</v>
      </c>
      <c r="AI60">
        <v>10712</v>
      </c>
      <c r="AJ60" t="s">
        <v>978</v>
      </c>
      <c r="AK60">
        <v>0</v>
      </c>
      <c r="AL60" t="s">
        <v>978</v>
      </c>
      <c r="AM60" t="s">
        <v>979</v>
      </c>
      <c r="AN60">
        <v>0</v>
      </c>
      <c r="AO60" t="s">
        <v>980</v>
      </c>
      <c r="AP60">
        <v>30</v>
      </c>
      <c r="AQ60">
        <v>1</v>
      </c>
      <c r="AR60">
        <v>43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 t="s">
        <v>257</v>
      </c>
      <c r="BA60" t="s">
        <v>980</v>
      </c>
      <c r="BB60" t="s">
        <v>981</v>
      </c>
      <c r="BC60" t="s">
        <v>257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 t="s">
        <v>998</v>
      </c>
      <c r="BK60" t="s">
        <v>981</v>
      </c>
      <c r="BL60" t="s">
        <v>1456</v>
      </c>
      <c r="BM60">
        <v>20141002</v>
      </c>
      <c r="BN60">
        <v>20240226</v>
      </c>
      <c r="BO60">
        <v>0</v>
      </c>
      <c r="BP60" t="s">
        <v>257</v>
      </c>
      <c r="BQ60" t="s">
        <v>983</v>
      </c>
      <c r="BR60" t="s">
        <v>978</v>
      </c>
      <c r="BS60" t="s">
        <v>979</v>
      </c>
      <c r="BT60">
        <v>0</v>
      </c>
      <c r="BU60">
        <v>0</v>
      </c>
      <c r="BV60" t="s">
        <v>984</v>
      </c>
      <c r="BW60" t="s">
        <v>257</v>
      </c>
      <c r="BX60">
        <v>0</v>
      </c>
      <c r="BY60" t="s">
        <v>980</v>
      </c>
      <c r="BZ60" t="s">
        <v>257</v>
      </c>
      <c r="CA60">
        <v>0</v>
      </c>
      <c r="CB60">
        <v>0</v>
      </c>
      <c r="CC60" t="s">
        <v>985</v>
      </c>
      <c r="CD60">
        <v>0</v>
      </c>
      <c r="CE60">
        <v>0</v>
      </c>
      <c r="CF60">
        <v>0</v>
      </c>
      <c r="CG60">
        <v>0</v>
      </c>
      <c r="CH60">
        <v>0</v>
      </c>
      <c r="CI60" t="s">
        <v>983</v>
      </c>
      <c r="CJ60" t="s">
        <v>972</v>
      </c>
      <c r="CK60" t="s">
        <v>986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 t="s">
        <v>987</v>
      </c>
      <c r="CV60">
        <v>400008060</v>
      </c>
      <c r="CW60" t="s">
        <v>987</v>
      </c>
      <c r="CX60" t="s">
        <v>1461</v>
      </c>
      <c r="CY60" t="s">
        <v>989</v>
      </c>
    </row>
    <row r="61" spans="1:103" hidden="1" x14ac:dyDescent="0.25">
      <c r="A61">
        <v>410000061</v>
      </c>
      <c r="B61" t="s">
        <v>1462</v>
      </c>
      <c r="C61" t="s">
        <v>1463</v>
      </c>
      <c r="D61">
        <v>401100000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 t="s">
        <v>972</v>
      </c>
      <c r="Z61" t="s">
        <v>1464</v>
      </c>
      <c r="AA61" t="s">
        <v>1465</v>
      </c>
      <c r="AB61" t="s">
        <v>975</v>
      </c>
      <c r="AC61">
        <v>4400</v>
      </c>
      <c r="AD61" t="s">
        <v>1466</v>
      </c>
      <c r="AE61" t="s">
        <v>1467</v>
      </c>
      <c r="AF61" t="s">
        <v>1468</v>
      </c>
      <c r="AG61" t="s">
        <v>977</v>
      </c>
      <c r="AH61">
        <v>40</v>
      </c>
      <c r="AI61">
        <v>46900</v>
      </c>
      <c r="AJ61" t="s">
        <v>978</v>
      </c>
      <c r="AK61">
        <v>0</v>
      </c>
      <c r="AL61" t="s">
        <v>978</v>
      </c>
      <c r="AM61" t="s">
        <v>979</v>
      </c>
      <c r="AN61">
        <v>0</v>
      </c>
      <c r="AO61" t="s">
        <v>257</v>
      </c>
      <c r="AP61">
        <v>0</v>
      </c>
      <c r="AQ61">
        <v>1</v>
      </c>
      <c r="AR61">
        <v>69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1</v>
      </c>
      <c r="AZ61" t="s">
        <v>257</v>
      </c>
      <c r="BA61" t="s">
        <v>980</v>
      </c>
      <c r="BB61" t="s">
        <v>981</v>
      </c>
      <c r="BC61" t="s">
        <v>257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 t="s">
        <v>998</v>
      </c>
      <c r="BK61" t="s">
        <v>981</v>
      </c>
      <c r="BL61" t="s">
        <v>1462</v>
      </c>
      <c r="BM61">
        <v>20141002</v>
      </c>
      <c r="BN61">
        <v>20240910</v>
      </c>
      <c r="BO61">
        <v>0</v>
      </c>
      <c r="BP61" t="s">
        <v>257</v>
      </c>
      <c r="BQ61" t="s">
        <v>983</v>
      </c>
      <c r="BR61" t="s">
        <v>978</v>
      </c>
      <c r="BS61" t="s">
        <v>979</v>
      </c>
      <c r="BT61">
        <v>0</v>
      </c>
      <c r="BU61">
        <v>0</v>
      </c>
      <c r="BV61" t="s">
        <v>984</v>
      </c>
      <c r="BW61" t="s">
        <v>257</v>
      </c>
      <c r="BX61">
        <v>0</v>
      </c>
      <c r="BY61" t="s">
        <v>980</v>
      </c>
      <c r="BZ61" t="s">
        <v>257</v>
      </c>
      <c r="CA61">
        <v>0</v>
      </c>
      <c r="CB61">
        <v>0</v>
      </c>
      <c r="CC61" t="s">
        <v>1469</v>
      </c>
      <c r="CD61">
        <v>0</v>
      </c>
      <c r="CE61">
        <v>0</v>
      </c>
      <c r="CF61">
        <v>0</v>
      </c>
      <c r="CG61">
        <v>0</v>
      </c>
      <c r="CH61">
        <v>0</v>
      </c>
      <c r="CI61" t="s">
        <v>983</v>
      </c>
      <c r="CJ61" t="s">
        <v>972</v>
      </c>
      <c r="CK61" t="s">
        <v>986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 t="s">
        <v>987</v>
      </c>
      <c r="CV61">
        <v>400008061</v>
      </c>
      <c r="CW61" t="s">
        <v>987</v>
      </c>
      <c r="CX61" t="s">
        <v>1470</v>
      </c>
      <c r="CY61" t="s">
        <v>989</v>
      </c>
    </row>
    <row r="62" spans="1:103" hidden="1" x14ac:dyDescent="0.25">
      <c r="A62">
        <v>410000062</v>
      </c>
      <c r="B62" t="s">
        <v>1471</v>
      </c>
      <c r="C62" t="s">
        <v>1472</v>
      </c>
      <c r="D62">
        <v>401100000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 t="s">
        <v>972</v>
      </c>
      <c r="Z62" t="s">
        <v>987</v>
      </c>
      <c r="AA62" t="s">
        <v>1473</v>
      </c>
      <c r="AB62" t="s">
        <v>975</v>
      </c>
      <c r="AC62">
        <v>4430</v>
      </c>
      <c r="AD62" t="s">
        <v>1474</v>
      </c>
      <c r="AE62" t="s">
        <v>1475</v>
      </c>
      <c r="AF62" t="s">
        <v>1476</v>
      </c>
      <c r="AG62" t="s">
        <v>977</v>
      </c>
      <c r="AH62">
        <v>20</v>
      </c>
      <c r="AI62">
        <v>43222</v>
      </c>
      <c r="AJ62" t="s">
        <v>978</v>
      </c>
      <c r="AK62">
        <v>0</v>
      </c>
      <c r="AL62" t="s">
        <v>978</v>
      </c>
      <c r="AM62" t="s">
        <v>979</v>
      </c>
      <c r="AN62">
        <v>0</v>
      </c>
      <c r="AO62" t="s">
        <v>257</v>
      </c>
      <c r="AP62">
        <v>0</v>
      </c>
      <c r="AQ62">
        <v>1</v>
      </c>
      <c r="AR62">
        <v>43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 t="s">
        <v>257</v>
      </c>
      <c r="BA62" t="s">
        <v>980</v>
      </c>
      <c r="BB62" t="s">
        <v>981</v>
      </c>
      <c r="BC62" t="s">
        <v>257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 t="s">
        <v>998</v>
      </c>
      <c r="BK62" t="s">
        <v>981</v>
      </c>
      <c r="BL62" t="s">
        <v>1471</v>
      </c>
      <c r="BM62">
        <v>20141002</v>
      </c>
      <c r="BN62">
        <v>20220131</v>
      </c>
      <c r="BO62">
        <v>0</v>
      </c>
      <c r="BP62" t="s">
        <v>257</v>
      </c>
      <c r="BQ62" t="s">
        <v>983</v>
      </c>
      <c r="BR62" t="s">
        <v>978</v>
      </c>
      <c r="BS62" t="s">
        <v>979</v>
      </c>
      <c r="BT62">
        <v>0</v>
      </c>
      <c r="BU62">
        <v>0</v>
      </c>
      <c r="BV62" t="s">
        <v>1013</v>
      </c>
      <c r="BW62" t="s">
        <v>257</v>
      </c>
      <c r="BX62">
        <v>0</v>
      </c>
      <c r="BY62" t="s">
        <v>980</v>
      </c>
      <c r="BZ62" t="s">
        <v>257</v>
      </c>
      <c r="CA62">
        <v>0</v>
      </c>
      <c r="CB62">
        <v>0</v>
      </c>
      <c r="CC62" t="s">
        <v>1119</v>
      </c>
      <c r="CD62">
        <v>0</v>
      </c>
      <c r="CE62">
        <v>0</v>
      </c>
      <c r="CF62">
        <v>0</v>
      </c>
      <c r="CG62">
        <v>0</v>
      </c>
      <c r="CH62">
        <v>0</v>
      </c>
      <c r="CI62" t="s">
        <v>983</v>
      </c>
      <c r="CJ62" t="s">
        <v>972</v>
      </c>
      <c r="CK62" t="s">
        <v>986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 t="s">
        <v>987</v>
      </c>
      <c r="CV62">
        <v>400008062</v>
      </c>
      <c r="CW62" t="s">
        <v>987</v>
      </c>
      <c r="CX62" t="s">
        <v>1081</v>
      </c>
      <c r="CY62" t="s">
        <v>989</v>
      </c>
    </row>
    <row r="63" spans="1:103" hidden="1" x14ac:dyDescent="0.25">
      <c r="A63">
        <v>410000063</v>
      </c>
      <c r="B63" t="s">
        <v>1477</v>
      </c>
      <c r="C63" t="s">
        <v>1478</v>
      </c>
      <c r="D63">
        <v>401100000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1</v>
      </c>
      <c r="Y63" t="s">
        <v>972</v>
      </c>
      <c r="Z63" t="s">
        <v>987</v>
      </c>
      <c r="AA63" t="s">
        <v>1479</v>
      </c>
      <c r="AB63" t="s">
        <v>975</v>
      </c>
      <c r="AC63">
        <v>4651</v>
      </c>
      <c r="AD63" t="s">
        <v>1093</v>
      </c>
      <c r="AE63">
        <v>3287333422</v>
      </c>
      <c r="AF63" t="s">
        <v>979</v>
      </c>
      <c r="AG63" t="s">
        <v>977</v>
      </c>
      <c r="AH63">
        <v>0</v>
      </c>
      <c r="AI63">
        <v>28220</v>
      </c>
      <c r="AJ63" t="s">
        <v>978</v>
      </c>
      <c r="AK63">
        <v>0</v>
      </c>
      <c r="AL63" t="s">
        <v>978</v>
      </c>
      <c r="AM63" t="s">
        <v>979</v>
      </c>
      <c r="AN63">
        <v>0</v>
      </c>
      <c r="AO63" t="s">
        <v>257</v>
      </c>
      <c r="AP63">
        <v>0</v>
      </c>
      <c r="AQ63">
        <v>1</v>
      </c>
      <c r="AR63">
        <v>43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1</v>
      </c>
      <c r="AZ63" t="s">
        <v>257</v>
      </c>
      <c r="BA63" t="s">
        <v>980</v>
      </c>
      <c r="BB63" t="s">
        <v>981</v>
      </c>
      <c r="BC63" t="s">
        <v>257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 t="s">
        <v>998</v>
      </c>
      <c r="BK63" t="s">
        <v>981</v>
      </c>
      <c r="BL63" t="s">
        <v>1477</v>
      </c>
      <c r="BM63">
        <v>20141002</v>
      </c>
      <c r="BN63">
        <v>20220131</v>
      </c>
      <c r="BO63">
        <v>0</v>
      </c>
      <c r="BP63" t="s">
        <v>257</v>
      </c>
      <c r="BQ63" t="s">
        <v>983</v>
      </c>
      <c r="BR63" t="s">
        <v>978</v>
      </c>
      <c r="BS63" t="s">
        <v>1480</v>
      </c>
      <c r="BT63">
        <v>0</v>
      </c>
      <c r="BU63">
        <v>0</v>
      </c>
      <c r="BV63" t="s">
        <v>984</v>
      </c>
      <c r="BW63" t="s">
        <v>257</v>
      </c>
      <c r="BX63">
        <v>0</v>
      </c>
      <c r="BY63" t="s">
        <v>980</v>
      </c>
      <c r="BZ63" t="s">
        <v>257</v>
      </c>
      <c r="CA63">
        <v>0</v>
      </c>
      <c r="CB63">
        <v>0</v>
      </c>
      <c r="CC63" t="s">
        <v>1113</v>
      </c>
      <c r="CD63">
        <v>0</v>
      </c>
      <c r="CE63">
        <v>0</v>
      </c>
      <c r="CF63">
        <v>0</v>
      </c>
      <c r="CG63">
        <v>0</v>
      </c>
      <c r="CH63">
        <v>0</v>
      </c>
      <c r="CI63" t="s">
        <v>983</v>
      </c>
      <c r="CJ63" t="s">
        <v>972</v>
      </c>
      <c r="CK63" t="s">
        <v>986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 t="s">
        <v>987</v>
      </c>
      <c r="CV63">
        <v>400008063</v>
      </c>
      <c r="CW63" t="s">
        <v>987</v>
      </c>
      <c r="CX63" t="s">
        <v>1481</v>
      </c>
      <c r="CY63" t="s">
        <v>989</v>
      </c>
    </row>
    <row r="64" spans="1:103" hidden="1" x14ac:dyDescent="0.25">
      <c r="A64">
        <v>410000064</v>
      </c>
      <c r="B64" t="s">
        <v>1482</v>
      </c>
      <c r="C64" t="s">
        <v>1483</v>
      </c>
      <c r="D64">
        <v>401100000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1</v>
      </c>
      <c r="Y64" t="s">
        <v>972</v>
      </c>
      <c r="Z64" t="s">
        <v>987</v>
      </c>
      <c r="AA64" t="s">
        <v>1484</v>
      </c>
      <c r="AB64" t="s">
        <v>975</v>
      </c>
      <c r="AC64">
        <v>4970</v>
      </c>
      <c r="AD64" t="s">
        <v>1485</v>
      </c>
      <c r="AE64" t="s">
        <v>1486</v>
      </c>
      <c r="AF64" t="s">
        <v>1487</v>
      </c>
      <c r="AG64" t="s">
        <v>977</v>
      </c>
      <c r="AH64">
        <v>30</v>
      </c>
      <c r="AI64">
        <v>10520</v>
      </c>
      <c r="AJ64" t="s">
        <v>1488</v>
      </c>
      <c r="AK64" t="s">
        <v>1489</v>
      </c>
      <c r="AL64" t="s">
        <v>978</v>
      </c>
      <c r="AM64" t="s">
        <v>979</v>
      </c>
      <c r="AN64">
        <v>0</v>
      </c>
      <c r="AO64" t="s">
        <v>257</v>
      </c>
      <c r="AP64">
        <v>0</v>
      </c>
      <c r="AQ64">
        <v>1</v>
      </c>
      <c r="AR64">
        <v>43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1</v>
      </c>
      <c r="AZ64" t="s">
        <v>257</v>
      </c>
      <c r="BA64" t="s">
        <v>980</v>
      </c>
      <c r="BB64" t="s">
        <v>981</v>
      </c>
      <c r="BC64" t="s">
        <v>257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 t="s">
        <v>998</v>
      </c>
      <c r="BK64" t="s">
        <v>981</v>
      </c>
      <c r="BL64" t="s">
        <v>1482</v>
      </c>
      <c r="BM64">
        <v>20141002</v>
      </c>
      <c r="BN64">
        <v>20220131</v>
      </c>
      <c r="BO64">
        <v>0</v>
      </c>
      <c r="BP64" t="s">
        <v>257</v>
      </c>
      <c r="BQ64" t="s">
        <v>983</v>
      </c>
      <c r="BR64" t="s">
        <v>978</v>
      </c>
      <c r="BS64" t="s">
        <v>1490</v>
      </c>
      <c r="BT64">
        <v>0</v>
      </c>
      <c r="BU64">
        <v>0</v>
      </c>
      <c r="BV64" t="s">
        <v>1013</v>
      </c>
      <c r="BW64" t="s">
        <v>257</v>
      </c>
      <c r="BX64">
        <v>0</v>
      </c>
      <c r="BY64" t="s">
        <v>980</v>
      </c>
      <c r="BZ64" t="s">
        <v>257</v>
      </c>
      <c r="CA64">
        <v>0</v>
      </c>
      <c r="CB64">
        <v>0</v>
      </c>
      <c r="CC64" t="s">
        <v>1491</v>
      </c>
      <c r="CD64">
        <v>0</v>
      </c>
      <c r="CE64">
        <v>0</v>
      </c>
      <c r="CF64">
        <v>0</v>
      </c>
      <c r="CG64">
        <v>0</v>
      </c>
      <c r="CH64">
        <v>0</v>
      </c>
      <c r="CI64" t="s">
        <v>983</v>
      </c>
      <c r="CJ64" t="s">
        <v>972</v>
      </c>
      <c r="CK64" t="s">
        <v>986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 t="s">
        <v>987</v>
      </c>
      <c r="CV64">
        <v>400008064</v>
      </c>
      <c r="CW64" t="s">
        <v>987</v>
      </c>
      <c r="CX64" t="s">
        <v>1081</v>
      </c>
      <c r="CY64" t="s">
        <v>989</v>
      </c>
    </row>
    <row r="65" spans="1:103" hidden="1" x14ac:dyDescent="0.25">
      <c r="A65">
        <v>410000065</v>
      </c>
      <c r="B65" t="s">
        <v>1492</v>
      </c>
      <c r="C65" t="s">
        <v>1493</v>
      </c>
      <c r="D65">
        <v>401100000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1</v>
      </c>
      <c r="Y65" t="s">
        <v>1494</v>
      </c>
      <c r="Z65" t="s">
        <v>987</v>
      </c>
      <c r="AA65" t="s">
        <v>1495</v>
      </c>
      <c r="AB65" t="s">
        <v>975</v>
      </c>
      <c r="AC65">
        <v>4620</v>
      </c>
      <c r="AD65" t="s">
        <v>1368</v>
      </c>
      <c r="AE65" t="s">
        <v>1496</v>
      </c>
      <c r="AF65" t="s">
        <v>1497</v>
      </c>
      <c r="AG65" t="s">
        <v>977</v>
      </c>
      <c r="AH65">
        <v>40</v>
      </c>
      <c r="AI65">
        <v>87301</v>
      </c>
      <c r="AJ65" t="s">
        <v>1498</v>
      </c>
      <c r="AK65">
        <v>0</v>
      </c>
      <c r="AL65" t="s">
        <v>978</v>
      </c>
      <c r="AM65" t="s">
        <v>979</v>
      </c>
      <c r="AN65">
        <v>0</v>
      </c>
      <c r="AO65" t="s">
        <v>257</v>
      </c>
      <c r="AP65">
        <v>0</v>
      </c>
      <c r="AQ65">
        <v>1</v>
      </c>
      <c r="AR65">
        <v>43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1</v>
      </c>
      <c r="AZ65" t="s">
        <v>257</v>
      </c>
      <c r="BA65" t="s">
        <v>980</v>
      </c>
      <c r="BB65" t="s">
        <v>1010</v>
      </c>
      <c r="BC65" t="s">
        <v>257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 t="s">
        <v>998</v>
      </c>
      <c r="BK65" t="s">
        <v>981</v>
      </c>
      <c r="BL65" t="s">
        <v>1492</v>
      </c>
      <c r="BM65">
        <v>20141002</v>
      </c>
      <c r="BN65">
        <v>20220131</v>
      </c>
      <c r="BO65">
        <v>20220131</v>
      </c>
      <c r="BP65" t="s">
        <v>257</v>
      </c>
      <c r="BQ65" t="s">
        <v>983</v>
      </c>
      <c r="BR65" t="s">
        <v>978</v>
      </c>
      <c r="BS65" t="s">
        <v>979</v>
      </c>
      <c r="BT65">
        <v>0</v>
      </c>
      <c r="BU65">
        <v>0</v>
      </c>
      <c r="BV65" t="s">
        <v>1013</v>
      </c>
      <c r="BW65" t="s">
        <v>257</v>
      </c>
      <c r="BX65">
        <v>0</v>
      </c>
      <c r="BY65" t="s">
        <v>980</v>
      </c>
      <c r="BZ65" t="s">
        <v>257</v>
      </c>
      <c r="CA65">
        <v>0</v>
      </c>
      <c r="CB65">
        <v>0</v>
      </c>
      <c r="CC65" t="s">
        <v>1499</v>
      </c>
      <c r="CD65">
        <v>0</v>
      </c>
      <c r="CE65">
        <v>0</v>
      </c>
      <c r="CF65">
        <v>0</v>
      </c>
      <c r="CG65">
        <v>0</v>
      </c>
      <c r="CH65">
        <v>0</v>
      </c>
      <c r="CI65" t="s">
        <v>983</v>
      </c>
      <c r="CJ65" t="s">
        <v>972</v>
      </c>
      <c r="CK65" t="s">
        <v>986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 t="s">
        <v>987</v>
      </c>
      <c r="CV65">
        <v>400008065</v>
      </c>
      <c r="CW65" t="s">
        <v>987</v>
      </c>
      <c r="CX65" t="s">
        <v>1081</v>
      </c>
      <c r="CY65" t="s">
        <v>989</v>
      </c>
    </row>
    <row r="66" spans="1:103" hidden="1" x14ac:dyDescent="0.25">
      <c r="A66">
        <v>410000066</v>
      </c>
      <c r="B66" t="s">
        <v>1500</v>
      </c>
      <c r="C66" t="s">
        <v>1501</v>
      </c>
      <c r="D66">
        <v>401100000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 t="s">
        <v>972</v>
      </c>
      <c r="Z66" t="s">
        <v>987</v>
      </c>
      <c r="AA66" t="s">
        <v>1502</v>
      </c>
      <c r="AB66" t="s">
        <v>975</v>
      </c>
      <c r="AC66">
        <v>1360</v>
      </c>
      <c r="AD66" t="s">
        <v>1503</v>
      </c>
      <c r="AE66" t="s">
        <v>1504</v>
      </c>
      <c r="AF66" t="s">
        <v>1505</v>
      </c>
      <c r="AG66" t="s">
        <v>977</v>
      </c>
      <c r="AH66">
        <v>12</v>
      </c>
      <c r="AI66">
        <v>46331</v>
      </c>
      <c r="AJ66" t="s">
        <v>1506</v>
      </c>
      <c r="AK66">
        <v>0</v>
      </c>
      <c r="AL66" t="s">
        <v>978</v>
      </c>
      <c r="AM66" t="s">
        <v>979</v>
      </c>
      <c r="AN66">
        <v>0</v>
      </c>
      <c r="AO66" t="s">
        <v>257</v>
      </c>
      <c r="AP66">
        <v>0</v>
      </c>
      <c r="AQ66">
        <v>1</v>
      </c>
      <c r="AR66">
        <v>43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1</v>
      </c>
      <c r="AZ66" t="s">
        <v>257</v>
      </c>
      <c r="BA66" t="s">
        <v>980</v>
      </c>
      <c r="BB66" t="s">
        <v>981</v>
      </c>
      <c r="BC66" t="s">
        <v>257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 t="s">
        <v>998</v>
      </c>
      <c r="BK66" t="s">
        <v>981</v>
      </c>
      <c r="BL66" t="s">
        <v>1500</v>
      </c>
      <c r="BM66">
        <v>20141002</v>
      </c>
      <c r="BN66">
        <v>20250911</v>
      </c>
      <c r="BO66">
        <v>0</v>
      </c>
      <c r="BP66" t="s">
        <v>257</v>
      </c>
      <c r="BQ66" t="s">
        <v>983</v>
      </c>
      <c r="BR66" t="s">
        <v>978</v>
      </c>
      <c r="BS66" t="s">
        <v>979</v>
      </c>
      <c r="BT66">
        <v>0</v>
      </c>
      <c r="BU66">
        <v>0</v>
      </c>
      <c r="BV66" t="s">
        <v>984</v>
      </c>
      <c r="BW66" t="s">
        <v>257</v>
      </c>
      <c r="BX66">
        <v>0</v>
      </c>
      <c r="BY66" t="s">
        <v>980</v>
      </c>
      <c r="BZ66" t="s">
        <v>257</v>
      </c>
      <c r="CA66">
        <v>0</v>
      </c>
      <c r="CB66">
        <v>0</v>
      </c>
      <c r="CC66" t="s">
        <v>1507</v>
      </c>
      <c r="CD66">
        <v>0</v>
      </c>
      <c r="CE66">
        <v>0</v>
      </c>
      <c r="CF66">
        <v>0</v>
      </c>
      <c r="CG66">
        <v>0</v>
      </c>
      <c r="CH66">
        <v>0</v>
      </c>
      <c r="CI66" t="s">
        <v>983</v>
      </c>
      <c r="CJ66" t="s">
        <v>972</v>
      </c>
      <c r="CK66" t="s">
        <v>986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 t="s">
        <v>987</v>
      </c>
      <c r="CV66">
        <v>400008066</v>
      </c>
      <c r="CW66" t="s">
        <v>987</v>
      </c>
      <c r="CX66" t="s">
        <v>7318</v>
      </c>
      <c r="CY66" t="s">
        <v>989</v>
      </c>
    </row>
    <row r="67" spans="1:103" hidden="1" x14ac:dyDescent="0.25">
      <c r="A67">
        <v>410000067</v>
      </c>
      <c r="B67" t="s">
        <v>1508</v>
      </c>
      <c r="C67" t="s">
        <v>1509</v>
      </c>
      <c r="D67">
        <v>401100000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 t="s">
        <v>972</v>
      </c>
      <c r="Z67" t="s">
        <v>987</v>
      </c>
      <c r="AA67" t="s">
        <v>1510</v>
      </c>
      <c r="AB67" t="s">
        <v>975</v>
      </c>
      <c r="AC67">
        <v>4631</v>
      </c>
      <c r="AD67" t="s">
        <v>1511</v>
      </c>
      <c r="AE67" t="s">
        <v>1512</v>
      </c>
      <c r="AF67" t="s">
        <v>1513</v>
      </c>
      <c r="AG67" t="s">
        <v>977</v>
      </c>
      <c r="AH67">
        <v>15</v>
      </c>
      <c r="AI67">
        <v>77399</v>
      </c>
      <c r="AJ67" t="s">
        <v>1514</v>
      </c>
      <c r="AK67">
        <v>0</v>
      </c>
      <c r="AL67" t="s">
        <v>978</v>
      </c>
      <c r="AM67" t="s">
        <v>979</v>
      </c>
      <c r="AN67">
        <v>0</v>
      </c>
      <c r="AO67" t="s">
        <v>257</v>
      </c>
      <c r="AP67">
        <v>0</v>
      </c>
      <c r="AQ67">
        <v>1</v>
      </c>
      <c r="AR67">
        <v>43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 t="s">
        <v>257</v>
      </c>
      <c r="BA67" t="s">
        <v>980</v>
      </c>
      <c r="BB67" t="s">
        <v>1010</v>
      </c>
      <c r="BC67" t="s">
        <v>257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 t="s">
        <v>998</v>
      </c>
      <c r="BK67" t="s">
        <v>981</v>
      </c>
      <c r="BL67" t="s">
        <v>1508</v>
      </c>
      <c r="BM67">
        <v>20141002</v>
      </c>
      <c r="BN67">
        <v>20220131</v>
      </c>
      <c r="BO67">
        <v>20220131</v>
      </c>
      <c r="BP67" t="s">
        <v>257</v>
      </c>
      <c r="BQ67" t="s">
        <v>983</v>
      </c>
      <c r="BR67" t="s">
        <v>978</v>
      </c>
      <c r="BS67" t="s">
        <v>1515</v>
      </c>
      <c r="BT67">
        <v>0</v>
      </c>
      <c r="BU67">
        <v>0</v>
      </c>
      <c r="BV67" t="s">
        <v>1013</v>
      </c>
      <c r="BW67" t="s">
        <v>257</v>
      </c>
      <c r="BX67">
        <v>0</v>
      </c>
      <c r="BY67" t="s">
        <v>980</v>
      </c>
      <c r="BZ67" t="s">
        <v>257</v>
      </c>
      <c r="CA67">
        <v>0</v>
      </c>
      <c r="CB67">
        <v>0</v>
      </c>
      <c r="CC67" t="s">
        <v>1317</v>
      </c>
      <c r="CD67">
        <v>0</v>
      </c>
      <c r="CE67">
        <v>0</v>
      </c>
      <c r="CF67">
        <v>0</v>
      </c>
      <c r="CG67">
        <v>0</v>
      </c>
      <c r="CH67">
        <v>0</v>
      </c>
      <c r="CI67" t="s">
        <v>983</v>
      </c>
      <c r="CJ67" t="s">
        <v>972</v>
      </c>
      <c r="CK67" t="s">
        <v>986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 t="s">
        <v>987</v>
      </c>
      <c r="CV67">
        <v>400008067</v>
      </c>
      <c r="CW67" t="s">
        <v>987</v>
      </c>
      <c r="CX67" t="s">
        <v>1081</v>
      </c>
      <c r="CY67" t="s">
        <v>989</v>
      </c>
    </row>
    <row r="68" spans="1:103" hidden="1" x14ac:dyDescent="0.25">
      <c r="A68">
        <v>410000068</v>
      </c>
      <c r="B68" t="s">
        <v>1516</v>
      </c>
      <c r="C68" t="s">
        <v>978</v>
      </c>
      <c r="D68">
        <v>401100000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</v>
      </c>
      <c r="W68">
        <v>1</v>
      </c>
      <c r="X68">
        <v>1</v>
      </c>
      <c r="Y68" t="s">
        <v>972</v>
      </c>
      <c r="Z68" t="s">
        <v>987</v>
      </c>
      <c r="AA68" t="s">
        <v>1517</v>
      </c>
      <c r="AB68" t="s">
        <v>975</v>
      </c>
      <c r="AC68">
        <v>4000</v>
      </c>
      <c r="AD68" t="s">
        <v>1019</v>
      </c>
      <c r="AE68" t="s">
        <v>1518</v>
      </c>
      <c r="AF68" t="s">
        <v>1519</v>
      </c>
      <c r="AG68" t="s">
        <v>977</v>
      </c>
      <c r="AH68">
        <v>30</v>
      </c>
      <c r="AI68" t="s">
        <v>1031</v>
      </c>
      <c r="AJ68" t="s">
        <v>978</v>
      </c>
      <c r="AK68">
        <v>0</v>
      </c>
      <c r="AL68" t="s">
        <v>978</v>
      </c>
      <c r="AM68" t="s">
        <v>979</v>
      </c>
      <c r="AN68">
        <v>0</v>
      </c>
      <c r="AO68" t="s">
        <v>257</v>
      </c>
      <c r="AP68">
        <v>0</v>
      </c>
      <c r="AQ68">
        <v>1</v>
      </c>
      <c r="AR68">
        <v>43</v>
      </c>
      <c r="AS68">
        <v>1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1</v>
      </c>
      <c r="AZ68" t="s">
        <v>257</v>
      </c>
      <c r="BA68" t="s">
        <v>980</v>
      </c>
      <c r="BB68" t="s">
        <v>981</v>
      </c>
      <c r="BC68" t="s">
        <v>257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 t="s">
        <v>998</v>
      </c>
      <c r="BK68" t="s">
        <v>981</v>
      </c>
      <c r="BL68" t="s">
        <v>1516</v>
      </c>
      <c r="BM68">
        <v>20141002</v>
      </c>
      <c r="BN68">
        <v>20220131</v>
      </c>
      <c r="BO68">
        <v>0</v>
      </c>
      <c r="BP68" t="s">
        <v>257</v>
      </c>
      <c r="BQ68" t="s">
        <v>983</v>
      </c>
      <c r="BR68" t="s">
        <v>978</v>
      </c>
      <c r="BS68" t="s">
        <v>979</v>
      </c>
      <c r="BT68">
        <v>0</v>
      </c>
      <c r="BU68">
        <v>0</v>
      </c>
      <c r="BV68" t="s">
        <v>1013</v>
      </c>
      <c r="BW68" t="s">
        <v>257</v>
      </c>
      <c r="BX68">
        <v>0</v>
      </c>
      <c r="BY68" t="s">
        <v>980</v>
      </c>
      <c r="BZ68" t="s">
        <v>257</v>
      </c>
      <c r="CA68">
        <v>0</v>
      </c>
      <c r="CB68">
        <v>0</v>
      </c>
      <c r="CC68" t="s">
        <v>1391</v>
      </c>
      <c r="CD68">
        <v>0</v>
      </c>
      <c r="CE68">
        <v>0</v>
      </c>
      <c r="CF68">
        <v>0</v>
      </c>
      <c r="CG68">
        <v>0</v>
      </c>
      <c r="CH68">
        <v>0</v>
      </c>
      <c r="CI68" t="s">
        <v>983</v>
      </c>
      <c r="CJ68" t="s">
        <v>972</v>
      </c>
      <c r="CK68" t="s">
        <v>986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 t="s">
        <v>987</v>
      </c>
      <c r="CV68">
        <v>400008068</v>
      </c>
      <c r="CW68" t="s">
        <v>987</v>
      </c>
      <c r="CX68" t="s">
        <v>1081</v>
      </c>
      <c r="CY68" t="s">
        <v>989</v>
      </c>
    </row>
    <row r="69" spans="1:103" hidden="1" x14ac:dyDescent="0.25">
      <c r="A69">
        <v>410000069</v>
      </c>
      <c r="B69" t="s">
        <v>1520</v>
      </c>
      <c r="C69" t="s">
        <v>1521</v>
      </c>
      <c r="D69">
        <v>401100000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 t="s">
        <v>972</v>
      </c>
      <c r="Z69" t="s">
        <v>987</v>
      </c>
      <c r="AA69" t="s">
        <v>1522</v>
      </c>
      <c r="AB69" t="s">
        <v>975</v>
      </c>
      <c r="AC69">
        <v>6690</v>
      </c>
      <c r="AD69" t="s">
        <v>1523</v>
      </c>
      <c r="AE69" t="s">
        <v>1524</v>
      </c>
      <c r="AF69" t="s">
        <v>1525</v>
      </c>
      <c r="AG69" t="s">
        <v>977</v>
      </c>
      <c r="AH69">
        <v>120</v>
      </c>
      <c r="AI69">
        <v>47521</v>
      </c>
      <c r="AJ69" t="s">
        <v>1526</v>
      </c>
      <c r="AK69">
        <v>0</v>
      </c>
      <c r="AL69" t="s">
        <v>978</v>
      </c>
      <c r="AM69" t="s">
        <v>979</v>
      </c>
      <c r="AN69">
        <v>0</v>
      </c>
      <c r="AO69" t="s">
        <v>257</v>
      </c>
      <c r="AP69">
        <v>0</v>
      </c>
      <c r="AQ69">
        <v>1</v>
      </c>
      <c r="AR69">
        <v>43</v>
      </c>
      <c r="AS69">
        <v>1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1</v>
      </c>
      <c r="AZ69" t="s">
        <v>257</v>
      </c>
      <c r="BA69" t="s">
        <v>980</v>
      </c>
      <c r="BB69" t="s">
        <v>981</v>
      </c>
      <c r="BC69" t="s">
        <v>257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 t="s">
        <v>998</v>
      </c>
      <c r="BK69" t="s">
        <v>981</v>
      </c>
      <c r="BL69" t="s">
        <v>1520</v>
      </c>
      <c r="BM69">
        <v>20141003</v>
      </c>
      <c r="BN69">
        <v>20220131</v>
      </c>
      <c r="BO69">
        <v>0</v>
      </c>
      <c r="BP69" t="s">
        <v>257</v>
      </c>
      <c r="BQ69" t="s">
        <v>983</v>
      </c>
      <c r="BR69" t="s">
        <v>978</v>
      </c>
      <c r="BS69" t="s">
        <v>979</v>
      </c>
      <c r="BT69">
        <v>0</v>
      </c>
      <c r="BU69">
        <v>0</v>
      </c>
      <c r="BV69" t="s">
        <v>1013</v>
      </c>
      <c r="BW69" t="s">
        <v>257</v>
      </c>
      <c r="BX69">
        <v>0</v>
      </c>
      <c r="BY69" t="s">
        <v>980</v>
      </c>
      <c r="BZ69" t="s">
        <v>257</v>
      </c>
      <c r="CA69">
        <v>0</v>
      </c>
      <c r="CB69">
        <v>0</v>
      </c>
      <c r="CC69" t="s">
        <v>1033</v>
      </c>
      <c r="CD69">
        <v>0</v>
      </c>
      <c r="CE69">
        <v>0</v>
      </c>
      <c r="CF69">
        <v>0</v>
      </c>
      <c r="CG69">
        <v>0</v>
      </c>
      <c r="CH69">
        <v>0</v>
      </c>
      <c r="CI69" t="s">
        <v>983</v>
      </c>
      <c r="CJ69" t="s">
        <v>972</v>
      </c>
      <c r="CK69" t="s">
        <v>986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 t="s">
        <v>987</v>
      </c>
      <c r="CV69">
        <v>400008069</v>
      </c>
      <c r="CW69" t="s">
        <v>987</v>
      </c>
      <c r="CX69" t="s">
        <v>1081</v>
      </c>
      <c r="CY69" t="s">
        <v>989</v>
      </c>
    </row>
    <row r="70" spans="1:103" hidden="1" x14ac:dyDescent="0.25">
      <c r="A70">
        <v>410000070</v>
      </c>
      <c r="B70" t="s">
        <v>1527</v>
      </c>
      <c r="C70" t="s">
        <v>1528</v>
      </c>
      <c r="D70">
        <v>401100000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1</v>
      </c>
      <c r="Y70" t="s">
        <v>972</v>
      </c>
      <c r="Z70" t="s">
        <v>1529</v>
      </c>
      <c r="AA70" t="s">
        <v>1530</v>
      </c>
      <c r="AB70" t="s">
        <v>975</v>
      </c>
      <c r="AC70">
        <v>4841</v>
      </c>
      <c r="AD70" t="s">
        <v>1531</v>
      </c>
      <c r="AE70" t="s">
        <v>1532</v>
      </c>
      <c r="AF70" t="s">
        <v>1533</v>
      </c>
      <c r="AG70" t="s">
        <v>977</v>
      </c>
      <c r="AH70">
        <v>40</v>
      </c>
      <c r="AI70">
        <v>43222</v>
      </c>
      <c r="AJ70" t="s">
        <v>1534</v>
      </c>
      <c r="AK70">
        <v>122</v>
      </c>
      <c r="AL70" t="s">
        <v>978</v>
      </c>
      <c r="AM70" t="s">
        <v>979</v>
      </c>
      <c r="AN70">
        <v>0</v>
      </c>
      <c r="AO70" t="s">
        <v>257</v>
      </c>
      <c r="AP70">
        <v>0</v>
      </c>
      <c r="AQ70">
        <v>1</v>
      </c>
      <c r="AR70">
        <v>43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1</v>
      </c>
      <c r="AZ70" t="s">
        <v>257</v>
      </c>
      <c r="BA70" t="s">
        <v>257</v>
      </c>
      <c r="BB70" t="s">
        <v>981</v>
      </c>
      <c r="BC70" t="s">
        <v>257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 t="s">
        <v>998</v>
      </c>
      <c r="BK70" t="s">
        <v>981</v>
      </c>
      <c r="BL70" t="s">
        <v>1527</v>
      </c>
      <c r="BM70">
        <v>20141003</v>
      </c>
      <c r="BN70">
        <v>20260107</v>
      </c>
      <c r="BO70">
        <v>0</v>
      </c>
      <c r="BP70" t="s">
        <v>257</v>
      </c>
      <c r="BQ70" t="s">
        <v>983</v>
      </c>
      <c r="BR70" t="s">
        <v>978</v>
      </c>
      <c r="BS70" t="s">
        <v>1535</v>
      </c>
      <c r="BT70">
        <v>0</v>
      </c>
      <c r="BU70">
        <v>0</v>
      </c>
      <c r="BV70" t="s">
        <v>7697</v>
      </c>
      <c r="BW70" t="s">
        <v>257</v>
      </c>
      <c r="BX70">
        <v>0</v>
      </c>
      <c r="BY70" t="s">
        <v>980</v>
      </c>
      <c r="BZ70" t="s">
        <v>257</v>
      </c>
      <c r="CA70">
        <v>0</v>
      </c>
      <c r="CB70">
        <v>0</v>
      </c>
      <c r="CC70" t="s">
        <v>1391</v>
      </c>
      <c r="CD70">
        <v>0</v>
      </c>
      <c r="CE70">
        <v>0</v>
      </c>
      <c r="CF70">
        <v>0</v>
      </c>
      <c r="CG70">
        <v>0</v>
      </c>
      <c r="CH70">
        <v>0</v>
      </c>
      <c r="CI70" t="s">
        <v>983</v>
      </c>
      <c r="CJ70" t="s">
        <v>972</v>
      </c>
      <c r="CK70" t="s">
        <v>986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 t="s">
        <v>987</v>
      </c>
      <c r="CV70">
        <v>400008070</v>
      </c>
      <c r="CW70" t="s">
        <v>987</v>
      </c>
      <c r="CX70" t="s">
        <v>1536</v>
      </c>
      <c r="CY70" t="s">
        <v>989</v>
      </c>
    </row>
    <row r="71" spans="1:103" hidden="1" x14ac:dyDescent="0.25">
      <c r="A71">
        <v>410000071</v>
      </c>
      <c r="B71" t="s">
        <v>1537</v>
      </c>
      <c r="C71" t="s">
        <v>1538</v>
      </c>
      <c r="D71">
        <v>401100000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 t="s">
        <v>972</v>
      </c>
      <c r="Z71" t="s">
        <v>987</v>
      </c>
      <c r="AA71" t="s">
        <v>1539</v>
      </c>
      <c r="AB71" t="s">
        <v>975</v>
      </c>
      <c r="AC71">
        <v>4690</v>
      </c>
      <c r="AD71" t="s">
        <v>1540</v>
      </c>
      <c r="AE71" t="s">
        <v>1541</v>
      </c>
      <c r="AF71" t="s">
        <v>1542</v>
      </c>
      <c r="AG71" t="s">
        <v>977</v>
      </c>
      <c r="AH71">
        <v>20</v>
      </c>
      <c r="AI71">
        <v>43390</v>
      </c>
      <c r="AJ71" t="s">
        <v>1543</v>
      </c>
      <c r="AK71">
        <v>0</v>
      </c>
      <c r="AL71" t="s">
        <v>978</v>
      </c>
      <c r="AM71" t="s">
        <v>979</v>
      </c>
      <c r="AN71">
        <v>0</v>
      </c>
      <c r="AO71" t="s">
        <v>257</v>
      </c>
      <c r="AP71">
        <v>0</v>
      </c>
      <c r="AQ71">
        <v>1</v>
      </c>
      <c r="AR71">
        <v>43</v>
      </c>
      <c r="AS71">
        <v>1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1</v>
      </c>
      <c r="AZ71" t="s">
        <v>257</v>
      </c>
      <c r="BA71" t="s">
        <v>980</v>
      </c>
      <c r="BB71" t="s">
        <v>1010</v>
      </c>
      <c r="BC71" t="s">
        <v>257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 t="s">
        <v>998</v>
      </c>
      <c r="BK71" t="s">
        <v>981</v>
      </c>
      <c r="BL71" t="s">
        <v>1537</v>
      </c>
      <c r="BM71">
        <v>20141003</v>
      </c>
      <c r="BN71">
        <v>20220131</v>
      </c>
      <c r="BO71">
        <v>20150528</v>
      </c>
      <c r="BP71" t="s">
        <v>257</v>
      </c>
      <c r="BQ71" t="s">
        <v>983</v>
      </c>
      <c r="BR71" t="s">
        <v>978</v>
      </c>
      <c r="BS71" t="s">
        <v>979</v>
      </c>
      <c r="BT71">
        <v>0</v>
      </c>
      <c r="BU71">
        <v>0</v>
      </c>
      <c r="BV71" t="s">
        <v>1013</v>
      </c>
      <c r="BW71" t="s">
        <v>257</v>
      </c>
      <c r="BX71">
        <v>0</v>
      </c>
      <c r="BY71" t="s">
        <v>980</v>
      </c>
      <c r="BZ71" t="s">
        <v>257</v>
      </c>
      <c r="CA71">
        <v>0</v>
      </c>
      <c r="CB71">
        <v>0</v>
      </c>
      <c r="CC71" t="s">
        <v>1119</v>
      </c>
      <c r="CD71">
        <v>0</v>
      </c>
      <c r="CE71">
        <v>0</v>
      </c>
      <c r="CF71">
        <v>0</v>
      </c>
      <c r="CG71">
        <v>0</v>
      </c>
      <c r="CH71">
        <v>0</v>
      </c>
      <c r="CI71" t="s">
        <v>983</v>
      </c>
      <c r="CJ71" t="s">
        <v>972</v>
      </c>
      <c r="CK71" t="s">
        <v>986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 t="s">
        <v>987</v>
      </c>
      <c r="CV71">
        <v>400008071</v>
      </c>
      <c r="CW71" t="s">
        <v>987</v>
      </c>
      <c r="CX71" t="s">
        <v>1081</v>
      </c>
      <c r="CY71" t="s">
        <v>989</v>
      </c>
    </row>
    <row r="72" spans="1:103" hidden="1" x14ac:dyDescent="0.25">
      <c r="A72">
        <v>410000072</v>
      </c>
      <c r="B72" t="s">
        <v>1544</v>
      </c>
      <c r="C72" t="s">
        <v>1545</v>
      </c>
      <c r="D72">
        <v>401100000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 t="s">
        <v>1546</v>
      </c>
      <c r="Z72" t="s">
        <v>987</v>
      </c>
      <c r="AA72" t="s">
        <v>1547</v>
      </c>
      <c r="AB72" t="s">
        <v>975</v>
      </c>
      <c r="AC72">
        <v>4960</v>
      </c>
      <c r="AD72" t="s">
        <v>1548</v>
      </c>
      <c r="AE72" t="s">
        <v>1549</v>
      </c>
      <c r="AF72" t="s">
        <v>1550</v>
      </c>
      <c r="AG72" t="s">
        <v>977</v>
      </c>
      <c r="AH72">
        <v>70</v>
      </c>
      <c r="AI72">
        <v>96012</v>
      </c>
      <c r="AJ72" t="s">
        <v>1551</v>
      </c>
      <c r="AK72">
        <v>0</v>
      </c>
      <c r="AL72" t="s">
        <v>978</v>
      </c>
      <c r="AM72" t="s">
        <v>979</v>
      </c>
      <c r="AN72">
        <v>0</v>
      </c>
      <c r="AO72" t="s">
        <v>257</v>
      </c>
      <c r="AP72">
        <v>0</v>
      </c>
      <c r="AQ72">
        <v>1</v>
      </c>
      <c r="AR72">
        <v>43</v>
      </c>
      <c r="AS72">
        <v>1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 t="s">
        <v>257</v>
      </c>
      <c r="BA72" t="s">
        <v>980</v>
      </c>
      <c r="BB72" t="s">
        <v>1010</v>
      </c>
      <c r="BC72" t="s">
        <v>257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410000277</v>
      </c>
      <c r="BJ72" t="s">
        <v>998</v>
      </c>
      <c r="BK72" t="s">
        <v>981</v>
      </c>
      <c r="BL72" t="s">
        <v>1544</v>
      </c>
      <c r="BM72">
        <v>20141003</v>
      </c>
      <c r="BN72">
        <v>20220131</v>
      </c>
      <c r="BO72">
        <v>20210426</v>
      </c>
      <c r="BP72" t="s">
        <v>257</v>
      </c>
      <c r="BQ72" t="s">
        <v>983</v>
      </c>
      <c r="BR72" t="s">
        <v>978</v>
      </c>
      <c r="BS72" t="s">
        <v>1552</v>
      </c>
      <c r="BT72">
        <v>0</v>
      </c>
      <c r="BU72">
        <v>0</v>
      </c>
      <c r="BV72" t="s">
        <v>1013</v>
      </c>
      <c r="BW72" t="s">
        <v>257</v>
      </c>
      <c r="BX72">
        <v>0</v>
      </c>
      <c r="BY72" t="s">
        <v>980</v>
      </c>
      <c r="BZ72" t="s">
        <v>257</v>
      </c>
      <c r="CA72">
        <v>0</v>
      </c>
      <c r="CB72">
        <v>0</v>
      </c>
      <c r="CC72" t="s">
        <v>1553</v>
      </c>
      <c r="CD72">
        <v>0</v>
      </c>
      <c r="CE72">
        <v>0</v>
      </c>
      <c r="CF72">
        <v>0</v>
      </c>
      <c r="CG72">
        <v>0</v>
      </c>
      <c r="CH72">
        <v>0</v>
      </c>
      <c r="CI72" t="s">
        <v>983</v>
      </c>
      <c r="CJ72" t="s">
        <v>972</v>
      </c>
      <c r="CK72" t="s">
        <v>986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 t="s">
        <v>987</v>
      </c>
      <c r="CV72">
        <v>400008072</v>
      </c>
      <c r="CW72" t="s">
        <v>987</v>
      </c>
      <c r="CX72" t="s">
        <v>1081</v>
      </c>
      <c r="CY72" t="s">
        <v>989</v>
      </c>
    </row>
    <row r="73" spans="1:103" hidden="1" x14ac:dyDescent="0.25">
      <c r="A73">
        <v>410000073</v>
      </c>
      <c r="B73" t="s">
        <v>1554</v>
      </c>
      <c r="C73" t="s">
        <v>978</v>
      </c>
      <c r="D73">
        <v>401100000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1</v>
      </c>
      <c r="Y73" t="s">
        <v>1555</v>
      </c>
      <c r="Z73" t="s">
        <v>987</v>
      </c>
      <c r="AA73" t="s">
        <v>1556</v>
      </c>
      <c r="AB73" t="s">
        <v>975</v>
      </c>
      <c r="AC73">
        <v>4800</v>
      </c>
      <c r="AD73" t="s">
        <v>1124</v>
      </c>
      <c r="AE73" t="s">
        <v>1557</v>
      </c>
      <c r="AF73" t="s">
        <v>979</v>
      </c>
      <c r="AG73" t="s">
        <v>977</v>
      </c>
      <c r="AH73" t="s">
        <v>1558</v>
      </c>
      <c r="AI73" t="s">
        <v>1031</v>
      </c>
      <c r="AJ73" t="s">
        <v>978</v>
      </c>
      <c r="AK73">
        <v>0</v>
      </c>
      <c r="AL73" t="s">
        <v>978</v>
      </c>
      <c r="AM73" t="s">
        <v>979</v>
      </c>
      <c r="AN73">
        <v>0</v>
      </c>
      <c r="AO73" t="s">
        <v>257</v>
      </c>
      <c r="AP73">
        <v>0</v>
      </c>
      <c r="AQ73">
        <v>1</v>
      </c>
      <c r="AR73">
        <v>43</v>
      </c>
      <c r="AS73">
        <v>1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 t="s">
        <v>257</v>
      </c>
      <c r="BA73" t="s">
        <v>980</v>
      </c>
      <c r="BB73" t="s">
        <v>981</v>
      </c>
      <c r="BC73" t="s">
        <v>257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 t="s">
        <v>998</v>
      </c>
      <c r="BK73" t="s">
        <v>981</v>
      </c>
      <c r="BL73" t="s">
        <v>1554</v>
      </c>
      <c r="BM73">
        <v>20141003</v>
      </c>
      <c r="BN73">
        <v>20220131</v>
      </c>
      <c r="BO73">
        <v>0</v>
      </c>
      <c r="BP73" t="s">
        <v>257</v>
      </c>
      <c r="BQ73" t="s">
        <v>983</v>
      </c>
      <c r="BR73" t="s">
        <v>978</v>
      </c>
      <c r="BS73" t="s">
        <v>979</v>
      </c>
      <c r="BT73">
        <v>0</v>
      </c>
      <c r="BU73">
        <v>0</v>
      </c>
      <c r="BV73" t="s">
        <v>1013</v>
      </c>
      <c r="BW73" t="s">
        <v>257</v>
      </c>
      <c r="BX73">
        <v>0</v>
      </c>
      <c r="BY73" t="s">
        <v>980</v>
      </c>
      <c r="BZ73" t="s">
        <v>257</v>
      </c>
      <c r="CA73">
        <v>0</v>
      </c>
      <c r="CB73">
        <v>0</v>
      </c>
      <c r="CC73" t="s">
        <v>1559</v>
      </c>
      <c r="CD73">
        <v>0</v>
      </c>
      <c r="CE73">
        <v>0</v>
      </c>
      <c r="CF73">
        <v>0</v>
      </c>
      <c r="CG73">
        <v>0</v>
      </c>
      <c r="CH73">
        <v>0</v>
      </c>
      <c r="CI73" t="s">
        <v>983</v>
      </c>
      <c r="CJ73" t="s">
        <v>972</v>
      </c>
      <c r="CK73" t="s">
        <v>986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 t="s">
        <v>987</v>
      </c>
      <c r="CV73">
        <v>400008073</v>
      </c>
      <c r="CW73" t="s">
        <v>987</v>
      </c>
      <c r="CX73" t="s">
        <v>1081</v>
      </c>
      <c r="CY73" t="s">
        <v>989</v>
      </c>
    </row>
    <row r="74" spans="1:103" hidden="1" x14ac:dyDescent="0.25">
      <c r="A74">
        <v>410000074</v>
      </c>
      <c r="B74" t="s">
        <v>1560</v>
      </c>
      <c r="C74" t="s">
        <v>1561</v>
      </c>
      <c r="D74">
        <v>401100000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 t="s">
        <v>972</v>
      </c>
      <c r="Z74" t="s">
        <v>987</v>
      </c>
      <c r="AA74" t="s">
        <v>1562</v>
      </c>
      <c r="AB74" t="s">
        <v>975</v>
      </c>
      <c r="AC74">
        <v>4000</v>
      </c>
      <c r="AD74" t="s">
        <v>1019</v>
      </c>
      <c r="AE74" t="s">
        <v>1563</v>
      </c>
      <c r="AF74" t="s">
        <v>1564</v>
      </c>
      <c r="AG74" t="s">
        <v>1565</v>
      </c>
      <c r="AH74">
        <v>18</v>
      </c>
      <c r="AI74">
        <v>69202</v>
      </c>
      <c r="AJ74" t="s">
        <v>978</v>
      </c>
      <c r="AK74">
        <v>0</v>
      </c>
      <c r="AL74" t="s">
        <v>978</v>
      </c>
      <c r="AM74" t="s">
        <v>979</v>
      </c>
      <c r="AN74">
        <v>0</v>
      </c>
      <c r="AO74" t="s">
        <v>257</v>
      </c>
      <c r="AP74">
        <v>0</v>
      </c>
      <c r="AQ74">
        <v>1</v>
      </c>
      <c r="AR74">
        <v>43</v>
      </c>
      <c r="AS74">
        <v>1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1</v>
      </c>
      <c r="AZ74" t="s">
        <v>257</v>
      </c>
      <c r="BA74" t="s">
        <v>980</v>
      </c>
      <c r="BB74" t="s">
        <v>981</v>
      </c>
      <c r="BC74" t="s">
        <v>257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410000668</v>
      </c>
      <c r="BJ74" t="s">
        <v>998</v>
      </c>
      <c r="BK74" t="s">
        <v>981</v>
      </c>
      <c r="BL74" t="s">
        <v>1560</v>
      </c>
      <c r="BM74">
        <v>20141003</v>
      </c>
      <c r="BN74">
        <v>20220131</v>
      </c>
      <c r="BO74">
        <v>0</v>
      </c>
      <c r="BP74" t="s">
        <v>257</v>
      </c>
      <c r="BQ74" t="s">
        <v>983</v>
      </c>
      <c r="BR74" t="s">
        <v>978</v>
      </c>
      <c r="BS74" t="s">
        <v>979</v>
      </c>
      <c r="BT74">
        <v>0</v>
      </c>
      <c r="BU74">
        <v>0</v>
      </c>
      <c r="BV74" t="s">
        <v>984</v>
      </c>
      <c r="BW74" t="s">
        <v>257</v>
      </c>
      <c r="BX74">
        <v>0</v>
      </c>
      <c r="BY74" t="s">
        <v>980</v>
      </c>
      <c r="BZ74" t="s">
        <v>257</v>
      </c>
      <c r="CA74">
        <v>0</v>
      </c>
      <c r="CB74">
        <v>0</v>
      </c>
      <c r="CC74" t="s">
        <v>1391</v>
      </c>
      <c r="CD74">
        <v>0</v>
      </c>
      <c r="CE74">
        <v>0</v>
      </c>
      <c r="CF74">
        <v>0</v>
      </c>
      <c r="CG74">
        <v>0</v>
      </c>
      <c r="CH74">
        <v>0</v>
      </c>
      <c r="CI74" t="s">
        <v>983</v>
      </c>
      <c r="CJ74" t="s">
        <v>972</v>
      </c>
      <c r="CK74" t="s">
        <v>986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 t="s">
        <v>987</v>
      </c>
      <c r="CV74">
        <v>400008074</v>
      </c>
      <c r="CW74" t="s">
        <v>987</v>
      </c>
      <c r="CX74" t="s">
        <v>1566</v>
      </c>
      <c r="CY74" t="s">
        <v>989</v>
      </c>
    </row>
    <row r="75" spans="1:103" hidden="1" x14ac:dyDescent="0.25">
      <c r="A75">
        <v>410000075</v>
      </c>
      <c r="B75" t="s">
        <v>1567</v>
      </c>
      <c r="C75" t="s">
        <v>1568</v>
      </c>
      <c r="D75">
        <v>401100000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 t="s">
        <v>972</v>
      </c>
      <c r="Z75" t="s">
        <v>987</v>
      </c>
      <c r="AA75" t="s">
        <v>1569</v>
      </c>
      <c r="AB75" t="s">
        <v>975</v>
      </c>
      <c r="AC75">
        <v>4000</v>
      </c>
      <c r="AD75" t="s">
        <v>1019</v>
      </c>
      <c r="AE75" t="s">
        <v>1570</v>
      </c>
      <c r="AF75" t="s">
        <v>1571</v>
      </c>
      <c r="AG75" t="s">
        <v>977</v>
      </c>
      <c r="AH75">
        <v>40</v>
      </c>
      <c r="AI75">
        <v>46660</v>
      </c>
      <c r="AJ75" t="s">
        <v>978</v>
      </c>
      <c r="AK75">
        <v>0</v>
      </c>
      <c r="AL75" t="s">
        <v>978</v>
      </c>
      <c r="AM75" t="s">
        <v>979</v>
      </c>
      <c r="AN75">
        <v>0</v>
      </c>
      <c r="AO75" t="s">
        <v>257</v>
      </c>
      <c r="AP75">
        <v>0</v>
      </c>
      <c r="AQ75">
        <v>1</v>
      </c>
      <c r="AR75">
        <v>43</v>
      </c>
      <c r="AS75">
        <v>1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1</v>
      </c>
      <c r="AZ75" t="s">
        <v>257</v>
      </c>
      <c r="BA75" t="s">
        <v>980</v>
      </c>
      <c r="BB75" t="s">
        <v>981</v>
      </c>
      <c r="BC75" t="s">
        <v>257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 t="s">
        <v>998</v>
      </c>
      <c r="BK75" t="s">
        <v>981</v>
      </c>
      <c r="BL75" t="s">
        <v>1567</v>
      </c>
      <c r="BM75">
        <v>20141003</v>
      </c>
      <c r="BN75">
        <v>20220131</v>
      </c>
      <c r="BO75">
        <v>0</v>
      </c>
      <c r="BP75" t="s">
        <v>257</v>
      </c>
      <c r="BQ75" t="s">
        <v>983</v>
      </c>
      <c r="BR75" t="s">
        <v>978</v>
      </c>
      <c r="BS75" t="s">
        <v>979</v>
      </c>
      <c r="BT75">
        <v>0</v>
      </c>
      <c r="BU75">
        <v>0</v>
      </c>
      <c r="BV75" t="s">
        <v>1013</v>
      </c>
      <c r="BW75" t="s">
        <v>257</v>
      </c>
      <c r="BX75">
        <v>0</v>
      </c>
      <c r="BY75" t="s">
        <v>980</v>
      </c>
      <c r="BZ75" t="s">
        <v>257</v>
      </c>
      <c r="CA75">
        <v>0</v>
      </c>
      <c r="CB75">
        <v>0</v>
      </c>
      <c r="CC75" t="s">
        <v>1572</v>
      </c>
      <c r="CD75">
        <v>0</v>
      </c>
      <c r="CE75">
        <v>0</v>
      </c>
      <c r="CF75">
        <v>0</v>
      </c>
      <c r="CG75">
        <v>0</v>
      </c>
      <c r="CH75">
        <v>0</v>
      </c>
      <c r="CI75" t="s">
        <v>983</v>
      </c>
      <c r="CJ75" t="s">
        <v>972</v>
      </c>
      <c r="CK75" t="s">
        <v>986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 t="s">
        <v>987</v>
      </c>
      <c r="CV75">
        <v>400008075</v>
      </c>
      <c r="CW75" t="s">
        <v>987</v>
      </c>
      <c r="CX75" t="s">
        <v>1081</v>
      </c>
      <c r="CY75" t="s">
        <v>989</v>
      </c>
    </row>
    <row r="76" spans="1:103" hidden="1" x14ac:dyDescent="0.25">
      <c r="A76">
        <v>410000076</v>
      </c>
      <c r="B76" t="s">
        <v>1573</v>
      </c>
      <c r="C76" t="s">
        <v>1574</v>
      </c>
      <c r="D76">
        <v>401100000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 t="s">
        <v>972</v>
      </c>
      <c r="Z76" t="s">
        <v>987</v>
      </c>
      <c r="AA76" t="s">
        <v>1575</v>
      </c>
      <c r="AB76" t="s">
        <v>975</v>
      </c>
      <c r="AC76">
        <v>4802</v>
      </c>
      <c r="AD76" t="s">
        <v>1124</v>
      </c>
      <c r="AE76" t="s">
        <v>1576</v>
      </c>
      <c r="AF76" t="s">
        <v>1577</v>
      </c>
      <c r="AG76" t="s">
        <v>977</v>
      </c>
      <c r="AH76">
        <v>10</v>
      </c>
      <c r="AI76">
        <v>6920</v>
      </c>
      <c r="AJ76" t="s">
        <v>978</v>
      </c>
      <c r="AK76">
        <v>0</v>
      </c>
      <c r="AL76" t="s">
        <v>978</v>
      </c>
      <c r="AM76" t="s">
        <v>979</v>
      </c>
      <c r="AN76">
        <v>0</v>
      </c>
      <c r="AO76" t="s">
        <v>257</v>
      </c>
      <c r="AP76">
        <v>0</v>
      </c>
      <c r="AQ76">
        <v>1</v>
      </c>
      <c r="AR76">
        <v>43</v>
      </c>
      <c r="AS76">
        <v>1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1</v>
      </c>
      <c r="AZ76" t="s">
        <v>257</v>
      </c>
      <c r="BA76" t="s">
        <v>980</v>
      </c>
      <c r="BB76" t="s">
        <v>981</v>
      </c>
      <c r="BC76" t="s">
        <v>257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 t="s">
        <v>998</v>
      </c>
      <c r="BK76" t="s">
        <v>981</v>
      </c>
      <c r="BL76" t="s">
        <v>1573</v>
      </c>
      <c r="BM76">
        <v>20141003</v>
      </c>
      <c r="BN76">
        <v>20220131</v>
      </c>
      <c r="BO76">
        <v>0</v>
      </c>
      <c r="BP76" t="s">
        <v>257</v>
      </c>
      <c r="BQ76" t="s">
        <v>983</v>
      </c>
      <c r="BR76" t="s">
        <v>978</v>
      </c>
      <c r="BS76" t="s">
        <v>979</v>
      </c>
      <c r="BT76">
        <v>0</v>
      </c>
      <c r="BU76">
        <v>0</v>
      </c>
      <c r="BV76" t="s">
        <v>1013</v>
      </c>
      <c r="BW76" t="s">
        <v>257</v>
      </c>
      <c r="BX76">
        <v>0</v>
      </c>
      <c r="BY76" t="s">
        <v>980</v>
      </c>
      <c r="BZ76" t="s">
        <v>257</v>
      </c>
      <c r="CA76">
        <v>0</v>
      </c>
      <c r="CB76">
        <v>0</v>
      </c>
      <c r="CC76" t="s">
        <v>1128</v>
      </c>
      <c r="CD76">
        <v>0</v>
      </c>
      <c r="CE76">
        <v>0</v>
      </c>
      <c r="CF76">
        <v>0</v>
      </c>
      <c r="CG76">
        <v>0</v>
      </c>
      <c r="CH76">
        <v>0</v>
      </c>
      <c r="CI76" t="s">
        <v>983</v>
      </c>
      <c r="CJ76" t="s">
        <v>972</v>
      </c>
      <c r="CK76" t="s">
        <v>986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 t="s">
        <v>987</v>
      </c>
      <c r="CV76">
        <v>400008076</v>
      </c>
      <c r="CW76" t="s">
        <v>987</v>
      </c>
      <c r="CX76" t="s">
        <v>1578</v>
      </c>
      <c r="CY76" t="s">
        <v>989</v>
      </c>
    </row>
    <row r="77" spans="1:103" hidden="1" x14ac:dyDescent="0.25">
      <c r="A77">
        <v>410000077</v>
      </c>
      <c r="B77" t="s">
        <v>1579</v>
      </c>
      <c r="C77" t="s">
        <v>1580</v>
      </c>
      <c r="D77">
        <v>401100000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1</v>
      </c>
      <c r="Y77" t="s">
        <v>972</v>
      </c>
      <c r="Z77" t="s">
        <v>1581</v>
      </c>
      <c r="AA77" t="s">
        <v>1582</v>
      </c>
      <c r="AB77" t="s">
        <v>975</v>
      </c>
      <c r="AC77">
        <v>4650</v>
      </c>
      <c r="AD77" t="s">
        <v>1583</v>
      </c>
      <c r="AE77" t="s">
        <v>1584</v>
      </c>
      <c r="AF77" t="s">
        <v>1585</v>
      </c>
      <c r="AG77" t="s">
        <v>977</v>
      </c>
      <c r="AH77">
        <v>20</v>
      </c>
      <c r="AI77">
        <v>25620</v>
      </c>
      <c r="AJ77" t="s">
        <v>1586</v>
      </c>
      <c r="AK77">
        <v>0</v>
      </c>
      <c r="AL77" t="s">
        <v>978</v>
      </c>
      <c r="AM77" t="s">
        <v>979</v>
      </c>
      <c r="AN77">
        <v>0</v>
      </c>
      <c r="AO77" t="s">
        <v>257</v>
      </c>
      <c r="AP77">
        <v>0</v>
      </c>
      <c r="AQ77">
        <v>1</v>
      </c>
      <c r="AR77">
        <v>43</v>
      </c>
      <c r="AS77">
        <v>1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1</v>
      </c>
      <c r="AZ77" t="s">
        <v>257</v>
      </c>
      <c r="BA77" t="s">
        <v>980</v>
      </c>
      <c r="BB77" t="s">
        <v>981</v>
      </c>
      <c r="BC77" t="s">
        <v>257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 t="s">
        <v>998</v>
      </c>
      <c r="BK77" t="s">
        <v>981</v>
      </c>
      <c r="BL77" t="s">
        <v>1579</v>
      </c>
      <c r="BM77">
        <v>20141003</v>
      </c>
      <c r="BN77">
        <v>20220131</v>
      </c>
      <c r="BO77">
        <v>0</v>
      </c>
      <c r="BP77" t="s">
        <v>257</v>
      </c>
      <c r="BQ77" t="s">
        <v>983</v>
      </c>
      <c r="BR77" t="s">
        <v>978</v>
      </c>
      <c r="BS77" t="s">
        <v>979</v>
      </c>
      <c r="BT77">
        <v>0</v>
      </c>
      <c r="BU77">
        <v>0</v>
      </c>
      <c r="BV77" t="s">
        <v>984</v>
      </c>
      <c r="BW77" t="s">
        <v>257</v>
      </c>
      <c r="BX77">
        <v>0</v>
      </c>
      <c r="BY77" t="s">
        <v>980</v>
      </c>
      <c r="BZ77" t="s">
        <v>257</v>
      </c>
      <c r="CA77">
        <v>0</v>
      </c>
      <c r="CB77">
        <v>0</v>
      </c>
      <c r="CC77" t="s">
        <v>1491</v>
      </c>
      <c r="CD77">
        <v>0</v>
      </c>
      <c r="CE77">
        <v>0</v>
      </c>
      <c r="CF77">
        <v>0</v>
      </c>
      <c r="CG77">
        <v>0</v>
      </c>
      <c r="CH77">
        <v>0</v>
      </c>
      <c r="CI77" t="s">
        <v>983</v>
      </c>
      <c r="CJ77" t="s">
        <v>972</v>
      </c>
      <c r="CK77" t="s">
        <v>986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 t="s">
        <v>987</v>
      </c>
      <c r="CV77">
        <v>400008077</v>
      </c>
      <c r="CW77" t="s">
        <v>987</v>
      </c>
      <c r="CX77" t="s">
        <v>1587</v>
      </c>
      <c r="CY77" t="s">
        <v>989</v>
      </c>
    </row>
    <row r="78" spans="1:103" hidden="1" x14ac:dyDescent="0.25">
      <c r="A78">
        <v>410000078</v>
      </c>
      <c r="B78" t="s">
        <v>1588</v>
      </c>
      <c r="C78" t="s">
        <v>1589</v>
      </c>
      <c r="D78">
        <v>401100000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1</v>
      </c>
      <c r="Y78" t="s">
        <v>972</v>
      </c>
      <c r="Z78" t="s">
        <v>987</v>
      </c>
      <c r="AA78" t="s">
        <v>1590</v>
      </c>
      <c r="AB78" t="s">
        <v>975</v>
      </c>
      <c r="AC78">
        <v>4820</v>
      </c>
      <c r="AD78" t="s">
        <v>1591</v>
      </c>
      <c r="AE78" t="s">
        <v>1592</v>
      </c>
      <c r="AF78" t="s">
        <v>1593</v>
      </c>
      <c r="AG78" t="s">
        <v>977</v>
      </c>
      <c r="AH78">
        <v>60</v>
      </c>
      <c r="AI78">
        <v>46699</v>
      </c>
      <c r="AJ78" t="s">
        <v>978</v>
      </c>
      <c r="AK78">
        <v>0</v>
      </c>
      <c r="AL78" t="s">
        <v>978</v>
      </c>
      <c r="AM78" t="s">
        <v>979</v>
      </c>
      <c r="AN78">
        <v>0</v>
      </c>
      <c r="AO78" t="s">
        <v>257</v>
      </c>
      <c r="AP78">
        <v>0</v>
      </c>
      <c r="AQ78">
        <v>1</v>
      </c>
      <c r="AR78">
        <v>43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1</v>
      </c>
      <c r="AZ78" t="s">
        <v>257</v>
      </c>
      <c r="BA78" t="s">
        <v>980</v>
      </c>
      <c r="BB78" t="s">
        <v>981</v>
      </c>
      <c r="BC78" t="s">
        <v>257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 t="s">
        <v>998</v>
      </c>
      <c r="BK78" t="s">
        <v>981</v>
      </c>
      <c r="BL78" t="s">
        <v>1588</v>
      </c>
      <c r="BM78">
        <v>20141003</v>
      </c>
      <c r="BN78">
        <v>20220131</v>
      </c>
      <c r="BO78">
        <v>0</v>
      </c>
      <c r="BP78" t="s">
        <v>257</v>
      </c>
      <c r="BQ78" t="s">
        <v>983</v>
      </c>
      <c r="BR78" t="s">
        <v>978</v>
      </c>
      <c r="BS78" t="s">
        <v>979</v>
      </c>
      <c r="BT78">
        <v>0</v>
      </c>
      <c r="BU78">
        <v>0</v>
      </c>
      <c r="BV78" t="s">
        <v>1013</v>
      </c>
      <c r="BW78" t="s">
        <v>257</v>
      </c>
      <c r="BX78">
        <v>0</v>
      </c>
      <c r="BY78" t="s">
        <v>980</v>
      </c>
      <c r="BZ78" t="s">
        <v>257</v>
      </c>
      <c r="CA78">
        <v>0</v>
      </c>
      <c r="CB78">
        <v>0</v>
      </c>
      <c r="CC78" t="s">
        <v>1469</v>
      </c>
      <c r="CD78">
        <v>0</v>
      </c>
      <c r="CE78">
        <v>0</v>
      </c>
      <c r="CF78">
        <v>0</v>
      </c>
      <c r="CG78">
        <v>0</v>
      </c>
      <c r="CH78">
        <v>0</v>
      </c>
      <c r="CI78" t="s">
        <v>983</v>
      </c>
      <c r="CJ78" t="s">
        <v>972</v>
      </c>
      <c r="CK78" t="s">
        <v>986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 t="s">
        <v>987</v>
      </c>
      <c r="CV78">
        <v>400008078</v>
      </c>
      <c r="CW78" t="s">
        <v>987</v>
      </c>
      <c r="CX78" t="s">
        <v>1594</v>
      </c>
      <c r="CY78" t="s">
        <v>989</v>
      </c>
    </row>
    <row r="79" spans="1:103" hidden="1" x14ac:dyDescent="0.25">
      <c r="A79">
        <v>410000079</v>
      </c>
      <c r="B79" t="s">
        <v>1595</v>
      </c>
      <c r="C79" t="s">
        <v>1596</v>
      </c>
      <c r="D79">
        <v>401100000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1</v>
      </c>
      <c r="Y79" t="s">
        <v>972</v>
      </c>
      <c r="Z79" t="s">
        <v>1597</v>
      </c>
      <c r="AA79" t="s">
        <v>1598</v>
      </c>
      <c r="AB79" t="s">
        <v>975</v>
      </c>
      <c r="AC79">
        <v>4040</v>
      </c>
      <c r="AD79" t="s">
        <v>976</v>
      </c>
      <c r="AE79" t="s">
        <v>1599</v>
      </c>
      <c r="AF79" t="s">
        <v>1600</v>
      </c>
      <c r="AG79" t="s">
        <v>1601</v>
      </c>
      <c r="AH79">
        <v>0</v>
      </c>
      <c r="AI79">
        <v>47620</v>
      </c>
      <c r="AJ79" t="s">
        <v>1602</v>
      </c>
      <c r="AK79" t="s">
        <v>1603</v>
      </c>
      <c r="AL79" t="s">
        <v>978</v>
      </c>
      <c r="AM79" t="s">
        <v>979</v>
      </c>
      <c r="AN79">
        <v>0</v>
      </c>
      <c r="AO79" t="s">
        <v>257</v>
      </c>
      <c r="AP79">
        <v>0</v>
      </c>
      <c r="AQ79">
        <v>1</v>
      </c>
      <c r="AR79">
        <v>43</v>
      </c>
      <c r="AS79">
        <v>1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1</v>
      </c>
      <c r="AZ79" t="s">
        <v>257</v>
      </c>
      <c r="BA79" t="s">
        <v>980</v>
      </c>
      <c r="BB79" t="s">
        <v>981</v>
      </c>
      <c r="BC79" t="s">
        <v>257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 t="s">
        <v>998</v>
      </c>
      <c r="BK79" t="s">
        <v>981</v>
      </c>
      <c r="BL79" t="s">
        <v>1604</v>
      </c>
      <c r="BM79">
        <v>20141003</v>
      </c>
      <c r="BN79">
        <v>20220131</v>
      </c>
      <c r="BO79">
        <v>0</v>
      </c>
      <c r="BP79" t="s">
        <v>257</v>
      </c>
      <c r="BQ79" t="s">
        <v>983</v>
      </c>
      <c r="BR79" t="s">
        <v>978</v>
      </c>
      <c r="BS79" t="s">
        <v>979</v>
      </c>
      <c r="BT79">
        <v>0</v>
      </c>
      <c r="BU79">
        <v>0</v>
      </c>
      <c r="BV79" t="s">
        <v>984</v>
      </c>
      <c r="BW79" t="s">
        <v>257</v>
      </c>
      <c r="BX79">
        <v>0</v>
      </c>
      <c r="BY79" t="s">
        <v>980</v>
      </c>
      <c r="BZ79" t="s">
        <v>257</v>
      </c>
      <c r="CA79">
        <v>0</v>
      </c>
      <c r="CB79">
        <v>0</v>
      </c>
      <c r="CC79" t="s">
        <v>985</v>
      </c>
      <c r="CD79">
        <v>0</v>
      </c>
      <c r="CE79">
        <v>0</v>
      </c>
      <c r="CF79">
        <v>0</v>
      </c>
      <c r="CG79">
        <v>0</v>
      </c>
      <c r="CH79">
        <v>0</v>
      </c>
      <c r="CI79" t="s">
        <v>983</v>
      </c>
      <c r="CJ79" t="s">
        <v>972</v>
      </c>
      <c r="CK79" t="s">
        <v>986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 t="s">
        <v>987</v>
      </c>
      <c r="CV79">
        <v>400008079</v>
      </c>
      <c r="CW79" t="s">
        <v>987</v>
      </c>
      <c r="CX79" t="s">
        <v>1605</v>
      </c>
      <c r="CY79" t="s">
        <v>989</v>
      </c>
    </row>
    <row r="80" spans="1:103" hidden="1" x14ac:dyDescent="0.25">
      <c r="A80">
        <v>410000080</v>
      </c>
      <c r="B80" t="s">
        <v>1606</v>
      </c>
      <c r="C80" t="s">
        <v>1607</v>
      </c>
      <c r="D80">
        <v>401100000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1</v>
      </c>
      <c r="Y80" t="s">
        <v>972</v>
      </c>
      <c r="Z80" t="s">
        <v>1608</v>
      </c>
      <c r="AA80" t="s">
        <v>1609</v>
      </c>
      <c r="AB80" t="s">
        <v>975</v>
      </c>
      <c r="AC80">
        <v>4700</v>
      </c>
      <c r="AD80" t="s">
        <v>1610</v>
      </c>
      <c r="AE80" t="s">
        <v>1611</v>
      </c>
      <c r="AF80" t="s">
        <v>1612</v>
      </c>
      <c r="AG80" t="s">
        <v>977</v>
      </c>
      <c r="AH80">
        <v>50</v>
      </c>
      <c r="AI80">
        <v>24420</v>
      </c>
      <c r="AJ80" t="s">
        <v>978</v>
      </c>
      <c r="AK80">
        <v>0</v>
      </c>
      <c r="AL80" t="s">
        <v>978</v>
      </c>
      <c r="AM80" t="s">
        <v>979</v>
      </c>
      <c r="AN80">
        <v>0</v>
      </c>
      <c r="AO80" t="s">
        <v>257</v>
      </c>
      <c r="AP80">
        <v>0</v>
      </c>
      <c r="AQ80">
        <v>1</v>
      </c>
      <c r="AR80">
        <v>43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1</v>
      </c>
      <c r="AZ80" t="s">
        <v>257</v>
      </c>
      <c r="BA80" t="s">
        <v>980</v>
      </c>
      <c r="BB80" t="s">
        <v>981</v>
      </c>
      <c r="BC80" t="s">
        <v>257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 t="s">
        <v>998</v>
      </c>
      <c r="BK80" t="s">
        <v>981</v>
      </c>
      <c r="BL80" t="s">
        <v>1606</v>
      </c>
      <c r="BM80">
        <v>20141003</v>
      </c>
      <c r="BN80">
        <v>20220131</v>
      </c>
      <c r="BO80">
        <v>0</v>
      </c>
      <c r="BP80" t="s">
        <v>257</v>
      </c>
      <c r="BQ80" t="s">
        <v>983</v>
      </c>
      <c r="BR80" t="s">
        <v>978</v>
      </c>
      <c r="BS80" t="s">
        <v>979</v>
      </c>
      <c r="BT80">
        <v>0</v>
      </c>
      <c r="BU80">
        <v>0</v>
      </c>
      <c r="BV80" t="s">
        <v>1013</v>
      </c>
      <c r="BW80" t="s">
        <v>257</v>
      </c>
      <c r="BX80">
        <v>0</v>
      </c>
      <c r="BY80" t="s">
        <v>980</v>
      </c>
      <c r="BZ80" t="s">
        <v>257</v>
      </c>
      <c r="CA80">
        <v>0</v>
      </c>
      <c r="CB80">
        <v>0</v>
      </c>
      <c r="CC80" t="s">
        <v>1430</v>
      </c>
      <c r="CD80">
        <v>0</v>
      </c>
      <c r="CE80">
        <v>0</v>
      </c>
      <c r="CF80">
        <v>0</v>
      </c>
      <c r="CG80">
        <v>0</v>
      </c>
      <c r="CH80">
        <v>0</v>
      </c>
      <c r="CI80" t="s">
        <v>983</v>
      </c>
      <c r="CJ80" t="s">
        <v>972</v>
      </c>
      <c r="CK80" t="s">
        <v>986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 t="s">
        <v>987</v>
      </c>
      <c r="CV80">
        <v>400008080</v>
      </c>
      <c r="CW80" t="s">
        <v>987</v>
      </c>
      <c r="CX80" t="s">
        <v>1613</v>
      </c>
      <c r="CY80" t="s">
        <v>989</v>
      </c>
    </row>
    <row r="81" spans="1:103" hidden="1" x14ac:dyDescent="0.25">
      <c r="A81">
        <v>410000081</v>
      </c>
      <c r="B81" t="s">
        <v>1614</v>
      </c>
      <c r="C81" t="s">
        <v>1615</v>
      </c>
      <c r="D81">
        <v>401100000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 t="s">
        <v>972</v>
      </c>
      <c r="Z81" t="s">
        <v>987</v>
      </c>
      <c r="AA81" t="s">
        <v>1616</v>
      </c>
      <c r="AB81" t="s">
        <v>975</v>
      </c>
      <c r="AC81">
        <v>1457</v>
      </c>
      <c r="AD81" t="s">
        <v>1617</v>
      </c>
      <c r="AE81" t="s">
        <v>1618</v>
      </c>
      <c r="AF81" t="s">
        <v>1619</v>
      </c>
      <c r="AG81" t="s">
        <v>977</v>
      </c>
      <c r="AH81">
        <v>120</v>
      </c>
      <c r="AI81">
        <v>47410</v>
      </c>
      <c r="AJ81" t="s">
        <v>1620</v>
      </c>
      <c r="AK81" t="s">
        <v>1621</v>
      </c>
      <c r="AL81" t="s">
        <v>978</v>
      </c>
      <c r="AM81" t="s">
        <v>979</v>
      </c>
      <c r="AN81">
        <v>0</v>
      </c>
      <c r="AO81" t="s">
        <v>257</v>
      </c>
      <c r="AP81">
        <v>0</v>
      </c>
      <c r="AQ81">
        <v>1</v>
      </c>
      <c r="AR81">
        <v>43</v>
      </c>
      <c r="AS81">
        <v>1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1</v>
      </c>
      <c r="AZ81" t="s">
        <v>257</v>
      </c>
      <c r="BA81" t="s">
        <v>980</v>
      </c>
      <c r="BB81" t="s">
        <v>1010</v>
      </c>
      <c r="BC81" t="s">
        <v>257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410000001</v>
      </c>
      <c r="BJ81" t="s">
        <v>982</v>
      </c>
      <c r="BK81" t="s">
        <v>981</v>
      </c>
      <c r="BL81" t="s">
        <v>1614</v>
      </c>
      <c r="BM81">
        <v>20141003</v>
      </c>
      <c r="BN81">
        <v>20220131</v>
      </c>
      <c r="BO81">
        <v>20181030</v>
      </c>
      <c r="BP81" t="s">
        <v>257</v>
      </c>
      <c r="BQ81" t="s">
        <v>983</v>
      </c>
      <c r="BR81" t="s">
        <v>978</v>
      </c>
      <c r="BS81" t="s">
        <v>979</v>
      </c>
      <c r="BT81">
        <v>0</v>
      </c>
      <c r="BU81">
        <v>0</v>
      </c>
      <c r="BV81" t="s">
        <v>984</v>
      </c>
      <c r="BW81" t="s">
        <v>257</v>
      </c>
      <c r="BX81">
        <v>0</v>
      </c>
      <c r="BY81" t="s">
        <v>980</v>
      </c>
      <c r="BZ81" t="s">
        <v>980</v>
      </c>
      <c r="CA81">
        <v>0</v>
      </c>
      <c r="CB81">
        <v>0</v>
      </c>
      <c r="CC81" t="s">
        <v>985</v>
      </c>
      <c r="CD81">
        <v>0</v>
      </c>
      <c r="CE81">
        <v>0</v>
      </c>
      <c r="CF81">
        <v>0</v>
      </c>
      <c r="CG81">
        <v>0</v>
      </c>
      <c r="CH81">
        <v>0</v>
      </c>
      <c r="CI81" t="s">
        <v>983</v>
      </c>
      <c r="CJ81" t="s">
        <v>972</v>
      </c>
      <c r="CK81" t="s">
        <v>986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 t="s">
        <v>987</v>
      </c>
      <c r="CV81">
        <v>400008081</v>
      </c>
      <c r="CW81" t="s">
        <v>987</v>
      </c>
      <c r="CX81" t="s">
        <v>1023</v>
      </c>
      <c r="CY81" t="s">
        <v>989</v>
      </c>
    </row>
    <row r="82" spans="1:103" hidden="1" x14ac:dyDescent="0.25">
      <c r="A82">
        <v>410000082</v>
      </c>
      <c r="B82" t="s">
        <v>1622</v>
      </c>
      <c r="C82" t="s">
        <v>1623</v>
      </c>
      <c r="D82">
        <v>401100000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1</v>
      </c>
      <c r="X82">
        <v>1</v>
      </c>
      <c r="Y82" t="s">
        <v>972</v>
      </c>
      <c r="Z82" t="s">
        <v>1624</v>
      </c>
      <c r="AA82" t="s">
        <v>1625</v>
      </c>
      <c r="AB82" t="s">
        <v>1626</v>
      </c>
      <c r="AC82">
        <v>8399</v>
      </c>
      <c r="AD82" t="s">
        <v>1627</v>
      </c>
      <c r="AE82" t="s">
        <v>1628</v>
      </c>
      <c r="AF82" t="s">
        <v>1629</v>
      </c>
      <c r="AG82" t="s">
        <v>977</v>
      </c>
      <c r="AH82" t="s">
        <v>1630</v>
      </c>
      <c r="AI82" s="3">
        <v>46732</v>
      </c>
      <c r="AJ82" t="s">
        <v>1631</v>
      </c>
      <c r="AK82" t="s">
        <v>1632</v>
      </c>
      <c r="AL82" t="s">
        <v>978</v>
      </c>
      <c r="AM82" t="s">
        <v>979</v>
      </c>
      <c r="AN82">
        <v>0</v>
      </c>
      <c r="AO82" t="s">
        <v>257</v>
      </c>
      <c r="AP82">
        <v>0</v>
      </c>
      <c r="AQ82">
        <v>1</v>
      </c>
      <c r="AR82">
        <v>43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1</v>
      </c>
      <c r="AZ82" t="s">
        <v>257</v>
      </c>
      <c r="BA82" t="s">
        <v>980</v>
      </c>
      <c r="BB82" t="s">
        <v>981</v>
      </c>
      <c r="BC82" t="s">
        <v>257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 t="s">
        <v>982</v>
      </c>
      <c r="BK82" t="s">
        <v>981</v>
      </c>
      <c r="BL82" t="s">
        <v>1622</v>
      </c>
      <c r="BM82">
        <v>20141003</v>
      </c>
      <c r="BN82">
        <v>20230703</v>
      </c>
      <c r="BO82">
        <v>0</v>
      </c>
      <c r="BP82" t="s">
        <v>257</v>
      </c>
      <c r="BQ82" t="s">
        <v>983</v>
      </c>
      <c r="BR82" t="s">
        <v>978</v>
      </c>
      <c r="BS82" t="s">
        <v>979</v>
      </c>
      <c r="BT82">
        <v>0</v>
      </c>
      <c r="BU82">
        <v>0</v>
      </c>
      <c r="BV82" t="s">
        <v>984</v>
      </c>
      <c r="BW82" t="s">
        <v>257</v>
      </c>
      <c r="BX82">
        <v>0</v>
      </c>
      <c r="BY82" t="s">
        <v>980</v>
      </c>
      <c r="BZ82" t="s">
        <v>980</v>
      </c>
      <c r="CA82">
        <v>0</v>
      </c>
      <c r="CB82">
        <v>0</v>
      </c>
      <c r="CC82" t="s">
        <v>985</v>
      </c>
      <c r="CD82">
        <v>0</v>
      </c>
      <c r="CE82">
        <v>0</v>
      </c>
      <c r="CF82">
        <v>0</v>
      </c>
      <c r="CG82">
        <v>0</v>
      </c>
      <c r="CH82">
        <v>0</v>
      </c>
      <c r="CI82" t="s">
        <v>983</v>
      </c>
      <c r="CJ82" t="s">
        <v>972</v>
      </c>
      <c r="CK82" t="s">
        <v>986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 t="s">
        <v>987</v>
      </c>
      <c r="CV82">
        <v>400008082</v>
      </c>
      <c r="CW82" t="s">
        <v>987</v>
      </c>
      <c r="CX82" t="s">
        <v>1633</v>
      </c>
      <c r="CY82" t="s">
        <v>989</v>
      </c>
    </row>
    <row r="83" spans="1:103" hidden="1" x14ac:dyDescent="0.25">
      <c r="A83">
        <v>410000084</v>
      </c>
      <c r="B83" t="s">
        <v>1634</v>
      </c>
      <c r="C83" t="s">
        <v>1635</v>
      </c>
      <c r="D83">
        <v>401100000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 t="s">
        <v>1074</v>
      </c>
      <c r="Z83" t="s">
        <v>987</v>
      </c>
      <c r="AA83" t="s">
        <v>1636</v>
      </c>
      <c r="AB83" t="s">
        <v>975</v>
      </c>
      <c r="AC83">
        <v>4600</v>
      </c>
      <c r="AD83" t="s">
        <v>1637</v>
      </c>
      <c r="AE83" t="s">
        <v>1638</v>
      </c>
      <c r="AF83" t="s">
        <v>1639</v>
      </c>
      <c r="AG83" t="s">
        <v>977</v>
      </c>
      <c r="AH83">
        <v>25</v>
      </c>
      <c r="AI83">
        <v>20300</v>
      </c>
      <c r="AJ83" t="s">
        <v>978</v>
      </c>
      <c r="AK83">
        <v>0</v>
      </c>
      <c r="AL83" t="s">
        <v>978</v>
      </c>
      <c r="AM83" t="s">
        <v>979</v>
      </c>
      <c r="AN83">
        <v>0</v>
      </c>
      <c r="AO83" t="s">
        <v>257</v>
      </c>
      <c r="AP83">
        <v>0</v>
      </c>
      <c r="AQ83">
        <v>1</v>
      </c>
      <c r="AR83">
        <v>43</v>
      </c>
      <c r="AS83">
        <v>1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1</v>
      </c>
      <c r="AZ83" t="s">
        <v>257</v>
      </c>
      <c r="BA83" t="s">
        <v>980</v>
      </c>
      <c r="BB83" t="s">
        <v>981</v>
      </c>
      <c r="BC83" t="s">
        <v>257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 t="s">
        <v>998</v>
      </c>
      <c r="BK83" t="s">
        <v>981</v>
      </c>
      <c r="BL83" t="s">
        <v>1634</v>
      </c>
      <c r="BM83">
        <v>20141003</v>
      </c>
      <c r="BN83">
        <v>20220131</v>
      </c>
      <c r="BO83">
        <v>0</v>
      </c>
      <c r="BP83" t="s">
        <v>257</v>
      </c>
      <c r="BQ83" t="s">
        <v>983</v>
      </c>
      <c r="BR83" t="s">
        <v>978</v>
      </c>
      <c r="BS83" t="s">
        <v>1640</v>
      </c>
      <c r="BT83">
        <v>0</v>
      </c>
      <c r="BU83">
        <v>0</v>
      </c>
      <c r="BV83" t="s">
        <v>1013</v>
      </c>
      <c r="BW83" t="s">
        <v>257</v>
      </c>
      <c r="BX83">
        <v>0</v>
      </c>
      <c r="BY83" t="s">
        <v>980</v>
      </c>
      <c r="BZ83" t="s">
        <v>257</v>
      </c>
      <c r="CA83">
        <v>0</v>
      </c>
      <c r="CB83">
        <v>0</v>
      </c>
      <c r="CC83" t="s">
        <v>1397</v>
      </c>
      <c r="CD83">
        <v>0</v>
      </c>
      <c r="CE83">
        <v>0</v>
      </c>
      <c r="CF83">
        <v>0</v>
      </c>
      <c r="CG83">
        <v>0</v>
      </c>
      <c r="CH83">
        <v>0</v>
      </c>
      <c r="CI83" t="s">
        <v>983</v>
      </c>
      <c r="CJ83" t="s">
        <v>972</v>
      </c>
      <c r="CK83" t="s">
        <v>986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 t="s">
        <v>987</v>
      </c>
      <c r="CV83">
        <v>400008084</v>
      </c>
      <c r="CW83" t="s">
        <v>987</v>
      </c>
      <c r="CX83" t="s">
        <v>1081</v>
      </c>
      <c r="CY83" t="s">
        <v>989</v>
      </c>
    </row>
    <row r="84" spans="1:103" hidden="1" x14ac:dyDescent="0.25">
      <c r="A84">
        <v>410000085</v>
      </c>
      <c r="B84" t="s">
        <v>1641</v>
      </c>
      <c r="C84" t="s">
        <v>1642</v>
      </c>
      <c r="D84">
        <v>401100000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 t="s">
        <v>1643</v>
      </c>
      <c r="Z84" t="s">
        <v>987</v>
      </c>
      <c r="AA84" t="s">
        <v>1644</v>
      </c>
      <c r="AB84" t="s">
        <v>975</v>
      </c>
      <c r="AC84">
        <v>1000</v>
      </c>
      <c r="AD84" t="s">
        <v>1066</v>
      </c>
      <c r="AE84" t="s">
        <v>1645</v>
      </c>
      <c r="AF84" t="s">
        <v>1646</v>
      </c>
      <c r="AG84" t="s">
        <v>977</v>
      </c>
      <c r="AH84">
        <v>0</v>
      </c>
      <c r="AI84">
        <v>64910</v>
      </c>
      <c r="AJ84" t="s">
        <v>978</v>
      </c>
      <c r="AK84">
        <v>0</v>
      </c>
      <c r="AL84" t="s">
        <v>978</v>
      </c>
      <c r="AM84" t="s">
        <v>979</v>
      </c>
      <c r="AN84">
        <v>0</v>
      </c>
      <c r="AO84" t="s">
        <v>257</v>
      </c>
      <c r="AP84">
        <v>0</v>
      </c>
      <c r="AQ84">
        <v>1</v>
      </c>
      <c r="AR84">
        <v>43</v>
      </c>
      <c r="AS84">
        <v>1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1</v>
      </c>
      <c r="AZ84" t="s">
        <v>257</v>
      </c>
      <c r="BA84" t="s">
        <v>980</v>
      </c>
      <c r="BB84" t="s">
        <v>981</v>
      </c>
      <c r="BC84" t="s">
        <v>257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 t="s">
        <v>998</v>
      </c>
      <c r="BK84" t="s">
        <v>981</v>
      </c>
      <c r="BL84" t="s">
        <v>1641</v>
      </c>
      <c r="BM84">
        <v>20141003</v>
      </c>
      <c r="BN84">
        <v>20220131</v>
      </c>
      <c r="BO84">
        <v>0</v>
      </c>
      <c r="BP84" t="s">
        <v>257</v>
      </c>
      <c r="BQ84" t="s">
        <v>983</v>
      </c>
      <c r="BR84" t="s">
        <v>978</v>
      </c>
      <c r="BS84" t="s">
        <v>979</v>
      </c>
      <c r="BT84">
        <v>0</v>
      </c>
      <c r="BU84">
        <v>0</v>
      </c>
      <c r="BV84" t="s">
        <v>1013</v>
      </c>
      <c r="BW84" t="s">
        <v>257</v>
      </c>
      <c r="BX84">
        <v>0</v>
      </c>
      <c r="BY84" t="s">
        <v>980</v>
      </c>
      <c r="BZ84" t="s">
        <v>257</v>
      </c>
      <c r="CA84">
        <v>0</v>
      </c>
      <c r="CB84">
        <v>0</v>
      </c>
      <c r="CC84" t="s">
        <v>985</v>
      </c>
      <c r="CD84">
        <v>0</v>
      </c>
      <c r="CE84">
        <v>0</v>
      </c>
      <c r="CF84">
        <v>0</v>
      </c>
      <c r="CG84">
        <v>0</v>
      </c>
      <c r="CH84">
        <v>0</v>
      </c>
      <c r="CI84" t="s">
        <v>983</v>
      </c>
      <c r="CJ84" t="s">
        <v>972</v>
      </c>
      <c r="CK84" t="s">
        <v>986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 t="s">
        <v>987</v>
      </c>
      <c r="CV84">
        <v>400008085</v>
      </c>
      <c r="CW84" t="s">
        <v>987</v>
      </c>
      <c r="CX84" t="s">
        <v>1081</v>
      </c>
      <c r="CY84" t="s">
        <v>989</v>
      </c>
    </row>
    <row r="85" spans="1:103" hidden="1" x14ac:dyDescent="0.25">
      <c r="A85">
        <v>410000086</v>
      </c>
      <c r="B85" t="s">
        <v>1647</v>
      </c>
      <c r="C85" t="s">
        <v>1648</v>
      </c>
      <c r="D85">
        <v>401100000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1</v>
      </c>
      <c r="Y85" t="s">
        <v>972</v>
      </c>
      <c r="Z85" t="s">
        <v>987</v>
      </c>
      <c r="AA85" t="s">
        <v>1649</v>
      </c>
      <c r="AB85" t="s">
        <v>975</v>
      </c>
      <c r="AC85">
        <v>4052</v>
      </c>
      <c r="AD85" t="s">
        <v>1261</v>
      </c>
      <c r="AE85" t="s">
        <v>1650</v>
      </c>
      <c r="AF85" t="s">
        <v>1651</v>
      </c>
      <c r="AG85" t="s">
        <v>977</v>
      </c>
      <c r="AH85" t="s">
        <v>977</v>
      </c>
      <c r="AI85">
        <v>68201</v>
      </c>
      <c r="AJ85" t="s">
        <v>978</v>
      </c>
      <c r="AK85" t="s">
        <v>978</v>
      </c>
      <c r="AL85" t="s">
        <v>978</v>
      </c>
      <c r="AM85" t="s">
        <v>979</v>
      </c>
      <c r="AN85">
        <v>0</v>
      </c>
      <c r="AO85" t="s">
        <v>257</v>
      </c>
      <c r="AP85">
        <v>0</v>
      </c>
      <c r="AQ85">
        <v>1</v>
      </c>
      <c r="AR85">
        <v>43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1</v>
      </c>
      <c r="AZ85" t="s">
        <v>257</v>
      </c>
      <c r="BA85" t="s">
        <v>980</v>
      </c>
      <c r="BB85" t="s">
        <v>981</v>
      </c>
      <c r="BC85" t="s">
        <v>257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 t="s">
        <v>998</v>
      </c>
      <c r="BK85" t="s">
        <v>981</v>
      </c>
      <c r="BL85" t="s">
        <v>1647</v>
      </c>
      <c r="BM85">
        <v>20141006</v>
      </c>
      <c r="BN85">
        <v>20220131</v>
      </c>
      <c r="BO85">
        <v>0</v>
      </c>
      <c r="BP85" t="s">
        <v>257</v>
      </c>
      <c r="BQ85" t="s">
        <v>983</v>
      </c>
      <c r="BR85" t="s">
        <v>978</v>
      </c>
      <c r="BS85" t="s">
        <v>979</v>
      </c>
      <c r="BT85">
        <v>0</v>
      </c>
      <c r="BU85">
        <v>0</v>
      </c>
      <c r="BV85" t="s">
        <v>1013</v>
      </c>
      <c r="BW85" t="s">
        <v>257</v>
      </c>
      <c r="BX85">
        <v>0</v>
      </c>
      <c r="BY85" t="s">
        <v>980</v>
      </c>
      <c r="BZ85" t="s">
        <v>257</v>
      </c>
      <c r="CA85">
        <v>0</v>
      </c>
      <c r="CB85">
        <v>0</v>
      </c>
      <c r="CC85" t="s">
        <v>1454</v>
      </c>
      <c r="CD85">
        <v>0</v>
      </c>
      <c r="CE85">
        <v>0</v>
      </c>
      <c r="CF85">
        <v>0</v>
      </c>
      <c r="CG85">
        <v>0</v>
      </c>
      <c r="CH85">
        <v>0</v>
      </c>
      <c r="CI85" t="s">
        <v>983</v>
      </c>
      <c r="CJ85" t="s">
        <v>972</v>
      </c>
      <c r="CK85" t="s">
        <v>986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 t="s">
        <v>987</v>
      </c>
      <c r="CV85">
        <v>400008086</v>
      </c>
      <c r="CW85" t="s">
        <v>987</v>
      </c>
      <c r="CX85" t="s">
        <v>1081</v>
      </c>
      <c r="CY85" t="s">
        <v>989</v>
      </c>
    </row>
    <row r="86" spans="1:103" hidden="1" x14ac:dyDescent="0.25">
      <c r="A86">
        <v>410000087</v>
      </c>
      <c r="B86" t="s">
        <v>1652</v>
      </c>
      <c r="C86" t="s">
        <v>1653</v>
      </c>
      <c r="D86">
        <v>401100000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 t="s">
        <v>972</v>
      </c>
      <c r="Z86" t="s">
        <v>987</v>
      </c>
      <c r="AA86" t="s">
        <v>1654</v>
      </c>
      <c r="AB86" t="s">
        <v>975</v>
      </c>
      <c r="AC86">
        <v>4100</v>
      </c>
      <c r="AD86" t="s">
        <v>1655</v>
      </c>
      <c r="AE86" t="s">
        <v>1656</v>
      </c>
      <c r="AF86" t="s">
        <v>1657</v>
      </c>
      <c r="AG86" t="s">
        <v>977</v>
      </c>
      <c r="AH86">
        <v>40</v>
      </c>
      <c r="AI86">
        <v>43910</v>
      </c>
      <c r="AJ86" t="s">
        <v>978</v>
      </c>
      <c r="AK86">
        <v>0</v>
      </c>
      <c r="AL86" t="s">
        <v>978</v>
      </c>
      <c r="AM86" t="s">
        <v>979</v>
      </c>
      <c r="AN86">
        <v>0</v>
      </c>
      <c r="AO86" t="s">
        <v>257</v>
      </c>
      <c r="AP86">
        <v>0</v>
      </c>
      <c r="AQ86">
        <v>1</v>
      </c>
      <c r="AR86">
        <v>43</v>
      </c>
      <c r="AS86">
        <v>1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1</v>
      </c>
      <c r="AZ86" t="s">
        <v>257</v>
      </c>
      <c r="BA86" t="s">
        <v>980</v>
      </c>
      <c r="BB86" t="s">
        <v>981</v>
      </c>
      <c r="BC86" t="s">
        <v>257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 t="s">
        <v>998</v>
      </c>
      <c r="BK86" t="s">
        <v>981</v>
      </c>
      <c r="BL86" t="s">
        <v>1652</v>
      </c>
      <c r="BM86">
        <v>20141003</v>
      </c>
      <c r="BN86">
        <v>20220131</v>
      </c>
      <c r="BO86">
        <v>0</v>
      </c>
      <c r="BP86" t="s">
        <v>257</v>
      </c>
      <c r="BQ86" t="s">
        <v>983</v>
      </c>
      <c r="BR86" t="s">
        <v>978</v>
      </c>
      <c r="BS86" t="s">
        <v>1658</v>
      </c>
      <c r="BT86">
        <v>0</v>
      </c>
      <c r="BU86">
        <v>0</v>
      </c>
      <c r="BV86" t="s">
        <v>1013</v>
      </c>
      <c r="BW86" t="s">
        <v>257</v>
      </c>
      <c r="BX86">
        <v>0</v>
      </c>
      <c r="BY86" t="s">
        <v>980</v>
      </c>
      <c r="BZ86" t="s">
        <v>257</v>
      </c>
      <c r="CA86">
        <v>0</v>
      </c>
      <c r="CB86">
        <v>0</v>
      </c>
      <c r="CC86" t="s">
        <v>1659</v>
      </c>
      <c r="CD86">
        <v>0</v>
      </c>
      <c r="CE86">
        <v>0</v>
      </c>
      <c r="CF86">
        <v>0</v>
      </c>
      <c r="CG86">
        <v>0</v>
      </c>
      <c r="CH86">
        <v>0</v>
      </c>
      <c r="CI86" t="s">
        <v>983</v>
      </c>
      <c r="CJ86" t="s">
        <v>972</v>
      </c>
      <c r="CK86" t="s">
        <v>986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 t="s">
        <v>987</v>
      </c>
      <c r="CV86">
        <v>400008087</v>
      </c>
      <c r="CW86" t="s">
        <v>987</v>
      </c>
      <c r="CX86" t="s">
        <v>1081</v>
      </c>
      <c r="CY86" t="s">
        <v>989</v>
      </c>
    </row>
    <row r="87" spans="1:103" hidden="1" x14ac:dyDescent="0.25">
      <c r="A87">
        <v>410000088</v>
      </c>
      <c r="B87" t="s">
        <v>1660</v>
      </c>
      <c r="C87" t="s">
        <v>978</v>
      </c>
      <c r="D87">
        <v>401100000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</v>
      </c>
      <c r="W87">
        <v>1</v>
      </c>
      <c r="X87">
        <v>1</v>
      </c>
      <c r="Y87" t="s">
        <v>1025</v>
      </c>
      <c r="Z87" t="s">
        <v>987</v>
      </c>
      <c r="AA87" t="s">
        <v>1661</v>
      </c>
      <c r="AB87" t="s">
        <v>975</v>
      </c>
      <c r="AC87">
        <v>4800</v>
      </c>
      <c r="AD87" t="s">
        <v>1124</v>
      </c>
      <c r="AE87" t="s">
        <v>979</v>
      </c>
      <c r="AF87" t="s">
        <v>979</v>
      </c>
      <c r="AG87" t="s">
        <v>977</v>
      </c>
      <c r="AH87" t="s">
        <v>1031</v>
      </c>
      <c r="AI87" t="s">
        <v>1031</v>
      </c>
      <c r="AJ87" t="s">
        <v>978</v>
      </c>
      <c r="AK87">
        <v>0</v>
      </c>
      <c r="AL87" t="s">
        <v>978</v>
      </c>
      <c r="AM87" t="s">
        <v>979</v>
      </c>
      <c r="AN87">
        <v>0</v>
      </c>
      <c r="AO87" t="s">
        <v>257</v>
      </c>
      <c r="AP87">
        <v>0</v>
      </c>
      <c r="AQ87">
        <v>1</v>
      </c>
      <c r="AR87">
        <v>43</v>
      </c>
      <c r="AS87">
        <v>1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1</v>
      </c>
      <c r="AZ87" t="s">
        <v>257</v>
      </c>
      <c r="BA87" t="s">
        <v>980</v>
      </c>
      <c r="BB87" t="s">
        <v>981</v>
      </c>
      <c r="BC87" t="s">
        <v>257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 t="s">
        <v>998</v>
      </c>
      <c r="BK87" t="s">
        <v>981</v>
      </c>
      <c r="BL87" t="s">
        <v>1660</v>
      </c>
      <c r="BM87">
        <v>20141003</v>
      </c>
      <c r="BN87">
        <v>20220131</v>
      </c>
      <c r="BO87">
        <v>0</v>
      </c>
      <c r="BP87" t="s">
        <v>257</v>
      </c>
      <c r="BQ87" t="s">
        <v>983</v>
      </c>
      <c r="BR87" t="s">
        <v>978</v>
      </c>
      <c r="BS87" t="s">
        <v>979</v>
      </c>
      <c r="BT87">
        <v>0</v>
      </c>
      <c r="BU87">
        <v>0</v>
      </c>
      <c r="BV87" t="s">
        <v>1013</v>
      </c>
      <c r="BW87" t="s">
        <v>257</v>
      </c>
      <c r="BX87">
        <v>0</v>
      </c>
      <c r="BY87" t="s">
        <v>980</v>
      </c>
      <c r="BZ87" t="s">
        <v>257</v>
      </c>
      <c r="CA87">
        <v>0</v>
      </c>
      <c r="CB87">
        <v>0</v>
      </c>
      <c r="CC87" t="s">
        <v>1161</v>
      </c>
      <c r="CD87">
        <v>0</v>
      </c>
      <c r="CE87">
        <v>0</v>
      </c>
      <c r="CF87">
        <v>0</v>
      </c>
      <c r="CG87">
        <v>0</v>
      </c>
      <c r="CH87">
        <v>0</v>
      </c>
      <c r="CI87" t="s">
        <v>983</v>
      </c>
      <c r="CJ87" t="s">
        <v>972</v>
      </c>
      <c r="CK87" t="s">
        <v>986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 t="s">
        <v>987</v>
      </c>
      <c r="CV87">
        <v>400008088</v>
      </c>
      <c r="CW87" t="s">
        <v>987</v>
      </c>
      <c r="CX87" t="s">
        <v>1081</v>
      </c>
      <c r="CY87" t="s">
        <v>989</v>
      </c>
    </row>
    <row r="88" spans="1:103" hidden="1" x14ac:dyDescent="0.25">
      <c r="A88">
        <v>410000089</v>
      </c>
      <c r="B88" t="s">
        <v>1662</v>
      </c>
      <c r="C88" t="s">
        <v>1663</v>
      </c>
      <c r="D88">
        <v>401100000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 t="s">
        <v>972</v>
      </c>
      <c r="Z88" t="s">
        <v>987</v>
      </c>
      <c r="AA88" t="s">
        <v>1664</v>
      </c>
      <c r="AB88" t="s">
        <v>975</v>
      </c>
      <c r="AC88">
        <v>1730</v>
      </c>
      <c r="AD88" t="s">
        <v>1665</v>
      </c>
      <c r="AE88" t="s">
        <v>1666</v>
      </c>
      <c r="AF88" t="s">
        <v>1667</v>
      </c>
      <c r="AG88" t="s">
        <v>977</v>
      </c>
      <c r="AH88">
        <v>30</v>
      </c>
      <c r="AI88">
        <v>46480</v>
      </c>
      <c r="AJ88" t="s">
        <v>1668</v>
      </c>
      <c r="AK88">
        <v>150</v>
      </c>
      <c r="AL88" t="s">
        <v>978</v>
      </c>
      <c r="AM88" t="s">
        <v>979</v>
      </c>
      <c r="AN88">
        <v>0</v>
      </c>
      <c r="AO88" t="s">
        <v>257</v>
      </c>
      <c r="AP88">
        <v>0</v>
      </c>
      <c r="AQ88">
        <v>1</v>
      </c>
      <c r="AR88">
        <v>43</v>
      </c>
      <c r="AS88">
        <v>1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  <c r="AZ88" t="s">
        <v>257</v>
      </c>
      <c r="BA88" t="s">
        <v>980</v>
      </c>
      <c r="BB88" t="s">
        <v>1010</v>
      </c>
      <c r="BC88" t="s">
        <v>257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 t="s">
        <v>998</v>
      </c>
      <c r="BK88" t="s">
        <v>981</v>
      </c>
      <c r="BL88" t="s">
        <v>1662</v>
      </c>
      <c r="BM88">
        <v>20141003</v>
      </c>
      <c r="BN88">
        <v>20220131</v>
      </c>
      <c r="BO88">
        <v>20150528</v>
      </c>
      <c r="BP88" t="s">
        <v>257</v>
      </c>
      <c r="BQ88" t="s">
        <v>983</v>
      </c>
      <c r="BR88" t="s">
        <v>978</v>
      </c>
      <c r="BS88" t="s">
        <v>1669</v>
      </c>
      <c r="BT88">
        <v>0</v>
      </c>
      <c r="BU88">
        <v>0</v>
      </c>
      <c r="BV88" t="s">
        <v>1013</v>
      </c>
      <c r="BW88" t="s">
        <v>257</v>
      </c>
      <c r="BX88">
        <v>0</v>
      </c>
      <c r="BY88" t="s">
        <v>980</v>
      </c>
      <c r="BZ88" t="s">
        <v>257</v>
      </c>
      <c r="CA88">
        <v>0</v>
      </c>
      <c r="CB88">
        <v>0</v>
      </c>
      <c r="CC88" t="s">
        <v>1670</v>
      </c>
      <c r="CD88">
        <v>0</v>
      </c>
      <c r="CE88">
        <v>0</v>
      </c>
      <c r="CF88">
        <v>0</v>
      </c>
      <c r="CG88">
        <v>0</v>
      </c>
      <c r="CH88">
        <v>0</v>
      </c>
      <c r="CI88" t="s">
        <v>983</v>
      </c>
      <c r="CJ88" t="s">
        <v>972</v>
      </c>
      <c r="CK88" t="s">
        <v>986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 t="s">
        <v>987</v>
      </c>
      <c r="CV88">
        <v>400008089</v>
      </c>
      <c r="CW88" t="s">
        <v>987</v>
      </c>
      <c r="CX88" t="s">
        <v>1081</v>
      </c>
      <c r="CY88" t="s">
        <v>989</v>
      </c>
    </row>
    <row r="89" spans="1:103" hidden="1" x14ac:dyDescent="0.25">
      <c r="A89">
        <v>410000090</v>
      </c>
      <c r="B89" t="s">
        <v>1671</v>
      </c>
      <c r="C89" t="s">
        <v>1672</v>
      </c>
      <c r="D89">
        <v>401100000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1</v>
      </c>
      <c r="Y89" t="s">
        <v>972</v>
      </c>
      <c r="Z89" t="s">
        <v>987</v>
      </c>
      <c r="AA89" t="s">
        <v>1673</v>
      </c>
      <c r="AB89" t="s">
        <v>975</v>
      </c>
      <c r="AC89">
        <v>4020</v>
      </c>
      <c r="AD89" t="s">
        <v>1019</v>
      </c>
      <c r="AE89" t="s">
        <v>1674</v>
      </c>
      <c r="AF89" t="s">
        <v>1675</v>
      </c>
      <c r="AG89" t="s">
        <v>977</v>
      </c>
      <c r="AH89">
        <v>28</v>
      </c>
      <c r="AI89">
        <v>45320</v>
      </c>
      <c r="AJ89" t="s">
        <v>978</v>
      </c>
      <c r="AK89">
        <v>0</v>
      </c>
      <c r="AL89" t="s">
        <v>978</v>
      </c>
      <c r="AM89" t="s">
        <v>979</v>
      </c>
      <c r="AN89">
        <v>0</v>
      </c>
      <c r="AO89" t="s">
        <v>257</v>
      </c>
      <c r="AP89">
        <v>0</v>
      </c>
      <c r="AQ89">
        <v>1</v>
      </c>
      <c r="AR89">
        <v>43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1</v>
      </c>
      <c r="AZ89" t="s">
        <v>257</v>
      </c>
      <c r="BA89" t="s">
        <v>980</v>
      </c>
      <c r="BB89" t="s">
        <v>981</v>
      </c>
      <c r="BC89" t="s">
        <v>257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 t="s">
        <v>998</v>
      </c>
      <c r="BK89" t="s">
        <v>981</v>
      </c>
      <c r="BL89" t="s">
        <v>1671</v>
      </c>
      <c r="BM89">
        <v>20141003</v>
      </c>
      <c r="BN89">
        <v>20220131</v>
      </c>
      <c r="BO89">
        <v>0</v>
      </c>
      <c r="BP89" t="s">
        <v>257</v>
      </c>
      <c r="BQ89" t="s">
        <v>983</v>
      </c>
      <c r="BR89" t="s">
        <v>978</v>
      </c>
      <c r="BS89" t="s">
        <v>979</v>
      </c>
      <c r="BT89">
        <v>0</v>
      </c>
      <c r="BU89">
        <v>0</v>
      </c>
      <c r="BV89" t="s">
        <v>984</v>
      </c>
      <c r="BW89" t="s">
        <v>257</v>
      </c>
      <c r="BX89">
        <v>0</v>
      </c>
      <c r="BY89" t="s">
        <v>980</v>
      </c>
      <c r="BZ89" t="s">
        <v>257</v>
      </c>
      <c r="CA89">
        <v>0</v>
      </c>
      <c r="CB89">
        <v>0</v>
      </c>
      <c r="CC89" t="s">
        <v>1152</v>
      </c>
      <c r="CD89">
        <v>0</v>
      </c>
      <c r="CE89">
        <v>0</v>
      </c>
      <c r="CF89">
        <v>0</v>
      </c>
      <c r="CG89">
        <v>0</v>
      </c>
      <c r="CH89">
        <v>0</v>
      </c>
      <c r="CI89" t="s">
        <v>983</v>
      </c>
      <c r="CJ89" t="s">
        <v>972</v>
      </c>
      <c r="CK89" t="s">
        <v>986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 t="s">
        <v>987</v>
      </c>
      <c r="CV89">
        <v>400008090</v>
      </c>
      <c r="CW89" t="s">
        <v>987</v>
      </c>
      <c r="CX89" t="s">
        <v>1676</v>
      </c>
      <c r="CY89" t="s">
        <v>989</v>
      </c>
    </row>
    <row r="90" spans="1:103" hidden="1" x14ac:dyDescent="0.25">
      <c r="A90">
        <v>410000091</v>
      </c>
      <c r="B90" t="s">
        <v>1677</v>
      </c>
      <c r="C90" t="s">
        <v>1678</v>
      </c>
      <c r="D90">
        <v>401100000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1</v>
      </c>
      <c r="Y90" t="s">
        <v>972</v>
      </c>
      <c r="Z90" t="s">
        <v>1679</v>
      </c>
      <c r="AA90" t="s">
        <v>1680</v>
      </c>
      <c r="AB90" t="s">
        <v>975</v>
      </c>
      <c r="AC90">
        <v>4000</v>
      </c>
      <c r="AD90" t="s">
        <v>1681</v>
      </c>
      <c r="AE90" t="s">
        <v>1682</v>
      </c>
      <c r="AF90" t="s">
        <v>979</v>
      </c>
      <c r="AG90" t="s">
        <v>977</v>
      </c>
      <c r="AH90">
        <v>25</v>
      </c>
      <c r="AI90">
        <v>25930</v>
      </c>
      <c r="AJ90" t="s">
        <v>978</v>
      </c>
      <c r="AK90">
        <v>0</v>
      </c>
      <c r="AL90" t="s">
        <v>978</v>
      </c>
      <c r="AM90" t="s">
        <v>979</v>
      </c>
      <c r="AN90">
        <v>0</v>
      </c>
      <c r="AO90" t="s">
        <v>257</v>
      </c>
      <c r="AP90">
        <v>0</v>
      </c>
      <c r="AQ90">
        <v>1</v>
      </c>
      <c r="AR90">
        <v>43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1</v>
      </c>
      <c r="AZ90" t="s">
        <v>257</v>
      </c>
      <c r="BA90" t="s">
        <v>980</v>
      </c>
      <c r="BB90" t="s">
        <v>1010</v>
      </c>
      <c r="BC90" t="s">
        <v>257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 t="s">
        <v>998</v>
      </c>
      <c r="BK90" t="s">
        <v>981</v>
      </c>
      <c r="BL90" t="s">
        <v>1677</v>
      </c>
      <c r="BM90">
        <v>20141003</v>
      </c>
      <c r="BN90">
        <v>20250821</v>
      </c>
      <c r="BO90">
        <v>20250821</v>
      </c>
      <c r="BP90" t="s">
        <v>257</v>
      </c>
      <c r="BQ90" t="s">
        <v>983</v>
      </c>
      <c r="BR90" t="s">
        <v>978</v>
      </c>
      <c r="BS90" t="s">
        <v>979</v>
      </c>
      <c r="BT90">
        <v>0</v>
      </c>
      <c r="BU90">
        <v>0</v>
      </c>
      <c r="BV90" t="s">
        <v>984</v>
      </c>
      <c r="BW90" t="s">
        <v>257</v>
      </c>
      <c r="BX90">
        <v>0</v>
      </c>
      <c r="BY90" t="s">
        <v>980</v>
      </c>
      <c r="BZ90" t="s">
        <v>257</v>
      </c>
      <c r="CA90">
        <v>0</v>
      </c>
      <c r="CB90">
        <v>0</v>
      </c>
      <c r="CC90" t="s">
        <v>1220</v>
      </c>
      <c r="CD90">
        <v>0</v>
      </c>
      <c r="CE90">
        <v>0</v>
      </c>
      <c r="CF90">
        <v>0</v>
      </c>
      <c r="CG90">
        <v>0</v>
      </c>
      <c r="CH90">
        <v>0</v>
      </c>
      <c r="CI90" t="s">
        <v>983</v>
      </c>
      <c r="CJ90" t="s">
        <v>972</v>
      </c>
      <c r="CK90" t="s">
        <v>986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 t="s">
        <v>987</v>
      </c>
      <c r="CV90">
        <v>400008091</v>
      </c>
      <c r="CW90" t="s">
        <v>987</v>
      </c>
      <c r="CX90" t="s">
        <v>1683</v>
      </c>
      <c r="CY90" t="s">
        <v>989</v>
      </c>
    </row>
    <row r="91" spans="1:103" hidden="1" x14ac:dyDescent="0.25">
      <c r="A91">
        <v>410000092</v>
      </c>
      <c r="B91" t="s">
        <v>1684</v>
      </c>
      <c r="C91" t="s">
        <v>1685</v>
      </c>
      <c r="D91">
        <v>401100000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 t="s">
        <v>972</v>
      </c>
      <c r="Z91" t="s">
        <v>987</v>
      </c>
      <c r="AA91" t="s">
        <v>1686</v>
      </c>
      <c r="AB91" t="s">
        <v>975</v>
      </c>
      <c r="AC91">
        <v>4651</v>
      </c>
      <c r="AD91" t="s">
        <v>1093</v>
      </c>
      <c r="AE91" t="s">
        <v>1687</v>
      </c>
      <c r="AF91" t="s">
        <v>1688</v>
      </c>
      <c r="AG91" t="s">
        <v>977</v>
      </c>
      <c r="AH91">
        <v>817232126</v>
      </c>
      <c r="AI91">
        <v>69201</v>
      </c>
      <c r="AJ91" t="s">
        <v>978</v>
      </c>
      <c r="AK91">
        <v>0</v>
      </c>
      <c r="AL91" t="s">
        <v>978</v>
      </c>
      <c r="AM91" t="s">
        <v>979</v>
      </c>
      <c r="AN91">
        <v>0</v>
      </c>
      <c r="AO91" t="s">
        <v>257</v>
      </c>
      <c r="AP91">
        <v>0</v>
      </c>
      <c r="AQ91">
        <v>1</v>
      </c>
      <c r="AR91">
        <v>43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1</v>
      </c>
      <c r="AZ91" t="s">
        <v>257</v>
      </c>
      <c r="BA91" t="s">
        <v>980</v>
      </c>
      <c r="BB91" t="s">
        <v>981</v>
      </c>
      <c r="BC91" t="s">
        <v>257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 t="s">
        <v>998</v>
      </c>
      <c r="BK91" t="s">
        <v>981</v>
      </c>
      <c r="BL91" t="s">
        <v>1684</v>
      </c>
      <c r="BM91">
        <v>20141003</v>
      </c>
      <c r="BN91">
        <v>20250516</v>
      </c>
      <c r="BO91">
        <v>0</v>
      </c>
      <c r="BP91" t="s">
        <v>257</v>
      </c>
      <c r="BQ91" t="s">
        <v>983</v>
      </c>
      <c r="BR91" t="s">
        <v>978</v>
      </c>
      <c r="BS91" t="s">
        <v>1689</v>
      </c>
      <c r="BT91">
        <v>0</v>
      </c>
      <c r="BU91">
        <v>0</v>
      </c>
      <c r="BV91" t="s">
        <v>1013</v>
      </c>
      <c r="BW91" t="s">
        <v>257</v>
      </c>
      <c r="BX91">
        <v>0</v>
      </c>
      <c r="BY91" t="s">
        <v>980</v>
      </c>
      <c r="BZ91" t="s">
        <v>257</v>
      </c>
      <c r="CA91">
        <v>0</v>
      </c>
      <c r="CB91">
        <v>0</v>
      </c>
      <c r="CC91" t="s">
        <v>1469</v>
      </c>
      <c r="CD91">
        <v>0</v>
      </c>
      <c r="CE91">
        <v>0</v>
      </c>
      <c r="CF91">
        <v>0</v>
      </c>
      <c r="CG91">
        <v>0</v>
      </c>
      <c r="CH91">
        <v>0</v>
      </c>
      <c r="CI91" t="s">
        <v>983</v>
      </c>
      <c r="CJ91" t="s">
        <v>972</v>
      </c>
      <c r="CK91" t="s">
        <v>986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 t="s">
        <v>987</v>
      </c>
      <c r="CV91">
        <v>400008092</v>
      </c>
      <c r="CW91" t="s">
        <v>987</v>
      </c>
      <c r="CX91" t="s">
        <v>1081</v>
      </c>
      <c r="CY91" t="s">
        <v>989</v>
      </c>
    </row>
    <row r="92" spans="1:103" hidden="1" x14ac:dyDescent="0.25">
      <c r="A92">
        <v>410000093</v>
      </c>
      <c r="B92" t="s">
        <v>1690</v>
      </c>
      <c r="C92" t="s">
        <v>1691</v>
      </c>
      <c r="D92">
        <v>401100000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 t="s">
        <v>972</v>
      </c>
      <c r="Z92" t="s">
        <v>987</v>
      </c>
      <c r="AA92" t="s">
        <v>1692</v>
      </c>
      <c r="AB92" t="s">
        <v>975</v>
      </c>
      <c r="AC92">
        <v>4031</v>
      </c>
      <c r="AD92" t="s">
        <v>1283</v>
      </c>
      <c r="AE92" t="s">
        <v>1693</v>
      </c>
      <c r="AF92" t="s">
        <v>1694</v>
      </c>
      <c r="AG92" t="s">
        <v>977</v>
      </c>
      <c r="AH92">
        <v>30</v>
      </c>
      <c r="AI92">
        <v>46460</v>
      </c>
      <c r="AJ92" t="s">
        <v>978</v>
      </c>
      <c r="AK92">
        <v>0</v>
      </c>
      <c r="AL92" t="s">
        <v>978</v>
      </c>
      <c r="AM92" t="s">
        <v>979</v>
      </c>
      <c r="AN92">
        <v>0</v>
      </c>
      <c r="AO92" t="s">
        <v>257</v>
      </c>
      <c r="AP92">
        <v>0</v>
      </c>
      <c r="AQ92">
        <v>1</v>
      </c>
      <c r="AR92">
        <v>43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1</v>
      </c>
      <c r="AZ92" t="s">
        <v>257</v>
      </c>
      <c r="BA92" t="s">
        <v>980</v>
      </c>
      <c r="BB92" t="s">
        <v>981</v>
      </c>
      <c r="BC92" t="s">
        <v>257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 t="s">
        <v>998</v>
      </c>
      <c r="BK92" t="s">
        <v>981</v>
      </c>
      <c r="BL92" t="s">
        <v>1690</v>
      </c>
      <c r="BM92">
        <v>20141003</v>
      </c>
      <c r="BN92">
        <v>20220131</v>
      </c>
      <c r="BO92">
        <v>0</v>
      </c>
      <c r="BP92" t="s">
        <v>257</v>
      </c>
      <c r="BQ92" t="s">
        <v>983</v>
      </c>
      <c r="BR92" t="s">
        <v>978</v>
      </c>
      <c r="BS92" t="s">
        <v>979</v>
      </c>
      <c r="BT92">
        <v>0</v>
      </c>
      <c r="BU92">
        <v>0</v>
      </c>
      <c r="BV92" t="s">
        <v>1013</v>
      </c>
      <c r="BW92" t="s">
        <v>257</v>
      </c>
      <c r="BX92">
        <v>0</v>
      </c>
      <c r="BY92" t="s">
        <v>980</v>
      </c>
      <c r="BZ92" t="s">
        <v>257</v>
      </c>
      <c r="CA92">
        <v>0</v>
      </c>
      <c r="CB92">
        <v>0</v>
      </c>
      <c r="CC92" t="s">
        <v>1397</v>
      </c>
      <c r="CD92">
        <v>0</v>
      </c>
      <c r="CE92">
        <v>0</v>
      </c>
      <c r="CF92">
        <v>0</v>
      </c>
      <c r="CG92">
        <v>0</v>
      </c>
      <c r="CH92">
        <v>0</v>
      </c>
      <c r="CI92" t="s">
        <v>983</v>
      </c>
      <c r="CJ92" t="s">
        <v>972</v>
      </c>
      <c r="CK92" t="s">
        <v>986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 t="s">
        <v>987</v>
      </c>
      <c r="CV92">
        <v>400008093</v>
      </c>
      <c r="CW92" t="s">
        <v>987</v>
      </c>
      <c r="CX92" t="s">
        <v>1081</v>
      </c>
      <c r="CY92" t="s">
        <v>989</v>
      </c>
    </row>
    <row r="93" spans="1:103" hidden="1" x14ac:dyDescent="0.25">
      <c r="A93">
        <v>410000094</v>
      </c>
      <c r="B93" t="s">
        <v>1695</v>
      </c>
      <c r="C93" t="s">
        <v>978</v>
      </c>
      <c r="D93">
        <v>401100000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</v>
      </c>
      <c r="W93">
        <v>1</v>
      </c>
      <c r="X93">
        <v>1</v>
      </c>
      <c r="Y93" t="s">
        <v>972</v>
      </c>
      <c r="Z93" t="s">
        <v>1696</v>
      </c>
      <c r="AA93" t="s">
        <v>1697</v>
      </c>
      <c r="AB93" t="s">
        <v>975</v>
      </c>
      <c r="AC93">
        <v>4000</v>
      </c>
      <c r="AD93" t="s">
        <v>1698</v>
      </c>
      <c r="AE93" t="s">
        <v>1699</v>
      </c>
      <c r="AF93" t="s">
        <v>1700</v>
      </c>
      <c r="AG93" t="s">
        <v>977</v>
      </c>
      <c r="AH93" t="s">
        <v>1031</v>
      </c>
      <c r="AI93" t="s">
        <v>1031</v>
      </c>
      <c r="AJ93" t="s">
        <v>1701</v>
      </c>
      <c r="AK93" t="s">
        <v>1702</v>
      </c>
      <c r="AL93" t="s">
        <v>1703</v>
      </c>
      <c r="AM93" t="s">
        <v>979</v>
      </c>
      <c r="AN93">
        <v>0</v>
      </c>
      <c r="AO93" t="s">
        <v>257</v>
      </c>
      <c r="AP93">
        <v>0</v>
      </c>
      <c r="AQ93">
        <v>1</v>
      </c>
      <c r="AR93">
        <v>43</v>
      </c>
      <c r="AS93">
        <v>1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1</v>
      </c>
      <c r="AZ93" t="s">
        <v>257</v>
      </c>
      <c r="BA93" t="s">
        <v>980</v>
      </c>
      <c r="BB93" t="s">
        <v>981</v>
      </c>
      <c r="BC93" t="s">
        <v>257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 t="s">
        <v>998</v>
      </c>
      <c r="BK93" t="s">
        <v>981</v>
      </c>
      <c r="BL93" t="s">
        <v>1695</v>
      </c>
      <c r="BM93">
        <v>20141003</v>
      </c>
      <c r="BN93">
        <v>20220131</v>
      </c>
      <c r="BO93">
        <v>0</v>
      </c>
      <c r="BP93" t="s">
        <v>257</v>
      </c>
      <c r="BQ93" t="s">
        <v>983</v>
      </c>
      <c r="BR93" t="s">
        <v>978</v>
      </c>
      <c r="BS93" t="s">
        <v>979</v>
      </c>
      <c r="BT93">
        <v>0</v>
      </c>
      <c r="BU93">
        <v>0</v>
      </c>
      <c r="BV93" t="s">
        <v>984</v>
      </c>
      <c r="BW93" t="s">
        <v>257</v>
      </c>
      <c r="BX93">
        <v>0</v>
      </c>
      <c r="BY93" t="s">
        <v>980</v>
      </c>
      <c r="BZ93" t="s">
        <v>257</v>
      </c>
      <c r="CA93">
        <v>0</v>
      </c>
      <c r="CB93">
        <v>0</v>
      </c>
      <c r="CC93" t="s">
        <v>1572</v>
      </c>
      <c r="CD93">
        <v>0</v>
      </c>
      <c r="CE93">
        <v>0</v>
      </c>
      <c r="CF93">
        <v>0</v>
      </c>
      <c r="CG93">
        <v>0</v>
      </c>
      <c r="CH93">
        <v>0</v>
      </c>
      <c r="CI93" t="s">
        <v>983</v>
      </c>
      <c r="CJ93" t="s">
        <v>972</v>
      </c>
      <c r="CK93" t="s">
        <v>986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 t="s">
        <v>987</v>
      </c>
      <c r="CV93">
        <v>400008094</v>
      </c>
      <c r="CW93" t="s">
        <v>987</v>
      </c>
      <c r="CX93" t="s">
        <v>1704</v>
      </c>
      <c r="CY93" t="s">
        <v>989</v>
      </c>
    </row>
    <row r="94" spans="1:103" hidden="1" x14ac:dyDescent="0.25">
      <c r="A94">
        <v>410000095</v>
      </c>
      <c r="B94" t="s">
        <v>1705</v>
      </c>
      <c r="C94" t="s">
        <v>1706</v>
      </c>
      <c r="D94">
        <v>401100000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 t="s">
        <v>972</v>
      </c>
      <c r="Z94" t="s">
        <v>987</v>
      </c>
      <c r="AA94" t="s">
        <v>1707</v>
      </c>
      <c r="AB94" t="s">
        <v>975</v>
      </c>
      <c r="AC94">
        <v>6230</v>
      </c>
      <c r="AD94" t="s">
        <v>1708</v>
      </c>
      <c r="AE94" t="s">
        <v>1709</v>
      </c>
      <c r="AF94" t="s">
        <v>1710</v>
      </c>
      <c r="AG94" t="s">
        <v>977</v>
      </c>
      <c r="AH94">
        <v>64</v>
      </c>
      <c r="AI94">
        <v>25739</v>
      </c>
      <c r="AJ94" t="s">
        <v>997</v>
      </c>
      <c r="AK94">
        <v>0</v>
      </c>
      <c r="AL94" t="s">
        <v>978</v>
      </c>
      <c r="AM94" t="s">
        <v>979</v>
      </c>
      <c r="AN94">
        <v>0</v>
      </c>
      <c r="AO94" t="s">
        <v>257</v>
      </c>
      <c r="AP94">
        <v>0</v>
      </c>
      <c r="AQ94">
        <v>1</v>
      </c>
      <c r="AR94">
        <v>43</v>
      </c>
      <c r="AS94">
        <v>1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1</v>
      </c>
      <c r="AZ94" t="s">
        <v>257</v>
      </c>
      <c r="BA94" t="s">
        <v>980</v>
      </c>
      <c r="BB94" t="s">
        <v>981</v>
      </c>
      <c r="BC94" t="s">
        <v>257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 t="s">
        <v>998</v>
      </c>
      <c r="BK94" t="s">
        <v>981</v>
      </c>
      <c r="BL94" t="s">
        <v>1705</v>
      </c>
      <c r="BM94">
        <v>20141003</v>
      </c>
      <c r="BN94">
        <v>20220131</v>
      </c>
      <c r="BO94">
        <v>0</v>
      </c>
      <c r="BP94" t="s">
        <v>257</v>
      </c>
      <c r="BQ94" t="s">
        <v>983</v>
      </c>
      <c r="BR94" t="s">
        <v>978</v>
      </c>
      <c r="BS94" t="s">
        <v>979</v>
      </c>
      <c r="BT94">
        <v>0</v>
      </c>
      <c r="BU94">
        <v>0</v>
      </c>
      <c r="BV94" t="s">
        <v>1013</v>
      </c>
      <c r="BW94" t="s">
        <v>257</v>
      </c>
      <c r="BX94">
        <v>0</v>
      </c>
      <c r="BY94" t="s">
        <v>980</v>
      </c>
      <c r="BZ94" t="s">
        <v>257</v>
      </c>
      <c r="CA94">
        <v>0</v>
      </c>
      <c r="CB94">
        <v>0</v>
      </c>
      <c r="CC94" t="s">
        <v>1430</v>
      </c>
      <c r="CD94">
        <v>0</v>
      </c>
      <c r="CE94">
        <v>0</v>
      </c>
      <c r="CF94">
        <v>0</v>
      </c>
      <c r="CG94">
        <v>0</v>
      </c>
      <c r="CH94">
        <v>0</v>
      </c>
      <c r="CI94" t="s">
        <v>983</v>
      </c>
      <c r="CJ94" t="s">
        <v>972</v>
      </c>
      <c r="CK94" t="s">
        <v>986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 t="s">
        <v>987</v>
      </c>
      <c r="CV94">
        <v>400008095</v>
      </c>
      <c r="CW94" t="s">
        <v>987</v>
      </c>
      <c r="CX94" t="s">
        <v>1081</v>
      </c>
      <c r="CY94" t="s">
        <v>989</v>
      </c>
    </row>
    <row r="95" spans="1:103" hidden="1" x14ac:dyDescent="0.25">
      <c r="A95">
        <v>410000096</v>
      </c>
      <c r="B95" t="s">
        <v>1711</v>
      </c>
      <c r="C95" t="s">
        <v>1706</v>
      </c>
      <c r="D95">
        <v>401100000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 t="s">
        <v>972</v>
      </c>
      <c r="Z95" t="s">
        <v>987</v>
      </c>
      <c r="AA95" t="s">
        <v>1707</v>
      </c>
      <c r="AB95" t="s">
        <v>975</v>
      </c>
      <c r="AC95">
        <v>6230</v>
      </c>
      <c r="AD95" t="s">
        <v>1712</v>
      </c>
      <c r="AE95" t="s">
        <v>1713</v>
      </c>
      <c r="AF95" t="s">
        <v>1714</v>
      </c>
      <c r="AG95" t="s">
        <v>977</v>
      </c>
      <c r="AH95">
        <v>0</v>
      </c>
      <c r="AI95">
        <v>25739</v>
      </c>
      <c r="AJ95" t="s">
        <v>997</v>
      </c>
      <c r="AK95">
        <v>0</v>
      </c>
      <c r="AL95" t="s">
        <v>978</v>
      </c>
      <c r="AM95" t="s">
        <v>979</v>
      </c>
      <c r="AN95">
        <v>0</v>
      </c>
      <c r="AO95" t="s">
        <v>257</v>
      </c>
      <c r="AP95">
        <v>0</v>
      </c>
      <c r="AQ95">
        <v>1</v>
      </c>
      <c r="AR95">
        <v>43</v>
      </c>
      <c r="AS95">
        <v>1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1</v>
      </c>
      <c r="AZ95" t="s">
        <v>257</v>
      </c>
      <c r="BA95" t="s">
        <v>980</v>
      </c>
      <c r="BB95" t="s">
        <v>1010</v>
      </c>
      <c r="BC95" t="s">
        <v>257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410000081</v>
      </c>
      <c r="BJ95" t="s">
        <v>1021</v>
      </c>
      <c r="BK95" t="s">
        <v>981</v>
      </c>
      <c r="BL95" t="s">
        <v>1711</v>
      </c>
      <c r="BM95">
        <v>20141003</v>
      </c>
      <c r="BN95">
        <v>20220131</v>
      </c>
      <c r="BO95">
        <v>20150216</v>
      </c>
      <c r="BP95" t="s">
        <v>257</v>
      </c>
      <c r="BQ95" t="s">
        <v>983</v>
      </c>
      <c r="BR95" t="s">
        <v>978</v>
      </c>
      <c r="BS95" t="s">
        <v>1715</v>
      </c>
      <c r="BT95">
        <v>0</v>
      </c>
      <c r="BU95">
        <v>0</v>
      </c>
      <c r="BV95" t="s">
        <v>1013</v>
      </c>
      <c r="BW95" t="s">
        <v>257</v>
      </c>
      <c r="BX95">
        <v>0</v>
      </c>
      <c r="BY95" t="s">
        <v>980</v>
      </c>
      <c r="BZ95" t="s">
        <v>257</v>
      </c>
      <c r="CA95">
        <v>0</v>
      </c>
      <c r="CB95">
        <v>0</v>
      </c>
      <c r="CC95" t="s">
        <v>1430</v>
      </c>
      <c r="CD95">
        <v>0</v>
      </c>
      <c r="CE95">
        <v>0</v>
      </c>
      <c r="CF95">
        <v>0</v>
      </c>
      <c r="CG95">
        <v>0</v>
      </c>
      <c r="CH95">
        <v>0</v>
      </c>
      <c r="CI95" t="s">
        <v>983</v>
      </c>
      <c r="CJ95" t="s">
        <v>972</v>
      </c>
      <c r="CK95" t="s">
        <v>986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 t="s">
        <v>987</v>
      </c>
      <c r="CV95">
        <v>400008096</v>
      </c>
      <c r="CW95" t="s">
        <v>987</v>
      </c>
      <c r="CX95" t="s">
        <v>1081</v>
      </c>
      <c r="CY95" t="s">
        <v>989</v>
      </c>
    </row>
    <row r="96" spans="1:103" hidden="1" x14ac:dyDescent="0.25">
      <c r="A96">
        <v>410000097</v>
      </c>
      <c r="B96" t="s">
        <v>1716</v>
      </c>
      <c r="C96" t="s">
        <v>1717</v>
      </c>
      <c r="D96">
        <v>401100000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1</v>
      </c>
      <c r="Y96" t="s">
        <v>972</v>
      </c>
      <c r="Z96" t="s">
        <v>987</v>
      </c>
      <c r="AA96" t="s">
        <v>1718</v>
      </c>
      <c r="AB96" t="s">
        <v>975</v>
      </c>
      <c r="AC96">
        <v>4100</v>
      </c>
      <c r="AD96" t="s">
        <v>1655</v>
      </c>
      <c r="AE96" t="s">
        <v>1719</v>
      </c>
      <c r="AF96" t="s">
        <v>1720</v>
      </c>
      <c r="AG96" t="s">
        <v>977</v>
      </c>
      <c r="AH96" t="s">
        <v>1337</v>
      </c>
      <c r="AI96" t="s">
        <v>1337</v>
      </c>
      <c r="AJ96" t="s">
        <v>978</v>
      </c>
      <c r="AK96">
        <v>0</v>
      </c>
      <c r="AL96" t="s">
        <v>978</v>
      </c>
      <c r="AM96" t="s">
        <v>979</v>
      </c>
      <c r="AN96">
        <v>0</v>
      </c>
      <c r="AO96" t="s">
        <v>257</v>
      </c>
      <c r="AP96">
        <v>0</v>
      </c>
      <c r="AQ96">
        <v>1</v>
      </c>
      <c r="AR96">
        <v>43</v>
      </c>
      <c r="AS96">
        <v>1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 t="s">
        <v>257</v>
      </c>
      <c r="BA96" t="s">
        <v>980</v>
      </c>
      <c r="BB96" t="s">
        <v>981</v>
      </c>
      <c r="BC96" t="s">
        <v>257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 t="s">
        <v>998</v>
      </c>
      <c r="BK96" t="s">
        <v>981</v>
      </c>
      <c r="BL96" t="s">
        <v>1716</v>
      </c>
      <c r="BM96">
        <v>20141003</v>
      </c>
      <c r="BN96">
        <v>20220131</v>
      </c>
      <c r="BO96">
        <v>0</v>
      </c>
      <c r="BP96" t="s">
        <v>257</v>
      </c>
      <c r="BQ96" t="s">
        <v>983</v>
      </c>
      <c r="BR96" t="s">
        <v>978</v>
      </c>
      <c r="BS96" t="s">
        <v>979</v>
      </c>
      <c r="BT96">
        <v>0</v>
      </c>
      <c r="BU96">
        <v>0</v>
      </c>
      <c r="BV96" t="s">
        <v>1013</v>
      </c>
      <c r="BW96" t="s">
        <v>257</v>
      </c>
      <c r="BX96">
        <v>0</v>
      </c>
      <c r="BY96" t="s">
        <v>980</v>
      </c>
      <c r="BZ96" t="s">
        <v>257</v>
      </c>
      <c r="CA96">
        <v>0</v>
      </c>
      <c r="CB96">
        <v>0</v>
      </c>
      <c r="CC96" t="s">
        <v>1220</v>
      </c>
      <c r="CD96">
        <v>0</v>
      </c>
      <c r="CE96">
        <v>0</v>
      </c>
      <c r="CF96">
        <v>0</v>
      </c>
      <c r="CG96">
        <v>0</v>
      </c>
      <c r="CH96">
        <v>0</v>
      </c>
      <c r="CI96" t="s">
        <v>983</v>
      </c>
      <c r="CJ96" t="s">
        <v>972</v>
      </c>
      <c r="CK96" t="s">
        <v>986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 t="s">
        <v>987</v>
      </c>
      <c r="CV96">
        <v>400008097</v>
      </c>
      <c r="CW96" t="s">
        <v>987</v>
      </c>
      <c r="CX96" t="s">
        <v>1081</v>
      </c>
      <c r="CY96" t="s">
        <v>989</v>
      </c>
    </row>
    <row r="97" spans="1:103" hidden="1" x14ac:dyDescent="0.25">
      <c r="A97">
        <v>410000098</v>
      </c>
      <c r="B97" t="s">
        <v>1721</v>
      </c>
      <c r="C97" t="s">
        <v>1722</v>
      </c>
      <c r="D97">
        <v>401100000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1</v>
      </c>
      <c r="Y97" t="s">
        <v>972</v>
      </c>
      <c r="Z97" t="s">
        <v>987</v>
      </c>
      <c r="AA97" t="s">
        <v>1723</v>
      </c>
      <c r="AB97" t="s">
        <v>975</v>
      </c>
      <c r="AC97">
        <v>5310</v>
      </c>
      <c r="AD97" t="s">
        <v>1110</v>
      </c>
      <c r="AE97" t="s">
        <v>1724</v>
      </c>
      <c r="AF97" t="s">
        <v>979</v>
      </c>
      <c r="AG97" t="s">
        <v>977</v>
      </c>
      <c r="AH97">
        <v>0</v>
      </c>
      <c r="AI97">
        <v>10120</v>
      </c>
      <c r="AJ97" t="s">
        <v>1725</v>
      </c>
      <c r="AK97">
        <v>50</v>
      </c>
      <c r="AL97" t="s">
        <v>978</v>
      </c>
      <c r="AM97" t="s">
        <v>979</v>
      </c>
      <c r="AN97">
        <v>0</v>
      </c>
      <c r="AO97" t="s">
        <v>257</v>
      </c>
      <c r="AP97">
        <v>30</v>
      </c>
      <c r="AQ97">
        <v>1</v>
      </c>
      <c r="AR97">
        <v>43</v>
      </c>
      <c r="AS97">
        <v>1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1</v>
      </c>
      <c r="AZ97" t="s">
        <v>257</v>
      </c>
      <c r="BA97" t="s">
        <v>980</v>
      </c>
      <c r="BB97" t="s">
        <v>981</v>
      </c>
      <c r="BC97" t="s">
        <v>257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 t="s">
        <v>998</v>
      </c>
      <c r="BK97" t="s">
        <v>981</v>
      </c>
      <c r="BL97" t="s">
        <v>1721</v>
      </c>
      <c r="BM97">
        <v>20141008</v>
      </c>
      <c r="BN97">
        <v>20251022</v>
      </c>
      <c r="BO97">
        <v>0</v>
      </c>
      <c r="BP97" t="s">
        <v>257</v>
      </c>
      <c r="BQ97" t="s">
        <v>983</v>
      </c>
      <c r="BR97" t="s">
        <v>978</v>
      </c>
      <c r="BS97" t="s">
        <v>979</v>
      </c>
      <c r="BT97">
        <v>0</v>
      </c>
      <c r="BU97">
        <v>0</v>
      </c>
      <c r="BV97" t="s">
        <v>984</v>
      </c>
      <c r="BW97" t="s">
        <v>257</v>
      </c>
      <c r="BX97">
        <v>0</v>
      </c>
      <c r="BY97" t="s">
        <v>980</v>
      </c>
      <c r="BZ97" t="s">
        <v>257</v>
      </c>
      <c r="CA97">
        <v>0</v>
      </c>
      <c r="CB97">
        <v>0</v>
      </c>
      <c r="CC97" t="s">
        <v>1726</v>
      </c>
      <c r="CD97">
        <v>0</v>
      </c>
      <c r="CE97">
        <v>0</v>
      </c>
      <c r="CF97">
        <v>0</v>
      </c>
      <c r="CG97">
        <v>0</v>
      </c>
      <c r="CH97">
        <v>0</v>
      </c>
      <c r="CI97" t="s">
        <v>983</v>
      </c>
      <c r="CJ97" t="s">
        <v>972</v>
      </c>
      <c r="CK97" t="s">
        <v>986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 t="s">
        <v>987</v>
      </c>
      <c r="CV97">
        <v>400008098</v>
      </c>
      <c r="CW97" t="s">
        <v>987</v>
      </c>
      <c r="CX97" t="s">
        <v>1114</v>
      </c>
      <c r="CY97" t="s">
        <v>989</v>
      </c>
    </row>
    <row r="98" spans="1:103" hidden="1" x14ac:dyDescent="0.25">
      <c r="A98">
        <v>410000099</v>
      </c>
      <c r="B98" t="s">
        <v>1727</v>
      </c>
      <c r="C98" t="s">
        <v>1728</v>
      </c>
      <c r="D98">
        <v>401100000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 t="s">
        <v>972</v>
      </c>
      <c r="Z98" t="s">
        <v>987</v>
      </c>
      <c r="AA98" t="s">
        <v>1729</v>
      </c>
      <c r="AB98" t="s">
        <v>975</v>
      </c>
      <c r="AC98">
        <v>4041</v>
      </c>
      <c r="AD98" t="s">
        <v>1730</v>
      </c>
      <c r="AE98" t="s">
        <v>1731</v>
      </c>
      <c r="AF98" t="s">
        <v>1732</v>
      </c>
      <c r="AG98" t="s">
        <v>977</v>
      </c>
      <c r="AH98">
        <v>0</v>
      </c>
      <c r="AI98">
        <v>42110</v>
      </c>
      <c r="AJ98" t="s">
        <v>978</v>
      </c>
      <c r="AK98">
        <v>0</v>
      </c>
      <c r="AL98" t="s">
        <v>978</v>
      </c>
      <c r="AM98" t="s">
        <v>979</v>
      </c>
      <c r="AN98">
        <v>0</v>
      </c>
      <c r="AO98" t="s">
        <v>257</v>
      </c>
      <c r="AP98">
        <v>0</v>
      </c>
      <c r="AQ98">
        <v>1</v>
      </c>
      <c r="AR98">
        <v>43</v>
      </c>
      <c r="AS98">
        <v>1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1</v>
      </c>
      <c r="AZ98" t="s">
        <v>257</v>
      </c>
      <c r="BA98" t="s">
        <v>980</v>
      </c>
      <c r="BB98" t="s">
        <v>981</v>
      </c>
      <c r="BC98" t="s">
        <v>257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 t="s">
        <v>998</v>
      </c>
      <c r="BK98" t="s">
        <v>981</v>
      </c>
      <c r="BL98" t="s">
        <v>1727</v>
      </c>
      <c r="BM98">
        <v>20141008</v>
      </c>
      <c r="BN98">
        <v>20220131</v>
      </c>
      <c r="BO98">
        <v>0</v>
      </c>
      <c r="BP98" t="s">
        <v>257</v>
      </c>
      <c r="BQ98" t="s">
        <v>983</v>
      </c>
      <c r="BR98" t="s">
        <v>978</v>
      </c>
      <c r="BS98" t="s">
        <v>979</v>
      </c>
      <c r="BT98">
        <v>0</v>
      </c>
      <c r="BU98">
        <v>0</v>
      </c>
      <c r="BV98" t="s">
        <v>1013</v>
      </c>
      <c r="BW98" t="s">
        <v>257</v>
      </c>
      <c r="BX98">
        <v>0</v>
      </c>
      <c r="BY98" t="s">
        <v>980</v>
      </c>
      <c r="BZ98" t="s">
        <v>257</v>
      </c>
      <c r="CA98">
        <v>0</v>
      </c>
      <c r="CB98">
        <v>0</v>
      </c>
      <c r="CC98" t="s">
        <v>1733</v>
      </c>
      <c r="CD98">
        <v>0</v>
      </c>
      <c r="CE98">
        <v>0</v>
      </c>
      <c r="CF98">
        <v>0</v>
      </c>
      <c r="CG98">
        <v>0</v>
      </c>
      <c r="CH98">
        <v>0</v>
      </c>
      <c r="CI98" t="s">
        <v>983</v>
      </c>
      <c r="CJ98" t="s">
        <v>972</v>
      </c>
      <c r="CK98" t="s">
        <v>986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 t="s">
        <v>987</v>
      </c>
      <c r="CV98">
        <v>400008099</v>
      </c>
      <c r="CW98" t="s">
        <v>987</v>
      </c>
      <c r="CX98" t="s">
        <v>1081</v>
      </c>
      <c r="CY98" t="s">
        <v>989</v>
      </c>
    </row>
    <row r="99" spans="1:103" hidden="1" x14ac:dyDescent="0.25">
      <c r="A99">
        <v>410000100</v>
      </c>
      <c r="B99" t="s">
        <v>1734</v>
      </c>
      <c r="C99" t="s">
        <v>1735</v>
      </c>
      <c r="D99">
        <v>401100000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1</v>
      </c>
      <c r="Y99" t="s">
        <v>972</v>
      </c>
      <c r="Z99" t="s">
        <v>987</v>
      </c>
      <c r="AA99" t="s">
        <v>1736</v>
      </c>
      <c r="AB99" t="s">
        <v>975</v>
      </c>
      <c r="AC99">
        <v>4020</v>
      </c>
      <c r="AD99" t="s">
        <v>1019</v>
      </c>
      <c r="AE99" t="s">
        <v>1737</v>
      </c>
      <c r="AF99" t="s">
        <v>1738</v>
      </c>
      <c r="AG99" t="s">
        <v>977</v>
      </c>
      <c r="AH99">
        <v>40</v>
      </c>
      <c r="AI99">
        <v>47221</v>
      </c>
      <c r="AJ99" t="s">
        <v>1739</v>
      </c>
      <c r="AK99">
        <v>0</v>
      </c>
      <c r="AL99" t="s">
        <v>978</v>
      </c>
      <c r="AM99" t="s">
        <v>979</v>
      </c>
      <c r="AN99">
        <v>0</v>
      </c>
      <c r="AO99" t="s">
        <v>257</v>
      </c>
      <c r="AP99">
        <v>0</v>
      </c>
      <c r="AQ99">
        <v>1</v>
      </c>
      <c r="AR99">
        <v>43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1</v>
      </c>
      <c r="AZ99" t="s">
        <v>257</v>
      </c>
      <c r="BA99" t="s">
        <v>980</v>
      </c>
      <c r="BB99" t="s">
        <v>1010</v>
      </c>
      <c r="BC99" t="s">
        <v>257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 t="s">
        <v>998</v>
      </c>
      <c r="BK99" t="s">
        <v>981</v>
      </c>
      <c r="BL99" t="s">
        <v>1734</v>
      </c>
      <c r="BM99">
        <v>20141008</v>
      </c>
      <c r="BN99">
        <v>20220131</v>
      </c>
      <c r="BO99">
        <v>20220131</v>
      </c>
      <c r="BP99" t="s">
        <v>257</v>
      </c>
      <c r="BQ99" t="s">
        <v>983</v>
      </c>
      <c r="BR99" t="s">
        <v>978</v>
      </c>
      <c r="BS99" t="s">
        <v>979</v>
      </c>
      <c r="BT99">
        <v>0</v>
      </c>
      <c r="BU99">
        <v>0</v>
      </c>
      <c r="BV99" t="s">
        <v>1013</v>
      </c>
      <c r="BW99" t="s">
        <v>257</v>
      </c>
      <c r="BX99">
        <v>0</v>
      </c>
      <c r="BY99" t="s">
        <v>980</v>
      </c>
      <c r="BZ99" t="s">
        <v>257</v>
      </c>
      <c r="CA99">
        <v>0</v>
      </c>
      <c r="CB99">
        <v>0</v>
      </c>
      <c r="CC99" t="s">
        <v>1572</v>
      </c>
      <c r="CD99">
        <v>0</v>
      </c>
      <c r="CE99">
        <v>0</v>
      </c>
      <c r="CF99">
        <v>0</v>
      </c>
      <c r="CG99">
        <v>0</v>
      </c>
      <c r="CH99">
        <v>0</v>
      </c>
      <c r="CI99" t="s">
        <v>983</v>
      </c>
      <c r="CJ99" t="s">
        <v>972</v>
      </c>
      <c r="CK99" t="s">
        <v>986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 t="s">
        <v>987</v>
      </c>
      <c r="CV99">
        <v>400008100</v>
      </c>
      <c r="CW99" t="s">
        <v>987</v>
      </c>
      <c r="CX99" t="s">
        <v>1081</v>
      </c>
      <c r="CY99" t="s">
        <v>989</v>
      </c>
    </row>
    <row r="100" spans="1:103" hidden="1" x14ac:dyDescent="0.25">
      <c r="A100">
        <v>410000101</v>
      </c>
      <c r="B100" t="s">
        <v>1740</v>
      </c>
      <c r="C100" t="s">
        <v>1741</v>
      </c>
      <c r="D100">
        <v>401100000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1</v>
      </c>
      <c r="Y100" t="s">
        <v>972</v>
      </c>
      <c r="Z100" t="s">
        <v>987</v>
      </c>
      <c r="AA100" t="s">
        <v>1742</v>
      </c>
      <c r="AB100" t="s">
        <v>975</v>
      </c>
      <c r="AC100">
        <v>4280</v>
      </c>
      <c r="AD100" t="s">
        <v>1743</v>
      </c>
      <c r="AE100" t="s">
        <v>1744</v>
      </c>
      <c r="AF100" t="s">
        <v>1745</v>
      </c>
      <c r="AG100" t="s">
        <v>977</v>
      </c>
      <c r="AH100">
        <v>50</v>
      </c>
      <c r="AI100" s="3">
        <v>46610</v>
      </c>
      <c r="AJ100" t="s">
        <v>1746</v>
      </c>
      <c r="AK100">
        <v>0</v>
      </c>
      <c r="AL100" t="s">
        <v>978</v>
      </c>
      <c r="AM100" t="s">
        <v>979</v>
      </c>
      <c r="AN100">
        <v>0</v>
      </c>
      <c r="AO100" t="s">
        <v>257</v>
      </c>
      <c r="AP100">
        <v>0</v>
      </c>
      <c r="AQ100">
        <v>1</v>
      </c>
      <c r="AR100">
        <v>43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1</v>
      </c>
      <c r="AZ100" t="s">
        <v>257</v>
      </c>
      <c r="BA100" t="s">
        <v>980</v>
      </c>
      <c r="BB100" t="s">
        <v>981</v>
      </c>
      <c r="BC100" t="s">
        <v>257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 t="s">
        <v>998</v>
      </c>
      <c r="BK100" t="s">
        <v>981</v>
      </c>
      <c r="BL100" t="s">
        <v>1740</v>
      </c>
      <c r="BM100">
        <v>20141008</v>
      </c>
      <c r="BN100">
        <v>20220131</v>
      </c>
      <c r="BO100">
        <v>0</v>
      </c>
      <c r="BP100" t="s">
        <v>257</v>
      </c>
      <c r="BQ100" t="s">
        <v>983</v>
      </c>
      <c r="BR100" t="s">
        <v>978</v>
      </c>
      <c r="BS100" t="s">
        <v>979</v>
      </c>
      <c r="BT100">
        <v>0</v>
      </c>
      <c r="BU100">
        <v>0</v>
      </c>
      <c r="BV100" t="s">
        <v>984</v>
      </c>
      <c r="BW100" t="s">
        <v>257</v>
      </c>
      <c r="BX100">
        <v>0</v>
      </c>
      <c r="BY100" t="s">
        <v>980</v>
      </c>
      <c r="BZ100" t="s">
        <v>980</v>
      </c>
      <c r="CA100">
        <v>0</v>
      </c>
      <c r="CB100">
        <v>0</v>
      </c>
      <c r="CC100" t="s">
        <v>1165</v>
      </c>
      <c r="CD100">
        <v>0</v>
      </c>
      <c r="CE100">
        <v>0</v>
      </c>
      <c r="CF100">
        <v>0</v>
      </c>
      <c r="CG100">
        <v>0</v>
      </c>
      <c r="CH100">
        <v>0</v>
      </c>
      <c r="CI100" t="s">
        <v>983</v>
      </c>
      <c r="CJ100" t="s">
        <v>972</v>
      </c>
      <c r="CK100" t="s">
        <v>986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 t="s">
        <v>987</v>
      </c>
      <c r="CV100">
        <v>400008101</v>
      </c>
      <c r="CW100" t="s">
        <v>987</v>
      </c>
      <c r="CX100" t="s">
        <v>1747</v>
      </c>
      <c r="CY100" t="s">
        <v>989</v>
      </c>
    </row>
    <row r="101" spans="1:103" hidden="1" x14ac:dyDescent="0.25">
      <c r="A101">
        <v>410000102</v>
      </c>
      <c r="B101" t="s">
        <v>1748</v>
      </c>
      <c r="C101" t="s">
        <v>1749</v>
      </c>
      <c r="D101">
        <v>401100000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1</v>
      </c>
      <c r="Y101" t="s">
        <v>972</v>
      </c>
      <c r="Z101" t="s">
        <v>987</v>
      </c>
      <c r="AA101" t="s">
        <v>1750</v>
      </c>
      <c r="AB101" t="s">
        <v>975</v>
      </c>
      <c r="AC101">
        <v>4041</v>
      </c>
      <c r="AD101" t="s">
        <v>1730</v>
      </c>
      <c r="AE101" t="s">
        <v>1751</v>
      </c>
      <c r="AF101" t="s">
        <v>1752</v>
      </c>
      <c r="AG101" t="s">
        <v>977</v>
      </c>
      <c r="AH101">
        <v>0</v>
      </c>
      <c r="AI101">
        <v>25610</v>
      </c>
      <c r="AJ101" t="s">
        <v>978</v>
      </c>
      <c r="AK101">
        <v>0</v>
      </c>
      <c r="AL101" t="s">
        <v>978</v>
      </c>
      <c r="AM101" t="s">
        <v>979</v>
      </c>
      <c r="AN101">
        <v>0</v>
      </c>
      <c r="AO101" t="s">
        <v>257</v>
      </c>
      <c r="AP101">
        <v>0</v>
      </c>
      <c r="AQ101">
        <v>1</v>
      </c>
      <c r="AR101">
        <v>43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1</v>
      </c>
      <c r="AZ101" t="s">
        <v>257</v>
      </c>
      <c r="BA101" t="s">
        <v>980</v>
      </c>
      <c r="BB101" t="s">
        <v>981</v>
      </c>
      <c r="BC101" t="s">
        <v>257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 t="s">
        <v>998</v>
      </c>
      <c r="BK101" t="s">
        <v>981</v>
      </c>
      <c r="BL101" t="s">
        <v>1748</v>
      </c>
      <c r="BM101">
        <v>20141008</v>
      </c>
      <c r="BN101">
        <v>20220131</v>
      </c>
      <c r="BO101">
        <v>0</v>
      </c>
      <c r="BP101" t="s">
        <v>257</v>
      </c>
      <c r="BQ101" t="s">
        <v>983</v>
      </c>
      <c r="BR101" t="s">
        <v>978</v>
      </c>
      <c r="BS101" t="s">
        <v>1753</v>
      </c>
      <c r="BT101">
        <v>0</v>
      </c>
      <c r="BU101">
        <v>0</v>
      </c>
      <c r="BV101" t="s">
        <v>1013</v>
      </c>
      <c r="BW101" t="s">
        <v>257</v>
      </c>
      <c r="BX101">
        <v>0</v>
      </c>
      <c r="BY101" t="s">
        <v>980</v>
      </c>
      <c r="BZ101" t="s">
        <v>257</v>
      </c>
      <c r="CA101">
        <v>0</v>
      </c>
      <c r="CB101">
        <v>0</v>
      </c>
      <c r="CC101" t="s">
        <v>1038</v>
      </c>
      <c r="CD101">
        <v>0</v>
      </c>
      <c r="CE101">
        <v>0</v>
      </c>
      <c r="CF101">
        <v>0</v>
      </c>
      <c r="CG101">
        <v>0</v>
      </c>
      <c r="CH101">
        <v>0</v>
      </c>
      <c r="CI101" t="s">
        <v>983</v>
      </c>
      <c r="CJ101" t="s">
        <v>972</v>
      </c>
      <c r="CK101" t="s">
        <v>986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 t="s">
        <v>987</v>
      </c>
      <c r="CV101">
        <v>400008102</v>
      </c>
      <c r="CW101" t="s">
        <v>987</v>
      </c>
      <c r="CX101" t="s">
        <v>1081</v>
      </c>
      <c r="CY101" t="s">
        <v>989</v>
      </c>
    </row>
    <row r="102" spans="1:103" hidden="1" x14ac:dyDescent="0.25">
      <c r="A102">
        <v>410000103</v>
      </c>
      <c r="B102" t="s">
        <v>1754</v>
      </c>
      <c r="C102" t="s">
        <v>1755</v>
      </c>
      <c r="D102">
        <v>401100000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1</v>
      </c>
      <c r="Y102" t="s">
        <v>972</v>
      </c>
      <c r="Z102" t="s">
        <v>987</v>
      </c>
      <c r="AA102" t="s">
        <v>1756</v>
      </c>
      <c r="AB102" t="s">
        <v>975</v>
      </c>
      <c r="AC102">
        <v>4342</v>
      </c>
      <c r="AD102" t="s">
        <v>1757</v>
      </c>
      <c r="AE102" t="s">
        <v>1758</v>
      </c>
      <c r="AF102" t="s">
        <v>1759</v>
      </c>
      <c r="AG102" t="s">
        <v>977</v>
      </c>
      <c r="AH102">
        <v>30</v>
      </c>
      <c r="AI102">
        <v>43222</v>
      </c>
      <c r="AJ102" t="s">
        <v>1760</v>
      </c>
      <c r="AK102" t="s">
        <v>1761</v>
      </c>
      <c r="AL102" t="s">
        <v>978</v>
      </c>
      <c r="AM102" t="s">
        <v>979</v>
      </c>
      <c r="AN102">
        <v>0</v>
      </c>
      <c r="AO102" t="s">
        <v>257</v>
      </c>
      <c r="AP102">
        <v>0</v>
      </c>
      <c r="AQ102">
        <v>1</v>
      </c>
      <c r="AR102">
        <v>43</v>
      </c>
      <c r="AS102">
        <v>1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1</v>
      </c>
      <c r="AZ102" t="s">
        <v>257</v>
      </c>
      <c r="BA102" t="s">
        <v>980</v>
      </c>
      <c r="BB102" t="s">
        <v>1010</v>
      </c>
      <c r="BC102" t="s">
        <v>257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 t="s">
        <v>998</v>
      </c>
      <c r="BK102" t="s">
        <v>981</v>
      </c>
      <c r="BL102" t="s">
        <v>1754</v>
      </c>
      <c r="BM102">
        <v>20141008</v>
      </c>
      <c r="BN102">
        <v>20220131</v>
      </c>
      <c r="BO102">
        <v>20180205</v>
      </c>
      <c r="BP102" t="s">
        <v>257</v>
      </c>
      <c r="BQ102" t="s">
        <v>983</v>
      </c>
      <c r="BR102" t="s">
        <v>978</v>
      </c>
      <c r="BS102" t="s">
        <v>1762</v>
      </c>
      <c r="BT102">
        <v>0</v>
      </c>
      <c r="BU102">
        <v>0</v>
      </c>
      <c r="BV102" t="s">
        <v>1013</v>
      </c>
      <c r="BW102" t="s">
        <v>257</v>
      </c>
      <c r="BX102">
        <v>0</v>
      </c>
      <c r="BY102" t="s">
        <v>980</v>
      </c>
      <c r="BZ102" t="s">
        <v>257</v>
      </c>
      <c r="CA102">
        <v>0</v>
      </c>
      <c r="CB102">
        <v>0</v>
      </c>
      <c r="CC102" t="s">
        <v>1220</v>
      </c>
      <c r="CD102">
        <v>0</v>
      </c>
      <c r="CE102">
        <v>0</v>
      </c>
      <c r="CF102">
        <v>0</v>
      </c>
      <c r="CG102">
        <v>0</v>
      </c>
      <c r="CH102">
        <v>0</v>
      </c>
      <c r="CI102" t="s">
        <v>983</v>
      </c>
      <c r="CJ102" t="s">
        <v>972</v>
      </c>
      <c r="CK102" t="s">
        <v>986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 t="s">
        <v>987</v>
      </c>
      <c r="CV102">
        <v>400008103</v>
      </c>
      <c r="CW102" t="s">
        <v>987</v>
      </c>
      <c r="CX102" t="s">
        <v>1763</v>
      </c>
      <c r="CY102" t="s">
        <v>989</v>
      </c>
    </row>
    <row r="103" spans="1:103" hidden="1" x14ac:dyDescent="0.25">
      <c r="A103">
        <v>410000104</v>
      </c>
      <c r="B103" t="s">
        <v>1764</v>
      </c>
      <c r="C103" t="s">
        <v>1765</v>
      </c>
      <c r="D103">
        <v>401100000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1</v>
      </c>
      <c r="Y103" t="s">
        <v>972</v>
      </c>
      <c r="Z103" t="s">
        <v>987</v>
      </c>
      <c r="AA103" t="s">
        <v>1766</v>
      </c>
      <c r="AB103" t="s">
        <v>975</v>
      </c>
      <c r="AC103">
        <v>4800</v>
      </c>
      <c r="AD103" t="s">
        <v>1124</v>
      </c>
      <c r="AE103" t="s">
        <v>1767</v>
      </c>
      <c r="AF103" t="s">
        <v>979</v>
      </c>
      <c r="AG103" t="s">
        <v>977</v>
      </c>
      <c r="AH103">
        <v>0</v>
      </c>
      <c r="AI103">
        <v>18130</v>
      </c>
      <c r="AJ103" t="s">
        <v>978</v>
      </c>
      <c r="AK103">
        <v>0</v>
      </c>
      <c r="AL103" t="s">
        <v>978</v>
      </c>
      <c r="AM103" t="s">
        <v>979</v>
      </c>
      <c r="AN103">
        <v>0</v>
      </c>
      <c r="AO103" t="s">
        <v>257</v>
      </c>
      <c r="AP103">
        <v>0</v>
      </c>
      <c r="AQ103">
        <v>1</v>
      </c>
      <c r="AR103">
        <v>43</v>
      </c>
      <c r="AS103">
        <v>1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1</v>
      </c>
      <c r="AZ103" t="s">
        <v>257</v>
      </c>
      <c r="BA103" t="s">
        <v>980</v>
      </c>
      <c r="BB103" t="s">
        <v>981</v>
      </c>
      <c r="BC103" t="s">
        <v>257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 t="s">
        <v>998</v>
      </c>
      <c r="BK103" t="s">
        <v>981</v>
      </c>
      <c r="BL103" t="s">
        <v>1764</v>
      </c>
      <c r="BM103">
        <v>20141008</v>
      </c>
      <c r="BN103">
        <v>20220131</v>
      </c>
      <c r="BO103">
        <v>0</v>
      </c>
      <c r="BP103" t="s">
        <v>257</v>
      </c>
      <c r="BQ103" t="s">
        <v>983</v>
      </c>
      <c r="BR103" t="s">
        <v>978</v>
      </c>
      <c r="BS103" t="s">
        <v>1768</v>
      </c>
      <c r="BT103">
        <v>0</v>
      </c>
      <c r="BU103">
        <v>0</v>
      </c>
      <c r="BV103" t="s">
        <v>984</v>
      </c>
      <c r="BW103" t="s">
        <v>257</v>
      </c>
      <c r="BX103">
        <v>0</v>
      </c>
      <c r="BY103" t="s">
        <v>980</v>
      </c>
      <c r="BZ103" t="s">
        <v>257</v>
      </c>
      <c r="CA103">
        <v>0</v>
      </c>
      <c r="CB103">
        <v>0</v>
      </c>
      <c r="CC103" t="s">
        <v>1469</v>
      </c>
      <c r="CD103">
        <v>0</v>
      </c>
      <c r="CE103">
        <v>0</v>
      </c>
      <c r="CF103">
        <v>0</v>
      </c>
      <c r="CG103">
        <v>0</v>
      </c>
      <c r="CH103">
        <v>0</v>
      </c>
      <c r="CI103" t="s">
        <v>983</v>
      </c>
      <c r="CJ103" t="s">
        <v>972</v>
      </c>
      <c r="CK103" t="s">
        <v>986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 t="s">
        <v>987</v>
      </c>
      <c r="CV103">
        <v>400008104</v>
      </c>
      <c r="CW103" t="s">
        <v>987</v>
      </c>
      <c r="CX103" t="s">
        <v>1769</v>
      </c>
      <c r="CY103" t="s">
        <v>989</v>
      </c>
    </row>
    <row r="104" spans="1:103" hidden="1" x14ac:dyDescent="0.25">
      <c r="A104">
        <v>410000105</v>
      </c>
      <c r="B104" t="s">
        <v>1770</v>
      </c>
      <c r="C104" t="s">
        <v>1771</v>
      </c>
      <c r="D104">
        <v>401100000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 t="s">
        <v>972</v>
      </c>
      <c r="Z104" t="s">
        <v>1772</v>
      </c>
      <c r="AA104" t="s">
        <v>1773</v>
      </c>
      <c r="AB104" t="s">
        <v>975</v>
      </c>
      <c r="AC104">
        <v>5310</v>
      </c>
      <c r="AD104" t="s">
        <v>1774</v>
      </c>
      <c r="AE104" t="s">
        <v>1775</v>
      </c>
      <c r="AF104" t="s">
        <v>1776</v>
      </c>
      <c r="AG104" t="s">
        <v>977</v>
      </c>
      <c r="AH104">
        <v>30</v>
      </c>
      <c r="AI104">
        <v>47252</v>
      </c>
      <c r="AJ104" t="s">
        <v>1777</v>
      </c>
      <c r="AK104">
        <v>0</v>
      </c>
      <c r="AL104" t="s">
        <v>978</v>
      </c>
      <c r="AM104" t="s">
        <v>979</v>
      </c>
      <c r="AN104">
        <v>0</v>
      </c>
      <c r="AO104" t="s">
        <v>257</v>
      </c>
      <c r="AP104">
        <v>0</v>
      </c>
      <c r="AQ104">
        <v>1</v>
      </c>
      <c r="AR104">
        <v>43</v>
      </c>
      <c r="AS104">
        <v>1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1</v>
      </c>
      <c r="AZ104" t="s">
        <v>257</v>
      </c>
      <c r="BA104" t="s">
        <v>980</v>
      </c>
      <c r="BB104" t="s">
        <v>981</v>
      </c>
      <c r="BC104" t="s">
        <v>257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 t="s">
        <v>998</v>
      </c>
      <c r="BK104" t="s">
        <v>981</v>
      </c>
      <c r="BL104" t="s">
        <v>1770</v>
      </c>
      <c r="BM104">
        <v>20141008</v>
      </c>
      <c r="BN104">
        <v>20220131</v>
      </c>
      <c r="BO104">
        <v>0</v>
      </c>
      <c r="BP104" t="s">
        <v>257</v>
      </c>
      <c r="BQ104" t="s">
        <v>983</v>
      </c>
      <c r="BR104" t="s">
        <v>978</v>
      </c>
      <c r="BS104" t="s">
        <v>1778</v>
      </c>
      <c r="BT104">
        <v>0</v>
      </c>
      <c r="BU104">
        <v>0</v>
      </c>
      <c r="BV104" t="s">
        <v>1013</v>
      </c>
      <c r="BW104" t="s">
        <v>257</v>
      </c>
      <c r="BX104">
        <v>0</v>
      </c>
      <c r="BY104" t="s">
        <v>980</v>
      </c>
      <c r="BZ104" t="s">
        <v>257</v>
      </c>
      <c r="CA104">
        <v>0</v>
      </c>
      <c r="CB104">
        <v>0</v>
      </c>
      <c r="CC104" t="s">
        <v>1391</v>
      </c>
      <c r="CD104">
        <v>0</v>
      </c>
      <c r="CE104">
        <v>0</v>
      </c>
      <c r="CF104">
        <v>0</v>
      </c>
      <c r="CG104">
        <v>0</v>
      </c>
      <c r="CH104">
        <v>0</v>
      </c>
      <c r="CI104" t="s">
        <v>983</v>
      </c>
      <c r="CJ104" t="s">
        <v>972</v>
      </c>
      <c r="CK104" t="s">
        <v>986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 t="s">
        <v>987</v>
      </c>
      <c r="CV104">
        <v>400008105</v>
      </c>
      <c r="CW104" t="s">
        <v>987</v>
      </c>
      <c r="CX104" t="s">
        <v>1779</v>
      </c>
      <c r="CY104" t="s">
        <v>989</v>
      </c>
    </row>
    <row r="105" spans="1:103" hidden="1" x14ac:dyDescent="0.25">
      <c r="A105">
        <v>410000106</v>
      </c>
      <c r="B105" t="s">
        <v>1780</v>
      </c>
      <c r="C105" t="s">
        <v>978</v>
      </c>
      <c r="D105">
        <v>401100000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1</v>
      </c>
      <c r="X105">
        <v>1</v>
      </c>
      <c r="Y105" t="s">
        <v>1781</v>
      </c>
      <c r="Z105" t="s">
        <v>987</v>
      </c>
      <c r="AA105" t="s">
        <v>1782</v>
      </c>
      <c r="AB105" t="s">
        <v>975</v>
      </c>
      <c r="AC105">
        <v>4020</v>
      </c>
      <c r="AD105" t="s">
        <v>1019</v>
      </c>
      <c r="AE105" t="s">
        <v>1783</v>
      </c>
      <c r="AF105" t="s">
        <v>1784</v>
      </c>
      <c r="AG105" t="s">
        <v>977</v>
      </c>
      <c r="AH105" t="s">
        <v>1031</v>
      </c>
      <c r="AI105" t="s">
        <v>1031</v>
      </c>
      <c r="AJ105" t="s">
        <v>978</v>
      </c>
      <c r="AK105">
        <v>0</v>
      </c>
      <c r="AL105" t="s">
        <v>978</v>
      </c>
      <c r="AM105" t="s">
        <v>979</v>
      </c>
      <c r="AN105">
        <v>0</v>
      </c>
      <c r="AO105" t="s">
        <v>257</v>
      </c>
      <c r="AP105">
        <v>0</v>
      </c>
      <c r="AQ105">
        <v>1</v>
      </c>
      <c r="AR105">
        <v>43</v>
      </c>
      <c r="AS105">
        <v>1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1</v>
      </c>
      <c r="AZ105" t="s">
        <v>257</v>
      </c>
      <c r="BA105" t="s">
        <v>980</v>
      </c>
      <c r="BB105" t="s">
        <v>981</v>
      </c>
      <c r="BC105" t="s">
        <v>257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 t="s">
        <v>998</v>
      </c>
      <c r="BK105" t="s">
        <v>981</v>
      </c>
      <c r="BL105" t="s">
        <v>1780</v>
      </c>
      <c r="BM105">
        <v>20141008</v>
      </c>
      <c r="BN105">
        <v>20220131</v>
      </c>
      <c r="BO105">
        <v>0</v>
      </c>
      <c r="BP105" t="s">
        <v>257</v>
      </c>
      <c r="BQ105" t="s">
        <v>983</v>
      </c>
      <c r="BR105" t="s">
        <v>978</v>
      </c>
      <c r="BS105" t="s">
        <v>979</v>
      </c>
      <c r="BT105">
        <v>0</v>
      </c>
      <c r="BU105">
        <v>0</v>
      </c>
      <c r="BV105" t="s">
        <v>1013</v>
      </c>
      <c r="BW105" t="s">
        <v>257</v>
      </c>
      <c r="BX105">
        <v>0</v>
      </c>
      <c r="BY105" t="s">
        <v>980</v>
      </c>
      <c r="BZ105" t="s">
        <v>257</v>
      </c>
      <c r="CA105">
        <v>0</v>
      </c>
      <c r="CB105">
        <v>0</v>
      </c>
      <c r="CC105" t="s">
        <v>1119</v>
      </c>
      <c r="CD105">
        <v>0</v>
      </c>
      <c r="CE105">
        <v>0</v>
      </c>
      <c r="CF105">
        <v>0</v>
      </c>
      <c r="CG105">
        <v>0</v>
      </c>
      <c r="CH105">
        <v>0</v>
      </c>
      <c r="CI105" t="s">
        <v>983</v>
      </c>
      <c r="CJ105" t="s">
        <v>972</v>
      </c>
      <c r="CK105" t="s">
        <v>986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 t="s">
        <v>987</v>
      </c>
      <c r="CV105">
        <v>400008106</v>
      </c>
      <c r="CW105" t="s">
        <v>987</v>
      </c>
      <c r="CX105" t="s">
        <v>1785</v>
      </c>
      <c r="CY105" t="s">
        <v>989</v>
      </c>
    </row>
    <row r="106" spans="1:103" hidden="1" x14ac:dyDescent="0.25">
      <c r="A106">
        <v>410000107</v>
      </c>
      <c r="B106" t="s">
        <v>1786</v>
      </c>
      <c r="C106" t="s">
        <v>978</v>
      </c>
      <c r="D106">
        <v>401100000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1</v>
      </c>
      <c r="X106">
        <v>1</v>
      </c>
      <c r="Y106" t="s">
        <v>1787</v>
      </c>
      <c r="Z106" t="s">
        <v>987</v>
      </c>
      <c r="AA106" t="s">
        <v>1788</v>
      </c>
      <c r="AB106" t="s">
        <v>975</v>
      </c>
      <c r="AC106">
        <v>5000</v>
      </c>
      <c r="AD106" t="s">
        <v>1789</v>
      </c>
      <c r="AE106" t="s">
        <v>1790</v>
      </c>
      <c r="AF106" t="s">
        <v>979</v>
      </c>
      <c r="AG106" t="s">
        <v>977</v>
      </c>
      <c r="AH106" t="s">
        <v>1031</v>
      </c>
      <c r="AI106" t="s">
        <v>1031</v>
      </c>
      <c r="AJ106" t="s">
        <v>978</v>
      </c>
      <c r="AK106">
        <v>0</v>
      </c>
      <c r="AL106" t="s">
        <v>978</v>
      </c>
      <c r="AM106" t="s">
        <v>979</v>
      </c>
      <c r="AN106">
        <v>0</v>
      </c>
      <c r="AO106" t="s">
        <v>257</v>
      </c>
      <c r="AP106">
        <v>0</v>
      </c>
      <c r="AQ106">
        <v>1</v>
      </c>
      <c r="AR106">
        <v>43</v>
      </c>
      <c r="AS106">
        <v>1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1</v>
      </c>
      <c r="AZ106" t="s">
        <v>257</v>
      </c>
      <c r="BA106" t="s">
        <v>980</v>
      </c>
      <c r="BB106" t="s">
        <v>981</v>
      </c>
      <c r="BC106" t="s">
        <v>257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 t="s">
        <v>998</v>
      </c>
      <c r="BK106" t="s">
        <v>981</v>
      </c>
      <c r="BL106" t="s">
        <v>1786</v>
      </c>
      <c r="BM106">
        <v>20141008</v>
      </c>
      <c r="BN106">
        <v>20220131</v>
      </c>
      <c r="BO106">
        <v>0</v>
      </c>
      <c r="BP106" t="s">
        <v>257</v>
      </c>
      <c r="BQ106" t="s">
        <v>983</v>
      </c>
      <c r="BR106" t="s">
        <v>978</v>
      </c>
      <c r="BS106" t="s">
        <v>1791</v>
      </c>
      <c r="BT106">
        <v>0</v>
      </c>
      <c r="BU106">
        <v>0</v>
      </c>
      <c r="BV106" t="s">
        <v>1013</v>
      </c>
      <c r="BW106" t="s">
        <v>257</v>
      </c>
      <c r="BX106">
        <v>0</v>
      </c>
      <c r="BY106" t="s">
        <v>980</v>
      </c>
      <c r="BZ106" t="s">
        <v>257</v>
      </c>
      <c r="CA106">
        <v>0</v>
      </c>
      <c r="CB106">
        <v>0</v>
      </c>
      <c r="CC106" t="s">
        <v>1792</v>
      </c>
      <c r="CD106">
        <v>0</v>
      </c>
      <c r="CE106">
        <v>0</v>
      </c>
      <c r="CF106">
        <v>0</v>
      </c>
      <c r="CG106">
        <v>0</v>
      </c>
      <c r="CH106">
        <v>0</v>
      </c>
      <c r="CI106" t="s">
        <v>983</v>
      </c>
      <c r="CJ106" t="s">
        <v>972</v>
      </c>
      <c r="CK106" t="s">
        <v>986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 t="s">
        <v>987</v>
      </c>
      <c r="CV106">
        <v>400008107</v>
      </c>
      <c r="CW106" t="s">
        <v>987</v>
      </c>
      <c r="CX106" t="s">
        <v>1081</v>
      </c>
      <c r="CY106" t="s">
        <v>989</v>
      </c>
    </row>
    <row r="107" spans="1:103" hidden="1" x14ac:dyDescent="0.25">
      <c r="A107">
        <v>410000108</v>
      </c>
      <c r="B107" t="s">
        <v>1793</v>
      </c>
      <c r="C107" t="s">
        <v>1794</v>
      </c>
      <c r="D107">
        <v>401100000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1</v>
      </c>
      <c r="Y107" t="s">
        <v>972</v>
      </c>
      <c r="Z107" t="s">
        <v>1795</v>
      </c>
      <c r="AA107" t="s">
        <v>1796</v>
      </c>
      <c r="AB107" t="s">
        <v>975</v>
      </c>
      <c r="AC107">
        <v>4450</v>
      </c>
      <c r="AD107" t="s">
        <v>1797</v>
      </c>
      <c r="AE107" t="s">
        <v>1798</v>
      </c>
      <c r="AF107" t="s">
        <v>979</v>
      </c>
      <c r="AG107" t="s">
        <v>977</v>
      </c>
      <c r="AH107">
        <v>20</v>
      </c>
      <c r="AI107" s="3">
        <v>69202</v>
      </c>
      <c r="AJ107" t="s">
        <v>978</v>
      </c>
      <c r="AK107">
        <v>0</v>
      </c>
      <c r="AL107" t="s">
        <v>978</v>
      </c>
      <c r="AM107" t="s">
        <v>979</v>
      </c>
      <c r="AN107">
        <v>0</v>
      </c>
      <c r="AO107" t="s">
        <v>257</v>
      </c>
      <c r="AP107">
        <v>0</v>
      </c>
      <c r="AQ107">
        <v>1</v>
      </c>
      <c r="AR107">
        <v>43</v>
      </c>
      <c r="AS107">
        <v>1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1</v>
      </c>
      <c r="AZ107" t="s">
        <v>257</v>
      </c>
      <c r="BA107" t="s">
        <v>980</v>
      </c>
      <c r="BB107" t="s">
        <v>981</v>
      </c>
      <c r="BC107" t="s">
        <v>257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 t="s">
        <v>998</v>
      </c>
      <c r="BK107" t="s">
        <v>981</v>
      </c>
      <c r="BL107" t="s">
        <v>1793</v>
      </c>
      <c r="BM107">
        <v>20141008</v>
      </c>
      <c r="BN107">
        <v>20220131</v>
      </c>
      <c r="BO107">
        <v>0</v>
      </c>
      <c r="BP107" t="s">
        <v>257</v>
      </c>
      <c r="BQ107" t="s">
        <v>983</v>
      </c>
      <c r="BR107" t="s">
        <v>978</v>
      </c>
      <c r="BS107" t="s">
        <v>1799</v>
      </c>
      <c r="BT107">
        <v>0</v>
      </c>
      <c r="BU107">
        <v>0</v>
      </c>
      <c r="BV107" t="s">
        <v>984</v>
      </c>
      <c r="BW107" t="s">
        <v>257</v>
      </c>
      <c r="BX107">
        <v>0</v>
      </c>
      <c r="BY107" t="s">
        <v>980</v>
      </c>
      <c r="BZ107" t="s">
        <v>257</v>
      </c>
      <c r="CA107">
        <v>0</v>
      </c>
      <c r="CB107">
        <v>0</v>
      </c>
      <c r="CC107" t="s">
        <v>1507</v>
      </c>
      <c r="CD107">
        <v>0</v>
      </c>
      <c r="CE107">
        <v>0</v>
      </c>
      <c r="CF107">
        <v>0</v>
      </c>
      <c r="CG107">
        <v>0</v>
      </c>
      <c r="CH107">
        <v>0</v>
      </c>
      <c r="CI107" t="s">
        <v>983</v>
      </c>
      <c r="CJ107" t="s">
        <v>972</v>
      </c>
      <c r="CK107" t="s">
        <v>986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 t="s">
        <v>987</v>
      </c>
      <c r="CV107">
        <v>400008108</v>
      </c>
      <c r="CW107" t="s">
        <v>987</v>
      </c>
      <c r="CX107" t="s">
        <v>1800</v>
      </c>
      <c r="CY107" t="s">
        <v>989</v>
      </c>
    </row>
    <row r="108" spans="1:103" hidden="1" x14ac:dyDescent="0.25">
      <c r="A108">
        <v>410000109</v>
      </c>
      <c r="B108" t="s">
        <v>1801</v>
      </c>
      <c r="C108" t="s">
        <v>1802</v>
      </c>
      <c r="D108">
        <v>401100000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 t="s">
        <v>972</v>
      </c>
      <c r="Z108" t="s">
        <v>987</v>
      </c>
      <c r="AA108" t="s">
        <v>1803</v>
      </c>
      <c r="AB108" t="s">
        <v>975</v>
      </c>
      <c r="AC108">
        <v>7170</v>
      </c>
      <c r="AD108" t="s">
        <v>1804</v>
      </c>
      <c r="AE108" t="s">
        <v>1805</v>
      </c>
      <c r="AF108" t="s">
        <v>979</v>
      </c>
      <c r="AG108" t="s">
        <v>977</v>
      </c>
      <c r="AH108">
        <v>70</v>
      </c>
      <c r="AI108" s="3">
        <v>43910</v>
      </c>
      <c r="AJ108" t="s">
        <v>1806</v>
      </c>
      <c r="AK108">
        <v>0</v>
      </c>
      <c r="AL108" t="s">
        <v>978</v>
      </c>
      <c r="AM108" t="s">
        <v>979</v>
      </c>
      <c r="AN108">
        <v>0</v>
      </c>
      <c r="AO108" t="s">
        <v>257</v>
      </c>
      <c r="AP108">
        <v>0</v>
      </c>
      <c r="AQ108">
        <v>1</v>
      </c>
      <c r="AR108">
        <v>43</v>
      </c>
      <c r="AS108">
        <v>1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1</v>
      </c>
      <c r="AZ108" t="s">
        <v>257</v>
      </c>
      <c r="BA108" t="s">
        <v>980</v>
      </c>
      <c r="BB108" t="s">
        <v>981</v>
      </c>
      <c r="BC108" t="s">
        <v>257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 t="s">
        <v>998</v>
      </c>
      <c r="BK108" t="s">
        <v>981</v>
      </c>
      <c r="BL108" t="s">
        <v>1801</v>
      </c>
      <c r="BM108">
        <v>20141008</v>
      </c>
      <c r="BN108">
        <v>20220131</v>
      </c>
      <c r="BO108">
        <v>0</v>
      </c>
      <c r="BP108" t="s">
        <v>257</v>
      </c>
      <c r="BQ108" t="s">
        <v>983</v>
      </c>
      <c r="BR108" t="s">
        <v>978</v>
      </c>
      <c r="BS108" t="s">
        <v>1807</v>
      </c>
      <c r="BT108">
        <v>0</v>
      </c>
      <c r="BU108">
        <v>0</v>
      </c>
      <c r="BV108" t="s">
        <v>1013</v>
      </c>
      <c r="BW108" t="s">
        <v>257</v>
      </c>
      <c r="BX108">
        <v>0</v>
      </c>
      <c r="BY108" t="s">
        <v>980</v>
      </c>
      <c r="BZ108" t="s">
        <v>257</v>
      </c>
      <c r="CA108">
        <v>0</v>
      </c>
      <c r="CB108">
        <v>0</v>
      </c>
      <c r="CC108" t="s">
        <v>1808</v>
      </c>
      <c r="CD108">
        <v>0</v>
      </c>
      <c r="CE108">
        <v>0</v>
      </c>
      <c r="CF108">
        <v>0</v>
      </c>
      <c r="CG108">
        <v>0</v>
      </c>
      <c r="CH108">
        <v>0</v>
      </c>
      <c r="CI108" t="s">
        <v>983</v>
      </c>
      <c r="CJ108" t="s">
        <v>972</v>
      </c>
      <c r="CK108" t="s">
        <v>986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 t="s">
        <v>987</v>
      </c>
      <c r="CV108">
        <v>400008109</v>
      </c>
      <c r="CW108" t="s">
        <v>987</v>
      </c>
      <c r="CX108" t="s">
        <v>1809</v>
      </c>
      <c r="CY108" t="s">
        <v>989</v>
      </c>
    </row>
    <row r="109" spans="1:103" hidden="1" x14ac:dyDescent="0.25">
      <c r="A109">
        <v>410000110</v>
      </c>
      <c r="B109" t="s">
        <v>1810</v>
      </c>
      <c r="C109" t="s">
        <v>1811</v>
      </c>
      <c r="D109">
        <v>401100000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1</v>
      </c>
      <c r="Y109" t="s">
        <v>972</v>
      </c>
      <c r="Z109" t="s">
        <v>987</v>
      </c>
      <c r="AA109" t="s">
        <v>1812</v>
      </c>
      <c r="AB109" t="s">
        <v>975</v>
      </c>
      <c r="AC109">
        <v>4600</v>
      </c>
      <c r="AD109" t="s">
        <v>1813</v>
      </c>
      <c r="AE109" t="s">
        <v>1814</v>
      </c>
      <c r="AF109" t="s">
        <v>979</v>
      </c>
      <c r="AG109" t="s">
        <v>977</v>
      </c>
      <c r="AH109">
        <v>24</v>
      </c>
      <c r="AI109">
        <v>47252</v>
      </c>
      <c r="AJ109" t="s">
        <v>978</v>
      </c>
      <c r="AK109">
        <v>0</v>
      </c>
      <c r="AL109" t="s">
        <v>978</v>
      </c>
      <c r="AM109" t="s">
        <v>979</v>
      </c>
      <c r="AN109">
        <v>0</v>
      </c>
      <c r="AO109" t="s">
        <v>257</v>
      </c>
      <c r="AP109">
        <v>0</v>
      </c>
      <c r="AQ109">
        <v>1</v>
      </c>
      <c r="AR109">
        <v>43</v>
      </c>
      <c r="AS109">
        <v>1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1</v>
      </c>
      <c r="AZ109" t="s">
        <v>257</v>
      </c>
      <c r="BA109" t="s">
        <v>980</v>
      </c>
      <c r="BB109" t="s">
        <v>981</v>
      </c>
      <c r="BC109" t="s">
        <v>257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 t="s">
        <v>998</v>
      </c>
      <c r="BK109" t="s">
        <v>981</v>
      </c>
      <c r="BL109" t="s">
        <v>1810</v>
      </c>
      <c r="BM109">
        <v>20141008</v>
      </c>
      <c r="BN109">
        <v>20230417</v>
      </c>
      <c r="BO109">
        <v>0</v>
      </c>
      <c r="BP109" t="s">
        <v>257</v>
      </c>
      <c r="BQ109" t="s">
        <v>983</v>
      </c>
      <c r="BR109" t="s">
        <v>978</v>
      </c>
      <c r="BS109" t="s">
        <v>979</v>
      </c>
      <c r="BT109">
        <v>0</v>
      </c>
      <c r="BU109">
        <v>0</v>
      </c>
      <c r="BV109" t="s">
        <v>984</v>
      </c>
      <c r="BW109" t="s">
        <v>257</v>
      </c>
      <c r="BX109">
        <v>0</v>
      </c>
      <c r="BY109" t="s">
        <v>980</v>
      </c>
      <c r="BZ109" t="s">
        <v>257</v>
      </c>
      <c r="CA109">
        <v>0</v>
      </c>
      <c r="CB109">
        <v>0</v>
      </c>
      <c r="CC109" t="s">
        <v>1815</v>
      </c>
      <c r="CD109">
        <v>0</v>
      </c>
      <c r="CE109">
        <v>0</v>
      </c>
      <c r="CF109">
        <v>0</v>
      </c>
      <c r="CG109">
        <v>0</v>
      </c>
      <c r="CH109">
        <v>0</v>
      </c>
      <c r="CI109" t="s">
        <v>983</v>
      </c>
      <c r="CJ109" t="s">
        <v>972</v>
      </c>
      <c r="CK109" t="s">
        <v>986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 t="s">
        <v>987</v>
      </c>
      <c r="CV109">
        <v>400008110</v>
      </c>
      <c r="CW109" t="s">
        <v>987</v>
      </c>
      <c r="CX109" t="s">
        <v>1816</v>
      </c>
      <c r="CY109" t="s">
        <v>989</v>
      </c>
    </row>
    <row r="110" spans="1:103" hidden="1" x14ac:dyDescent="0.25">
      <c r="A110">
        <v>410000111</v>
      </c>
      <c r="B110" t="s">
        <v>1817</v>
      </c>
      <c r="C110" t="s">
        <v>1818</v>
      </c>
      <c r="D110">
        <v>401100000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1</v>
      </c>
      <c r="Y110" t="s">
        <v>972</v>
      </c>
      <c r="Z110" t="s">
        <v>987</v>
      </c>
      <c r="AA110" t="s">
        <v>1819</v>
      </c>
      <c r="AB110" t="s">
        <v>975</v>
      </c>
      <c r="AC110">
        <v>4800</v>
      </c>
      <c r="AD110" t="s">
        <v>1124</v>
      </c>
      <c r="AE110" t="s">
        <v>1387</v>
      </c>
      <c r="AF110" t="s">
        <v>1388</v>
      </c>
      <c r="AG110" t="s">
        <v>977</v>
      </c>
      <c r="AH110">
        <v>16</v>
      </c>
      <c r="AI110">
        <v>43341</v>
      </c>
      <c r="AJ110" t="s">
        <v>1820</v>
      </c>
      <c r="AK110">
        <v>0</v>
      </c>
      <c r="AL110" t="s">
        <v>978</v>
      </c>
      <c r="AM110" t="s">
        <v>979</v>
      </c>
      <c r="AN110">
        <v>0</v>
      </c>
      <c r="AO110" t="s">
        <v>257</v>
      </c>
      <c r="AP110">
        <v>0</v>
      </c>
      <c r="AQ110">
        <v>1</v>
      </c>
      <c r="AR110">
        <v>43</v>
      </c>
      <c r="AS110">
        <v>1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1</v>
      </c>
      <c r="AZ110" t="s">
        <v>257</v>
      </c>
      <c r="BA110" t="s">
        <v>980</v>
      </c>
      <c r="BB110" t="s">
        <v>1010</v>
      </c>
      <c r="BC110" t="s">
        <v>257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 t="s">
        <v>998</v>
      </c>
      <c r="BK110" t="s">
        <v>981</v>
      </c>
      <c r="BL110" t="s">
        <v>1817</v>
      </c>
      <c r="BM110">
        <v>20141008</v>
      </c>
      <c r="BN110">
        <v>20220131</v>
      </c>
      <c r="BO110">
        <v>20220131</v>
      </c>
      <c r="BP110" t="s">
        <v>257</v>
      </c>
      <c r="BQ110" t="s">
        <v>983</v>
      </c>
      <c r="BR110" t="s">
        <v>978</v>
      </c>
      <c r="BS110" t="s">
        <v>1821</v>
      </c>
      <c r="BT110">
        <v>0</v>
      </c>
      <c r="BU110">
        <v>0</v>
      </c>
      <c r="BV110" t="s">
        <v>1013</v>
      </c>
      <c r="BW110" t="s">
        <v>257</v>
      </c>
      <c r="BX110">
        <v>0</v>
      </c>
      <c r="BY110" t="s">
        <v>980</v>
      </c>
      <c r="BZ110" t="s">
        <v>257</v>
      </c>
      <c r="CA110">
        <v>0</v>
      </c>
      <c r="CB110">
        <v>0</v>
      </c>
      <c r="CC110" t="s">
        <v>1128</v>
      </c>
      <c r="CD110">
        <v>0</v>
      </c>
      <c r="CE110">
        <v>0</v>
      </c>
      <c r="CF110">
        <v>0</v>
      </c>
      <c r="CG110">
        <v>0</v>
      </c>
      <c r="CH110">
        <v>0</v>
      </c>
      <c r="CI110" t="s">
        <v>983</v>
      </c>
      <c r="CJ110" t="s">
        <v>972</v>
      </c>
      <c r="CK110" t="s">
        <v>986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 t="s">
        <v>987</v>
      </c>
      <c r="CV110">
        <v>400008111</v>
      </c>
      <c r="CW110" t="s">
        <v>987</v>
      </c>
      <c r="CX110" t="s">
        <v>1822</v>
      </c>
      <c r="CY110" t="s">
        <v>989</v>
      </c>
    </row>
    <row r="111" spans="1:103" hidden="1" x14ac:dyDescent="0.25">
      <c r="A111">
        <v>410000112</v>
      </c>
      <c r="B111" t="s">
        <v>1823</v>
      </c>
      <c r="C111" t="s">
        <v>1824</v>
      </c>
      <c r="D111">
        <v>401100000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1</v>
      </c>
      <c r="Y111" t="s">
        <v>972</v>
      </c>
      <c r="Z111" t="s">
        <v>1825</v>
      </c>
      <c r="AA111" t="s">
        <v>1826</v>
      </c>
      <c r="AB111" t="s">
        <v>975</v>
      </c>
      <c r="AC111">
        <v>7181</v>
      </c>
      <c r="AD111" t="s">
        <v>1827</v>
      </c>
      <c r="AE111" t="s">
        <v>1828</v>
      </c>
      <c r="AF111" t="s">
        <v>1829</v>
      </c>
      <c r="AG111" t="s">
        <v>977</v>
      </c>
      <c r="AH111" t="s">
        <v>1830</v>
      </c>
      <c r="AI111">
        <v>69202</v>
      </c>
      <c r="AJ111" t="s">
        <v>1831</v>
      </c>
      <c r="AK111" t="s">
        <v>1832</v>
      </c>
      <c r="AL111" t="s">
        <v>1833</v>
      </c>
      <c r="AM111" t="s">
        <v>979</v>
      </c>
      <c r="AN111">
        <v>0</v>
      </c>
      <c r="AO111" t="s">
        <v>257</v>
      </c>
      <c r="AP111">
        <v>0</v>
      </c>
      <c r="AQ111">
        <v>1</v>
      </c>
      <c r="AR111">
        <v>43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1</v>
      </c>
      <c r="AZ111" t="s">
        <v>257</v>
      </c>
      <c r="BA111" t="s">
        <v>980</v>
      </c>
      <c r="BB111" t="s">
        <v>1010</v>
      </c>
      <c r="BC111" t="s">
        <v>257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410000762</v>
      </c>
      <c r="BJ111" t="s">
        <v>998</v>
      </c>
      <c r="BK111" t="s">
        <v>981</v>
      </c>
      <c r="BL111" t="s">
        <v>1823</v>
      </c>
      <c r="BM111">
        <v>20141008</v>
      </c>
      <c r="BN111">
        <v>20220711</v>
      </c>
      <c r="BO111">
        <v>20220711</v>
      </c>
      <c r="BP111" t="s">
        <v>257</v>
      </c>
      <c r="BQ111" t="s">
        <v>983</v>
      </c>
      <c r="BR111" t="s">
        <v>978</v>
      </c>
      <c r="BS111" t="s">
        <v>979</v>
      </c>
      <c r="BT111">
        <v>0</v>
      </c>
      <c r="BU111">
        <v>0</v>
      </c>
      <c r="BV111" t="s">
        <v>984</v>
      </c>
      <c r="BW111" t="s">
        <v>257</v>
      </c>
      <c r="BX111">
        <v>0</v>
      </c>
      <c r="BY111" t="s">
        <v>980</v>
      </c>
      <c r="BZ111" t="s">
        <v>257</v>
      </c>
      <c r="CA111">
        <v>0</v>
      </c>
      <c r="CB111">
        <v>0</v>
      </c>
      <c r="CC111" t="s">
        <v>1033</v>
      </c>
      <c r="CD111">
        <v>0</v>
      </c>
      <c r="CE111">
        <v>0</v>
      </c>
      <c r="CF111">
        <v>0</v>
      </c>
      <c r="CG111">
        <v>0</v>
      </c>
      <c r="CH111">
        <v>0</v>
      </c>
      <c r="CI111" t="s">
        <v>983</v>
      </c>
      <c r="CJ111" t="s">
        <v>972</v>
      </c>
      <c r="CK111" t="s">
        <v>986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 t="s">
        <v>987</v>
      </c>
      <c r="CV111">
        <v>400008112</v>
      </c>
      <c r="CW111" t="s">
        <v>987</v>
      </c>
      <c r="CX111" t="s">
        <v>1834</v>
      </c>
      <c r="CY111" t="s">
        <v>989</v>
      </c>
    </row>
    <row r="112" spans="1:103" hidden="1" x14ac:dyDescent="0.25">
      <c r="A112">
        <v>410000113</v>
      </c>
      <c r="B112" t="s">
        <v>1835</v>
      </c>
      <c r="C112" t="s">
        <v>1836</v>
      </c>
      <c r="D112">
        <v>401100000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</v>
      </c>
      <c r="X112">
        <v>1</v>
      </c>
      <c r="Y112" t="s">
        <v>1837</v>
      </c>
      <c r="Z112" t="s">
        <v>987</v>
      </c>
      <c r="AA112" t="s">
        <v>1838</v>
      </c>
      <c r="AB112" t="s">
        <v>1839</v>
      </c>
      <c r="AC112">
        <v>24539</v>
      </c>
      <c r="AD112" t="s">
        <v>1840</v>
      </c>
      <c r="AE112" t="s">
        <v>979</v>
      </c>
      <c r="AF112" t="s">
        <v>979</v>
      </c>
      <c r="AG112" t="s">
        <v>977</v>
      </c>
      <c r="AH112">
        <v>0</v>
      </c>
      <c r="AI112">
        <v>0</v>
      </c>
      <c r="AJ112" t="s">
        <v>978</v>
      </c>
      <c r="AK112">
        <v>0</v>
      </c>
      <c r="AL112" t="s">
        <v>978</v>
      </c>
      <c r="AM112" t="s">
        <v>979</v>
      </c>
      <c r="AN112">
        <v>0</v>
      </c>
      <c r="AO112" t="s">
        <v>257</v>
      </c>
      <c r="AP112">
        <v>0</v>
      </c>
      <c r="AQ112">
        <v>1</v>
      </c>
      <c r="AR112">
        <v>43</v>
      </c>
      <c r="AS112">
        <v>1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1</v>
      </c>
      <c r="AZ112" t="s">
        <v>257</v>
      </c>
      <c r="BA112" t="s">
        <v>980</v>
      </c>
      <c r="BB112" t="s">
        <v>981</v>
      </c>
      <c r="BC112" t="s">
        <v>257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 t="s">
        <v>998</v>
      </c>
      <c r="BK112" t="s">
        <v>981</v>
      </c>
      <c r="BL112" t="s">
        <v>1835</v>
      </c>
      <c r="BM112">
        <v>20141008</v>
      </c>
      <c r="BN112">
        <v>20181119</v>
      </c>
      <c r="BO112">
        <v>0</v>
      </c>
      <c r="BP112" t="s">
        <v>257</v>
      </c>
      <c r="BQ112" t="s">
        <v>983</v>
      </c>
      <c r="BR112" t="s">
        <v>978</v>
      </c>
      <c r="BS112" t="s">
        <v>1841</v>
      </c>
      <c r="BT112">
        <v>0</v>
      </c>
      <c r="BU112">
        <v>0</v>
      </c>
      <c r="BV112" t="s">
        <v>1013</v>
      </c>
      <c r="BW112" t="s">
        <v>257</v>
      </c>
      <c r="BX112">
        <v>0</v>
      </c>
      <c r="BY112" t="s">
        <v>980</v>
      </c>
      <c r="BZ112" t="s">
        <v>257</v>
      </c>
      <c r="CA112">
        <v>0</v>
      </c>
      <c r="CB112">
        <v>0</v>
      </c>
      <c r="CC112" t="s">
        <v>985</v>
      </c>
      <c r="CD112">
        <v>0</v>
      </c>
      <c r="CE112">
        <v>0</v>
      </c>
      <c r="CF112">
        <v>0</v>
      </c>
      <c r="CG112">
        <v>0</v>
      </c>
      <c r="CH112">
        <v>0</v>
      </c>
      <c r="CI112" t="s">
        <v>983</v>
      </c>
      <c r="CJ112" t="s">
        <v>972</v>
      </c>
      <c r="CK112" t="s">
        <v>986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 t="s">
        <v>987</v>
      </c>
      <c r="CV112">
        <v>400008113</v>
      </c>
      <c r="CW112" t="s">
        <v>987</v>
      </c>
      <c r="CX112" t="s">
        <v>1842</v>
      </c>
      <c r="CY112" t="s">
        <v>989</v>
      </c>
    </row>
    <row r="113" spans="1:103" hidden="1" x14ac:dyDescent="0.25">
      <c r="A113">
        <v>410000114</v>
      </c>
      <c r="B113" t="s">
        <v>1843</v>
      </c>
      <c r="C113" t="s">
        <v>1844</v>
      </c>
      <c r="D113">
        <v>401100000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 t="s">
        <v>972</v>
      </c>
      <c r="Z113" t="s">
        <v>987</v>
      </c>
      <c r="AA113" t="s">
        <v>1845</v>
      </c>
      <c r="AB113" t="s">
        <v>975</v>
      </c>
      <c r="AC113">
        <v>4020</v>
      </c>
      <c r="AD113" t="s">
        <v>1019</v>
      </c>
      <c r="AE113" t="s">
        <v>1846</v>
      </c>
      <c r="AF113" t="s">
        <v>1846</v>
      </c>
      <c r="AG113" t="s">
        <v>977</v>
      </c>
      <c r="AH113">
        <v>30</v>
      </c>
      <c r="AI113">
        <v>46321</v>
      </c>
      <c r="AJ113" t="s">
        <v>1847</v>
      </c>
      <c r="AK113">
        <v>0</v>
      </c>
      <c r="AL113" t="s">
        <v>978</v>
      </c>
      <c r="AM113" t="s">
        <v>979</v>
      </c>
      <c r="AN113">
        <v>0</v>
      </c>
      <c r="AO113" t="s">
        <v>257</v>
      </c>
      <c r="AP113">
        <v>0</v>
      </c>
      <c r="AQ113">
        <v>1</v>
      </c>
      <c r="AR113">
        <v>43</v>
      </c>
      <c r="AS113">
        <v>1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1</v>
      </c>
      <c r="AZ113" t="s">
        <v>257</v>
      </c>
      <c r="BA113" t="s">
        <v>980</v>
      </c>
      <c r="BB113" t="s">
        <v>1010</v>
      </c>
      <c r="BC113" t="s">
        <v>257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 t="s">
        <v>998</v>
      </c>
      <c r="BK113" t="s">
        <v>981</v>
      </c>
      <c r="BL113" t="s">
        <v>1843</v>
      </c>
      <c r="BM113">
        <v>20141008</v>
      </c>
      <c r="BN113">
        <v>20220203</v>
      </c>
      <c r="BO113">
        <v>20220203</v>
      </c>
      <c r="BP113" t="s">
        <v>257</v>
      </c>
      <c r="BQ113" t="s">
        <v>983</v>
      </c>
      <c r="BR113" t="s">
        <v>978</v>
      </c>
      <c r="BS113" t="s">
        <v>979</v>
      </c>
      <c r="BT113">
        <v>0</v>
      </c>
      <c r="BU113">
        <v>0</v>
      </c>
      <c r="BV113" t="s">
        <v>1013</v>
      </c>
      <c r="BW113" t="s">
        <v>257</v>
      </c>
      <c r="BX113">
        <v>0</v>
      </c>
      <c r="BY113" t="s">
        <v>980</v>
      </c>
      <c r="BZ113" t="s">
        <v>257</v>
      </c>
      <c r="CA113">
        <v>0</v>
      </c>
      <c r="CB113">
        <v>0</v>
      </c>
      <c r="CC113" t="s">
        <v>1848</v>
      </c>
      <c r="CD113">
        <v>0</v>
      </c>
      <c r="CE113">
        <v>0</v>
      </c>
      <c r="CF113">
        <v>0</v>
      </c>
      <c r="CG113">
        <v>0</v>
      </c>
      <c r="CH113">
        <v>0</v>
      </c>
      <c r="CI113" t="s">
        <v>983</v>
      </c>
      <c r="CJ113" t="s">
        <v>972</v>
      </c>
      <c r="CK113" t="s">
        <v>986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 t="s">
        <v>987</v>
      </c>
      <c r="CV113">
        <v>400008114</v>
      </c>
      <c r="CW113" t="s">
        <v>987</v>
      </c>
      <c r="CX113" t="s">
        <v>1081</v>
      </c>
      <c r="CY113" t="s">
        <v>989</v>
      </c>
    </row>
    <row r="114" spans="1:103" hidden="1" x14ac:dyDescent="0.25">
      <c r="A114">
        <v>410000115</v>
      </c>
      <c r="B114" t="s">
        <v>1849</v>
      </c>
      <c r="C114" t="s">
        <v>1850</v>
      </c>
      <c r="D114">
        <v>401100000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 t="s">
        <v>972</v>
      </c>
      <c r="Z114" t="s">
        <v>1851</v>
      </c>
      <c r="AA114" t="s">
        <v>1852</v>
      </c>
      <c r="AB114" t="s">
        <v>975</v>
      </c>
      <c r="AC114">
        <v>4040</v>
      </c>
      <c r="AD114" t="s">
        <v>976</v>
      </c>
      <c r="AE114" t="s">
        <v>1853</v>
      </c>
      <c r="AF114" t="s">
        <v>1854</v>
      </c>
      <c r="AG114" t="s">
        <v>977</v>
      </c>
      <c r="AH114">
        <v>20</v>
      </c>
      <c r="AI114">
        <v>14</v>
      </c>
      <c r="AJ114" t="s">
        <v>978</v>
      </c>
      <c r="AK114">
        <v>0</v>
      </c>
      <c r="AL114" t="s">
        <v>978</v>
      </c>
      <c r="AM114" t="s">
        <v>979</v>
      </c>
      <c r="AN114">
        <v>0</v>
      </c>
      <c r="AO114" t="s">
        <v>257</v>
      </c>
      <c r="AP114">
        <v>0</v>
      </c>
      <c r="AQ114">
        <v>1</v>
      </c>
      <c r="AR114">
        <v>43</v>
      </c>
      <c r="AS114">
        <v>1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1</v>
      </c>
      <c r="AZ114" t="s">
        <v>257</v>
      </c>
      <c r="BA114" t="s">
        <v>980</v>
      </c>
      <c r="BB114" t="s">
        <v>981</v>
      </c>
      <c r="BC114" t="s">
        <v>257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 t="s">
        <v>998</v>
      </c>
      <c r="BK114" t="s">
        <v>981</v>
      </c>
      <c r="BL114" t="s">
        <v>1849</v>
      </c>
      <c r="BM114">
        <v>20141008</v>
      </c>
      <c r="BN114">
        <v>20181119</v>
      </c>
      <c r="BO114">
        <v>0</v>
      </c>
      <c r="BP114" t="s">
        <v>257</v>
      </c>
      <c r="BQ114" t="s">
        <v>983</v>
      </c>
      <c r="BR114" t="s">
        <v>978</v>
      </c>
      <c r="BS114" t="s">
        <v>1855</v>
      </c>
      <c r="BT114">
        <v>0</v>
      </c>
      <c r="BU114">
        <v>0</v>
      </c>
      <c r="BV114" t="s">
        <v>1013</v>
      </c>
      <c r="BW114" t="s">
        <v>257</v>
      </c>
      <c r="BX114">
        <v>0</v>
      </c>
      <c r="BY114" t="s">
        <v>980</v>
      </c>
      <c r="BZ114" t="s">
        <v>257</v>
      </c>
      <c r="CA114">
        <v>0</v>
      </c>
      <c r="CB114">
        <v>0</v>
      </c>
      <c r="CC114" t="s">
        <v>985</v>
      </c>
      <c r="CD114">
        <v>0</v>
      </c>
      <c r="CE114">
        <v>0</v>
      </c>
      <c r="CF114">
        <v>0</v>
      </c>
      <c r="CG114">
        <v>0</v>
      </c>
      <c r="CH114">
        <v>0</v>
      </c>
      <c r="CI114" t="s">
        <v>983</v>
      </c>
      <c r="CJ114" t="s">
        <v>972</v>
      </c>
      <c r="CK114" t="s">
        <v>986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 t="s">
        <v>987</v>
      </c>
      <c r="CV114">
        <v>400008115</v>
      </c>
      <c r="CW114" t="s">
        <v>987</v>
      </c>
      <c r="CX114" t="s">
        <v>1856</v>
      </c>
      <c r="CY114" t="s">
        <v>989</v>
      </c>
    </row>
    <row r="115" spans="1:103" hidden="1" x14ac:dyDescent="0.25">
      <c r="A115">
        <v>410000116</v>
      </c>
      <c r="B115" t="s">
        <v>1857</v>
      </c>
      <c r="C115" t="s">
        <v>1858</v>
      </c>
      <c r="D115">
        <v>401100000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 t="s">
        <v>1859</v>
      </c>
      <c r="Z115" t="s">
        <v>1860</v>
      </c>
      <c r="AA115" t="s">
        <v>1861</v>
      </c>
      <c r="AB115" t="s">
        <v>975</v>
      </c>
      <c r="AC115">
        <v>4920</v>
      </c>
      <c r="AD115" t="s">
        <v>1862</v>
      </c>
      <c r="AE115" t="s">
        <v>1863</v>
      </c>
      <c r="AF115" t="s">
        <v>1864</v>
      </c>
      <c r="AG115" t="s">
        <v>977</v>
      </c>
      <c r="AH115">
        <v>70</v>
      </c>
      <c r="AI115">
        <v>91042</v>
      </c>
      <c r="AJ115" t="s">
        <v>978</v>
      </c>
      <c r="AK115">
        <v>0</v>
      </c>
      <c r="AL115" t="s">
        <v>978</v>
      </c>
      <c r="AM115" t="s">
        <v>979</v>
      </c>
      <c r="AN115">
        <v>0</v>
      </c>
      <c r="AO115" t="s">
        <v>257</v>
      </c>
      <c r="AP115">
        <v>0</v>
      </c>
      <c r="AQ115">
        <v>1</v>
      </c>
      <c r="AR115">
        <v>43</v>
      </c>
      <c r="AS115">
        <v>1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1</v>
      </c>
      <c r="AZ115" t="s">
        <v>257</v>
      </c>
      <c r="BA115" t="s">
        <v>980</v>
      </c>
      <c r="BB115" t="s">
        <v>981</v>
      </c>
      <c r="BC115" t="s">
        <v>257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 t="s">
        <v>998</v>
      </c>
      <c r="BK115" t="s">
        <v>981</v>
      </c>
      <c r="BL115" t="s">
        <v>1857</v>
      </c>
      <c r="BM115">
        <v>20141008</v>
      </c>
      <c r="BN115">
        <v>20220203</v>
      </c>
      <c r="BO115">
        <v>0</v>
      </c>
      <c r="BP115" t="s">
        <v>257</v>
      </c>
      <c r="BQ115" t="s">
        <v>983</v>
      </c>
      <c r="BR115" t="s">
        <v>978</v>
      </c>
      <c r="BS115" t="s">
        <v>979</v>
      </c>
      <c r="BT115">
        <v>0</v>
      </c>
      <c r="BU115">
        <v>0</v>
      </c>
      <c r="BV115" t="s">
        <v>1013</v>
      </c>
      <c r="BW115" t="s">
        <v>257</v>
      </c>
      <c r="BX115">
        <v>0</v>
      </c>
      <c r="BY115" t="s">
        <v>980</v>
      </c>
      <c r="BZ115" t="s">
        <v>257</v>
      </c>
      <c r="CA115">
        <v>0</v>
      </c>
      <c r="CB115">
        <v>0</v>
      </c>
      <c r="CC115" t="s">
        <v>1865</v>
      </c>
      <c r="CD115">
        <v>0</v>
      </c>
      <c r="CE115">
        <v>0</v>
      </c>
      <c r="CF115">
        <v>0</v>
      </c>
      <c r="CG115">
        <v>0</v>
      </c>
      <c r="CH115">
        <v>0</v>
      </c>
      <c r="CI115" t="s">
        <v>983</v>
      </c>
      <c r="CJ115" t="s">
        <v>972</v>
      </c>
      <c r="CK115" t="s">
        <v>986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 t="s">
        <v>987</v>
      </c>
      <c r="CV115">
        <v>400008116</v>
      </c>
      <c r="CW115" t="s">
        <v>987</v>
      </c>
      <c r="CX115" t="s">
        <v>1866</v>
      </c>
      <c r="CY115" t="s">
        <v>989</v>
      </c>
    </row>
    <row r="116" spans="1:103" hidden="1" x14ac:dyDescent="0.25">
      <c r="A116">
        <v>410000117</v>
      </c>
      <c r="B116" t="s">
        <v>1867</v>
      </c>
      <c r="C116" t="s">
        <v>1868</v>
      </c>
      <c r="D116">
        <v>401100000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1</v>
      </c>
      <c r="Y116" t="s">
        <v>972</v>
      </c>
      <c r="Z116" t="s">
        <v>987</v>
      </c>
      <c r="AA116" t="s">
        <v>1869</v>
      </c>
      <c r="AB116" t="s">
        <v>975</v>
      </c>
      <c r="AC116">
        <v>4300</v>
      </c>
      <c r="AD116" t="s">
        <v>1170</v>
      </c>
      <c r="AE116" t="s">
        <v>1870</v>
      </c>
      <c r="AF116" t="s">
        <v>979</v>
      </c>
      <c r="AG116" t="s">
        <v>977</v>
      </c>
      <c r="AH116">
        <v>40</v>
      </c>
      <c r="AI116">
        <v>86220</v>
      </c>
      <c r="AJ116" t="s">
        <v>978</v>
      </c>
      <c r="AK116">
        <v>0</v>
      </c>
      <c r="AL116" t="s">
        <v>978</v>
      </c>
      <c r="AM116" t="s">
        <v>979</v>
      </c>
      <c r="AN116">
        <v>0</v>
      </c>
      <c r="AO116" t="s">
        <v>257</v>
      </c>
      <c r="AP116">
        <v>0</v>
      </c>
      <c r="AQ116">
        <v>1</v>
      </c>
      <c r="AR116">
        <v>43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1</v>
      </c>
      <c r="AZ116" t="s">
        <v>257</v>
      </c>
      <c r="BA116" t="s">
        <v>980</v>
      </c>
      <c r="BB116" t="s">
        <v>981</v>
      </c>
      <c r="BC116" t="s">
        <v>257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 t="s">
        <v>998</v>
      </c>
      <c r="BK116" t="s">
        <v>981</v>
      </c>
      <c r="BL116" t="s">
        <v>1867</v>
      </c>
      <c r="BM116">
        <v>20141008</v>
      </c>
      <c r="BN116">
        <v>20220203</v>
      </c>
      <c r="BO116">
        <v>0</v>
      </c>
      <c r="BP116" t="s">
        <v>257</v>
      </c>
      <c r="BQ116" t="s">
        <v>983</v>
      </c>
      <c r="BR116" t="s">
        <v>978</v>
      </c>
      <c r="BS116" t="s">
        <v>979</v>
      </c>
      <c r="BT116">
        <v>0</v>
      </c>
      <c r="BU116">
        <v>0</v>
      </c>
      <c r="BV116" t="s">
        <v>984</v>
      </c>
      <c r="BW116" t="s">
        <v>257</v>
      </c>
      <c r="BX116">
        <v>0</v>
      </c>
      <c r="BY116" t="s">
        <v>980</v>
      </c>
      <c r="BZ116" t="s">
        <v>257</v>
      </c>
      <c r="CA116">
        <v>0</v>
      </c>
      <c r="CB116">
        <v>0</v>
      </c>
      <c r="CC116" t="s">
        <v>1871</v>
      </c>
      <c r="CD116">
        <v>0</v>
      </c>
      <c r="CE116">
        <v>0</v>
      </c>
      <c r="CF116">
        <v>0</v>
      </c>
      <c r="CG116">
        <v>0</v>
      </c>
      <c r="CH116">
        <v>0</v>
      </c>
      <c r="CI116" t="s">
        <v>983</v>
      </c>
      <c r="CJ116" t="s">
        <v>972</v>
      </c>
      <c r="CK116" t="s">
        <v>986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 t="s">
        <v>987</v>
      </c>
      <c r="CV116">
        <v>400008117</v>
      </c>
      <c r="CW116" t="s">
        <v>987</v>
      </c>
      <c r="CX116" t="s">
        <v>1872</v>
      </c>
      <c r="CY116" t="s">
        <v>989</v>
      </c>
    </row>
    <row r="117" spans="1:103" hidden="1" x14ac:dyDescent="0.25">
      <c r="A117">
        <v>410000118</v>
      </c>
      <c r="B117" t="s">
        <v>1873</v>
      </c>
      <c r="C117" t="s">
        <v>1874</v>
      </c>
      <c r="D117">
        <v>401100000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1</v>
      </c>
      <c r="Y117" t="s">
        <v>1091</v>
      </c>
      <c r="Z117" t="s">
        <v>1875</v>
      </c>
      <c r="AA117" t="s">
        <v>1876</v>
      </c>
      <c r="AB117" t="s">
        <v>975</v>
      </c>
      <c r="AC117">
        <v>4100</v>
      </c>
      <c r="AD117" t="s">
        <v>1655</v>
      </c>
      <c r="AE117" t="s">
        <v>1877</v>
      </c>
      <c r="AF117" t="s">
        <v>979</v>
      </c>
      <c r="AG117" t="s">
        <v>977</v>
      </c>
      <c r="AH117">
        <v>0</v>
      </c>
      <c r="AI117">
        <v>71121</v>
      </c>
      <c r="AJ117" t="s">
        <v>978</v>
      </c>
      <c r="AK117">
        <v>0</v>
      </c>
      <c r="AL117" t="s">
        <v>978</v>
      </c>
      <c r="AM117" t="s">
        <v>979</v>
      </c>
      <c r="AN117">
        <v>0</v>
      </c>
      <c r="AO117" t="s">
        <v>257</v>
      </c>
      <c r="AP117">
        <v>0</v>
      </c>
      <c r="AQ117">
        <v>1</v>
      </c>
      <c r="AR117">
        <v>43</v>
      </c>
      <c r="AS117">
        <v>1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1</v>
      </c>
      <c r="AZ117" t="s">
        <v>257</v>
      </c>
      <c r="BA117" t="s">
        <v>980</v>
      </c>
      <c r="BB117" t="s">
        <v>981</v>
      </c>
      <c r="BC117" t="s">
        <v>257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 t="s">
        <v>998</v>
      </c>
      <c r="BK117" t="s">
        <v>981</v>
      </c>
      <c r="BL117" t="s">
        <v>1873</v>
      </c>
      <c r="BM117">
        <v>20141008</v>
      </c>
      <c r="BN117">
        <v>20220203</v>
      </c>
      <c r="BO117">
        <v>0</v>
      </c>
      <c r="BP117" t="s">
        <v>257</v>
      </c>
      <c r="BQ117" t="s">
        <v>983</v>
      </c>
      <c r="BR117" t="s">
        <v>978</v>
      </c>
      <c r="BS117" t="s">
        <v>1878</v>
      </c>
      <c r="BT117">
        <v>0</v>
      </c>
      <c r="BU117">
        <v>0</v>
      </c>
      <c r="BV117" t="s">
        <v>1013</v>
      </c>
      <c r="BW117" t="s">
        <v>257</v>
      </c>
      <c r="BX117">
        <v>0</v>
      </c>
      <c r="BY117" t="s">
        <v>980</v>
      </c>
      <c r="BZ117" t="s">
        <v>257</v>
      </c>
      <c r="CA117">
        <v>0</v>
      </c>
      <c r="CB117">
        <v>0</v>
      </c>
      <c r="CC117" t="s">
        <v>1469</v>
      </c>
      <c r="CD117">
        <v>0</v>
      </c>
      <c r="CE117">
        <v>0</v>
      </c>
      <c r="CF117">
        <v>0</v>
      </c>
      <c r="CG117">
        <v>0</v>
      </c>
      <c r="CH117">
        <v>0</v>
      </c>
      <c r="CI117" t="s">
        <v>983</v>
      </c>
      <c r="CJ117" t="s">
        <v>972</v>
      </c>
      <c r="CK117" t="s">
        <v>986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 t="s">
        <v>987</v>
      </c>
      <c r="CV117">
        <v>400008118</v>
      </c>
      <c r="CW117" t="s">
        <v>987</v>
      </c>
      <c r="CX117" t="s">
        <v>1879</v>
      </c>
      <c r="CY117" t="s">
        <v>989</v>
      </c>
    </row>
    <row r="118" spans="1:103" hidden="1" x14ac:dyDescent="0.25">
      <c r="A118">
        <v>410000119</v>
      </c>
      <c r="B118" t="s">
        <v>1880</v>
      </c>
      <c r="C118" t="s">
        <v>978</v>
      </c>
      <c r="D118">
        <v>401100000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</v>
      </c>
      <c r="W118">
        <v>1</v>
      </c>
      <c r="X118">
        <v>1</v>
      </c>
      <c r="Y118" t="s">
        <v>972</v>
      </c>
      <c r="Z118" t="s">
        <v>987</v>
      </c>
      <c r="AA118" t="s">
        <v>1881</v>
      </c>
      <c r="AB118" t="s">
        <v>975</v>
      </c>
      <c r="AC118">
        <v>4684</v>
      </c>
      <c r="AD118" t="s">
        <v>1882</v>
      </c>
      <c r="AE118" t="s">
        <v>1883</v>
      </c>
      <c r="AF118" t="s">
        <v>979</v>
      </c>
      <c r="AG118" t="s">
        <v>977</v>
      </c>
      <c r="AH118" t="s">
        <v>1558</v>
      </c>
      <c r="AI118" t="s">
        <v>1558</v>
      </c>
      <c r="AJ118" t="s">
        <v>978</v>
      </c>
      <c r="AK118">
        <v>0</v>
      </c>
      <c r="AL118" t="s">
        <v>978</v>
      </c>
      <c r="AM118" t="s">
        <v>979</v>
      </c>
      <c r="AN118">
        <v>0</v>
      </c>
      <c r="AO118" t="s">
        <v>257</v>
      </c>
      <c r="AP118">
        <v>0</v>
      </c>
      <c r="AQ118">
        <v>1</v>
      </c>
      <c r="AR118">
        <v>43</v>
      </c>
      <c r="AS118">
        <v>1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1</v>
      </c>
      <c r="AZ118" t="s">
        <v>257</v>
      </c>
      <c r="BA118" t="s">
        <v>980</v>
      </c>
      <c r="BB118" t="s">
        <v>981</v>
      </c>
      <c r="BC118" t="s">
        <v>257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 t="s">
        <v>998</v>
      </c>
      <c r="BK118" t="s">
        <v>981</v>
      </c>
      <c r="BL118" t="s">
        <v>1880</v>
      </c>
      <c r="BM118">
        <v>20141008</v>
      </c>
      <c r="BN118">
        <v>20220203</v>
      </c>
      <c r="BO118">
        <v>0</v>
      </c>
      <c r="BP118" t="s">
        <v>257</v>
      </c>
      <c r="BQ118" t="s">
        <v>983</v>
      </c>
      <c r="BR118" t="s">
        <v>978</v>
      </c>
      <c r="BS118" t="s">
        <v>1884</v>
      </c>
      <c r="BT118">
        <v>0</v>
      </c>
      <c r="BU118">
        <v>0</v>
      </c>
      <c r="BV118" t="s">
        <v>984</v>
      </c>
      <c r="BW118" t="s">
        <v>257</v>
      </c>
      <c r="BX118">
        <v>0</v>
      </c>
      <c r="BY118" t="s">
        <v>980</v>
      </c>
      <c r="BZ118" t="s">
        <v>257</v>
      </c>
      <c r="CA118">
        <v>0</v>
      </c>
      <c r="CB118">
        <v>0</v>
      </c>
      <c r="CC118" t="s">
        <v>1885</v>
      </c>
      <c r="CD118">
        <v>0</v>
      </c>
      <c r="CE118">
        <v>0</v>
      </c>
      <c r="CF118">
        <v>0</v>
      </c>
      <c r="CG118">
        <v>0</v>
      </c>
      <c r="CH118">
        <v>0</v>
      </c>
      <c r="CI118" t="s">
        <v>983</v>
      </c>
      <c r="CJ118" t="s">
        <v>972</v>
      </c>
      <c r="CK118" t="s">
        <v>986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 t="s">
        <v>987</v>
      </c>
      <c r="CV118">
        <v>400008119</v>
      </c>
      <c r="CW118" t="s">
        <v>987</v>
      </c>
      <c r="CX118" t="s">
        <v>1886</v>
      </c>
      <c r="CY118" t="s">
        <v>989</v>
      </c>
    </row>
    <row r="119" spans="1:103" hidden="1" x14ac:dyDescent="0.25">
      <c r="A119">
        <v>410000120</v>
      </c>
      <c r="B119" t="s">
        <v>1887</v>
      </c>
      <c r="C119" t="s">
        <v>1888</v>
      </c>
      <c r="D119">
        <v>401100000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1</v>
      </c>
      <c r="Y119" t="s">
        <v>1889</v>
      </c>
      <c r="Z119" t="s">
        <v>987</v>
      </c>
      <c r="AA119" t="s">
        <v>1890</v>
      </c>
      <c r="AB119" t="s">
        <v>975</v>
      </c>
      <c r="AC119">
        <v>4683</v>
      </c>
      <c r="AD119" t="s">
        <v>1891</v>
      </c>
      <c r="AE119" t="s">
        <v>1892</v>
      </c>
      <c r="AF119" t="s">
        <v>1893</v>
      </c>
      <c r="AG119" t="s">
        <v>977</v>
      </c>
      <c r="AH119">
        <v>30</v>
      </c>
      <c r="AI119" t="s">
        <v>1894</v>
      </c>
      <c r="AJ119" t="s">
        <v>978</v>
      </c>
      <c r="AK119">
        <v>0</v>
      </c>
      <c r="AL119" t="s">
        <v>978</v>
      </c>
      <c r="AM119" t="s">
        <v>979</v>
      </c>
      <c r="AN119">
        <v>0</v>
      </c>
      <c r="AO119" t="s">
        <v>257</v>
      </c>
      <c r="AP119">
        <v>0</v>
      </c>
      <c r="AQ119">
        <v>1</v>
      </c>
      <c r="AR119">
        <v>43</v>
      </c>
      <c r="AS119">
        <v>1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1</v>
      </c>
      <c r="AZ119" t="s">
        <v>257</v>
      </c>
      <c r="BA119" t="s">
        <v>980</v>
      </c>
      <c r="BB119" t="s">
        <v>981</v>
      </c>
      <c r="BC119" t="s">
        <v>257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 t="s">
        <v>998</v>
      </c>
      <c r="BK119" t="s">
        <v>981</v>
      </c>
      <c r="BL119" t="s">
        <v>1887</v>
      </c>
      <c r="BM119">
        <v>20141008</v>
      </c>
      <c r="BN119">
        <v>20220203</v>
      </c>
      <c r="BO119">
        <v>0</v>
      </c>
      <c r="BP119" t="s">
        <v>257</v>
      </c>
      <c r="BQ119" t="s">
        <v>983</v>
      </c>
      <c r="BR119" t="s">
        <v>978</v>
      </c>
      <c r="BS119" t="s">
        <v>979</v>
      </c>
      <c r="BT119">
        <v>0</v>
      </c>
      <c r="BU119">
        <v>0</v>
      </c>
      <c r="BV119" t="s">
        <v>1013</v>
      </c>
      <c r="BW119" t="s">
        <v>257</v>
      </c>
      <c r="BX119">
        <v>0</v>
      </c>
      <c r="BY119" t="s">
        <v>980</v>
      </c>
      <c r="BZ119" t="s">
        <v>257</v>
      </c>
      <c r="CA119">
        <v>0</v>
      </c>
      <c r="CB119">
        <v>0</v>
      </c>
      <c r="CC119" t="s">
        <v>1088</v>
      </c>
      <c r="CD119">
        <v>0</v>
      </c>
      <c r="CE119">
        <v>0</v>
      </c>
      <c r="CF119">
        <v>0</v>
      </c>
      <c r="CG119">
        <v>0</v>
      </c>
      <c r="CH119">
        <v>0</v>
      </c>
      <c r="CI119" t="s">
        <v>983</v>
      </c>
      <c r="CJ119" t="s">
        <v>972</v>
      </c>
      <c r="CK119" t="s">
        <v>986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 t="s">
        <v>987</v>
      </c>
      <c r="CV119">
        <v>400008120</v>
      </c>
      <c r="CW119" t="s">
        <v>987</v>
      </c>
      <c r="CX119" t="s">
        <v>1895</v>
      </c>
      <c r="CY119" t="s">
        <v>989</v>
      </c>
    </row>
    <row r="120" spans="1:103" hidden="1" x14ac:dyDescent="0.25">
      <c r="A120">
        <v>410000121</v>
      </c>
      <c r="B120" t="s">
        <v>1896</v>
      </c>
      <c r="C120" t="s">
        <v>1897</v>
      </c>
      <c r="D120">
        <v>401100000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 t="s">
        <v>972</v>
      </c>
      <c r="Z120" t="s">
        <v>987</v>
      </c>
      <c r="AA120" t="s">
        <v>1898</v>
      </c>
      <c r="AB120" t="s">
        <v>975</v>
      </c>
      <c r="AC120">
        <v>4960</v>
      </c>
      <c r="AD120" t="s">
        <v>1548</v>
      </c>
      <c r="AE120" t="s">
        <v>1899</v>
      </c>
      <c r="AF120" t="s">
        <v>1900</v>
      </c>
      <c r="AG120" t="s">
        <v>977</v>
      </c>
      <c r="AH120">
        <v>90</v>
      </c>
      <c r="AI120">
        <v>42110</v>
      </c>
      <c r="AJ120" t="s">
        <v>978</v>
      </c>
      <c r="AK120">
        <v>0</v>
      </c>
      <c r="AL120" t="s">
        <v>978</v>
      </c>
      <c r="AM120" t="s">
        <v>979</v>
      </c>
      <c r="AN120">
        <v>0</v>
      </c>
      <c r="AO120" t="s">
        <v>257</v>
      </c>
      <c r="AP120">
        <v>0</v>
      </c>
      <c r="AQ120">
        <v>1</v>
      </c>
      <c r="AR120">
        <v>43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1</v>
      </c>
      <c r="AZ120" t="s">
        <v>257</v>
      </c>
      <c r="BA120" t="s">
        <v>980</v>
      </c>
      <c r="BB120" t="s">
        <v>981</v>
      </c>
      <c r="BC120" t="s">
        <v>257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 t="s">
        <v>998</v>
      </c>
      <c r="BK120" t="s">
        <v>981</v>
      </c>
      <c r="BL120" t="s">
        <v>1896</v>
      </c>
      <c r="BM120">
        <v>20141008</v>
      </c>
      <c r="BN120">
        <v>20220203</v>
      </c>
      <c r="BO120">
        <v>0</v>
      </c>
      <c r="BP120" t="s">
        <v>257</v>
      </c>
      <c r="BQ120" t="s">
        <v>983</v>
      </c>
      <c r="BR120" t="s">
        <v>978</v>
      </c>
      <c r="BS120" t="s">
        <v>979</v>
      </c>
      <c r="BT120">
        <v>0</v>
      </c>
      <c r="BU120">
        <v>0</v>
      </c>
      <c r="BV120" t="s">
        <v>1013</v>
      </c>
      <c r="BW120" t="s">
        <v>257</v>
      </c>
      <c r="BX120">
        <v>0</v>
      </c>
      <c r="BY120" t="s">
        <v>980</v>
      </c>
      <c r="BZ120" t="s">
        <v>257</v>
      </c>
      <c r="CA120">
        <v>0</v>
      </c>
      <c r="CB120">
        <v>0</v>
      </c>
      <c r="CC120" t="s">
        <v>1901</v>
      </c>
      <c r="CD120">
        <v>0</v>
      </c>
      <c r="CE120">
        <v>0</v>
      </c>
      <c r="CF120">
        <v>0</v>
      </c>
      <c r="CG120">
        <v>0</v>
      </c>
      <c r="CH120">
        <v>0</v>
      </c>
      <c r="CI120" t="s">
        <v>983</v>
      </c>
      <c r="CJ120" t="s">
        <v>972</v>
      </c>
      <c r="CK120" t="s">
        <v>986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 t="s">
        <v>987</v>
      </c>
      <c r="CV120">
        <v>400008121</v>
      </c>
      <c r="CW120" t="s">
        <v>987</v>
      </c>
      <c r="CX120" t="s">
        <v>1081</v>
      </c>
      <c r="CY120" t="s">
        <v>989</v>
      </c>
    </row>
    <row r="121" spans="1:103" hidden="1" x14ac:dyDescent="0.25">
      <c r="A121">
        <v>410000122</v>
      </c>
      <c r="B121" t="s">
        <v>1902</v>
      </c>
      <c r="C121" t="s">
        <v>1903</v>
      </c>
      <c r="D121">
        <v>401100000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 t="s">
        <v>972</v>
      </c>
      <c r="Z121" t="s">
        <v>987</v>
      </c>
      <c r="AA121" t="s">
        <v>1904</v>
      </c>
      <c r="AB121" t="s">
        <v>975</v>
      </c>
      <c r="AC121">
        <v>4970</v>
      </c>
      <c r="AD121" t="s">
        <v>1028</v>
      </c>
      <c r="AE121" t="s">
        <v>1417</v>
      </c>
      <c r="AF121" t="s">
        <v>1905</v>
      </c>
      <c r="AG121" t="s">
        <v>977</v>
      </c>
      <c r="AH121">
        <v>0</v>
      </c>
      <c r="AI121">
        <v>81210</v>
      </c>
      <c r="AJ121" t="s">
        <v>1906</v>
      </c>
      <c r="AK121" t="s">
        <v>1907</v>
      </c>
      <c r="AL121" t="s">
        <v>978</v>
      </c>
      <c r="AM121" t="s">
        <v>979</v>
      </c>
      <c r="AN121">
        <v>0</v>
      </c>
      <c r="AO121" t="s">
        <v>257</v>
      </c>
      <c r="AP121">
        <v>0</v>
      </c>
      <c r="AQ121">
        <v>1</v>
      </c>
      <c r="AR121">
        <v>43</v>
      </c>
      <c r="AS121">
        <v>1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1</v>
      </c>
      <c r="AZ121" t="s">
        <v>257</v>
      </c>
      <c r="BA121" t="s">
        <v>980</v>
      </c>
      <c r="BB121" t="s">
        <v>981</v>
      </c>
      <c r="BC121" t="s">
        <v>257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 t="s">
        <v>998</v>
      </c>
      <c r="BK121" t="s">
        <v>981</v>
      </c>
      <c r="BL121" t="s">
        <v>1902</v>
      </c>
      <c r="BM121">
        <v>20141008</v>
      </c>
      <c r="BN121">
        <v>20220201</v>
      </c>
      <c r="BO121">
        <v>0</v>
      </c>
      <c r="BP121" t="s">
        <v>257</v>
      </c>
      <c r="BQ121" t="s">
        <v>983</v>
      </c>
      <c r="BR121" t="s">
        <v>978</v>
      </c>
      <c r="BS121" t="s">
        <v>979</v>
      </c>
      <c r="BT121">
        <v>0</v>
      </c>
      <c r="BU121">
        <v>0</v>
      </c>
      <c r="BV121" t="s">
        <v>984</v>
      </c>
      <c r="BW121" t="s">
        <v>257</v>
      </c>
      <c r="BX121">
        <v>0</v>
      </c>
      <c r="BY121" t="s">
        <v>980</v>
      </c>
      <c r="BZ121" t="s">
        <v>257</v>
      </c>
      <c r="CA121">
        <v>0</v>
      </c>
      <c r="CB121">
        <v>0</v>
      </c>
      <c r="CC121" t="s">
        <v>1033</v>
      </c>
      <c r="CD121">
        <v>0</v>
      </c>
      <c r="CE121">
        <v>0</v>
      </c>
      <c r="CF121">
        <v>0</v>
      </c>
      <c r="CG121">
        <v>0</v>
      </c>
      <c r="CH121">
        <v>0</v>
      </c>
      <c r="CI121" t="s">
        <v>983</v>
      </c>
      <c r="CJ121" t="s">
        <v>972</v>
      </c>
      <c r="CK121" t="s">
        <v>986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 t="s">
        <v>987</v>
      </c>
      <c r="CV121">
        <v>400008122</v>
      </c>
      <c r="CW121" t="s">
        <v>987</v>
      </c>
      <c r="CX121" t="s">
        <v>1908</v>
      </c>
      <c r="CY121" t="s">
        <v>989</v>
      </c>
    </row>
    <row r="122" spans="1:103" hidden="1" x14ac:dyDescent="0.25">
      <c r="A122">
        <v>410000123</v>
      </c>
      <c r="B122" t="s">
        <v>1909</v>
      </c>
      <c r="C122" t="s">
        <v>1910</v>
      </c>
      <c r="D122">
        <v>401100000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 t="s">
        <v>972</v>
      </c>
      <c r="Z122" t="s">
        <v>1911</v>
      </c>
      <c r="AA122" t="s">
        <v>1912</v>
      </c>
      <c r="AB122" t="s">
        <v>975</v>
      </c>
      <c r="AC122">
        <v>4470</v>
      </c>
      <c r="AD122" t="s">
        <v>1913</v>
      </c>
      <c r="AE122" t="s">
        <v>1914</v>
      </c>
      <c r="AF122" t="s">
        <v>1915</v>
      </c>
      <c r="AG122" t="s">
        <v>977</v>
      </c>
      <c r="AH122">
        <v>40</v>
      </c>
      <c r="AI122">
        <v>47521</v>
      </c>
      <c r="AJ122" t="s">
        <v>978</v>
      </c>
      <c r="AK122">
        <v>0</v>
      </c>
      <c r="AL122" t="s">
        <v>978</v>
      </c>
      <c r="AM122" t="s">
        <v>979</v>
      </c>
      <c r="AN122">
        <v>0</v>
      </c>
      <c r="AO122" t="s">
        <v>257</v>
      </c>
      <c r="AP122">
        <v>0</v>
      </c>
      <c r="AQ122">
        <v>1</v>
      </c>
      <c r="AR122">
        <v>43</v>
      </c>
      <c r="AS122">
        <v>1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1</v>
      </c>
      <c r="AZ122" t="s">
        <v>257</v>
      </c>
      <c r="BA122" t="s">
        <v>980</v>
      </c>
      <c r="BB122" t="s">
        <v>981</v>
      </c>
      <c r="BC122" t="s">
        <v>257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 t="s">
        <v>998</v>
      </c>
      <c r="BK122" t="s">
        <v>981</v>
      </c>
      <c r="BL122" t="s">
        <v>1909</v>
      </c>
      <c r="BM122">
        <v>20141008</v>
      </c>
      <c r="BN122">
        <v>20230417</v>
      </c>
      <c r="BO122">
        <v>0</v>
      </c>
      <c r="BP122" t="s">
        <v>257</v>
      </c>
      <c r="BQ122" t="s">
        <v>983</v>
      </c>
      <c r="BR122" t="s">
        <v>978</v>
      </c>
      <c r="BS122" t="s">
        <v>979</v>
      </c>
      <c r="BT122">
        <v>0</v>
      </c>
      <c r="BU122">
        <v>0</v>
      </c>
      <c r="BV122" t="s">
        <v>984</v>
      </c>
      <c r="BW122" t="s">
        <v>257</v>
      </c>
      <c r="BX122">
        <v>0</v>
      </c>
      <c r="BY122" t="s">
        <v>980</v>
      </c>
      <c r="BZ122" t="s">
        <v>257</v>
      </c>
      <c r="CA122">
        <v>0</v>
      </c>
      <c r="CB122">
        <v>0</v>
      </c>
      <c r="CC122" t="s">
        <v>1916</v>
      </c>
      <c r="CD122">
        <v>0</v>
      </c>
      <c r="CE122">
        <v>0</v>
      </c>
      <c r="CF122">
        <v>0</v>
      </c>
      <c r="CG122">
        <v>0</v>
      </c>
      <c r="CH122">
        <v>0</v>
      </c>
      <c r="CI122" t="s">
        <v>983</v>
      </c>
      <c r="CJ122" t="s">
        <v>972</v>
      </c>
      <c r="CK122" t="s">
        <v>986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 t="s">
        <v>987</v>
      </c>
      <c r="CV122">
        <v>400008123</v>
      </c>
      <c r="CW122" t="s">
        <v>987</v>
      </c>
      <c r="CX122" t="s">
        <v>1917</v>
      </c>
      <c r="CY122" t="s">
        <v>989</v>
      </c>
    </row>
    <row r="123" spans="1:103" hidden="1" x14ac:dyDescent="0.25">
      <c r="A123">
        <v>410000124</v>
      </c>
      <c r="B123" t="s">
        <v>1918</v>
      </c>
      <c r="C123" t="s">
        <v>1919</v>
      </c>
      <c r="D123">
        <v>401100000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1</v>
      </c>
      <c r="Y123" t="s">
        <v>972</v>
      </c>
      <c r="Z123" t="s">
        <v>1920</v>
      </c>
      <c r="AA123" t="s">
        <v>1921</v>
      </c>
      <c r="AB123" t="s">
        <v>975</v>
      </c>
      <c r="AC123">
        <v>4400</v>
      </c>
      <c r="AD123" t="s">
        <v>1922</v>
      </c>
      <c r="AE123" t="s">
        <v>1923</v>
      </c>
      <c r="AF123" t="s">
        <v>1924</v>
      </c>
      <c r="AG123" t="s">
        <v>977</v>
      </c>
      <c r="AH123">
        <v>80</v>
      </c>
      <c r="AI123">
        <v>81210</v>
      </c>
      <c r="AJ123" t="s">
        <v>978</v>
      </c>
      <c r="AK123">
        <v>0</v>
      </c>
      <c r="AL123" t="s">
        <v>978</v>
      </c>
      <c r="AM123" t="s">
        <v>979</v>
      </c>
      <c r="AN123">
        <v>0</v>
      </c>
      <c r="AO123" t="s">
        <v>257</v>
      </c>
      <c r="AP123">
        <v>0</v>
      </c>
      <c r="AQ123">
        <v>1</v>
      </c>
      <c r="AR123">
        <v>43</v>
      </c>
      <c r="AS123">
        <v>1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1</v>
      </c>
      <c r="AZ123" t="s">
        <v>257</v>
      </c>
      <c r="BA123" t="s">
        <v>980</v>
      </c>
      <c r="BB123" t="s">
        <v>981</v>
      </c>
      <c r="BC123" t="s">
        <v>257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 t="s">
        <v>998</v>
      </c>
      <c r="BK123" t="s">
        <v>981</v>
      </c>
      <c r="BL123" t="s">
        <v>1918</v>
      </c>
      <c r="BM123">
        <v>20141008</v>
      </c>
      <c r="BN123">
        <v>20220203</v>
      </c>
      <c r="BO123">
        <v>0</v>
      </c>
      <c r="BP123" t="s">
        <v>257</v>
      </c>
      <c r="BQ123" t="s">
        <v>983</v>
      </c>
      <c r="BR123" t="s">
        <v>978</v>
      </c>
      <c r="BS123" t="s">
        <v>1925</v>
      </c>
      <c r="BT123">
        <v>0</v>
      </c>
      <c r="BU123">
        <v>0</v>
      </c>
      <c r="BV123" t="s">
        <v>1013</v>
      </c>
      <c r="BW123" t="s">
        <v>257</v>
      </c>
      <c r="BX123">
        <v>0</v>
      </c>
      <c r="BY123" t="s">
        <v>980</v>
      </c>
      <c r="BZ123" t="s">
        <v>257</v>
      </c>
      <c r="CA123">
        <v>0</v>
      </c>
      <c r="CB123">
        <v>0</v>
      </c>
      <c r="CC123" t="s">
        <v>1559</v>
      </c>
      <c r="CD123">
        <v>0</v>
      </c>
      <c r="CE123">
        <v>0</v>
      </c>
      <c r="CF123">
        <v>0</v>
      </c>
      <c r="CG123">
        <v>0</v>
      </c>
      <c r="CH123">
        <v>0</v>
      </c>
      <c r="CI123" t="s">
        <v>983</v>
      </c>
      <c r="CJ123" t="s">
        <v>972</v>
      </c>
      <c r="CK123" t="s">
        <v>986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 t="s">
        <v>987</v>
      </c>
      <c r="CV123">
        <v>400008124</v>
      </c>
      <c r="CW123" t="s">
        <v>987</v>
      </c>
      <c r="CX123" t="s">
        <v>1926</v>
      </c>
      <c r="CY123" t="s">
        <v>989</v>
      </c>
    </row>
    <row r="124" spans="1:103" hidden="1" x14ac:dyDescent="0.25">
      <c r="A124">
        <v>410000125</v>
      </c>
      <c r="B124" t="s">
        <v>1927</v>
      </c>
      <c r="C124" t="s">
        <v>1928</v>
      </c>
      <c r="D124">
        <v>401100000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1</v>
      </c>
      <c r="Y124" t="s">
        <v>972</v>
      </c>
      <c r="Z124" t="s">
        <v>987</v>
      </c>
      <c r="AA124" t="s">
        <v>1929</v>
      </c>
      <c r="AB124" t="s">
        <v>975</v>
      </c>
      <c r="AC124">
        <v>4357</v>
      </c>
      <c r="AD124" t="s">
        <v>1930</v>
      </c>
      <c r="AE124" t="s">
        <v>1931</v>
      </c>
      <c r="AF124" t="s">
        <v>1932</v>
      </c>
      <c r="AG124" t="s">
        <v>977</v>
      </c>
      <c r="AH124">
        <v>42</v>
      </c>
      <c r="AI124">
        <v>46216</v>
      </c>
      <c r="AJ124" t="s">
        <v>978</v>
      </c>
      <c r="AK124">
        <v>0</v>
      </c>
      <c r="AL124" t="s">
        <v>978</v>
      </c>
      <c r="AM124" t="s">
        <v>979</v>
      </c>
      <c r="AN124">
        <v>0</v>
      </c>
      <c r="AO124" t="s">
        <v>257</v>
      </c>
      <c r="AP124">
        <v>0</v>
      </c>
      <c r="AQ124">
        <v>1</v>
      </c>
      <c r="AR124">
        <v>43</v>
      </c>
      <c r="AS124">
        <v>1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1</v>
      </c>
      <c r="AZ124" t="s">
        <v>257</v>
      </c>
      <c r="BA124" t="s">
        <v>980</v>
      </c>
      <c r="BB124" t="s">
        <v>981</v>
      </c>
      <c r="BC124" t="s">
        <v>257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 t="s">
        <v>998</v>
      </c>
      <c r="BK124" t="s">
        <v>981</v>
      </c>
      <c r="BL124" t="s">
        <v>1927</v>
      </c>
      <c r="BM124">
        <v>20141008</v>
      </c>
      <c r="BN124">
        <v>20220203</v>
      </c>
      <c r="BO124">
        <v>0</v>
      </c>
      <c r="BP124" t="s">
        <v>257</v>
      </c>
      <c r="BQ124" t="s">
        <v>983</v>
      </c>
      <c r="BR124" t="s">
        <v>978</v>
      </c>
      <c r="BS124" t="s">
        <v>1933</v>
      </c>
      <c r="BT124">
        <v>0</v>
      </c>
      <c r="BU124">
        <v>0</v>
      </c>
      <c r="BV124" t="s">
        <v>984</v>
      </c>
      <c r="BW124" t="s">
        <v>257</v>
      </c>
      <c r="BX124">
        <v>0</v>
      </c>
      <c r="BY124" t="s">
        <v>980</v>
      </c>
      <c r="BZ124" t="s">
        <v>257</v>
      </c>
      <c r="CA124">
        <v>0</v>
      </c>
      <c r="CB124">
        <v>0</v>
      </c>
      <c r="CC124" t="s">
        <v>1934</v>
      </c>
      <c r="CD124">
        <v>0</v>
      </c>
      <c r="CE124">
        <v>0</v>
      </c>
      <c r="CF124">
        <v>0</v>
      </c>
      <c r="CG124">
        <v>0</v>
      </c>
      <c r="CH124">
        <v>0</v>
      </c>
      <c r="CI124" t="s">
        <v>983</v>
      </c>
      <c r="CJ124" t="s">
        <v>972</v>
      </c>
      <c r="CK124" t="s">
        <v>986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 t="s">
        <v>987</v>
      </c>
      <c r="CV124">
        <v>400008125</v>
      </c>
      <c r="CW124" t="s">
        <v>987</v>
      </c>
      <c r="CX124" t="s">
        <v>1935</v>
      </c>
      <c r="CY124" t="s">
        <v>989</v>
      </c>
    </row>
    <row r="125" spans="1:103" hidden="1" x14ac:dyDescent="0.25">
      <c r="A125">
        <v>410000126</v>
      </c>
      <c r="B125" t="s">
        <v>1936</v>
      </c>
      <c r="C125" t="s">
        <v>1937</v>
      </c>
      <c r="D125">
        <v>401100000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 t="s">
        <v>972</v>
      </c>
      <c r="Z125" t="s">
        <v>1938</v>
      </c>
      <c r="AA125" t="s">
        <v>1939</v>
      </c>
      <c r="AB125" t="s">
        <v>975</v>
      </c>
      <c r="AC125">
        <v>4690</v>
      </c>
      <c r="AD125" t="s">
        <v>1420</v>
      </c>
      <c r="AE125" t="s">
        <v>1940</v>
      </c>
      <c r="AF125" t="s">
        <v>979</v>
      </c>
      <c r="AG125" t="s">
        <v>977</v>
      </c>
      <c r="AH125">
        <v>24</v>
      </c>
      <c r="AI125" t="s">
        <v>1894</v>
      </c>
      <c r="AJ125" t="s">
        <v>978</v>
      </c>
      <c r="AK125">
        <v>0</v>
      </c>
      <c r="AL125" t="s">
        <v>978</v>
      </c>
      <c r="AM125" t="s">
        <v>979</v>
      </c>
      <c r="AN125">
        <v>0</v>
      </c>
      <c r="AO125" t="s">
        <v>257</v>
      </c>
      <c r="AP125">
        <v>0</v>
      </c>
      <c r="AQ125">
        <v>1</v>
      </c>
      <c r="AR125">
        <v>43</v>
      </c>
      <c r="AS125">
        <v>1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1</v>
      </c>
      <c r="AZ125" t="s">
        <v>257</v>
      </c>
      <c r="BA125" t="s">
        <v>980</v>
      </c>
      <c r="BB125" t="s">
        <v>981</v>
      </c>
      <c r="BC125" t="s">
        <v>257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 t="s">
        <v>998</v>
      </c>
      <c r="BK125" t="s">
        <v>981</v>
      </c>
      <c r="BL125" t="s">
        <v>1936</v>
      </c>
      <c r="BM125">
        <v>20141008</v>
      </c>
      <c r="BN125">
        <v>20220203</v>
      </c>
      <c r="BO125">
        <v>0</v>
      </c>
      <c r="BP125" t="s">
        <v>257</v>
      </c>
      <c r="BQ125" t="s">
        <v>983</v>
      </c>
      <c r="BR125" t="s">
        <v>978</v>
      </c>
      <c r="BS125" t="s">
        <v>1941</v>
      </c>
      <c r="BT125">
        <v>0</v>
      </c>
      <c r="BU125">
        <v>0</v>
      </c>
      <c r="BV125" t="s">
        <v>984</v>
      </c>
      <c r="BW125" t="s">
        <v>257</v>
      </c>
      <c r="BX125">
        <v>0</v>
      </c>
      <c r="BY125" t="s">
        <v>980</v>
      </c>
      <c r="BZ125" t="s">
        <v>257</v>
      </c>
      <c r="CA125">
        <v>0</v>
      </c>
      <c r="CB125">
        <v>0</v>
      </c>
      <c r="CC125" t="s">
        <v>1317</v>
      </c>
      <c r="CD125">
        <v>0</v>
      </c>
      <c r="CE125">
        <v>0</v>
      </c>
      <c r="CF125">
        <v>0</v>
      </c>
      <c r="CG125">
        <v>0</v>
      </c>
      <c r="CH125">
        <v>0</v>
      </c>
      <c r="CI125" t="s">
        <v>983</v>
      </c>
      <c r="CJ125" t="s">
        <v>972</v>
      </c>
      <c r="CK125" t="s">
        <v>986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 t="s">
        <v>987</v>
      </c>
      <c r="CV125">
        <v>400008126</v>
      </c>
      <c r="CW125" t="s">
        <v>987</v>
      </c>
      <c r="CX125" t="s">
        <v>1942</v>
      </c>
      <c r="CY125" t="s">
        <v>989</v>
      </c>
    </row>
    <row r="126" spans="1:103" hidden="1" x14ac:dyDescent="0.25">
      <c r="A126">
        <v>410000127</v>
      </c>
      <c r="B126" t="s">
        <v>1943</v>
      </c>
      <c r="C126" t="s">
        <v>1944</v>
      </c>
      <c r="D126">
        <v>401100000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1</v>
      </c>
      <c r="Y126" t="s">
        <v>972</v>
      </c>
      <c r="Z126" t="s">
        <v>987</v>
      </c>
      <c r="AA126" t="s">
        <v>1945</v>
      </c>
      <c r="AB126" t="s">
        <v>975</v>
      </c>
      <c r="AC126">
        <v>4460</v>
      </c>
      <c r="AD126" t="s">
        <v>1946</v>
      </c>
      <c r="AE126" t="s">
        <v>1947</v>
      </c>
      <c r="AF126" t="s">
        <v>1947</v>
      </c>
      <c r="AG126" t="s">
        <v>977</v>
      </c>
      <c r="AH126">
        <v>0</v>
      </c>
      <c r="AI126" t="s">
        <v>1894</v>
      </c>
      <c r="AJ126" t="s">
        <v>978</v>
      </c>
      <c r="AK126">
        <v>0</v>
      </c>
      <c r="AL126" t="s">
        <v>978</v>
      </c>
      <c r="AM126" t="s">
        <v>979</v>
      </c>
      <c r="AN126">
        <v>0</v>
      </c>
      <c r="AO126" t="s">
        <v>257</v>
      </c>
      <c r="AP126">
        <v>0</v>
      </c>
      <c r="AQ126">
        <v>1</v>
      </c>
      <c r="AR126">
        <v>43</v>
      </c>
      <c r="AS126">
        <v>1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1</v>
      </c>
      <c r="AZ126" t="s">
        <v>257</v>
      </c>
      <c r="BA126" t="s">
        <v>980</v>
      </c>
      <c r="BB126" t="s">
        <v>981</v>
      </c>
      <c r="BC126" t="s">
        <v>257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 t="s">
        <v>998</v>
      </c>
      <c r="BK126" t="s">
        <v>981</v>
      </c>
      <c r="BL126" t="s">
        <v>1943</v>
      </c>
      <c r="BM126">
        <v>20141008</v>
      </c>
      <c r="BN126">
        <v>20220203</v>
      </c>
      <c r="BO126">
        <v>0</v>
      </c>
      <c r="BP126" t="s">
        <v>257</v>
      </c>
      <c r="BQ126" t="s">
        <v>983</v>
      </c>
      <c r="BR126" t="s">
        <v>978</v>
      </c>
      <c r="BS126" t="s">
        <v>1948</v>
      </c>
      <c r="BT126">
        <v>0</v>
      </c>
      <c r="BU126">
        <v>0</v>
      </c>
      <c r="BV126" t="s">
        <v>1013</v>
      </c>
      <c r="BW126" t="s">
        <v>257</v>
      </c>
      <c r="BX126">
        <v>0</v>
      </c>
      <c r="BY126" t="s">
        <v>980</v>
      </c>
      <c r="BZ126" t="s">
        <v>257</v>
      </c>
      <c r="CA126">
        <v>0</v>
      </c>
      <c r="CB126">
        <v>0</v>
      </c>
      <c r="CC126" t="s">
        <v>1207</v>
      </c>
      <c r="CD126">
        <v>0</v>
      </c>
      <c r="CE126">
        <v>0</v>
      </c>
      <c r="CF126">
        <v>0</v>
      </c>
      <c r="CG126">
        <v>0</v>
      </c>
      <c r="CH126">
        <v>0</v>
      </c>
      <c r="CI126" t="s">
        <v>983</v>
      </c>
      <c r="CJ126" t="s">
        <v>972</v>
      </c>
      <c r="CK126" t="s">
        <v>986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 t="s">
        <v>987</v>
      </c>
      <c r="CV126">
        <v>400008127</v>
      </c>
      <c r="CW126" t="s">
        <v>987</v>
      </c>
      <c r="CX126" t="s">
        <v>1081</v>
      </c>
      <c r="CY126" t="s">
        <v>989</v>
      </c>
    </row>
    <row r="127" spans="1:103" hidden="1" x14ac:dyDescent="0.25">
      <c r="A127">
        <v>410000128</v>
      </c>
      <c r="B127" t="s">
        <v>1949</v>
      </c>
      <c r="C127" t="s">
        <v>1950</v>
      </c>
      <c r="D127">
        <v>401100000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1</v>
      </c>
      <c r="Y127" t="s">
        <v>972</v>
      </c>
      <c r="Z127" t="s">
        <v>987</v>
      </c>
      <c r="AA127" t="s">
        <v>1951</v>
      </c>
      <c r="AB127" t="s">
        <v>975</v>
      </c>
      <c r="AC127">
        <v>4040</v>
      </c>
      <c r="AD127" t="s">
        <v>976</v>
      </c>
      <c r="AE127" t="s">
        <v>1952</v>
      </c>
      <c r="AF127" t="s">
        <v>1953</v>
      </c>
      <c r="AG127" t="s">
        <v>977</v>
      </c>
      <c r="AH127" t="s">
        <v>977</v>
      </c>
      <c r="AI127">
        <v>55100</v>
      </c>
      <c r="AJ127" t="s">
        <v>978</v>
      </c>
      <c r="AK127" t="s">
        <v>978</v>
      </c>
      <c r="AL127" t="s">
        <v>978</v>
      </c>
      <c r="AM127" t="s">
        <v>979</v>
      </c>
      <c r="AN127">
        <v>0</v>
      </c>
      <c r="AO127" t="s">
        <v>257</v>
      </c>
      <c r="AP127">
        <v>0</v>
      </c>
      <c r="AQ127">
        <v>1</v>
      </c>
      <c r="AR127">
        <v>43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1</v>
      </c>
      <c r="AZ127" t="s">
        <v>257</v>
      </c>
      <c r="BA127" t="s">
        <v>980</v>
      </c>
      <c r="BB127" t="s">
        <v>981</v>
      </c>
      <c r="BC127" t="s">
        <v>257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 t="s">
        <v>998</v>
      </c>
      <c r="BK127" t="s">
        <v>981</v>
      </c>
      <c r="BL127" t="s">
        <v>1949</v>
      </c>
      <c r="BM127">
        <v>20141008</v>
      </c>
      <c r="BN127">
        <v>20250604</v>
      </c>
      <c r="BO127">
        <v>0</v>
      </c>
      <c r="BP127" t="s">
        <v>257</v>
      </c>
      <c r="BQ127" t="s">
        <v>983</v>
      </c>
      <c r="BR127" t="s">
        <v>978</v>
      </c>
      <c r="BS127">
        <v>32477883067</v>
      </c>
      <c r="BT127">
        <v>0</v>
      </c>
      <c r="BU127">
        <v>0</v>
      </c>
      <c r="BV127" t="s">
        <v>984</v>
      </c>
      <c r="BW127" t="s">
        <v>257</v>
      </c>
      <c r="BX127">
        <v>0</v>
      </c>
      <c r="BY127" t="s">
        <v>980</v>
      </c>
      <c r="BZ127" t="s">
        <v>257</v>
      </c>
      <c r="CA127">
        <v>0</v>
      </c>
      <c r="CB127">
        <v>0</v>
      </c>
      <c r="CC127" t="s">
        <v>985</v>
      </c>
      <c r="CD127">
        <v>0</v>
      </c>
      <c r="CE127">
        <v>0</v>
      </c>
      <c r="CF127">
        <v>0</v>
      </c>
      <c r="CG127">
        <v>0</v>
      </c>
      <c r="CH127">
        <v>0</v>
      </c>
      <c r="CI127" t="s">
        <v>983</v>
      </c>
      <c r="CJ127" t="s">
        <v>972</v>
      </c>
      <c r="CK127" t="s">
        <v>986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 t="s">
        <v>987</v>
      </c>
      <c r="CV127">
        <v>400008128</v>
      </c>
      <c r="CW127" t="s">
        <v>987</v>
      </c>
      <c r="CX127" t="s">
        <v>1954</v>
      </c>
      <c r="CY127" t="s">
        <v>989</v>
      </c>
    </row>
    <row r="128" spans="1:103" hidden="1" x14ac:dyDescent="0.25">
      <c r="A128">
        <v>410000129</v>
      </c>
      <c r="B128" t="s">
        <v>1955</v>
      </c>
      <c r="C128" t="s">
        <v>1956</v>
      </c>
      <c r="D128">
        <v>401100000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1</v>
      </c>
      <c r="Y128" t="s">
        <v>972</v>
      </c>
      <c r="Z128" t="s">
        <v>987</v>
      </c>
      <c r="AA128" t="s">
        <v>1957</v>
      </c>
      <c r="AB128" t="s">
        <v>975</v>
      </c>
      <c r="AC128">
        <v>7860</v>
      </c>
      <c r="AD128" t="s">
        <v>1958</v>
      </c>
      <c r="AE128" t="s">
        <v>1959</v>
      </c>
      <c r="AF128" t="s">
        <v>1960</v>
      </c>
      <c r="AG128" t="s">
        <v>977</v>
      </c>
      <c r="AH128">
        <v>0</v>
      </c>
      <c r="AI128">
        <v>46460</v>
      </c>
      <c r="AJ128" t="s">
        <v>1961</v>
      </c>
      <c r="AK128">
        <v>100</v>
      </c>
      <c r="AL128" t="s">
        <v>978</v>
      </c>
      <c r="AM128" t="s">
        <v>979</v>
      </c>
      <c r="AN128">
        <v>0</v>
      </c>
      <c r="AO128" t="s">
        <v>257</v>
      </c>
      <c r="AP128">
        <v>0</v>
      </c>
      <c r="AQ128">
        <v>1</v>
      </c>
      <c r="AR128">
        <v>43</v>
      </c>
      <c r="AS128">
        <v>1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1</v>
      </c>
      <c r="AZ128" t="s">
        <v>257</v>
      </c>
      <c r="BA128" t="s">
        <v>980</v>
      </c>
      <c r="BB128" t="s">
        <v>981</v>
      </c>
      <c r="BC128" t="s">
        <v>257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 t="s">
        <v>998</v>
      </c>
      <c r="BK128" t="s">
        <v>981</v>
      </c>
      <c r="BL128" t="s">
        <v>1955</v>
      </c>
      <c r="BM128">
        <v>20141008</v>
      </c>
      <c r="BN128">
        <v>20220203</v>
      </c>
      <c r="BO128">
        <v>0</v>
      </c>
      <c r="BP128" t="s">
        <v>257</v>
      </c>
      <c r="BQ128" t="s">
        <v>983</v>
      </c>
      <c r="BR128" t="s">
        <v>978</v>
      </c>
      <c r="BS128" t="s">
        <v>1962</v>
      </c>
      <c r="BT128">
        <v>0</v>
      </c>
      <c r="BU128">
        <v>0</v>
      </c>
      <c r="BV128" t="s">
        <v>1013</v>
      </c>
      <c r="BW128" t="s">
        <v>257</v>
      </c>
      <c r="BX128">
        <v>0</v>
      </c>
      <c r="BY128" t="s">
        <v>980</v>
      </c>
      <c r="BZ128" t="s">
        <v>257</v>
      </c>
      <c r="CA128">
        <v>0</v>
      </c>
      <c r="CB128">
        <v>0</v>
      </c>
      <c r="CC128" t="s">
        <v>1963</v>
      </c>
      <c r="CD128">
        <v>0</v>
      </c>
      <c r="CE128">
        <v>0</v>
      </c>
      <c r="CF128">
        <v>0</v>
      </c>
      <c r="CG128">
        <v>0</v>
      </c>
      <c r="CH128">
        <v>0</v>
      </c>
      <c r="CI128" t="s">
        <v>983</v>
      </c>
      <c r="CJ128" t="s">
        <v>972</v>
      </c>
      <c r="CK128" t="s">
        <v>986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 t="s">
        <v>987</v>
      </c>
      <c r="CV128">
        <v>400008129</v>
      </c>
      <c r="CW128" t="s">
        <v>987</v>
      </c>
      <c r="CX128" t="s">
        <v>1081</v>
      </c>
      <c r="CY128" t="s">
        <v>989</v>
      </c>
    </row>
    <row r="129" spans="1:103" hidden="1" x14ac:dyDescent="0.25">
      <c r="A129">
        <v>410000130</v>
      </c>
      <c r="B129" t="s">
        <v>1964</v>
      </c>
      <c r="C129" t="s">
        <v>1965</v>
      </c>
      <c r="D129">
        <v>401100000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1</v>
      </c>
      <c r="Y129" t="s">
        <v>972</v>
      </c>
      <c r="Z129" t="s">
        <v>987</v>
      </c>
      <c r="AA129" t="s">
        <v>1966</v>
      </c>
      <c r="AB129" t="s">
        <v>975</v>
      </c>
      <c r="AC129">
        <v>5380</v>
      </c>
      <c r="AD129" t="s">
        <v>1967</v>
      </c>
      <c r="AE129" t="s">
        <v>1968</v>
      </c>
      <c r="AF129" t="s">
        <v>979</v>
      </c>
      <c r="AG129" t="s">
        <v>977</v>
      </c>
      <c r="AH129">
        <v>44</v>
      </c>
      <c r="AI129">
        <v>46460</v>
      </c>
      <c r="AJ129" t="s">
        <v>978</v>
      </c>
      <c r="AK129">
        <v>0</v>
      </c>
      <c r="AL129" t="s">
        <v>978</v>
      </c>
      <c r="AM129" t="s">
        <v>979</v>
      </c>
      <c r="AN129">
        <v>0</v>
      </c>
      <c r="AO129" t="s">
        <v>257</v>
      </c>
      <c r="AP129">
        <v>0</v>
      </c>
      <c r="AQ129">
        <v>1</v>
      </c>
      <c r="AR129">
        <v>43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1</v>
      </c>
      <c r="AZ129" t="s">
        <v>257</v>
      </c>
      <c r="BA129" t="s">
        <v>980</v>
      </c>
      <c r="BB129" t="s">
        <v>981</v>
      </c>
      <c r="BC129" t="s">
        <v>257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 t="s">
        <v>998</v>
      </c>
      <c r="BK129" t="s">
        <v>981</v>
      </c>
      <c r="BL129" t="s">
        <v>1964</v>
      </c>
      <c r="BM129">
        <v>20141008</v>
      </c>
      <c r="BN129">
        <v>20220203</v>
      </c>
      <c r="BO129">
        <v>0</v>
      </c>
      <c r="BP129" t="s">
        <v>257</v>
      </c>
      <c r="BQ129" t="s">
        <v>983</v>
      </c>
      <c r="BR129" t="s">
        <v>978</v>
      </c>
      <c r="BS129" t="s">
        <v>979</v>
      </c>
      <c r="BT129">
        <v>0</v>
      </c>
      <c r="BU129">
        <v>0</v>
      </c>
      <c r="BV129" t="s">
        <v>1013</v>
      </c>
      <c r="BW129" t="s">
        <v>257</v>
      </c>
      <c r="BX129">
        <v>0</v>
      </c>
      <c r="BY129" t="s">
        <v>980</v>
      </c>
      <c r="BZ129" t="s">
        <v>257</v>
      </c>
      <c r="CA129">
        <v>0</v>
      </c>
      <c r="CB129">
        <v>0</v>
      </c>
      <c r="CC129" t="s">
        <v>1808</v>
      </c>
      <c r="CD129">
        <v>0</v>
      </c>
      <c r="CE129">
        <v>0</v>
      </c>
      <c r="CF129">
        <v>0</v>
      </c>
      <c r="CG129">
        <v>0</v>
      </c>
      <c r="CH129">
        <v>0</v>
      </c>
      <c r="CI129" t="s">
        <v>983</v>
      </c>
      <c r="CJ129" t="s">
        <v>972</v>
      </c>
      <c r="CK129" t="s">
        <v>986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 t="s">
        <v>987</v>
      </c>
      <c r="CV129">
        <v>400008130</v>
      </c>
      <c r="CW129" t="s">
        <v>987</v>
      </c>
      <c r="CX129" t="s">
        <v>1081</v>
      </c>
      <c r="CY129" t="s">
        <v>989</v>
      </c>
    </row>
    <row r="130" spans="1:103" hidden="1" x14ac:dyDescent="0.25">
      <c r="A130">
        <v>410000131</v>
      </c>
      <c r="B130" t="s">
        <v>1969</v>
      </c>
      <c r="C130" t="s">
        <v>978</v>
      </c>
      <c r="D130">
        <v>401100000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1</v>
      </c>
      <c r="X130">
        <v>1</v>
      </c>
      <c r="Y130" t="s">
        <v>1970</v>
      </c>
      <c r="Z130" t="s">
        <v>987</v>
      </c>
      <c r="AA130" t="s">
        <v>1971</v>
      </c>
      <c r="AB130" t="s">
        <v>975</v>
      </c>
      <c r="AC130">
        <v>4000</v>
      </c>
      <c r="AD130" t="s">
        <v>1698</v>
      </c>
      <c r="AE130" t="s">
        <v>1972</v>
      </c>
      <c r="AF130" t="s">
        <v>1973</v>
      </c>
      <c r="AG130" t="s">
        <v>977</v>
      </c>
      <c r="AH130">
        <v>0</v>
      </c>
      <c r="AI130">
        <v>88999</v>
      </c>
      <c r="AJ130" t="s">
        <v>978</v>
      </c>
      <c r="AK130">
        <v>0</v>
      </c>
      <c r="AL130" t="s">
        <v>978</v>
      </c>
      <c r="AM130" t="s">
        <v>979</v>
      </c>
      <c r="AN130">
        <v>0</v>
      </c>
      <c r="AO130" t="s">
        <v>257</v>
      </c>
      <c r="AP130">
        <v>0</v>
      </c>
      <c r="AQ130">
        <v>1</v>
      </c>
      <c r="AR130">
        <v>43</v>
      </c>
      <c r="AS130">
        <v>1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1</v>
      </c>
      <c r="AZ130" t="s">
        <v>257</v>
      </c>
      <c r="BA130" t="s">
        <v>980</v>
      </c>
      <c r="BB130" t="s">
        <v>981</v>
      </c>
      <c r="BC130" t="s">
        <v>257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 t="s">
        <v>998</v>
      </c>
      <c r="BK130" t="s">
        <v>981</v>
      </c>
      <c r="BL130" t="s">
        <v>1969</v>
      </c>
      <c r="BM130">
        <v>20141008</v>
      </c>
      <c r="BN130">
        <v>20210624</v>
      </c>
      <c r="BO130">
        <v>0</v>
      </c>
      <c r="BP130" t="s">
        <v>257</v>
      </c>
      <c r="BQ130" t="s">
        <v>983</v>
      </c>
      <c r="BR130" t="s">
        <v>978</v>
      </c>
      <c r="BS130" t="s">
        <v>979</v>
      </c>
      <c r="BT130">
        <v>0</v>
      </c>
      <c r="BU130">
        <v>0</v>
      </c>
      <c r="BV130" t="s">
        <v>1013</v>
      </c>
      <c r="BW130" t="s">
        <v>257</v>
      </c>
      <c r="BX130">
        <v>0</v>
      </c>
      <c r="BY130" t="s">
        <v>980</v>
      </c>
      <c r="BZ130" t="s">
        <v>257</v>
      </c>
      <c r="CA130">
        <v>0</v>
      </c>
      <c r="CB130">
        <v>0</v>
      </c>
      <c r="CC130" t="s">
        <v>1848</v>
      </c>
      <c r="CD130">
        <v>0</v>
      </c>
      <c r="CE130">
        <v>0</v>
      </c>
      <c r="CF130">
        <v>0</v>
      </c>
      <c r="CG130">
        <v>0</v>
      </c>
      <c r="CH130">
        <v>0</v>
      </c>
      <c r="CI130" t="s">
        <v>983</v>
      </c>
      <c r="CJ130" t="s">
        <v>972</v>
      </c>
      <c r="CK130" t="s">
        <v>986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 t="s">
        <v>987</v>
      </c>
      <c r="CV130">
        <v>400008131</v>
      </c>
      <c r="CW130" t="s">
        <v>987</v>
      </c>
      <c r="CX130" t="s">
        <v>1081</v>
      </c>
      <c r="CY130" t="s">
        <v>989</v>
      </c>
    </row>
    <row r="131" spans="1:103" hidden="1" x14ac:dyDescent="0.25">
      <c r="A131">
        <v>410000132</v>
      </c>
      <c r="B131" t="s">
        <v>1974</v>
      </c>
      <c r="C131" t="s">
        <v>1975</v>
      </c>
      <c r="D131">
        <v>401100000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1</v>
      </c>
      <c r="Y131" t="s">
        <v>972</v>
      </c>
      <c r="Z131" t="s">
        <v>1976</v>
      </c>
      <c r="AA131" t="s">
        <v>1977</v>
      </c>
      <c r="AB131" t="s">
        <v>975</v>
      </c>
      <c r="AC131">
        <v>1435</v>
      </c>
      <c r="AD131" t="s">
        <v>1978</v>
      </c>
      <c r="AE131" t="s">
        <v>979</v>
      </c>
      <c r="AF131" t="s">
        <v>979</v>
      </c>
      <c r="AG131" t="s">
        <v>977</v>
      </c>
      <c r="AH131">
        <v>60</v>
      </c>
      <c r="AI131">
        <v>77330</v>
      </c>
      <c r="AJ131" t="s">
        <v>978</v>
      </c>
      <c r="AK131">
        <v>0</v>
      </c>
      <c r="AL131" t="s">
        <v>978</v>
      </c>
      <c r="AM131" t="s">
        <v>979</v>
      </c>
      <c r="AN131">
        <v>0</v>
      </c>
      <c r="AO131" t="s">
        <v>257</v>
      </c>
      <c r="AP131">
        <v>0</v>
      </c>
      <c r="AQ131">
        <v>1</v>
      </c>
      <c r="AR131">
        <v>43</v>
      </c>
      <c r="AS131">
        <v>1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1</v>
      </c>
      <c r="AZ131" t="s">
        <v>257</v>
      </c>
      <c r="BA131" t="s">
        <v>980</v>
      </c>
      <c r="BB131" t="s">
        <v>981</v>
      </c>
      <c r="BC131" t="s">
        <v>257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 t="s">
        <v>998</v>
      </c>
      <c r="BK131" t="s">
        <v>981</v>
      </c>
      <c r="BL131" t="s">
        <v>1974</v>
      </c>
      <c r="BM131">
        <v>20141008</v>
      </c>
      <c r="BN131">
        <v>20240506</v>
      </c>
      <c r="BO131">
        <v>0</v>
      </c>
      <c r="BP131" t="s">
        <v>257</v>
      </c>
      <c r="BQ131" t="s">
        <v>983</v>
      </c>
      <c r="BR131" t="s">
        <v>978</v>
      </c>
      <c r="BS131" t="s">
        <v>979</v>
      </c>
      <c r="BT131">
        <v>0</v>
      </c>
      <c r="BU131">
        <v>0</v>
      </c>
      <c r="BV131" t="s">
        <v>984</v>
      </c>
      <c r="BW131" t="s">
        <v>257</v>
      </c>
      <c r="BX131">
        <v>0</v>
      </c>
      <c r="BY131" t="s">
        <v>980</v>
      </c>
      <c r="BZ131" t="s">
        <v>257</v>
      </c>
      <c r="CA131">
        <v>0</v>
      </c>
      <c r="CB131">
        <v>0</v>
      </c>
      <c r="CC131" t="s">
        <v>985</v>
      </c>
      <c r="CD131">
        <v>0</v>
      </c>
      <c r="CE131">
        <v>0</v>
      </c>
      <c r="CF131">
        <v>0</v>
      </c>
      <c r="CG131">
        <v>0</v>
      </c>
      <c r="CH131">
        <v>0</v>
      </c>
      <c r="CI131" t="s">
        <v>983</v>
      </c>
      <c r="CJ131" t="s">
        <v>972</v>
      </c>
      <c r="CK131" t="s">
        <v>986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 t="s">
        <v>987</v>
      </c>
      <c r="CV131">
        <v>400008132</v>
      </c>
      <c r="CW131" t="s">
        <v>987</v>
      </c>
      <c r="CX131" t="s">
        <v>1979</v>
      </c>
      <c r="CY131" t="s">
        <v>989</v>
      </c>
    </row>
    <row r="132" spans="1:103" hidden="1" x14ac:dyDescent="0.25">
      <c r="A132">
        <v>410000133</v>
      </c>
      <c r="B132" t="s">
        <v>1980</v>
      </c>
      <c r="C132" t="s">
        <v>1981</v>
      </c>
      <c r="D132">
        <v>401100000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 t="s">
        <v>972</v>
      </c>
      <c r="Z132" t="s">
        <v>987</v>
      </c>
      <c r="AA132" t="s">
        <v>1982</v>
      </c>
      <c r="AB132" t="s">
        <v>975</v>
      </c>
      <c r="AC132">
        <v>4460</v>
      </c>
      <c r="AD132" t="s">
        <v>1269</v>
      </c>
      <c r="AE132" t="s">
        <v>1983</v>
      </c>
      <c r="AF132" t="s">
        <v>1984</v>
      </c>
      <c r="AG132" t="s">
        <v>977</v>
      </c>
      <c r="AH132">
        <v>0</v>
      </c>
      <c r="AI132" t="s">
        <v>1894</v>
      </c>
      <c r="AJ132" t="s">
        <v>978</v>
      </c>
      <c r="AK132">
        <v>0</v>
      </c>
      <c r="AL132" t="s">
        <v>978</v>
      </c>
      <c r="AM132" t="s">
        <v>979</v>
      </c>
      <c r="AN132">
        <v>0</v>
      </c>
      <c r="AO132" t="s">
        <v>257</v>
      </c>
      <c r="AP132">
        <v>0</v>
      </c>
      <c r="AQ132">
        <v>1</v>
      </c>
      <c r="AR132">
        <v>43</v>
      </c>
      <c r="AS132">
        <v>1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1</v>
      </c>
      <c r="AZ132" t="s">
        <v>257</v>
      </c>
      <c r="BA132" t="s">
        <v>980</v>
      </c>
      <c r="BB132" t="s">
        <v>981</v>
      </c>
      <c r="BC132" t="s">
        <v>257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 t="s">
        <v>998</v>
      </c>
      <c r="BK132" t="s">
        <v>981</v>
      </c>
      <c r="BL132" t="s">
        <v>1980</v>
      </c>
      <c r="BM132">
        <v>20141008</v>
      </c>
      <c r="BN132">
        <v>20220203</v>
      </c>
      <c r="BO132">
        <v>0</v>
      </c>
      <c r="BP132" t="s">
        <v>257</v>
      </c>
      <c r="BQ132" t="s">
        <v>983</v>
      </c>
      <c r="BR132" t="s">
        <v>978</v>
      </c>
      <c r="BS132" t="s">
        <v>979</v>
      </c>
      <c r="BT132">
        <v>0</v>
      </c>
      <c r="BU132">
        <v>0</v>
      </c>
      <c r="BV132" t="s">
        <v>1013</v>
      </c>
      <c r="BW132" t="s">
        <v>257</v>
      </c>
      <c r="BX132">
        <v>0</v>
      </c>
      <c r="BY132" t="s">
        <v>980</v>
      </c>
      <c r="BZ132" t="s">
        <v>257</v>
      </c>
      <c r="CA132">
        <v>0</v>
      </c>
      <c r="CB132">
        <v>0</v>
      </c>
      <c r="CC132" t="s">
        <v>1220</v>
      </c>
      <c r="CD132">
        <v>0</v>
      </c>
      <c r="CE132">
        <v>0</v>
      </c>
      <c r="CF132">
        <v>0</v>
      </c>
      <c r="CG132">
        <v>0</v>
      </c>
      <c r="CH132">
        <v>0</v>
      </c>
      <c r="CI132" t="s">
        <v>983</v>
      </c>
      <c r="CJ132" t="s">
        <v>972</v>
      </c>
      <c r="CK132" t="s">
        <v>986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 t="s">
        <v>987</v>
      </c>
      <c r="CV132">
        <v>400008133</v>
      </c>
      <c r="CW132" t="s">
        <v>987</v>
      </c>
      <c r="CX132" t="s">
        <v>1081</v>
      </c>
      <c r="CY132" t="s">
        <v>989</v>
      </c>
    </row>
    <row r="133" spans="1:103" hidden="1" x14ac:dyDescent="0.25">
      <c r="A133">
        <v>410000134</v>
      </c>
      <c r="B133" t="s">
        <v>1985</v>
      </c>
      <c r="C133" t="s">
        <v>1986</v>
      </c>
      <c r="D133">
        <v>401100000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1</v>
      </c>
      <c r="Y133" t="s">
        <v>972</v>
      </c>
      <c r="Z133" t="s">
        <v>987</v>
      </c>
      <c r="AA133" t="s">
        <v>1987</v>
      </c>
      <c r="AB133" t="s">
        <v>975</v>
      </c>
      <c r="AC133">
        <v>4042</v>
      </c>
      <c r="AD133" t="s">
        <v>1988</v>
      </c>
      <c r="AE133" t="s">
        <v>1989</v>
      </c>
      <c r="AF133" t="s">
        <v>1990</v>
      </c>
      <c r="AG133" t="s">
        <v>1991</v>
      </c>
      <c r="AH133">
        <v>10</v>
      </c>
      <c r="AI133">
        <v>45201</v>
      </c>
      <c r="AJ133" t="s">
        <v>978</v>
      </c>
      <c r="AK133">
        <v>0</v>
      </c>
      <c r="AL133" t="s">
        <v>978</v>
      </c>
      <c r="AM133" t="s">
        <v>979</v>
      </c>
      <c r="AN133">
        <v>0</v>
      </c>
      <c r="AO133" t="s">
        <v>257</v>
      </c>
      <c r="AP133">
        <v>0</v>
      </c>
      <c r="AQ133">
        <v>1</v>
      </c>
      <c r="AR133">
        <v>43</v>
      </c>
      <c r="AS133">
        <v>1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1</v>
      </c>
      <c r="AZ133" t="s">
        <v>257</v>
      </c>
      <c r="BA133" t="s">
        <v>980</v>
      </c>
      <c r="BB133" t="s">
        <v>981</v>
      </c>
      <c r="BC133" t="s">
        <v>257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 t="s">
        <v>998</v>
      </c>
      <c r="BK133" t="s">
        <v>981</v>
      </c>
      <c r="BL133" t="s">
        <v>1985</v>
      </c>
      <c r="BM133">
        <v>20141008</v>
      </c>
      <c r="BN133">
        <v>20240304</v>
      </c>
      <c r="BO133">
        <v>0</v>
      </c>
      <c r="BP133" t="s">
        <v>257</v>
      </c>
      <c r="BQ133" t="s">
        <v>983</v>
      </c>
      <c r="BR133" t="s">
        <v>978</v>
      </c>
      <c r="BS133">
        <v>32495504137</v>
      </c>
      <c r="BT133">
        <v>0</v>
      </c>
      <c r="BU133">
        <v>0</v>
      </c>
      <c r="BV133" t="s">
        <v>984</v>
      </c>
      <c r="BW133" t="s">
        <v>257</v>
      </c>
      <c r="BX133">
        <v>0</v>
      </c>
      <c r="BY133" t="s">
        <v>980</v>
      </c>
      <c r="BZ133" t="s">
        <v>257</v>
      </c>
      <c r="CA133">
        <v>0</v>
      </c>
      <c r="CB133">
        <v>0</v>
      </c>
      <c r="CC133" t="s">
        <v>1507</v>
      </c>
      <c r="CD133">
        <v>0</v>
      </c>
      <c r="CE133">
        <v>0</v>
      </c>
      <c r="CF133">
        <v>0</v>
      </c>
      <c r="CG133">
        <v>0</v>
      </c>
      <c r="CH133">
        <v>0</v>
      </c>
      <c r="CI133" t="s">
        <v>983</v>
      </c>
      <c r="CJ133" t="s">
        <v>972</v>
      </c>
      <c r="CK133" t="s">
        <v>986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 t="s">
        <v>987</v>
      </c>
      <c r="CV133">
        <v>400008134</v>
      </c>
      <c r="CW133" t="s">
        <v>987</v>
      </c>
      <c r="CX133" t="s">
        <v>1992</v>
      </c>
      <c r="CY133" t="s">
        <v>989</v>
      </c>
    </row>
    <row r="134" spans="1:103" hidden="1" x14ac:dyDescent="0.25">
      <c r="A134">
        <v>410000135</v>
      </c>
      <c r="B134" t="s">
        <v>1993</v>
      </c>
      <c r="C134" t="s">
        <v>1994</v>
      </c>
      <c r="D134">
        <v>401100000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1</v>
      </c>
      <c r="Y134" t="s">
        <v>972</v>
      </c>
      <c r="Z134" t="s">
        <v>1995</v>
      </c>
      <c r="AA134" t="s">
        <v>1996</v>
      </c>
      <c r="AB134" t="s">
        <v>975</v>
      </c>
      <c r="AC134">
        <v>4690</v>
      </c>
      <c r="AD134" t="s">
        <v>1420</v>
      </c>
      <c r="AE134" t="s">
        <v>1997</v>
      </c>
      <c r="AF134" t="s">
        <v>1998</v>
      </c>
      <c r="AG134" t="s">
        <v>977</v>
      </c>
      <c r="AH134">
        <v>30</v>
      </c>
      <c r="AI134">
        <v>46211</v>
      </c>
      <c r="AJ134" t="s">
        <v>978</v>
      </c>
      <c r="AK134">
        <v>0</v>
      </c>
      <c r="AL134" t="s">
        <v>978</v>
      </c>
      <c r="AM134" t="s">
        <v>979</v>
      </c>
      <c r="AN134">
        <v>0</v>
      </c>
      <c r="AO134" t="s">
        <v>257</v>
      </c>
      <c r="AP134">
        <v>0</v>
      </c>
      <c r="AQ134">
        <v>1</v>
      </c>
      <c r="AR134">
        <v>43</v>
      </c>
      <c r="AS134">
        <v>1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1</v>
      </c>
      <c r="AZ134" t="s">
        <v>257</v>
      </c>
      <c r="BA134" t="s">
        <v>980</v>
      </c>
      <c r="BB134" t="s">
        <v>1010</v>
      </c>
      <c r="BC134" t="s">
        <v>257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 t="s">
        <v>998</v>
      </c>
      <c r="BK134" t="s">
        <v>981</v>
      </c>
      <c r="BL134" t="s">
        <v>1993</v>
      </c>
      <c r="BM134">
        <v>20141008</v>
      </c>
      <c r="BN134">
        <v>20220203</v>
      </c>
      <c r="BO134">
        <v>20200220</v>
      </c>
      <c r="BP134" t="s">
        <v>257</v>
      </c>
      <c r="BQ134" t="s">
        <v>983</v>
      </c>
      <c r="BR134" t="s">
        <v>978</v>
      </c>
      <c r="BS134" t="s">
        <v>1999</v>
      </c>
      <c r="BT134">
        <v>0</v>
      </c>
      <c r="BU134">
        <v>0</v>
      </c>
      <c r="BV134" t="s">
        <v>1013</v>
      </c>
      <c r="BW134" t="s">
        <v>257</v>
      </c>
      <c r="BX134">
        <v>0</v>
      </c>
      <c r="BY134" t="s">
        <v>980</v>
      </c>
      <c r="BZ134" t="s">
        <v>257</v>
      </c>
      <c r="CA134">
        <v>0</v>
      </c>
      <c r="CB134">
        <v>0</v>
      </c>
      <c r="CC134" t="s">
        <v>2000</v>
      </c>
      <c r="CD134">
        <v>0</v>
      </c>
      <c r="CE134">
        <v>0</v>
      </c>
      <c r="CF134">
        <v>0</v>
      </c>
      <c r="CG134">
        <v>0</v>
      </c>
      <c r="CH134">
        <v>0</v>
      </c>
      <c r="CI134" t="s">
        <v>983</v>
      </c>
      <c r="CJ134" t="s">
        <v>972</v>
      </c>
      <c r="CK134" t="s">
        <v>986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 t="s">
        <v>987</v>
      </c>
      <c r="CV134">
        <v>400008135</v>
      </c>
      <c r="CW134" t="s">
        <v>987</v>
      </c>
      <c r="CX134" t="s">
        <v>2001</v>
      </c>
      <c r="CY134" t="s">
        <v>989</v>
      </c>
    </row>
    <row r="135" spans="1:103" hidden="1" x14ac:dyDescent="0.25">
      <c r="A135">
        <v>410000136</v>
      </c>
      <c r="B135" t="s">
        <v>2002</v>
      </c>
      <c r="C135" t="s">
        <v>2003</v>
      </c>
      <c r="D135">
        <v>401100000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1</v>
      </c>
      <c r="Y135" t="s">
        <v>972</v>
      </c>
      <c r="Z135" t="s">
        <v>987</v>
      </c>
      <c r="AA135" t="s">
        <v>2004</v>
      </c>
      <c r="AB135" t="s">
        <v>975</v>
      </c>
      <c r="AC135">
        <v>4460</v>
      </c>
      <c r="AD135" t="s">
        <v>1269</v>
      </c>
      <c r="AE135" t="s">
        <v>2005</v>
      </c>
      <c r="AF135" t="s">
        <v>2006</v>
      </c>
      <c r="AG135" t="s">
        <v>977</v>
      </c>
      <c r="AH135">
        <v>20</v>
      </c>
      <c r="AI135">
        <v>62020</v>
      </c>
      <c r="AJ135" t="s">
        <v>2007</v>
      </c>
      <c r="AK135">
        <v>0</v>
      </c>
      <c r="AL135" t="s">
        <v>978</v>
      </c>
      <c r="AM135" t="s">
        <v>979</v>
      </c>
      <c r="AN135">
        <v>0</v>
      </c>
      <c r="AO135" t="s">
        <v>257</v>
      </c>
      <c r="AP135">
        <v>0</v>
      </c>
      <c r="AQ135">
        <v>1</v>
      </c>
      <c r="AR135">
        <v>43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1</v>
      </c>
      <c r="AZ135" t="s">
        <v>257</v>
      </c>
      <c r="BA135" t="s">
        <v>980</v>
      </c>
      <c r="BB135" t="s">
        <v>981</v>
      </c>
      <c r="BC135" t="s">
        <v>257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 t="s">
        <v>998</v>
      </c>
      <c r="BK135" t="s">
        <v>981</v>
      </c>
      <c r="BL135" t="s">
        <v>2002</v>
      </c>
      <c r="BM135">
        <v>20141008</v>
      </c>
      <c r="BN135">
        <v>20220203</v>
      </c>
      <c r="BO135">
        <v>0</v>
      </c>
      <c r="BP135" t="s">
        <v>257</v>
      </c>
      <c r="BQ135" t="s">
        <v>983</v>
      </c>
      <c r="BR135" t="s">
        <v>978</v>
      </c>
      <c r="BS135" t="s">
        <v>979</v>
      </c>
      <c r="BT135">
        <v>0</v>
      </c>
      <c r="BU135">
        <v>0</v>
      </c>
      <c r="BV135" t="s">
        <v>1013</v>
      </c>
      <c r="BW135" t="s">
        <v>257</v>
      </c>
      <c r="BX135">
        <v>0</v>
      </c>
      <c r="BY135" t="s">
        <v>980</v>
      </c>
      <c r="BZ135" t="s">
        <v>257</v>
      </c>
      <c r="CA135">
        <v>0</v>
      </c>
      <c r="CB135">
        <v>0</v>
      </c>
      <c r="CC135" t="s">
        <v>1308</v>
      </c>
      <c r="CD135">
        <v>0</v>
      </c>
      <c r="CE135">
        <v>0</v>
      </c>
      <c r="CF135">
        <v>0</v>
      </c>
      <c r="CG135">
        <v>0</v>
      </c>
      <c r="CH135">
        <v>0</v>
      </c>
      <c r="CI135" t="s">
        <v>983</v>
      </c>
      <c r="CJ135" t="s">
        <v>972</v>
      </c>
      <c r="CK135" t="s">
        <v>986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 t="s">
        <v>987</v>
      </c>
      <c r="CV135">
        <v>400008136</v>
      </c>
      <c r="CW135" t="s">
        <v>987</v>
      </c>
      <c r="CX135" t="s">
        <v>1081</v>
      </c>
      <c r="CY135" t="s">
        <v>989</v>
      </c>
    </row>
    <row r="136" spans="1:103" hidden="1" x14ac:dyDescent="0.25">
      <c r="A136">
        <v>410000137</v>
      </c>
      <c r="B136" t="s">
        <v>2008</v>
      </c>
      <c r="C136" t="s">
        <v>2009</v>
      </c>
      <c r="D136">
        <v>401100000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1</v>
      </c>
      <c r="Y136" t="s">
        <v>2010</v>
      </c>
      <c r="Z136" t="s">
        <v>987</v>
      </c>
      <c r="AA136" t="s">
        <v>2011</v>
      </c>
      <c r="AB136" t="s">
        <v>975</v>
      </c>
      <c r="AC136">
        <v>4460</v>
      </c>
      <c r="AD136" t="s">
        <v>1269</v>
      </c>
      <c r="AE136" t="s">
        <v>2005</v>
      </c>
      <c r="AF136" t="s">
        <v>2006</v>
      </c>
      <c r="AG136" t="s">
        <v>977</v>
      </c>
      <c r="AH136">
        <v>68</v>
      </c>
      <c r="AI136">
        <v>62020</v>
      </c>
      <c r="AJ136" t="s">
        <v>2007</v>
      </c>
      <c r="AK136">
        <v>0</v>
      </c>
      <c r="AL136" t="s">
        <v>978</v>
      </c>
      <c r="AM136" t="s">
        <v>979</v>
      </c>
      <c r="AN136">
        <v>0</v>
      </c>
      <c r="AO136" t="s">
        <v>257</v>
      </c>
      <c r="AP136">
        <v>0</v>
      </c>
      <c r="AQ136">
        <v>1</v>
      </c>
      <c r="AR136">
        <v>43</v>
      </c>
      <c r="AS136">
        <v>1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1</v>
      </c>
      <c r="AZ136" t="s">
        <v>257</v>
      </c>
      <c r="BA136" t="s">
        <v>980</v>
      </c>
      <c r="BB136" t="s">
        <v>981</v>
      </c>
      <c r="BC136" t="s">
        <v>257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 t="s">
        <v>998</v>
      </c>
      <c r="BK136" t="s">
        <v>981</v>
      </c>
      <c r="BL136" t="s">
        <v>2008</v>
      </c>
      <c r="BM136">
        <v>20141008</v>
      </c>
      <c r="BN136">
        <v>20220203</v>
      </c>
      <c r="BO136">
        <v>0</v>
      </c>
      <c r="BP136" t="s">
        <v>257</v>
      </c>
      <c r="BQ136" t="s">
        <v>983</v>
      </c>
      <c r="BR136" t="s">
        <v>978</v>
      </c>
      <c r="BS136" t="s">
        <v>979</v>
      </c>
      <c r="BT136">
        <v>0</v>
      </c>
      <c r="BU136">
        <v>0</v>
      </c>
      <c r="BV136" t="s">
        <v>1013</v>
      </c>
      <c r="BW136" t="s">
        <v>257</v>
      </c>
      <c r="BX136">
        <v>0</v>
      </c>
      <c r="BY136" t="s">
        <v>980</v>
      </c>
      <c r="BZ136" t="s">
        <v>257</v>
      </c>
      <c r="CA136">
        <v>0</v>
      </c>
      <c r="CB136">
        <v>0</v>
      </c>
      <c r="CC136" t="s">
        <v>1308</v>
      </c>
      <c r="CD136">
        <v>0</v>
      </c>
      <c r="CE136">
        <v>0</v>
      </c>
      <c r="CF136">
        <v>0</v>
      </c>
      <c r="CG136">
        <v>0</v>
      </c>
      <c r="CH136">
        <v>0</v>
      </c>
      <c r="CI136" t="s">
        <v>983</v>
      </c>
      <c r="CJ136" t="s">
        <v>972</v>
      </c>
      <c r="CK136" t="s">
        <v>986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 t="s">
        <v>987</v>
      </c>
      <c r="CV136">
        <v>400008137</v>
      </c>
      <c r="CW136" t="s">
        <v>987</v>
      </c>
      <c r="CX136" t="s">
        <v>1081</v>
      </c>
      <c r="CY136" t="s">
        <v>989</v>
      </c>
    </row>
    <row r="137" spans="1:103" hidden="1" x14ac:dyDescent="0.25">
      <c r="A137">
        <v>410000138</v>
      </c>
      <c r="B137" t="s">
        <v>2012</v>
      </c>
      <c r="C137" t="s">
        <v>2013</v>
      </c>
      <c r="D137">
        <v>401100000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1</v>
      </c>
      <c r="Y137" t="s">
        <v>972</v>
      </c>
      <c r="Z137" t="s">
        <v>987</v>
      </c>
      <c r="AA137" t="s">
        <v>2014</v>
      </c>
      <c r="AB137" t="s">
        <v>975</v>
      </c>
      <c r="AC137">
        <v>4520</v>
      </c>
      <c r="AD137" t="s">
        <v>1132</v>
      </c>
      <c r="AE137" t="s">
        <v>2015</v>
      </c>
      <c r="AF137" t="s">
        <v>2016</v>
      </c>
      <c r="AG137" t="s">
        <v>977</v>
      </c>
      <c r="AH137">
        <v>70</v>
      </c>
      <c r="AI137">
        <v>10110</v>
      </c>
      <c r="AJ137" t="s">
        <v>978</v>
      </c>
      <c r="AK137">
        <v>0</v>
      </c>
      <c r="AL137" t="s">
        <v>978</v>
      </c>
      <c r="AM137" t="s">
        <v>979</v>
      </c>
      <c r="AN137">
        <v>0</v>
      </c>
      <c r="AO137" t="s">
        <v>257</v>
      </c>
      <c r="AP137">
        <v>0</v>
      </c>
      <c r="AQ137">
        <v>1</v>
      </c>
      <c r="AR137">
        <v>43</v>
      </c>
      <c r="AS137">
        <v>1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1</v>
      </c>
      <c r="AZ137" t="s">
        <v>257</v>
      </c>
      <c r="BA137" t="s">
        <v>980</v>
      </c>
      <c r="BB137" t="s">
        <v>981</v>
      </c>
      <c r="BC137" t="s">
        <v>257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 t="s">
        <v>998</v>
      </c>
      <c r="BK137" t="s">
        <v>981</v>
      </c>
      <c r="BL137" t="s">
        <v>2012</v>
      </c>
      <c r="BM137">
        <v>20141008</v>
      </c>
      <c r="BN137">
        <v>20220203</v>
      </c>
      <c r="BO137">
        <v>0</v>
      </c>
      <c r="BP137" t="s">
        <v>257</v>
      </c>
      <c r="BQ137" t="s">
        <v>983</v>
      </c>
      <c r="BR137" t="s">
        <v>978</v>
      </c>
      <c r="BS137" t="s">
        <v>2017</v>
      </c>
      <c r="BT137">
        <v>0</v>
      </c>
      <c r="BU137">
        <v>0</v>
      </c>
      <c r="BV137" t="s">
        <v>1013</v>
      </c>
      <c r="BW137" t="s">
        <v>257</v>
      </c>
      <c r="BX137">
        <v>0</v>
      </c>
      <c r="BY137" t="s">
        <v>980</v>
      </c>
      <c r="BZ137" t="s">
        <v>257</v>
      </c>
      <c r="CA137">
        <v>0</v>
      </c>
      <c r="CB137">
        <v>0</v>
      </c>
      <c r="CC137" t="s">
        <v>1430</v>
      </c>
      <c r="CD137">
        <v>0</v>
      </c>
      <c r="CE137">
        <v>0</v>
      </c>
      <c r="CF137">
        <v>0</v>
      </c>
      <c r="CG137">
        <v>0</v>
      </c>
      <c r="CH137">
        <v>0</v>
      </c>
      <c r="CI137" t="s">
        <v>983</v>
      </c>
      <c r="CJ137" t="s">
        <v>972</v>
      </c>
      <c r="CK137" t="s">
        <v>986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 t="s">
        <v>987</v>
      </c>
      <c r="CV137">
        <v>400008138</v>
      </c>
      <c r="CW137" t="s">
        <v>987</v>
      </c>
      <c r="CX137" t="s">
        <v>1081</v>
      </c>
      <c r="CY137" t="s">
        <v>989</v>
      </c>
    </row>
    <row r="138" spans="1:103" hidden="1" x14ac:dyDescent="0.25">
      <c r="A138">
        <v>410000139</v>
      </c>
      <c r="B138" t="s">
        <v>2018</v>
      </c>
      <c r="C138" t="s">
        <v>2019</v>
      </c>
      <c r="D138">
        <v>401100000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 t="s">
        <v>972</v>
      </c>
      <c r="Z138" t="s">
        <v>987</v>
      </c>
      <c r="AA138" t="s">
        <v>974</v>
      </c>
      <c r="AB138" t="s">
        <v>975</v>
      </c>
      <c r="AC138">
        <v>4040</v>
      </c>
      <c r="AD138" t="s">
        <v>976</v>
      </c>
      <c r="AE138" t="s">
        <v>2020</v>
      </c>
      <c r="AF138" t="s">
        <v>979</v>
      </c>
      <c r="AG138" t="s">
        <v>977</v>
      </c>
      <c r="AH138">
        <v>0</v>
      </c>
      <c r="AI138">
        <v>62030</v>
      </c>
      <c r="AJ138" t="s">
        <v>978</v>
      </c>
      <c r="AK138">
        <v>0</v>
      </c>
      <c r="AL138" t="s">
        <v>978</v>
      </c>
      <c r="AM138" t="s">
        <v>979</v>
      </c>
      <c r="AN138">
        <v>0</v>
      </c>
      <c r="AO138" t="s">
        <v>257</v>
      </c>
      <c r="AP138">
        <v>0</v>
      </c>
      <c r="AQ138">
        <v>1</v>
      </c>
      <c r="AR138">
        <v>43</v>
      </c>
      <c r="AS138">
        <v>1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1</v>
      </c>
      <c r="AZ138" t="s">
        <v>257</v>
      </c>
      <c r="BA138" t="s">
        <v>980</v>
      </c>
      <c r="BB138" t="s">
        <v>981</v>
      </c>
      <c r="BC138" t="s">
        <v>257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 t="s">
        <v>998</v>
      </c>
      <c r="BK138" t="s">
        <v>981</v>
      </c>
      <c r="BL138" t="s">
        <v>2018</v>
      </c>
      <c r="BM138">
        <v>20141008</v>
      </c>
      <c r="BN138">
        <v>20220203</v>
      </c>
      <c r="BO138">
        <v>0</v>
      </c>
      <c r="BP138" t="s">
        <v>257</v>
      </c>
      <c r="BQ138" t="s">
        <v>983</v>
      </c>
      <c r="BR138" t="s">
        <v>978</v>
      </c>
      <c r="BS138" t="s">
        <v>979</v>
      </c>
      <c r="BT138">
        <v>0</v>
      </c>
      <c r="BU138">
        <v>0</v>
      </c>
      <c r="BV138" t="s">
        <v>1013</v>
      </c>
      <c r="BW138" t="s">
        <v>257</v>
      </c>
      <c r="BX138">
        <v>0</v>
      </c>
      <c r="BY138" t="s">
        <v>980</v>
      </c>
      <c r="BZ138" t="s">
        <v>257</v>
      </c>
      <c r="CA138">
        <v>0</v>
      </c>
      <c r="CB138">
        <v>0</v>
      </c>
      <c r="CC138" t="s">
        <v>985</v>
      </c>
      <c r="CD138">
        <v>0</v>
      </c>
      <c r="CE138">
        <v>0</v>
      </c>
      <c r="CF138">
        <v>0</v>
      </c>
      <c r="CG138">
        <v>0</v>
      </c>
      <c r="CH138">
        <v>0</v>
      </c>
      <c r="CI138" t="s">
        <v>983</v>
      </c>
      <c r="CJ138" t="s">
        <v>972</v>
      </c>
      <c r="CK138" t="s">
        <v>986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 t="s">
        <v>987</v>
      </c>
      <c r="CV138">
        <v>400008139</v>
      </c>
      <c r="CW138" t="s">
        <v>987</v>
      </c>
      <c r="CX138" t="s">
        <v>1081</v>
      </c>
      <c r="CY138" t="s">
        <v>989</v>
      </c>
    </row>
    <row r="139" spans="1:103" hidden="1" x14ac:dyDescent="0.25">
      <c r="A139">
        <v>410000140</v>
      </c>
      <c r="B139" t="s">
        <v>2021</v>
      </c>
      <c r="C139" t="s">
        <v>2022</v>
      </c>
      <c r="D139">
        <v>401100000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</v>
      </c>
      <c r="Y139" t="s">
        <v>972</v>
      </c>
      <c r="Z139" t="s">
        <v>987</v>
      </c>
      <c r="AA139" t="s">
        <v>2023</v>
      </c>
      <c r="AB139" t="s">
        <v>975</v>
      </c>
      <c r="AC139">
        <v>4802</v>
      </c>
      <c r="AD139" t="s">
        <v>1378</v>
      </c>
      <c r="AE139" t="s">
        <v>2024</v>
      </c>
      <c r="AF139" t="s">
        <v>2025</v>
      </c>
      <c r="AG139" t="s">
        <v>977</v>
      </c>
      <c r="AH139">
        <v>50</v>
      </c>
      <c r="AI139">
        <v>62030</v>
      </c>
      <c r="AJ139" t="s">
        <v>978</v>
      </c>
      <c r="AK139">
        <v>0</v>
      </c>
      <c r="AL139" t="s">
        <v>978</v>
      </c>
      <c r="AM139" t="s">
        <v>979</v>
      </c>
      <c r="AN139">
        <v>0</v>
      </c>
      <c r="AO139" t="s">
        <v>257</v>
      </c>
      <c r="AP139">
        <v>0</v>
      </c>
      <c r="AQ139">
        <v>1</v>
      </c>
      <c r="AR139">
        <v>43</v>
      </c>
      <c r="AS139">
        <v>1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1</v>
      </c>
      <c r="AZ139" t="s">
        <v>257</v>
      </c>
      <c r="BA139" t="s">
        <v>980</v>
      </c>
      <c r="BB139" t="s">
        <v>981</v>
      </c>
      <c r="BC139" t="s">
        <v>257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 t="s">
        <v>998</v>
      </c>
      <c r="BK139" t="s">
        <v>981</v>
      </c>
      <c r="BL139" t="s">
        <v>2021</v>
      </c>
      <c r="BM139">
        <v>20141008</v>
      </c>
      <c r="BN139">
        <v>20220203</v>
      </c>
      <c r="BO139">
        <v>0</v>
      </c>
      <c r="BP139" t="s">
        <v>257</v>
      </c>
      <c r="BQ139" t="s">
        <v>983</v>
      </c>
      <c r="BR139" t="s">
        <v>978</v>
      </c>
      <c r="BS139" t="s">
        <v>2026</v>
      </c>
      <c r="BT139">
        <v>0</v>
      </c>
      <c r="BU139">
        <v>0</v>
      </c>
      <c r="BV139" t="s">
        <v>1013</v>
      </c>
      <c r="BW139" t="s">
        <v>257</v>
      </c>
      <c r="BX139">
        <v>0</v>
      </c>
      <c r="BY139" t="s">
        <v>980</v>
      </c>
      <c r="BZ139" t="s">
        <v>257</v>
      </c>
      <c r="CA139">
        <v>0</v>
      </c>
      <c r="CB139">
        <v>0</v>
      </c>
      <c r="CC139" t="s">
        <v>1469</v>
      </c>
      <c r="CD139">
        <v>0</v>
      </c>
      <c r="CE139">
        <v>0</v>
      </c>
      <c r="CF139">
        <v>0</v>
      </c>
      <c r="CG139">
        <v>0</v>
      </c>
      <c r="CH139">
        <v>0</v>
      </c>
      <c r="CI139" t="s">
        <v>983</v>
      </c>
      <c r="CJ139" t="s">
        <v>972</v>
      </c>
      <c r="CK139" t="s">
        <v>986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 t="s">
        <v>987</v>
      </c>
      <c r="CV139">
        <v>400008140</v>
      </c>
      <c r="CW139" t="s">
        <v>987</v>
      </c>
      <c r="CX139" t="s">
        <v>1081</v>
      </c>
      <c r="CY139" t="s">
        <v>989</v>
      </c>
    </row>
    <row r="140" spans="1:103" hidden="1" x14ac:dyDescent="0.25">
      <c r="A140">
        <v>410000141</v>
      </c>
      <c r="B140" t="s">
        <v>2027</v>
      </c>
      <c r="C140" t="s">
        <v>978</v>
      </c>
      <c r="D140">
        <v>401100000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</v>
      </c>
      <c r="W140">
        <v>1</v>
      </c>
      <c r="X140">
        <v>1</v>
      </c>
      <c r="Y140" t="s">
        <v>972</v>
      </c>
      <c r="Z140" t="s">
        <v>2028</v>
      </c>
      <c r="AA140" t="s">
        <v>2029</v>
      </c>
      <c r="AB140" t="s">
        <v>975</v>
      </c>
      <c r="AC140">
        <v>4900</v>
      </c>
      <c r="AD140" t="s">
        <v>1386</v>
      </c>
      <c r="AE140" t="s">
        <v>2030</v>
      </c>
      <c r="AF140" t="s">
        <v>2031</v>
      </c>
      <c r="AG140" t="s">
        <v>977</v>
      </c>
      <c r="AH140">
        <v>30</v>
      </c>
      <c r="AI140">
        <v>69202</v>
      </c>
      <c r="AJ140" t="s">
        <v>2032</v>
      </c>
      <c r="AK140">
        <v>0</v>
      </c>
      <c r="AL140" t="s">
        <v>978</v>
      </c>
      <c r="AM140" t="s">
        <v>979</v>
      </c>
      <c r="AN140">
        <v>0</v>
      </c>
      <c r="AO140" t="s">
        <v>257</v>
      </c>
      <c r="AP140">
        <v>0</v>
      </c>
      <c r="AQ140">
        <v>1</v>
      </c>
      <c r="AR140">
        <v>43</v>
      </c>
      <c r="AS140">
        <v>1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1</v>
      </c>
      <c r="AZ140" t="s">
        <v>257</v>
      </c>
      <c r="BA140" t="s">
        <v>980</v>
      </c>
      <c r="BB140" t="s">
        <v>1010</v>
      </c>
      <c r="BC140" t="s">
        <v>257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410001116</v>
      </c>
      <c r="BJ140" t="s">
        <v>998</v>
      </c>
      <c r="BK140" t="s">
        <v>981</v>
      </c>
      <c r="BL140" t="s">
        <v>2027</v>
      </c>
      <c r="BM140">
        <v>20141008</v>
      </c>
      <c r="BN140">
        <v>20250929</v>
      </c>
      <c r="BO140">
        <v>20250929</v>
      </c>
      <c r="BP140" t="s">
        <v>257</v>
      </c>
      <c r="BQ140" t="s">
        <v>983</v>
      </c>
      <c r="BR140" t="s">
        <v>978</v>
      </c>
      <c r="BS140" t="s">
        <v>2033</v>
      </c>
      <c r="BT140">
        <v>0</v>
      </c>
      <c r="BU140">
        <v>0</v>
      </c>
      <c r="BV140" t="s">
        <v>1013</v>
      </c>
      <c r="BW140" t="s">
        <v>257</v>
      </c>
      <c r="BX140">
        <v>0</v>
      </c>
      <c r="BY140" t="s">
        <v>980</v>
      </c>
      <c r="BZ140" t="s">
        <v>257</v>
      </c>
      <c r="CA140">
        <v>0</v>
      </c>
      <c r="CB140">
        <v>0</v>
      </c>
      <c r="CC140" t="s">
        <v>1572</v>
      </c>
      <c r="CD140">
        <v>0</v>
      </c>
      <c r="CE140">
        <v>0</v>
      </c>
      <c r="CF140">
        <v>0</v>
      </c>
      <c r="CG140">
        <v>0</v>
      </c>
      <c r="CH140">
        <v>0</v>
      </c>
      <c r="CI140" t="s">
        <v>983</v>
      </c>
      <c r="CJ140" t="s">
        <v>972</v>
      </c>
      <c r="CK140" t="s">
        <v>986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 t="s">
        <v>987</v>
      </c>
      <c r="CV140">
        <v>400008141</v>
      </c>
      <c r="CW140" t="s">
        <v>987</v>
      </c>
      <c r="CX140" t="s">
        <v>2034</v>
      </c>
      <c r="CY140" t="s">
        <v>989</v>
      </c>
    </row>
    <row r="141" spans="1:103" hidden="1" x14ac:dyDescent="0.25">
      <c r="A141">
        <v>410000142</v>
      </c>
      <c r="B141" t="s">
        <v>2035</v>
      </c>
      <c r="C141" t="s">
        <v>2036</v>
      </c>
      <c r="D141">
        <v>401100000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1</v>
      </c>
      <c r="Y141" t="s">
        <v>972</v>
      </c>
      <c r="Z141" t="s">
        <v>2037</v>
      </c>
      <c r="AA141" t="s">
        <v>2038</v>
      </c>
      <c r="AB141" t="s">
        <v>975</v>
      </c>
      <c r="AC141">
        <v>4340</v>
      </c>
      <c r="AD141" t="s">
        <v>1076</v>
      </c>
      <c r="AE141" t="s">
        <v>979</v>
      </c>
      <c r="AF141" t="s">
        <v>979</v>
      </c>
      <c r="AG141" t="s">
        <v>977</v>
      </c>
      <c r="AH141">
        <v>30</v>
      </c>
      <c r="AI141">
        <v>30</v>
      </c>
      <c r="AJ141" t="s">
        <v>978</v>
      </c>
      <c r="AK141">
        <v>0</v>
      </c>
      <c r="AL141" t="s">
        <v>978</v>
      </c>
      <c r="AM141" t="s">
        <v>979</v>
      </c>
      <c r="AN141">
        <v>0</v>
      </c>
      <c r="AO141" t="s">
        <v>257</v>
      </c>
      <c r="AP141">
        <v>0</v>
      </c>
      <c r="AQ141">
        <v>1</v>
      </c>
      <c r="AR141">
        <v>69</v>
      </c>
      <c r="AS141">
        <v>1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1</v>
      </c>
      <c r="AZ141" t="s">
        <v>257</v>
      </c>
      <c r="BA141" t="s">
        <v>980</v>
      </c>
      <c r="BB141" t="s">
        <v>981</v>
      </c>
      <c r="BC141" t="s">
        <v>257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 t="s">
        <v>998</v>
      </c>
      <c r="BK141" t="s">
        <v>981</v>
      </c>
      <c r="BL141" t="s">
        <v>2035</v>
      </c>
      <c r="BM141">
        <v>20141008</v>
      </c>
      <c r="BN141">
        <v>20240910</v>
      </c>
      <c r="BO141">
        <v>0</v>
      </c>
      <c r="BP141" t="s">
        <v>257</v>
      </c>
      <c r="BQ141" t="s">
        <v>983</v>
      </c>
      <c r="BR141" t="s">
        <v>978</v>
      </c>
      <c r="BS141" t="s">
        <v>2039</v>
      </c>
      <c r="BT141">
        <v>0</v>
      </c>
      <c r="BU141">
        <v>0</v>
      </c>
      <c r="BV141" t="s">
        <v>984</v>
      </c>
      <c r="BW141" t="s">
        <v>257</v>
      </c>
      <c r="BX141">
        <v>0</v>
      </c>
      <c r="BY141" t="s">
        <v>980</v>
      </c>
      <c r="BZ141" t="s">
        <v>257</v>
      </c>
      <c r="CA141">
        <v>0</v>
      </c>
      <c r="CB141">
        <v>0</v>
      </c>
      <c r="CC141" t="s">
        <v>1391</v>
      </c>
      <c r="CD141">
        <v>0</v>
      </c>
      <c r="CE141">
        <v>0</v>
      </c>
      <c r="CF141">
        <v>0</v>
      </c>
      <c r="CG141">
        <v>0</v>
      </c>
      <c r="CH141">
        <v>0</v>
      </c>
      <c r="CI141" t="s">
        <v>983</v>
      </c>
      <c r="CJ141" t="s">
        <v>972</v>
      </c>
      <c r="CK141" t="s">
        <v>986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 t="s">
        <v>987</v>
      </c>
      <c r="CV141">
        <v>400008142</v>
      </c>
      <c r="CW141" t="s">
        <v>987</v>
      </c>
      <c r="CX141" t="s">
        <v>2040</v>
      </c>
      <c r="CY141" t="s">
        <v>989</v>
      </c>
    </row>
    <row r="142" spans="1:103" hidden="1" x14ac:dyDescent="0.25">
      <c r="A142">
        <v>410000143</v>
      </c>
      <c r="B142" t="s">
        <v>2041</v>
      </c>
      <c r="C142" t="s">
        <v>2042</v>
      </c>
      <c r="D142">
        <v>401100000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1</v>
      </c>
      <c r="Y142" t="s">
        <v>972</v>
      </c>
      <c r="Z142" t="s">
        <v>987</v>
      </c>
      <c r="AA142" t="s">
        <v>2043</v>
      </c>
      <c r="AB142" t="s">
        <v>975</v>
      </c>
      <c r="AC142">
        <v>4650</v>
      </c>
      <c r="AD142" t="s">
        <v>1204</v>
      </c>
      <c r="AE142" t="s">
        <v>2044</v>
      </c>
      <c r="AF142" t="s">
        <v>2045</v>
      </c>
      <c r="AG142" t="s">
        <v>977</v>
      </c>
      <c r="AH142">
        <v>40</v>
      </c>
      <c r="AI142">
        <v>40</v>
      </c>
      <c r="AJ142" t="s">
        <v>978</v>
      </c>
      <c r="AK142">
        <v>0</v>
      </c>
      <c r="AL142" t="s">
        <v>978</v>
      </c>
      <c r="AM142" t="s">
        <v>979</v>
      </c>
      <c r="AN142">
        <v>0</v>
      </c>
      <c r="AO142" t="s">
        <v>257</v>
      </c>
      <c r="AP142">
        <v>0</v>
      </c>
      <c r="AQ142">
        <v>1</v>
      </c>
      <c r="AR142">
        <v>43</v>
      </c>
      <c r="AS142">
        <v>1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1</v>
      </c>
      <c r="AZ142" t="s">
        <v>257</v>
      </c>
      <c r="BA142" t="s">
        <v>980</v>
      </c>
      <c r="BB142" t="s">
        <v>981</v>
      </c>
      <c r="BC142" t="s">
        <v>257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 t="s">
        <v>998</v>
      </c>
      <c r="BK142" t="s">
        <v>981</v>
      </c>
      <c r="BL142" t="s">
        <v>2041</v>
      </c>
      <c r="BM142">
        <v>20141008</v>
      </c>
      <c r="BN142">
        <v>20210616</v>
      </c>
      <c r="BO142">
        <v>0</v>
      </c>
      <c r="BP142" t="s">
        <v>257</v>
      </c>
      <c r="BQ142" t="s">
        <v>983</v>
      </c>
      <c r="BR142" t="s">
        <v>978</v>
      </c>
      <c r="BS142" t="s">
        <v>979</v>
      </c>
      <c r="BT142">
        <v>0</v>
      </c>
      <c r="BU142">
        <v>0</v>
      </c>
      <c r="BV142" t="s">
        <v>984</v>
      </c>
      <c r="BW142" t="s">
        <v>257</v>
      </c>
      <c r="BX142">
        <v>0</v>
      </c>
      <c r="BY142" t="s">
        <v>980</v>
      </c>
      <c r="BZ142" t="s">
        <v>257</v>
      </c>
      <c r="CA142">
        <v>0</v>
      </c>
      <c r="CB142">
        <v>0</v>
      </c>
      <c r="CC142" t="s">
        <v>1220</v>
      </c>
      <c r="CD142">
        <v>0</v>
      </c>
      <c r="CE142">
        <v>0</v>
      </c>
      <c r="CF142">
        <v>0</v>
      </c>
      <c r="CG142">
        <v>0</v>
      </c>
      <c r="CH142">
        <v>0</v>
      </c>
      <c r="CI142" t="s">
        <v>983</v>
      </c>
      <c r="CJ142" t="s">
        <v>972</v>
      </c>
      <c r="CK142" t="s">
        <v>986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 t="s">
        <v>987</v>
      </c>
      <c r="CV142">
        <v>400008143</v>
      </c>
      <c r="CW142" t="s">
        <v>987</v>
      </c>
      <c r="CX142" t="s">
        <v>2046</v>
      </c>
      <c r="CY142" t="s">
        <v>989</v>
      </c>
    </row>
    <row r="143" spans="1:103" hidden="1" x14ac:dyDescent="0.25">
      <c r="A143">
        <v>410000144</v>
      </c>
      <c r="B143" t="s">
        <v>2047</v>
      </c>
      <c r="C143" t="s">
        <v>2048</v>
      </c>
      <c r="D143">
        <v>401100000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1</v>
      </c>
      <c r="Y143" t="s">
        <v>2049</v>
      </c>
      <c r="Z143" t="s">
        <v>987</v>
      </c>
      <c r="AA143" t="s">
        <v>2050</v>
      </c>
      <c r="AB143" t="s">
        <v>975</v>
      </c>
      <c r="AC143">
        <v>4950</v>
      </c>
      <c r="AD143" t="s">
        <v>2051</v>
      </c>
      <c r="AE143" t="s">
        <v>2052</v>
      </c>
      <c r="AF143" t="s">
        <v>2053</v>
      </c>
      <c r="AG143" t="s">
        <v>977</v>
      </c>
      <c r="AH143">
        <v>90</v>
      </c>
      <c r="AI143">
        <v>120</v>
      </c>
      <c r="AJ143" t="s">
        <v>2054</v>
      </c>
      <c r="AK143">
        <v>0</v>
      </c>
      <c r="AL143" t="s">
        <v>978</v>
      </c>
      <c r="AM143" t="s">
        <v>979</v>
      </c>
      <c r="AN143">
        <v>0</v>
      </c>
      <c r="AO143" t="s">
        <v>257</v>
      </c>
      <c r="AP143">
        <v>0</v>
      </c>
      <c r="AQ143">
        <v>1</v>
      </c>
      <c r="AR143">
        <v>43</v>
      </c>
      <c r="AS143">
        <v>1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1</v>
      </c>
      <c r="AZ143" t="s">
        <v>257</v>
      </c>
      <c r="BA143" t="s">
        <v>980</v>
      </c>
      <c r="BB143" t="s">
        <v>981</v>
      </c>
      <c r="BC143" t="s">
        <v>257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 t="s">
        <v>998</v>
      </c>
      <c r="BK143" t="s">
        <v>981</v>
      </c>
      <c r="BL143" t="s">
        <v>2047</v>
      </c>
      <c r="BM143">
        <v>20141008</v>
      </c>
      <c r="BN143">
        <v>20181119</v>
      </c>
      <c r="BO143">
        <v>0</v>
      </c>
      <c r="BP143" t="s">
        <v>257</v>
      </c>
      <c r="BQ143" t="s">
        <v>983</v>
      </c>
      <c r="BR143" t="s">
        <v>978</v>
      </c>
      <c r="BS143" t="s">
        <v>979</v>
      </c>
      <c r="BT143">
        <v>0</v>
      </c>
      <c r="BU143">
        <v>0</v>
      </c>
      <c r="BV143" t="s">
        <v>1013</v>
      </c>
      <c r="BW143" t="s">
        <v>257</v>
      </c>
      <c r="BX143">
        <v>0</v>
      </c>
      <c r="BY143" t="s">
        <v>980</v>
      </c>
      <c r="BZ143" t="s">
        <v>257</v>
      </c>
      <c r="CA143">
        <v>0</v>
      </c>
      <c r="CB143">
        <v>0</v>
      </c>
      <c r="CC143" t="s">
        <v>1670</v>
      </c>
      <c r="CD143">
        <v>0</v>
      </c>
      <c r="CE143">
        <v>0</v>
      </c>
      <c r="CF143">
        <v>0</v>
      </c>
      <c r="CG143">
        <v>0</v>
      </c>
      <c r="CH143">
        <v>0</v>
      </c>
      <c r="CI143" t="s">
        <v>983</v>
      </c>
      <c r="CJ143" t="s">
        <v>972</v>
      </c>
      <c r="CK143" t="s">
        <v>986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 t="s">
        <v>987</v>
      </c>
      <c r="CV143">
        <v>400008144</v>
      </c>
      <c r="CW143" t="s">
        <v>987</v>
      </c>
      <c r="CX143" t="s">
        <v>1081</v>
      </c>
      <c r="CY143" t="s">
        <v>989</v>
      </c>
    </row>
    <row r="144" spans="1:103" hidden="1" x14ac:dyDescent="0.25">
      <c r="A144">
        <v>410000145</v>
      </c>
      <c r="B144" t="s">
        <v>2055</v>
      </c>
      <c r="C144" t="s">
        <v>2056</v>
      </c>
      <c r="D144">
        <v>401100000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1</v>
      </c>
      <c r="Y144" t="s">
        <v>972</v>
      </c>
      <c r="Z144" t="s">
        <v>987</v>
      </c>
      <c r="AA144" t="s">
        <v>2057</v>
      </c>
      <c r="AB144" t="s">
        <v>975</v>
      </c>
      <c r="AC144">
        <v>4000</v>
      </c>
      <c r="AD144" t="s">
        <v>2058</v>
      </c>
      <c r="AE144" t="s">
        <v>2059</v>
      </c>
      <c r="AF144" t="s">
        <v>979</v>
      </c>
      <c r="AG144" t="s">
        <v>977</v>
      </c>
      <c r="AH144">
        <v>30</v>
      </c>
      <c r="AI144">
        <v>50</v>
      </c>
      <c r="AJ144" t="s">
        <v>978</v>
      </c>
      <c r="AK144">
        <v>0</v>
      </c>
      <c r="AL144" t="s">
        <v>978</v>
      </c>
      <c r="AM144" t="s">
        <v>979</v>
      </c>
      <c r="AN144">
        <v>0</v>
      </c>
      <c r="AO144" t="s">
        <v>257</v>
      </c>
      <c r="AP144">
        <v>0</v>
      </c>
      <c r="AQ144">
        <v>1</v>
      </c>
      <c r="AR144">
        <v>43</v>
      </c>
      <c r="AS144">
        <v>1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1</v>
      </c>
      <c r="AZ144" t="s">
        <v>257</v>
      </c>
      <c r="BA144" t="s">
        <v>980</v>
      </c>
      <c r="BB144" t="s">
        <v>981</v>
      </c>
      <c r="BC144" t="s">
        <v>257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 t="s">
        <v>998</v>
      </c>
      <c r="BK144" t="s">
        <v>981</v>
      </c>
      <c r="BL144" t="s">
        <v>2055</v>
      </c>
      <c r="BM144">
        <v>20141008</v>
      </c>
      <c r="BN144">
        <v>20181119</v>
      </c>
      <c r="BO144">
        <v>0</v>
      </c>
      <c r="BP144" t="s">
        <v>257</v>
      </c>
      <c r="BQ144" t="s">
        <v>983</v>
      </c>
      <c r="BR144" t="s">
        <v>978</v>
      </c>
      <c r="BS144" t="s">
        <v>979</v>
      </c>
      <c r="BT144">
        <v>0</v>
      </c>
      <c r="BU144">
        <v>0</v>
      </c>
      <c r="BV144" t="s">
        <v>1013</v>
      </c>
      <c r="BW144" t="s">
        <v>257</v>
      </c>
      <c r="BX144">
        <v>0</v>
      </c>
      <c r="BY144" t="s">
        <v>980</v>
      </c>
      <c r="BZ144" t="s">
        <v>257</v>
      </c>
      <c r="CA144">
        <v>0</v>
      </c>
      <c r="CB144">
        <v>0</v>
      </c>
      <c r="CC144" t="s">
        <v>2060</v>
      </c>
      <c r="CD144">
        <v>0</v>
      </c>
      <c r="CE144">
        <v>0</v>
      </c>
      <c r="CF144">
        <v>0</v>
      </c>
      <c r="CG144">
        <v>0</v>
      </c>
      <c r="CH144">
        <v>0</v>
      </c>
      <c r="CI144" t="s">
        <v>983</v>
      </c>
      <c r="CJ144" t="s">
        <v>972</v>
      </c>
      <c r="CK144" t="s">
        <v>986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 t="s">
        <v>987</v>
      </c>
      <c r="CV144">
        <v>400008145</v>
      </c>
      <c r="CW144" t="s">
        <v>987</v>
      </c>
      <c r="CX144" t="s">
        <v>1081</v>
      </c>
      <c r="CY144" t="s">
        <v>989</v>
      </c>
    </row>
    <row r="145" spans="1:103" hidden="1" x14ac:dyDescent="0.25">
      <c r="A145">
        <v>410000146</v>
      </c>
      <c r="B145" t="s">
        <v>2061</v>
      </c>
      <c r="C145" t="s">
        <v>2062</v>
      </c>
      <c r="D145">
        <v>401100000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 t="s">
        <v>972</v>
      </c>
      <c r="Z145" t="s">
        <v>987</v>
      </c>
      <c r="AA145" t="s">
        <v>2063</v>
      </c>
      <c r="AB145" t="s">
        <v>975</v>
      </c>
      <c r="AC145">
        <v>4040</v>
      </c>
      <c r="AD145" t="s">
        <v>976</v>
      </c>
      <c r="AE145" t="s">
        <v>2064</v>
      </c>
      <c r="AF145" t="s">
        <v>2065</v>
      </c>
      <c r="AG145" t="s">
        <v>977</v>
      </c>
      <c r="AH145" t="s">
        <v>977</v>
      </c>
      <c r="AI145" t="s">
        <v>977</v>
      </c>
      <c r="AJ145" t="s">
        <v>978</v>
      </c>
      <c r="AK145">
        <v>0</v>
      </c>
      <c r="AL145" t="s">
        <v>978</v>
      </c>
      <c r="AM145" t="s">
        <v>979</v>
      </c>
      <c r="AN145">
        <v>0</v>
      </c>
      <c r="AO145" t="s">
        <v>257</v>
      </c>
      <c r="AP145">
        <v>0</v>
      </c>
      <c r="AQ145">
        <v>1</v>
      </c>
      <c r="AR145">
        <v>43</v>
      </c>
      <c r="AS145">
        <v>1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1</v>
      </c>
      <c r="AZ145" t="s">
        <v>257</v>
      </c>
      <c r="BA145" t="s">
        <v>980</v>
      </c>
      <c r="BB145" t="s">
        <v>981</v>
      </c>
      <c r="BC145" t="s">
        <v>257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 t="s">
        <v>998</v>
      </c>
      <c r="BK145" t="s">
        <v>981</v>
      </c>
      <c r="BL145" t="s">
        <v>2061</v>
      </c>
      <c r="BM145">
        <v>20141008</v>
      </c>
      <c r="BN145">
        <v>20250515</v>
      </c>
      <c r="BO145">
        <v>0</v>
      </c>
      <c r="BP145" t="s">
        <v>257</v>
      </c>
      <c r="BQ145" t="s">
        <v>983</v>
      </c>
      <c r="BR145" t="s">
        <v>978</v>
      </c>
      <c r="BS145" t="s">
        <v>979</v>
      </c>
      <c r="BT145">
        <v>0</v>
      </c>
      <c r="BU145">
        <v>0</v>
      </c>
      <c r="BV145" t="s">
        <v>1013</v>
      </c>
      <c r="BW145" t="s">
        <v>257</v>
      </c>
      <c r="BX145">
        <v>0</v>
      </c>
      <c r="BY145" t="s">
        <v>980</v>
      </c>
      <c r="BZ145" t="s">
        <v>257</v>
      </c>
      <c r="CA145">
        <v>0</v>
      </c>
      <c r="CB145">
        <v>0</v>
      </c>
      <c r="CC145" t="s">
        <v>985</v>
      </c>
      <c r="CD145">
        <v>0</v>
      </c>
      <c r="CE145">
        <v>0</v>
      </c>
      <c r="CF145">
        <v>0</v>
      </c>
      <c r="CG145">
        <v>0</v>
      </c>
      <c r="CH145">
        <v>0</v>
      </c>
      <c r="CI145" t="s">
        <v>983</v>
      </c>
      <c r="CJ145" t="s">
        <v>972</v>
      </c>
      <c r="CK145" t="s">
        <v>986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 t="s">
        <v>987</v>
      </c>
      <c r="CV145">
        <v>400008146</v>
      </c>
      <c r="CW145" t="s">
        <v>987</v>
      </c>
      <c r="CX145" t="s">
        <v>2066</v>
      </c>
      <c r="CY145" t="s">
        <v>989</v>
      </c>
    </row>
    <row r="146" spans="1:103" hidden="1" x14ac:dyDescent="0.25">
      <c r="A146">
        <v>410000147</v>
      </c>
      <c r="B146" t="s">
        <v>2067</v>
      </c>
      <c r="C146" t="s">
        <v>2068</v>
      </c>
      <c r="D146">
        <v>401100000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 t="s">
        <v>972</v>
      </c>
      <c r="Z146" t="s">
        <v>987</v>
      </c>
      <c r="AA146" t="s">
        <v>2069</v>
      </c>
      <c r="AB146" t="s">
        <v>975</v>
      </c>
      <c r="AC146">
        <v>4681</v>
      </c>
      <c r="AD146" t="s">
        <v>2070</v>
      </c>
      <c r="AE146" t="s">
        <v>2071</v>
      </c>
      <c r="AF146" t="s">
        <v>2072</v>
      </c>
      <c r="AG146" t="s">
        <v>977</v>
      </c>
      <c r="AH146">
        <v>14</v>
      </c>
      <c r="AI146">
        <v>20</v>
      </c>
      <c r="AJ146" t="s">
        <v>978</v>
      </c>
      <c r="AK146">
        <v>0</v>
      </c>
      <c r="AL146" t="s">
        <v>978</v>
      </c>
      <c r="AM146" t="s">
        <v>979</v>
      </c>
      <c r="AN146">
        <v>0</v>
      </c>
      <c r="AO146" t="s">
        <v>257</v>
      </c>
      <c r="AP146">
        <v>0</v>
      </c>
      <c r="AQ146">
        <v>1</v>
      </c>
      <c r="AR146">
        <v>43</v>
      </c>
      <c r="AS146">
        <v>1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1</v>
      </c>
      <c r="AZ146" t="s">
        <v>257</v>
      </c>
      <c r="BA146" t="s">
        <v>980</v>
      </c>
      <c r="BB146" t="s">
        <v>981</v>
      </c>
      <c r="BC146" t="s">
        <v>257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 t="s">
        <v>998</v>
      </c>
      <c r="BK146" t="s">
        <v>981</v>
      </c>
      <c r="BL146" t="s">
        <v>2067</v>
      </c>
      <c r="BM146">
        <v>20141008</v>
      </c>
      <c r="BN146">
        <v>20181119</v>
      </c>
      <c r="BO146">
        <v>0</v>
      </c>
      <c r="BP146" t="s">
        <v>257</v>
      </c>
      <c r="BQ146" t="s">
        <v>983</v>
      </c>
      <c r="BR146" t="s">
        <v>978</v>
      </c>
      <c r="BS146" t="s">
        <v>979</v>
      </c>
      <c r="BT146">
        <v>0</v>
      </c>
      <c r="BU146">
        <v>0</v>
      </c>
      <c r="BV146" t="s">
        <v>1013</v>
      </c>
      <c r="BW146" t="s">
        <v>257</v>
      </c>
      <c r="BX146">
        <v>0</v>
      </c>
      <c r="BY146" t="s">
        <v>980</v>
      </c>
      <c r="BZ146" t="s">
        <v>980</v>
      </c>
      <c r="CA146">
        <v>0</v>
      </c>
      <c r="CB146">
        <v>0</v>
      </c>
      <c r="CC146" t="s">
        <v>1815</v>
      </c>
      <c r="CD146">
        <v>0</v>
      </c>
      <c r="CE146">
        <v>0</v>
      </c>
      <c r="CF146">
        <v>0</v>
      </c>
      <c r="CG146">
        <v>0</v>
      </c>
      <c r="CH146">
        <v>0</v>
      </c>
      <c r="CI146" t="s">
        <v>983</v>
      </c>
      <c r="CJ146" t="s">
        <v>972</v>
      </c>
      <c r="CK146" t="s">
        <v>986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 t="s">
        <v>987</v>
      </c>
      <c r="CV146">
        <v>400008147</v>
      </c>
      <c r="CW146" t="s">
        <v>987</v>
      </c>
      <c r="CX146" t="s">
        <v>1081</v>
      </c>
      <c r="CY146" t="s">
        <v>989</v>
      </c>
    </row>
    <row r="147" spans="1:103" hidden="1" x14ac:dyDescent="0.25">
      <c r="A147">
        <v>410000148</v>
      </c>
      <c r="B147" t="s">
        <v>2073</v>
      </c>
      <c r="C147" t="s">
        <v>2074</v>
      </c>
      <c r="D147">
        <v>401100000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 t="s">
        <v>972</v>
      </c>
      <c r="Z147" t="s">
        <v>2075</v>
      </c>
      <c r="AA147" t="s">
        <v>2076</v>
      </c>
      <c r="AB147" t="s">
        <v>975</v>
      </c>
      <c r="AC147">
        <v>4053</v>
      </c>
      <c r="AD147" t="s">
        <v>2077</v>
      </c>
      <c r="AE147" t="s">
        <v>2078</v>
      </c>
      <c r="AF147" t="s">
        <v>979</v>
      </c>
      <c r="AG147" t="s">
        <v>977</v>
      </c>
      <c r="AH147">
        <v>30</v>
      </c>
      <c r="AI147">
        <v>29</v>
      </c>
      <c r="AJ147" t="s">
        <v>978</v>
      </c>
      <c r="AK147">
        <v>0</v>
      </c>
      <c r="AL147" t="s">
        <v>978</v>
      </c>
      <c r="AM147" t="s">
        <v>979</v>
      </c>
      <c r="AN147">
        <v>0</v>
      </c>
      <c r="AO147" t="s">
        <v>257</v>
      </c>
      <c r="AP147">
        <v>0</v>
      </c>
      <c r="AQ147">
        <v>1</v>
      </c>
      <c r="AR147">
        <v>43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 t="s">
        <v>257</v>
      </c>
      <c r="BA147" t="s">
        <v>980</v>
      </c>
      <c r="BB147" t="s">
        <v>981</v>
      </c>
      <c r="BC147" t="s">
        <v>257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 t="s">
        <v>998</v>
      </c>
      <c r="BK147" t="s">
        <v>981</v>
      </c>
      <c r="BL147" t="s">
        <v>2073</v>
      </c>
      <c r="BM147">
        <v>20141008</v>
      </c>
      <c r="BN147">
        <v>20210106</v>
      </c>
      <c r="BO147">
        <v>0</v>
      </c>
      <c r="BP147" t="s">
        <v>257</v>
      </c>
      <c r="BQ147" t="s">
        <v>983</v>
      </c>
      <c r="BR147" t="s">
        <v>978</v>
      </c>
      <c r="BS147" t="s">
        <v>979</v>
      </c>
      <c r="BT147">
        <v>0</v>
      </c>
      <c r="BU147">
        <v>0</v>
      </c>
      <c r="BV147" t="s">
        <v>984</v>
      </c>
      <c r="BW147" t="s">
        <v>257</v>
      </c>
      <c r="BX147">
        <v>0</v>
      </c>
      <c r="BY147" t="s">
        <v>980</v>
      </c>
      <c r="BZ147" t="s">
        <v>257</v>
      </c>
      <c r="CA147">
        <v>0</v>
      </c>
      <c r="CB147">
        <v>0</v>
      </c>
      <c r="CC147" t="s">
        <v>2079</v>
      </c>
      <c r="CD147">
        <v>0</v>
      </c>
      <c r="CE147">
        <v>0</v>
      </c>
      <c r="CF147">
        <v>0</v>
      </c>
      <c r="CG147">
        <v>0</v>
      </c>
      <c r="CH147">
        <v>0</v>
      </c>
      <c r="CI147" t="s">
        <v>983</v>
      </c>
      <c r="CJ147" t="s">
        <v>972</v>
      </c>
      <c r="CK147" t="s">
        <v>986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 t="s">
        <v>987</v>
      </c>
      <c r="CV147">
        <v>400008148</v>
      </c>
      <c r="CW147" t="s">
        <v>987</v>
      </c>
      <c r="CX147" t="s">
        <v>2080</v>
      </c>
      <c r="CY147" t="s">
        <v>989</v>
      </c>
    </row>
    <row r="148" spans="1:103" hidden="1" x14ac:dyDescent="0.25">
      <c r="A148">
        <v>410000149</v>
      </c>
      <c r="B148" t="s">
        <v>2081</v>
      </c>
      <c r="C148" t="s">
        <v>2082</v>
      </c>
      <c r="D148">
        <v>401100000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 t="s">
        <v>972</v>
      </c>
      <c r="Z148" t="s">
        <v>987</v>
      </c>
      <c r="AA148" t="s">
        <v>2083</v>
      </c>
      <c r="AB148" t="s">
        <v>975</v>
      </c>
      <c r="AC148">
        <v>4053</v>
      </c>
      <c r="AD148" t="s">
        <v>2077</v>
      </c>
      <c r="AE148" t="s">
        <v>2084</v>
      </c>
      <c r="AF148" t="s">
        <v>2085</v>
      </c>
      <c r="AG148" t="s">
        <v>977</v>
      </c>
      <c r="AH148">
        <v>45</v>
      </c>
      <c r="AI148">
        <v>30</v>
      </c>
      <c r="AJ148" t="s">
        <v>978</v>
      </c>
      <c r="AK148">
        <v>0</v>
      </c>
      <c r="AL148" t="s">
        <v>978</v>
      </c>
      <c r="AM148" t="s">
        <v>979</v>
      </c>
      <c r="AN148">
        <v>0</v>
      </c>
      <c r="AO148" t="s">
        <v>257</v>
      </c>
      <c r="AP148">
        <v>0</v>
      </c>
      <c r="AQ148">
        <v>1</v>
      </c>
      <c r="AR148">
        <v>43</v>
      </c>
      <c r="AS148">
        <v>1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1</v>
      </c>
      <c r="AZ148" t="s">
        <v>257</v>
      </c>
      <c r="BA148" t="s">
        <v>980</v>
      </c>
      <c r="BB148" t="s">
        <v>981</v>
      </c>
      <c r="BC148" t="s">
        <v>257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 t="s">
        <v>998</v>
      </c>
      <c r="BK148" t="s">
        <v>981</v>
      </c>
      <c r="BL148" t="s">
        <v>2081</v>
      </c>
      <c r="BM148">
        <v>20141008</v>
      </c>
      <c r="BN148">
        <v>20181119</v>
      </c>
      <c r="BO148">
        <v>0</v>
      </c>
      <c r="BP148" t="s">
        <v>257</v>
      </c>
      <c r="BQ148" t="s">
        <v>983</v>
      </c>
      <c r="BR148" t="s">
        <v>978</v>
      </c>
      <c r="BS148" t="s">
        <v>979</v>
      </c>
      <c r="BT148">
        <v>0</v>
      </c>
      <c r="BU148">
        <v>0</v>
      </c>
      <c r="BV148" t="s">
        <v>1013</v>
      </c>
      <c r="BW148" t="s">
        <v>257</v>
      </c>
      <c r="BX148">
        <v>0</v>
      </c>
      <c r="BY148" t="s">
        <v>980</v>
      </c>
      <c r="BZ148" t="s">
        <v>257</v>
      </c>
      <c r="CA148">
        <v>0</v>
      </c>
      <c r="CB148">
        <v>0</v>
      </c>
      <c r="CC148" t="s">
        <v>1161</v>
      </c>
      <c r="CD148">
        <v>0</v>
      </c>
      <c r="CE148">
        <v>0</v>
      </c>
      <c r="CF148">
        <v>0</v>
      </c>
      <c r="CG148">
        <v>0</v>
      </c>
      <c r="CH148">
        <v>0</v>
      </c>
      <c r="CI148" t="s">
        <v>983</v>
      </c>
      <c r="CJ148" t="s">
        <v>972</v>
      </c>
      <c r="CK148" t="s">
        <v>986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 t="s">
        <v>987</v>
      </c>
      <c r="CV148">
        <v>400008149</v>
      </c>
      <c r="CW148" t="s">
        <v>987</v>
      </c>
      <c r="CX148" t="s">
        <v>2086</v>
      </c>
      <c r="CY148" t="s">
        <v>989</v>
      </c>
    </row>
    <row r="149" spans="1:103" hidden="1" x14ac:dyDescent="0.25">
      <c r="A149">
        <v>410000150</v>
      </c>
      <c r="B149" t="s">
        <v>2087</v>
      </c>
      <c r="C149" t="s">
        <v>2088</v>
      </c>
      <c r="D149">
        <v>401100000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1</v>
      </c>
      <c r="Y149" t="s">
        <v>972</v>
      </c>
      <c r="Z149" t="s">
        <v>987</v>
      </c>
      <c r="AA149" t="s">
        <v>2089</v>
      </c>
      <c r="AB149" t="s">
        <v>975</v>
      </c>
      <c r="AC149">
        <v>4520</v>
      </c>
      <c r="AD149" t="s">
        <v>2090</v>
      </c>
      <c r="AE149" t="s">
        <v>2091</v>
      </c>
      <c r="AF149" t="s">
        <v>2092</v>
      </c>
      <c r="AG149" t="s">
        <v>977</v>
      </c>
      <c r="AH149">
        <v>0</v>
      </c>
      <c r="AI149">
        <v>0</v>
      </c>
      <c r="AJ149" t="s">
        <v>978</v>
      </c>
      <c r="AK149">
        <v>47</v>
      </c>
      <c r="AL149" t="s">
        <v>978</v>
      </c>
      <c r="AM149" t="s">
        <v>979</v>
      </c>
      <c r="AN149">
        <v>0</v>
      </c>
      <c r="AO149" t="s">
        <v>257</v>
      </c>
      <c r="AP149">
        <v>0</v>
      </c>
      <c r="AQ149">
        <v>1</v>
      </c>
      <c r="AR149">
        <v>43</v>
      </c>
      <c r="AS149">
        <v>1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1</v>
      </c>
      <c r="AZ149" t="s">
        <v>257</v>
      </c>
      <c r="BA149" t="s">
        <v>980</v>
      </c>
      <c r="BB149" t="s">
        <v>981</v>
      </c>
      <c r="BC149" t="s">
        <v>257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 t="s">
        <v>998</v>
      </c>
      <c r="BK149" t="s">
        <v>981</v>
      </c>
      <c r="BL149" t="s">
        <v>2087</v>
      </c>
      <c r="BM149">
        <v>20141008</v>
      </c>
      <c r="BN149">
        <v>20181119</v>
      </c>
      <c r="BO149">
        <v>0</v>
      </c>
      <c r="BP149" t="s">
        <v>257</v>
      </c>
      <c r="BQ149" t="s">
        <v>983</v>
      </c>
      <c r="BR149" t="s">
        <v>978</v>
      </c>
      <c r="BS149" t="s">
        <v>979</v>
      </c>
      <c r="BT149">
        <v>0</v>
      </c>
      <c r="BU149">
        <v>0</v>
      </c>
      <c r="BV149" t="s">
        <v>1013</v>
      </c>
      <c r="BW149" t="s">
        <v>257</v>
      </c>
      <c r="BX149">
        <v>0</v>
      </c>
      <c r="BY149" t="s">
        <v>980</v>
      </c>
      <c r="BZ149" t="s">
        <v>257</v>
      </c>
      <c r="CA149">
        <v>0</v>
      </c>
      <c r="CB149">
        <v>0</v>
      </c>
      <c r="CC149" t="s">
        <v>1865</v>
      </c>
      <c r="CD149">
        <v>0</v>
      </c>
      <c r="CE149">
        <v>0</v>
      </c>
      <c r="CF149">
        <v>0</v>
      </c>
      <c r="CG149">
        <v>0</v>
      </c>
      <c r="CH149">
        <v>0</v>
      </c>
      <c r="CI149" t="s">
        <v>983</v>
      </c>
      <c r="CJ149" t="s">
        <v>972</v>
      </c>
      <c r="CK149" t="s">
        <v>986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 t="s">
        <v>987</v>
      </c>
      <c r="CV149">
        <v>400008150</v>
      </c>
      <c r="CW149" t="s">
        <v>987</v>
      </c>
      <c r="CX149" t="s">
        <v>2093</v>
      </c>
      <c r="CY149" t="s">
        <v>989</v>
      </c>
    </row>
    <row r="150" spans="1:103" hidden="1" x14ac:dyDescent="0.25">
      <c r="A150">
        <v>410000151</v>
      </c>
      <c r="B150" t="s">
        <v>2094</v>
      </c>
      <c r="C150" t="s">
        <v>2095</v>
      </c>
      <c r="D150">
        <v>401100000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1</v>
      </c>
      <c r="Y150" t="s">
        <v>972</v>
      </c>
      <c r="Z150" t="s">
        <v>987</v>
      </c>
      <c r="AA150" t="s">
        <v>2096</v>
      </c>
      <c r="AB150" t="s">
        <v>975</v>
      </c>
      <c r="AC150">
        <v>4460</v>
      </c>
      <c r="AD150" t="s">
        <v>2097</v>
      </c>
      <c r="AE150" t="s">
        <v>2020</v>
      </c>
      <c r="AF150" t="s">
        <v>2098</v>
      </c>
      <c r="AG150" t="s">
        <v>977</v>
      </c>
      <c r="AH150">
        <v>0</v>
      </c>
      <c r="AI150">
        <v>0</v>
      </c>
      <c r="AJ150" t="s">
        <v>978</v>
      </c>
      <c r="AK150">
        <v>0</v>
      </c>
      <c r="AL150" t="s">
        <v>978</v>
      </c>
      <c r="AM150" t="s">
        <v>979</v>
      </c>
      <c r="AN150">
        <v>0</v>
      </c>
      <c r="AO150" t="s">
        <v>257</v>
      </c>
      <c r="AP150">
        <v>0</v>
      </c>
      <c r="AQ150">
        <v>1</v>
      </c>
      <c r="AR150">
        <v>43</v>
      </c>
      <c r="AS150">
        <v>1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1</v>
      </c>
      <c r="AZ150" t="s">
        <v>257</v>
      </c>
      <c r="BA150" t="s">
        <v>980</v>
      </c>
      <c r="BB150" t="s">
        <v>981</v>
      </c>
      <c r="BC150" t="s">
        <v>257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 t="s">
        <v>998</v>
      </c>
      <c r="BK150" t="s">
        <v>981</v>
      </c>
      <c r="BL150" t="s">
        <v>2094</v>
      </c>
      <c r="BM150">
        <v>20141008</v>
      </c>
      <c r="BN150">
        <v>20181119</v>
      </c>
      <c r="BO150">
        <v>0</v>
      </c>
      <c r="BP150" t="s">
        <v>257</v>
      </c>
      <c r="BQ150" t="s">
        <v>983</v>
      </c>
      <c r="BR150" t="s">
        <v>978</v>
      </c>
      <c r="BS150" t="s">
        <v>979</v>
      </c>
      <c r="BT150">
        <v>0</v>
      </c>
      <c r="BU150">
        <v>0</v>
      </c>
      <c r="BV150" t="s">
        <v>1013</v>
      </c>
      <c r="BW150" t="s">
        <v>257</v>
      </c>
      <c r="BX150">
        <v>0</v>
      </c>
      <c r="BY150" t="s">
        <v>980</v>
      </c>
      <c r="BZ150" t="s">
        <v>257</v>
      </c>
      <c r="CA150">
        <v>0</v>
      </c>
      <c r="CB150">
        <v>0</v>
      </c>
      <c r="CC150" t="s">
        <v>2099</v>
      </c>
      <c r="CD150">
        <v>0</v>
      </c>
      <c r="CE150">
        <v>0</v>
      </c>
      <c r="CF150">
        <v>0</v>
      </c>
      <c r="CG150">
        <v>0</v>
      </c>
      <c r="CH150">
        <v>0</v>
      </c>
      <c r="CI150" t="s">
        <v>983</v>
      </c>
      <c r="CJ150" t="s">
        <v>972</v>
      </c>
      <c r="CK150" t="s">
        <v>986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 t="s">
        <v>987</v>
      </c>
      <c r="CV150">
        <v>400008151</v>
      </c>
      <c r="CW150" t="s">
        <v>987</v>
      </c>
      <c r="CX150" t="s">
        <v>1081</v>
      </c>
      <c r="CY150" t="s">
        <v>989</v>
      </c>
    </row>
    <row r="151" spans="1:103" hidden="1" x14ac:dyDescent="0.25">
      <c r="A151">
        <v>410000152</v>
      </c>
      <c r="B151" t="s">
        <v>2100</v>
      </c>
      <c r="C151" t="s">
        <v>2101</v>
      </c>
      <c r="D151">
        <v>401100000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1</v>
      </c>
      <c r="Y151" t="s">
        <v>972</v>
      </c>
      <c r="Z151" t="s">
        <v>987</v>
      </c>
      <c r="AA151" t="s">
        <v>2102</v>
      </c>
      <c r="AB151" t="s">
        <v>975</v>
      </c>
      <c r="AC151">
        <v>4600</v>
      </c>
      <c r="AD151" t="s">
        <v>1813</v>
      </c>
      <c r="AE151" t="s">
        <v>2103</v>
      </c>
      <c r="AF151" t="s">
        <v>2104</v>
      </c>
      <c r="AG151" t="s">
        <v>977</v>
      </c>
      <c r="AH151">
        <v>40</v>
      </c>
      <c r="AI151">
        <v>34</v>
      </c>
      <c r="AJ151" t="s">
        <v>978</v>
      </c>
      <c r="AK151">
        <v>0</v>
      </c>
      <c r="AL151" t="s">
        <v>978</v>
      </c>
      <c r="AM151" t="s">
        <v>979</v>
      </c>
      <c r="AN151">
        <v>0</v>
      </c>
      <c r="AO151" t="s">
        <v>257</v>
      </c>
      <c r="AP151">
        <v>0</v>
      </c>
      <c r="AQ151">
        <v>1</v>
      </c>
      <c r="AR151">
        <v>43</v>
      </c>
      <c r="AS151">
        <v>1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1</v>
      </c>
      <c r="AZ151" t="s">
        <v>257</v>
      </c>
      <c r="BA151" t="s">
        <v>980</v>
      </c>
      <c r="BB151" t="s">
        <v>981</v>
      </c>
      <c r="BC151" t="s">
        <v>257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 t="s">
        <v>998</v>
      </c>
      <c r="BK151" t="s">
        <v>981</v>
      </c>
      <c r="BL151" t="s">
        <v>2100</v>
      </c>
      <c r="BM151">
        <v>20141008</v>
      </c>
      <c r="BN151">
        <v>20181119</v>
      </c>
      <c r="BO151">
        <v>0</v>
      </c>
      <c r="BP151" t="s">
        <v>257</v>
      </c>
      <c r="BQ151" t="s">
        <v>983</v>
      </c>
      <c r="BR151" t="s">
        <v>978</v>
      </c>
      <c r="BS151" t="s">
        <v>979</v>
      </c>
      <c r="BT151">
        <v>0</v>
      </c>
      <c r="BU151">
        <v>0</v>
      </c>
      <c r="BV151" t="s">
        <v>1013</v>
      </c>
      <c r="BW151" t="s">
        <v>257</v>
      </c>
      <c r="BX151">
        <v>0</v>
      </c>
      <c r="BY151" t="s">
        <v>980</v>
      </c>
      <c r="BZ151" t="s">
        <v>257</v>
      </c>
      <c r="CA151">
        <v>0</v>
      </c>
      <c r="CB151">
        <v>0</v>
      </c>
      <c r="CC151" t="s">
        <v>1119</v>
      </c>
      <c r="CD151">
        <v>0</v>
      </c>
      <c r="CE151">
        <v>0</v>
      </c>
      <c r="CF151">
        <v>0</v>
      </c>
      <c r="CG151">
        <v>0</v>
      </c>
      <c r="CH151">
        <v>0</v>
      </c>
      <c r="CI151" t="s">
        <v>983</v>
      </c>
      <c r="CJ151" t="s">
        <v>972</v>
      </c>
      <c r="CK151" t="s">
        <v>986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 t="s">
        <v>987</v>
      </c>
      <c r="CV151">
        <v>400008152</v>
      </c>
      <c r="CW151" t="s">
        <v>987</v>
      </c>
      <c r="CX151" t="s">
        <v>1081</v>
      </c>
      <c r="CY151" t="s">
        <v>989</v>
      </c>
    </row>
    <row r="152" spans="1:103" hidden="1" x14ac:dyDescent="0.25">
      <c r="A152">
        <v>410000153</v>
      </c>
      <c r="B152" t="s">
        <v>2105</v>
      </c>
      <c r="C152" t="s">
        <v>2106</v>
      </c>
      <c r="D152">
        <v>401100000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</v>
      </c>
      <c r="Y152" t="s">
        <v>972</v>
      </c>
      <c r="Z152" t="s">
        <v>987</v>
      </c>
      <c r="AA152" t="s">
        <v>2107</v>
      </c>
      <c r="AB152" t="s">
        <v>975</v>
      </c>
      <c r="AC152">
        <v>4830</v>
      </c>
      <c r="AD152" t="s">
        <v>2108</v>
      </c>
      <c r="AE152" t="s">
        <v>2109</v>
      </c>
      <c r="AF152" t="s">
        <v>2110</v>
      </c>
      <c r="AG152" t="s">
        <v>977</v>
      </c>
      <c r="AH152">
        <v>55</v>
      </c>
      <c r="AI152">
        <v>75</v>
      </c>
      <c r="AJ152" t="s">
        <v>2111</v>
      </c>
      <c r="AK152">
        <v>0</v>
      </c>
      <c r="AL152" t="s">
        <v>978</v>
      </c>
      <c r="AM152" t="s">
        <v>979</v>
      </c>
      <c r="AN152">
        <v>0</v>
      </c>
      <c r="AO152" t="s">
        <v>257</v>
      </c>
      <c r="AP152">
        <v>0</v>
      </c>
      <c r="AQ152">
        <v>1</v>
      </c>
      <c r="AR152">
        <v>43</v>
      </c>
      <c r="AS152">
        <v>1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1</v>
      </c>
      <c r="AZ152" t="s">
        <v>257</v>
      </c>
      <c r="BA152" t="s">
        <v>980</v>
      </c>
      <c r="BB152" t="s">
        <v>981</v>
      </c>
      <c r="BC152" t="s">
        <v>257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 t="s">
        <v>998</v>
      </c>
      <c r="BK152" t="s">
        <v>981</v>
      </c>
      <c r="BL152" t="s">
        <v>2105</v>
      </c>
      <c r="BM152">
        <v>20141008</v>
      </c>
      <c r="BN152">
        <v>20181119</v>
      </c>
      <c r="BO152">
        <v>0</v>
      </c>
      <c r="BP152" t="s">
        <v>257</v>
      </c>
      <c r="BQ152" t="s">
        <v>983</v>
      </c>
      <c r="BR152" t="s">
        <v>978</v>
      </c>
      <c r="BS152" t="s">
        <v>2112</v>
      </c>
      <c r="BT152">
        <v>0</v>
      </c>
      <c r="BU152">
        <v>0</v>
      </c>
      <c r="BV152" t="s">
        <v>1013</v>
      </c>
      <c r="BW152" t="s">
        <v>257</v>
      </c>
      <c r="BX152">
        <v>0</v>
      </c>
      <c r="BY152" t="s">
        <v>257</v>
      </c>
      <c r="BZ152" t="s">
        <v>257</v>
      </c>
      <c r="CA152">
        <v>0</v>
      </c>
      <c r="CB152">
        <v>0</v>
      </c>
      <c r="CC152" t="s">
        <v>2113</v>
      </c>
      <c r="CD152">
        <v>0</v>
      </c>
      <c r="CE152">
        <v>0</v>
      </c>
      <c r="CF152">
        <v>0</v>
      </c>
      <c r="CG152">
        <v>0</v>
      </c>
      <c r="CH152">
        <v>0</v>
      </c>
      <c r="CI152" t="s">
        <v>983</v>
      </c>
      <c r="CJ152" t="s">
        <v>972</v>
      </c>
      <c r="CK152" t="s">
        <v>986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 t="s">
        <v>987</v>
      </c>
      <c r="CV152">
        <v>400008153</v>
      </c>
      <c r="CW152" t="s">
        <v>987</v>
      </c>
      <c r="CX152" t="s">
        <v>2114</v>
      </c>
      <c r="CY152" t="s">
        <v>989</v>
      </c>
    </row>
    <row r="153" spans="1:103" hidden="1" x14ac:dyDescent="0.25">
      <c r="A153">
        <v>410000154</v>
      </c>
      <c r="B153" t="s">
        <v>877</v>
      </c>
      <c r="C153" t="s">
        <v>2115</v>
      </c>
      <c r="D153">
        <v>401100000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1</v>
      </c>
      <c r="X153">
        <v>1</v>
      </c>
      <c r="Y153" t="s">
        <v>972</v>
      </c>
      <c r="Z153" t="s">
        <v>987</v>
      </c>
      <c r="AA153" t="s">
        <v>2116</v>
      </c>
      <c r="AB153" t="s">
        <v>1626</v>
      </c>
      <c r="AC153">
        <v>9809</v>
      </c>
      <c r="AD153" t="s">
        <v>2117</v>
      </c>
      <c r="AE153" t="s">
        <v>2118</v>
      </c>
      <c r="AF153" t="s">
        <v>2119</v>
      </c>
      <c r="AG153" t="s">
        <v>977</v>
      </c>
      <c r="AH153">
        <v>60</v>
      </c>
      <c r="AI153">
        <v>75</v>
      </c>
      <c r="AJ153" t="s">
        <v>978</v>
      </c>
      <c r="AK153">
        <v>0</v>
      </c>
      <c r="AL153" t="s">
        <v>978</v>
      </c>
      <c r="AM153" t="s">
        <v>979</v>
      </c>
      <c r="AN153">
        <v>0</v>
      </c>
      <c r="AO153" t="s">
        <v>257</v>
      </c>
      <c r="AP153">
        <v>0</v>
      </c>
      <c r="AQ153">
        <v>1</v>
      </c>
      <c r="AR153">
        <v>43</v>
      </c>
      <c r="AS153">
        <v>1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1</v>
      </c>
      <c r="AZ153" t="s">
        <v>257</v>
      </c>
      <c r="BA153" t="s">
        <v>980</v>
      </c>
      <c r="BB153" t="s">
        <v>1010</v>
      </c>
      <c r="BC153" t="s">
        <v>257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410000001</v>
      </c>
      <c r="BJ153" t="s">
        <v>1021</v>
      </c>
      <c r="BK153" t="s">
        <v>981</v>
      </c>
      <c r="BL153" t="s">
        <v>877</v>
      </c>
      <c r="BM153">
        <v>20141008</v>
      </c>
      <c r="BN153">
        <v>20211130</v>
      </c>
      <c r="BO153">
        <v>20141204</v>
      </c>
      <c r="BP153" t="s">
        <v>257</v>
      </c>
      <c r="BQ153" t="s">
        <v>983</v>
      </c>
      <c r="BR153" t="s">
        <v>978</v>
      </c>
      <c r="BS153" t="s">
        <v>979</v>
      </c>
      <c r="BT153">
        <v>0</v>
      </c>
      <c r="BU153">
        <v>0</v>
      </c>
      <c r="BV153" t="s">
        <v>984</v>
      </c>
      <c r="BW153" t="s">
        <v>257</v>
      </c>
      <c r="BX153">
        <v>0</v>
      </c>
      <c r="BY153" t="s">
        <v>980</v>
      </c>
      <c r="BZ153" t="s">
        <v>257</v>
      </c>
      <c r="CA153">
        <v>0</v>
      </c>
      <c r="CB153">
        <v>0</v>
      </c>
      <c r="CC153" t="s">
        <v>2120</v>
      </c>
      <c r="CD153">
        <v>0</v>
      </c>
      <c r="CE153">
        <v>0</v>
      </c>
      <c r="CF153">
        <v>0</v>
      </c>
      <c r="CG153">
        <v>0</v>
      </c>
      <c r="CH153">
        <v>0</v>
      </c>
      <c r="CI153" t="s">
        <v>983</v>
      </c>
      <c r="CJ153" t="s">
        <v>972</v>
      </c>
      <c r="CK153" t="s">
        <v>986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 t="s">
        <v>987</v>
      </c>
      <c r="CV153">
        <v>400008154</v>
      </c>
      <c r="CW153" t="s">
        <v>987</v>
      </c>
      <c r="CX153" t="s">
        <v>1023</v>
      </c>
      <c r="CY153" t="s">
        <v>989</v>
      </c>
    </row>
    <row r="154" spans="1:103" hidden="1" x14ac:dyDescent="0.25">
      <c r="A154">
        <v>410000155</v>
      </c>
      <c r="B154" t="s">
        <v>2121</v>
      </c>
      <c r="C154" t="s">
        <v>2122</v>
      </c>
      <c r="D154">
        <v>401100000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 t="s">
        <v>972</v>
      </c>
      <c r="Z154" t="s">
        <v>2123</v>
      </c>
      <c r="AA154" t="s">
        <v>2124</v>
      </c>
      <c r="AB154" t="s">
        <v>975</v>
      </c>
      <c r="AC154">
        <v>4432</v>
      </c>
      <c r="AD154" t="s">
        <v>1313</v>
      </c>
      <c r="AE154" t="s">
        <v>2125</v>
      </c>
      <c r="AF154" t="s">
        <v>979</v>
      </c>
      <c r="AG154" t="s">
        <v>977</v>
      </c>
      <c r="AH154">
        <v>0</v>
      </c>
      <c r="AI154">
        <v>0</v>
      </c>
      <c r="AJ154" t="s">
        <v>978</v>
      </c>
      <c r="AK154">
        <v>0</v>
      </c>
      <c r="AL154" t="s">
        <v>978</v>
      </c>
      <c r="AM154" t="s">
        <v>979</v>
      </c>
      <c r="AN154">
        <v>0</v>
      </c>
      <c r="AO154" t="s">
        <v>257</v>
      </c>
      <c r="AP154">
        <v>0</v>
      </c>
      <c r="AQ154">
        <v>1</v>
      </c>
      <c r="AR154">
        <v>43</v>
      </c>
      <c r="AS154">
        <v>1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1</v>
      </c>
      <c r="AZ154" t="s">
        <v>257</v>
      </c>
      <c r="BA154" t="s">
        <v>980</v>
      </c>
      <c r="BB154" t="s">
        <v>981</v>
      </c>
      <c r="BC154" t="s">
        <v>257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410000382</v>
      </c>
      <c r="BJ154" t="s">
        <v>998</v>
      </c>
      <c r="BK154" t="s">
        <v>981</v>
      </c>
      <c r="BL154" t="s">
        <v>2121</v>
      </c>
      <c r="BM154">
        <v>20141008</v>
      </c>
      <c r="BN154">
        <v>20181119</v>
      </c>
      <c r="BO154">
        <v>0</v>
      </c>
      <c r="BP154" t="s">
        <v>257</v>
      </c>
      <c r="BQ154" t="s">
        <v>983</v>
      </c>
      <c r="BR154" t="s">
        <v>978</v>
      </c>
      <c r="BS154" t="s">
        <v>979</v>
      </c>
      <c r="BT154">
        <v>0</v>
      </c>
      <c r="BU154">
        <v>0</v>
      </c>
      <c r="BV154" t="s">
        <v>1013</v>
      </c>
      <c r="BW154" t="s">
        <v>257</v>
      </c>
      <c r="BX154">
        <v>0</v>
      </c>
      <c r="BY154" t="s">
        <v>980</v>
      </c>
      <c r="BZ154" t="s">
        <v>257</v>
      </c>
      <c r="CA154">
        <v>0</v>
      </c>
      <c r="CB154">
        <v>0</v>
      </c>
      <c r="CC154" t="s">
        <v>2000</v>
      </c>
      <c r="CD154">
        <v>0</v>
      </c>
      <c r="CE154">
        <v>0</v>
      </c>
      <c r="CF154">
        <v>0</v>
      </c>
      <c r="CG154">
        <v>0</v>
      </c>
      <c r="CH154">
        <v>0</v>
      </c>
      <c r="CI154" t="s">
        <v>983</v>
      </c>
      <c r="CJ154" t="s">
        <v>972</v>
      </c>
      <c r="CK154" t="s">
        <v>986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 t="s">
        <v>987</v>
      </c>
      <c r="CV154">
        <v>400008155</v>
      </c>
      <c r="CW154" t="s">
        <v>987</v>
      </c>
      <c r="CX154" t="s">
        <v>2126</v>
      </c>
      <c r="CY154" t="s">
        <v>989</v>
      </c>
    </row>
    <row r="155" spans="1:103" hidden="1" x14ac:dyDescent="0.25">
      <c r="A155">
        <v>410000156</v>
      </c>
      <c r="B155" t="s">
        <v>2127</v>
      </c>
      <c r="C155" t="s">
        <v>978</v>
      </c>
      <c r="D155">
        <v>401100000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1</v>
      </c>
      <c r="X155">
        <v>1</v>
      </c>
      <c r="Y155" t="s">
        <v>972</v>
      </c>
      <c r="Z155" t="s">
        <v>2128</v>
      </c>
      <c r="AA155" t="s">
        <v>2129</v>
      </c>
      <c r="AB155" t="s">
        <v>975</v>
      </c>
      <c r="AC155">
        <v>1342</v>
      </c>
      <c r="AD155" t="s">
        <v>2130</v>
      </c>
      <c r="AE155" t="s">
        <v>979</v>
      </c>
      <c r="AF155" t="s">
        <v>979</v>
      </c>
      <c r="AG155" t="s">
        <v>977</v>
      </c>
      <c r="AH155" t="s">
        <v>1558</v>
      </c>
      <c r="AI155" t="s">
        <v>1558</v>
      </c>
      <c r="AJ155" t="s">
        <v>2131</v>
      </c>
      <c r="AK155" t="s">
        <v>2132</v>
      </c>
      <c r="AL155" t="s">
        <v>978</v>
      </c>
      <c r="AM155" t="s">
        <v>979</v>
      </c>
      <c r="AN155">
        <v>0</v>
      </c>
      <c r="AO155" t="s">
        <v>257</v>
      </c>
      <c r="AP155">
        <v>0</v>
      </c>
      <c r="AQ155">
        <v>1</v>
      </c>
      <c r="AR155">
        <v>43</v>
      </c>
      <c r="AS155">
        <v>1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1</v>
      </c>
      <c r="AZ155" t="s">
        <v>257</v>
      </c>
      <c r="BA155" t="s">
        <v>980</v>
      </c>
      <c r="BB155" t="s">
        <v>981</v>
      </c>
      <c r="BC155" t="s">
        <v>257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 t="s">
        <v>998</v>
      </c>
      <c r="BK155" t="s">
        <v>981</v>
      </c>
      <c r="BL155" t="s">
        <v>2127</v>
      </c>
      <c r="BM155">
        <v>20141021</v>
      </c>
      <c r="BN155">
        <v>20220201</v>
      </c>
      <c r="BO155">
        <v>0</v>
      </c>
      <c r="BP155" t="s">
        <v>257</v>
      </c>
      <c r="BQ155" t="s">
        <v>983</v>
      </c>
      <c r="BR155" t="s">
        <v>978</v>
      </c>
      <c r="BS155" t="s">
        <v>979</v>
      </c>
      <c r="BT155">
        <v>0</v>
      </c>
      <c r="BU155">
        <v>0</v>
      </c>
      <c r="BV155" t="s">
        <v>984</v>
      </c>
      <c r="BW155" t="s">
        <v>257</v>
      </c>
      <c r="BX155">
        <v>0</v>
      </c>
      <c r="BY155" t="s">
        <v>980</v>
      </c>
      <c r="BZ155" t="s">
        <v>257</v>
      </c>
      <c r="CA155">
        <v>0</v>
      </c>
      <c r="CB155">
        <v>0</v>
      </c>
      <c r="CC155" t="s">
        <v>2079</v>
      </c>
      <c r="CD155">
        <v>0</v>
      </c>
      <c r="CE155">
        <v>0</v>
      </c>
      <c r="CF155">
        <v>0</v>
      </c>
      <c r="CG155">
        <v>0</v>
      </c>
      <c r="CH155">
        <v>0</v>
      </c>
      <c r="CI155" t="s">
        <v>983</v>
      </c>
      <c r="CJ155" t="s">
        <v>972</v>
      </c>
      <c r="CK155" t="s">
        <v>986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 t="s">
        <v>987</v>
      </c>
      <c r="CV155">
        <v>400008156</v>
      </c>
      <c r="CW155" t="s">
        <v>987</v>
      </c>
      <c r="CX155" t="s">
        <v>2133</v>
      </c>
      <c r="CY155" t="s">
        <v>989</v>
      </c>
    </row>
    <row r="156" spans="1:103" hidden="1" x14ac:dyDescent="0.25">
      <c r="A156">
        <v>410000157</v>
      </c>
      <c r="B156" t="s">
        <v>2134</v>
      </c>
      <c r="C156" t="s">
        <v>1073</v>
      </c>
      <c r="D156">
        <v>401100000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1</v>
      </c>
      <c r="Y156" t="s">
        <v>972</v>
      </c>
      <c r="Z156" t="s">
        <v>2135</v>
      </c>
      <c r="AA156" t="s">
        <v>1075</v>
      </c>
      <c r="AB156" t="s">
        <v>975</v>
      </c>
      <c r="AC156">
        <v>4340</v>
      </c>
      <c r="AD156" t="s">
        <v>1076</v>
      </c>
      <c r="AE156" t="s">
        <v>2136</v>
      </c>
      <c r="AF156" t="s">
        <v>2137</v>
      </c>
      <c r="AG156" t="s">
        <v>977</v>
      </c>
      <c r="AH156" t="s">
        <v>977</v>
      </c>
      <c r="AI156" t="s">
        <v>977</v>
      </c>
      <c r="AJ156" t="s">
        <v>978</v>
      </c>
      <c r="AK156" t="s">
        <v>978</v>
      </c>
      <c r="AL156" t="s">
        <v>978</v>
      </c>
      <c r="AM156" t="s">
        <v>979</v>
      </c>
      <c r="AN156">
        <v>0</v>
      </c>
      <c r="AO156" t="s">
        <v>257</v>
      </c>
      <c r="AP156">
        <v>0</v>
      </c>
      <c r="AQ156">
        <v>1</v>
      </c>
      <c r="AR156">
        <v>43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1</v>
      </c>
      <c r="AZ156" t="s">
        <v>257</v>
      </c>
      <c r="BA156" t="s">
        <v>980</v>
      </c>
      <c r="BB156" t="s">
        <v>981</v>
      </c>
      <c r="BC156" t="s">
        <v>257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 t="s">
        <v>998</v>
      </c>
      <c r="BK156" t="s">
        <v>981</v>
      </c>
      <c r="BL156" t="s">
        <v>2134</v>
      </c>
      <c r="BM156">
        <v>20141021</v>
      </c>
      <c r="BN156">
        <v>20190521</v>
      </c>
      <c r="BO156">
        <v>0</v>
      </c>
      <c r="BP156" t="s">
        <v>257</v>
      </c>
      <c r="BQ156" t="s">
        <v>983</v>
      </c>
      <c r="BR156" t="s">
        <v>978</v>
      </c>
      <c r="BS156" t="s">
        <v>1079</v>
      </c>
      <c r="BT156">
        <v>0</v>
      </c>
      <c r="BU156">
        <v>0</v>
      </c>
      <c r="BV156" t="s">
        <v>984</v>
      </c>
      <c r="BW156" t="s">
        <v>257</v>
      </c>
      <c r="BX156">
        <v>0</v>
      </c>
      <c r="BY156" t="s">
        <v>980</v>
      </c>
      <c r="BZ156" t="s">
        <v>257</v>
      </c>
      <c r="CA156">
        <v>0</v>
      </c>
      <c r="CB156">
        <v>0</v>
      </c>
      <c r="CC156" t="s">
        <v>1391</v>
      </c>
      <c r="CD156">
        <v>0</v>
      </c>
      <c r="CE156">
        <v>0</v>
      </c>
      <c r="CF156">
        <v>0</v>
      </c>
      <c r="CG156">
        <v>0</v>
      </c>
      <c r="CH156">
        <v>0</v>
      </c>
      <c r="CI156" t="s">
        <v>983</v>
      </c>
      <c r="CJ156" t="s">
        <v>972</v>
      </c>
      <c r="CK156" t="s">
        <v>986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 t="s">
        <v>987</v>
      </c>
      <c r="CV156">
        <v>400008157</v>
      </c>
      <c r="CW156" t="s">
        <v>987</v>
      </c>
      <c r="CX156" t="s">
        <v>2138</v>
      </c>
      <c r="CY156" t="s">
        <v>989</v>
      </c>
    </row>
    <row r="157" spans="1:103" hidden="1" x14ac:dyDescent="0.25">
      <c r="A157">
        <v>410000158</v>
      </c>
      <c r="B157" t="s">
        <v>2139</v>
      </c>
      <c r="C157" t="s">
        <v>2140</v>
      </c>
      <c r="D157">
        <v>401100000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 t="s">
        <v>972</v>
      </c>
      <c r="Z157" t="s">
        <v>2141</v>
      </c>
      <c r="AA157" t="s">
        <v>2142</v>
      </c>
      <c r="AB157" t="s">
        <v>975</v>
      </c>
      <c r="AC157">
        <v>4480</v>
      </c>
      <c r="AD157" t="s">
        <v>2143</v>
      </c>
      <c r="AE157">
        <v>3242405449</v>
      </c>
      <c r="AF157">
        <v>3242483100</v>
      </c>
      <c r="AG157" t="s">
        <v>977</v>
      </c>
      <c r="AH157">
        <v>20</v>
      </c>
      <c r="AI157">
        <v>20</v>
      </c>
      <c r="AJ157" t="s">
        <v>978</v>
      </c>
      <c r="AK157" t="s">
        <v>978</v>
      </c>
      <c r="AL157" t="s">
        <v>978</v>
      </c>
      <c r="AM157" t="s">
        <v>979</v>
      </c>
      <c r="AN157">
        <v>0</v>
      </c>
      <c r="AO157" t="s">
        <v>257</v>
      </c>
      <c r="AP157">
        <v>0</v>
      </c>
      <c r="AQ157">
        <v>1</v>
      </c>
      <c r="AR157">
        <v>43</v>
      </c>
      <c r="AS157">
        <v>1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1</v>
      </c>
      <c r="AZ157" t="s">
        <v>257</v>
      </c>
      <c r="BA157" t="s">
        <v>980</v>
      </c>
      <c r="BB157" t="s">
        <v>981</v>
      </c>
      <c r="BC157" t="s">
        <v>257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 t="s">
        <v>998</v>
      </c>
      <c r="BK157" t="s">
        <v>981</v>
      </c>
      <c r="BL157" t="s">
        <v>2139</v>
      </c>
      <c r="BM157">
        <v>20141021</v>
      </c>
      <c r="BN157">
        <v>20181119</v>
      </c>
      <c r="BO157">
        <v>0</v>
      </c>
      <c r="BP157" t="s">
        <v>257</v>
      </c>
      <c r="BQ157" t="s">
        <v>983</v>
      </c>
      <c r="BR157" t="s">
        <v>978</v>
      </c>
      <c r="BS157" t="s">
        <v>979</v>
      </c>
      <c r="BT157">
        <v>0</v>
      </c>
      <c r="BU157">
        <v>0</v>
      </c>
      <c r="BV157" t="s">
        <v>1013</v>
      </c>
      <c r="BW157" t="s">
        <v>257</v>
      </c>
      <c r="BX157">
        <v>0</v>
      </c>
      <c r="BY157" t="s">
        <v>980</v>
      </c>
      <c r="BZ157" t="s">
        <v>257</v>
      </c>
      <c r="CA157">
        <v>0</v>
      </c>
      <c r="CB157">
        <v>0</v>
      </c>
      <c r="CC157" t="s">
        <v>2144</v>
      </c>
      <c r="CD157">
        <v>0</v>
      </c>
      <c r="CE157">
        <v>0</v>
      </c>
      <c r="CF157">
        <v>0</v>
      </c>
      <c r="CG157">
        <v>0</v>
      </c>
      <c r="CH157">
        <v>0</v>
      </c>
      <c r="CI157" t="s">
        <v>983</v>
      </c>
      <c r="CJ157" t="s">
        <v>972</v>
      </c>
      <c r="CK157" t="s">
        <v>986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 t="s">
        <v>987</v>
      </c>
      <c r="CV157">
        <v>400008158</v>
      </c>
      <c r="CW157" t="s">
        <v>987</v>
      </c>
      <c r="CX157" t="s">
        <v>2145</v>
      </c>
      <c r="CY157" t="s">
        <v>989</v>
      </c>
    </row>
    <row r="158" spans="1:103" hidden="1" x14ac:dyDescent="0.25">
      <c r="A158">
        <v>410000159</v>
      </c>
      <c r="B158" t="s">
        <v>2146</v>
      </c>
      <c r="C158" t="s">
        <v>2147</v>
      </c>
      <c r="D158">
        <v>401100000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</v>
      </c>
      <c r="Y158" t="s">
        <v>972</v>
      </c>
      <c r="Z158" t="s">
        <v>987</v>
      </c>
      <c r="AA158" t="s">
        <v>2148</v>
      </c>
      <c r="AB158" t="s">
        <v>975</v>
      </c>
      <c r="AC158">
        <v>5380</v>
      </c>
      <c r="AD158" t="s">
        <v>1967</v>
      </c>
      <c r="AE158" t="s">
        <v>2149</v>
      </c>
      <c r="AF158" t="s">
        <v>979</v>
      </c>
      <c r="AG158" t="s">
        <v>977</v>
      </c>
      <c r="AH158" t="s">
        <v>977</v>
      </c>
      <c r="AI158" t="s">
        <v>977</v>
      </c>
      <c r="AJ158" t="s">
        <v>978</v>
      </c>
      <c r="AK158" t="s">
        <v>978</v>
      </c>
      <c r="AL158" t="s">
        <v>978</v>
      </c>
      <c r="AM158" t="s">
        <v>979</v>
      </c>
      <c r="AN158">
        <v>0</v>
      </c>
      <c r="AO158" t="s">
        <v>257</v>
      </c>
      <c r="AP158">
        <v>0</v>
      </c>
      <c r="AQ158">
        <v>1</v>
      </c>
      <c r="AR158">
        <v>43</v>
      </c>
      <c r="AS158">
        <v>1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1</v>
      </c>
      <c r="AZ158" t="s">
        <v>257</v>
      </c>
      <c r="BA158" t="s">
        <v>980</v>
      </c>
      <c r="BB158" t="s">
        <v>981</v>
      </c>
      <c r="BC158" t="s">
        <v>257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 t="s">
        <v>998</v>
      </c>
      <c r="BK158" t="s">
        <v>981</v>
      </c>
      <c r="BL158" t="s">
        <v>2146</v>
      </c>
      <c r="BM158">
        <v>20141021</v>
      </c>
      <c r="BN158">
        <v>20181119</v>
      </c>
      <c r="BO158">
        <v>0</v>
      </c>
      <c r="BP158" t="s">
        <v>257</v>
      </c>
      <c r="BQ158" t="s">
        <v>983</v>
      </c>
      <c r="BR158" t="s">
        <v>978</v>
      </c>
      <c r="BS158" t="s">
        <v>979</v>
      </c>
      <c r="BT158">
        <v>0</v>
      </c>
      <c r="BU158">
        <v>0</v>
      </c>
      <c r="BV158" t="s">
        <v>1013</v>
      </c>
      <c r="BW158" t="s">
        <v>257</v>
      </c>
      <c r="BX158">
        <v>0</v>
      </c>
      <c r="BY158" t="s">
        <v>980</v>
      </c>
      <c r="BZ158" t="s">
        <v>257</v>
      </c>
      <c r="CA158">
        <v>0</v>
      </c>
      <c r="CB158">
        <v>0</v>
      </c>
      <c r="CC158" t="s">
        <v>1808</v>
      </c>
      <c r="CD158">
        <v>0</v>
      </c>
      <c r="CE158">
        <v>0</v>
      </c>
      <c r="CF158">
        <v>0</v>
      </c>
      <c r="CG158">
        <v>0</v>
      </c>
      <c r="CH158">
        <v>0</v>
      </c>
      <c r="CI158" t="s">
        <v>983</v>
      </c>
      <c r="CJ158" t="s">
        <v>972</v>
      </c>
      <c r="CK158" t="s">
        <v>986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 t="s">
        <v>987</v>
      </c>
      <c r="CV158">
        <v>400008159</v>
      </c>
      <c r="CW158" t="s">
        <v>987</v>
      </c>
      <c r="CX158" t="s">
        <v>2150</v>
      </c>
      <c r="CY158" t="s">
        <v>989</v>
      </c>
    </row>
    <row r="159" spans="1:103" hidden="1" x14ac:dyDescent="0.25">
      <c r="A159">
        <v>410000160</v>
      </c>
      <c r="B159" t="s">
        <v>2151</v>
      </c>
      <c r="C159" t="s">
        <v>2152</v>
      </c>
      <c r="D159">
        <v>401100000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 t="s">
        <v>972</v>
      </c>
      <c r="Z159" t="s">
        <v>2153</v>
      </c>
      <c r="AA159" t="s">
        <v>2154</v>
      </c>
      <c r="AB159" t="s">
        <v>975</v>
      </c>
      <c r="AC159">
        <v>4040</v>
      </c>
      <c r="AD159" t="s">
        <v>976</v>
      </c>
      <c r="AE159" t="s">
        <v>2155</v>
      </c>
      <c r="AF159" t="s">
        <v>2156</v>
      </c>
      <c r="AG159" t="s">
        <v>977</v>
      </c>
      <c r="AH159" t="s">
        <v>977</v>
      </c>
      <c r="AI159" t="s">
        <v>977</v>
      </c>
      <c r="AJ159" t="s">
        <v>978</v>
      </c>
      <c r="AK159" t="s">
        <v>978</v>
      </c>
      <c r="AL159" t="s">
        <v>978</v>
      </c>
      <c r="AM159" t="s">
        <v>979</v>
      </c>
      <c r="AN159">
        <v>0</v>
      </c>
      <c r="AO159" t="s">
        <v>257</v>
      </c>
      <c r="AP159">
        <v>0</v>
      </c>
      <c r="AQ159">
        <v>1</v>
      </c>
      <c r="AR159">
        <v>43</v>
      </c>
      <c r="AS159">
        <v>1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1</v>
      </c>
      <c r="AZ159" t="s">
        <v>257</v>
      </c>
      <c r="BA159" t="s">
        <v>980</v>
      </c>
      <c r="BB159" t="s">
        <v>981</v>
      </c>
      <c r="BC159" t="s">
        <v>257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410000001</v>
      </c>
      <c r="BJ159" t="s">
        <v>1021</v>
      </c>
      <c r="BK159" t="s">
        <v>981</v>
      </c>
      <c r="BL159" t="s">
        <v>2151</v>
      </c>
      <c r="BM159">
        <v>20141023</v>
      </c>
      <c r="BN159">
        <v>20211130</v>
      </c>
      <c r="BO159">
        <v>0</v>
      </c>
      <c r="BP159" t="s">
        <v>257</v>
      </c>
      <c r="BQ159" t="s">
        <v>983</v>
      </c>
      <c r="BR159" t="s">
        <v>978</v>
      </c>
      <c r="BS159" t="s">
        <v>2157</v>
      </c>
      <c r="BT159">
        <v>0</v>
      </c>
      <c r="BU159">
        <v>0</v>
      </c>
      <c r="BV159" t="s">
        <v>984</v>
      </c>
      <c r="BW159" t="s">
        <v>257</v>
      </c>
      <c r="BX159">
        <v>0</v>
      </c>
      <c r="BY159" t="s">
        <v>980</v>
      </c>
      <c r="BZ159" t="s">
        <v>257</v>
      </c>
      <c r="CA159">
        <v>0</v>
      </c>
      <c r="CB159">
        <v>0</v>
      </c>
      <c r="CC159" t="s">
        <v>985</v>
      </c>
      <c r="CD159">
        <v>0</v>
      </c>
      <c r="CE159">
        <v>0</v>
      </c>
      <c r="CF159">
        <v>0</v>
      </c>
      <c r="CG159">
        <v>0</v>
      </c>
      <c r="CH159">
        <v>0</v>
      </c>
      <c r="CI159" t="s">
        <v>983</v>
      </c>
      <c r="CJ159" t="s">
        <v>972</v>
      </c>
      <c r="CK159" t="s">
        <v>986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 t="s">
        <v>987</v>
      </c>
      <c r="CV159">
        <v>400008160</v>
      </c>
      <c r="CW159" t="s">
        <v>987</v>
      </c>
      <c r="CX159" t="s">
        <v>1023</v>
      </c>
      <c r="CY159" t="s">
        <v>989</v>
      </c>
    </row>
    <row r="160" spans="1:103" hidden="1" x14ac:dyDescent="0.25">
      <c r="A160">
        <v>410000161</v>
      </c>
      <c r="B160" t="s">
        <v>2158</v>
      </c>
      <c r="C160" t="s">
        <v>2159</v>
      </c>
      <c r="D160">
        <v>401100000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 t="s">
        <v>972</v>
      </c>
      <c r="Z160" t="s">
        <v>987</v>
      </c>
      <c r="AA160" t="s">
        <v>1109</v>
      </c>
      <c r="AB160" t="s">
        <v>975</v>
      </c>
      <c r="AC160">
        <v>5310</v>
      </c>
      <c r="AD160" t="s">
        <v>1110</v>
      </c>
      <c r="AE160" t="s">
        <v>2160</v>
      </c>
      <c r="AF160" t="s">
        <v>2161</v>
      </c>
      <c r="AG160" t="s">
        <v>977</v>
      </c>
      <c r="AH160" t="s">
        <v>977</v>
      </c>
      <c r="AI160" t="s">
        <v>977</v>
      </c>
      <c r="AJ160" t="s">
        <v>2162</v>
      </c>
      <c r="AK160" t="s">
        <v>978</v>
      </c>
      <c r="AL160" t="s">
        <v>978</v>
      </c>
      <c r="AM160" t="s">
        <v>979</v>
      </c>
      <c r="AN160">
        <v>0</v>
      </c>
      <c r="AO160" t="s">
        <v>257</v>
      </c>
      <c r="AP160">
        <v>0</v>
      </c>
      <c r="AQ160">
        <v>1</v>
      </c>
      <c r="AR160">
        <v>43</v>
      </c>
      <c r="AS160">
        <v>1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1</v>
      </c>
      <c r="AZ160" t="s">
        <v>257</v>
      </c>
      <c r="BA160" t="s">
        <v>980</v>
      </c>
      <c r="BB160" t="s">
        <v>981</v>
      </c>
      <c r="BC160" t="s">
        <v>257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 t="s">
        <v>998</v>
      </c>
      <c r="BK160" t="s">
        <v>981</v>
      </c>
      <c r="BL160" t="s">
        <v>2158</v>
      </c>
      <c r="BM160">
        <v>20141024</v>
      </c>
      <c r="BN160">
        <v>20181119</v>
      </c>
      <c r="BO160">
        <v>0</v>
      </c>
      <c r="BP160" t="s">
        <v>257</v>
      </c>
      <c r="BQ160" t="s">
        <v>983</v>
      </c>
      <c r="BR160" t="s">
        <v>978</v>
      </c>
      <c r="BS160" t="s">
        <v>979</v>
      </c>
      <c r="BT160">
        <v>0</v>
      </c>
      <c r="BU160">
        <v>0</v>
      </c>
      <c r="BV160" t="s">
        <v>1013</v>
      </c>
      <c r="BW160" t="s">
        <v>257</v>
      </c>
      <c r="BX160">
        <v>0</v>
      </c>
      <c r="BY160" t="s">
        <v>980</v>
      </c>
      <c r="BZ160" t="s">
        <v>257</v>
      </c>
      <c r="CA160">
        <v>0</v>
      </c>
      <c r="CB160">
        <v>0</v>
      </c>
      <c r="CC160" t="s">
        <v>1317</v>
      </c>
      <c r="CD160">
        <v>0</v>
      </c>
      <c r="CE160">
        <v>0</v>
      </c>
      <c r="CF160">
        <v>0</v>
      </c>
      <c r="CG160">
        <v>0</v>
      </c>
      <c r="CH160">
        <v>0</v>
      </c>
      <c r="CI160" t="s">
        <v>983</v>
      </c>
      <c r="CJ160" t="s">
        <v>972</v>
      </c>
      <c r="CK160" t="s">
        <v>986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 t="s">
        <v>987</v>
      </c>
      <c r="CV160">
        <v>400008161</v>
      </c>
      <c r="CW160" t="s">
        <v>987</v>
      </c>
      <c r="CX160" t="s">
        <v>2163</v>
      </c>
      <c r="CY160" t="s">
        <v>989</v>
      </c>
    </row>
    <row r="161" spans="1:103" hidden="1" x14ac:dyDescent="0.25">
      <c r="A161">
        <v>410000162</v>
      </c>
      <c r="B161" t="s">
        <v>2164</v>
      </c>
      <c r="C161" t="s">
        <v>1073</v>
      </c>
      <c r="D161">
        <v>401100000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1</v>
      </c>
      <c r="Y161" t="s">
        <v>972</v>
      </c>
      <c r="Z161" t="s">
        <v>987</v>
      </c>
      <c r="AA161" t="s">
        <v>1075</v>
      </c>
      <c r="AB161" t="s">
        <v>975</v>
      </c>
      <c r="AC161">
        <v>4340</v>
      </c>
      <c r="AD161" t="s">
        <v>1076</v>
      </c>
      <c r="AE161" t="s">
        <v>1077</v>
      </c>
      <c r="AF161" t="s">
        <v>979</v>
      </c>
      <c r="AG161" t="s">
        <v>977</v>
      </c>
      <c r="AH161" t="s">
        <v>977</v>
      </c>
      <c r="AI161" t="s">
        <v>977</v>
      </c>
      <c r="AJ161" t="s">
        <v>978</v>
      </c>
      <c r="AK161" t="s">
        <v>978</v>
      </c>
      <c r="AL161" t="s">
        <v>978</v>
      </c>
      <c r="AM161" t="s">
        <v>979</v>
      </c>
      <c r="AN161">
        <v>0</v>
      </c>
      <c r="AO161" t="s">
        <v>257</v>
      </c>
      <c r="AP161">
        <v>0</v>
      </c>
      <c r="AQ161">
        <v>1</v>
      </c>
      <c r="AR161">
        <v>43</v>
      </c>
      <c r="AS161">
        <v>1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1</v>
      </c>
      <c r="AZ161" t="s">
        <v>257</v>
      </c>
      <c r="BA161" t="s">
        <v>980</v>
      </c>
      <c r="BB161" t="s">
        <v>1010</v>
      </c>
      <c r="BC161" t="s">
        <v>257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 t="s">
        <v>998</v>
      </c>
      <c r="BK161" t="s">
        <v>981</v>
      </c>
      <c r="BL161" t="s">
        <v>2164</v>
      </c>
      <c r="BM161">
        <v>20141024</v>
      </c>
      <c r="BN161">
        <v>20181119</v>
      </c>
      <c r="BO161">
        <v>20170717</v>
      </c>
      <c r="BP161" t="s">
        <v>257</v>
      </c>
      <c r="BQ161" t="s">
        <v>983</v>
      </c>
      <c r="BR161" t="s">
        <v>978</v>
      </c>
      <c r="BS161" t="s">
        <v>979</v>
      </c>
      <c r="BT161">
        <v>0</v>
      </c>
      <c r="BU161">
        <v>0</v>
      </c>
      <c r="BV161" t="s">
        <v>1013</v>
      </c>
      <c r="BW161" t="s">
        <v>257</v>
      </c>
      <c r="BX161">
        <v>0</v>
      </c>
      <c r="BY161" t="s">
        <v>980</v>
      </c>
      <c r="BZ161" t="s">
        <v>257</v>
      </c>
      <c r="CA161">
        <v>0</v>
      </c>
      <c r="CB161">
        <v>0</v>
      </c>
      <c r="CC161" t="s">
        <v>1391</v>
      </c>
      <c r="CD161">
        <v>0</v>
      </c>
      <c r="CE161">
        <v>0</v>
      </c>
      <c r="CF161">
        <v>0</v>
      </c>
      <c r="CG161">
        <v>0</v>
      </c>
      <c r="CH161">
        <v>0</v>
      </c>
      <c r="CI161" t="s">
        <v>983</v>
      </c>
      <c r="CJ161" t="s">
        <v>972</v>
      </c>
      <c r="CK161" t="s">
        <v>986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 t="s">
        <v>987</v>
      </c>
      <c r="CV161">
        <v>400008162</v>
      </c>
      <c r="CW161" t="s">
        <v>987</v>
      </c>
      <c r="CX161" t="s">
        <v>2165</v>
      </c>
      <c r="CY161" t="s">
        <v>989</v>
      </c>
    </row>
    <row r="162" spans="1:103" hidden="1" x14ac:dyDescent="0.25">
      <c r="A162">
        <v>410000163</v>
      </c>
      <c r="B162" t="s">
        <v>2166</v>
      </c>
      <c r="C162" t="s">
        <v>2167</v>
      </c>
      <c r="D162">
        <v>401100000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1</v>
      </c>
      <c r="Y162" t="s">
        <v>972</v>
      </c>
      <c r="Z162" t="s">
        <v>2168</v>
      </c>
      <c r="AA162" t="s">
        <v>2169</v>
      </c>
      <c r="AB162" t="s">
        <v>975</v>
      </c>
      <c r="AC162">
        <v>4650</v>
      </c>
      <c r="AD162" t="s">
        <v>2170</v>
      </c>
      <c r="AE162" t="s">
        <v>2171</v>
      </c>
      <c r="AF162" t="s">
        <v>2172</v>
      </c>
      <c r="AG162" t="s">
        <v>977</v>
      </c>
      <c r="AH162" t="s">
        <v>977</v>
      </c>
      <c r="AI162" t="s">
        <v>977</v>
      </c>
      <c r="AJ162" t="s">
        <v>978</v>
      </c>
      <c r="AK162" t="s">
        <v>978</v>
      </c>
      <c r="AL162" t="s">
        <v>978</v>
      </c>
      <c r="AM162" t="s">
        <v>979</v>
      </c>
      <c r="AN162">
        <v>0</v>
      </c>
      <c r="AO162" t="s">
        <v>257</v>
      </c>
      <c r="AP162">
        <v>0</v>
      </c>
      <c r="AQ162">
        <v>1</v>
      </c>
      <c r="AR162">
        <v>69</v>
      </c>
      <c r="AS162">
        <v>1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1</v>
      </c>
      <c r="AZ162" t="s">
        <v>257</v>
      </c>
      <c r="BA162" t="s">
        <v>980</v>
      </c>
      <c r="BB162" t="s">
        <v>981</v>
      </c>
      <c r="BC162" t="s">
        <v>257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 t="s">
        <v>998</v>
      </c>
      <c r="BK162" t="s">
        <v>981</v>
      </c>
      <c r="BL162" t="s">
        <v>2166</v>
      </c>
      <c r="BM162">
        <v>20141103</v>
      </c>
      <c r="BN162">
        <v>20240910</v>
      </c>
      <c r="BO162">
        <v>0</v>
      </c>
      <c r="BP162" t="s">
        <v>257</v>
      </c>
      <c r="BQ162" t="s">
        <v>983</v>
      </c>
      <c r="BR162" t="s">
        <v>978</v>
      </c>
      <c r="BS162" t="s">
        <v>2173</v>
      </c>
      <c r="BT162">
        <v>0</v>
      </c>
      <c r="BU162">
        <v>0</v>
      </c>
      <c r="BV162" t="s">
        <v>984</v>
      </c>
      <c r="BW162" t="s">
        <v>257</v>
      </c>
      <c r="BX162">
        <v>0</v>
      </c>
      <c r="BY162" t="s">
        <v>980</v>
      </c>
      <c r="BZ162" t="s">
        <v>257</v>
      </c>
      <c r="CA162">
        <v>0</v>
      </c>
      <c r="CB162">
        <v>0</v>
      </c>
      <c r="CC162" t="s">
        <v>1491</v>
      </c>
      <c r="CD162">
        <v>0</v>
      </c>
      <c r="CE162">
        <v>0</v>
      </c>
      <c r="CF162">
        <v>0</v>
      </c>
      <c r="CG162">
        <v>0</v>
      </c>
      <c r="CH162">
        <v>0</v>
      </c>
      <c r="CI162" t="s">
        <v>983</v>
      </c>
      <c r="CJ162" t="s">
        <v>972</v>
      </c>
      <c r="CK162" t="s">
        <v>986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 t="s">
        <v>987</v>
      </c>
      <c r="CV162">
        <v>400008163</v>
      </c>
      <c r="CW162" t="s">
        <v>987</v>
      </c>
      <c r="CX162" t="s">
        <v>2174</v>
      </c>
      <c r="CY162" t="s">
        <v>989</v>
      </c>
    </row>
    <row r="163" spans="1:103" hidden="1" x14ac:dyDescent="0.25">
      <c r="A163">
        <v>410000164</v>
      </c>
      <c r="B163" t="s">
        <v>2175</v>
      </c>
      <c r="C163" t="s">
        <v>978</v>
      </c>
      <c r="D163">
        <v>401100000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</v>
      </c>
      <c r="X163">
        <v>1</v>
      </c>
      <c r="Y163" t="s">
        <v>2176</v>
      </c>
      <c r="Z163" t="s">
        <v>987</v>
      </c>
      <c r="AA163" t="s">
        <v>2177</v>
      </c>
      <c r="AB163" t="s">
        <v>975</v>
      </c>
      <c r="AC163">
        <v>6960</v>
      </c>
      <c r="AD163" t="s">
        <v>2179</v>
      </c>
      <c r="AE163" t="s">
        <v>2180</v>
      </c>
      <c r="AF163" t="s">
        <v>979</v>
      </c>
      <c r="AG163" t="s">
        <v>977</v>
      </c>
      <c r="AH163" t="s">
        <v>977</v>
      </c>
      <c r="AI163" t="s">
        <v>977</v>
      </c>
      <c r="AJ163" t="s">
        <v>2181</v>
      </c>
      <c r="AK163" t="s">
        <v>978</v>
      </c>
      <c r="AL163" t="s">
        <v>978</v>
      </c>
      <c r="AM163" t="s">
        <v>979</v>
      </c>
      <c r="AN163">
        <v>0</v>
      </c>
      <c r="AO163" t="s">
        <v>257</v>
      </c>
      <c r="AP163">
        <v>0</v>
      </c>
      <c r="AQ163">
        <v>1</v>
      </c>
      <c r="AR163">
        <v>43</v>
      </c>
      <c r="AS163">
        <v>1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1</v>
      </c>
      <c r="AZ163" t="s">
        <v>257</v>
      </c>
      <c r="BA163" t="s">
        <v>980</v>
      </c>
      <c r="BB163" t="s">
        <v>981</v>
      </c>
      <c r="BC163" t="s">
        <v>257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410000082</v>
      </c>
      <c r="BJ163" t="s">
        <v>1021</v>
      </c>
      <c r="BK163" t="s">
        <v>981</v>
      </c>
      <c r="BL163" t="s">
        <v>2175</v>
      </c>
      <c r="BM163">
        <v>20141103</v>
      </c>
      <c r="BN163">
        <v>20250402</v>
      </c>
      <c r="BO163">
        <v>0</v>
      </c>
      <c r="BP163" t="s">
        <v>257</v>
      </c>
      <c r="BQ163" t="s">
        <v>983</v>
      </c>
      <c r="BR163" t="s">
        <v>978</v>
      </c>
      <c r="BS163" t="s">
        <v>979</v>
      </c>
      <c r="BT163">
        <v>0</v>
      </c>
      <c r="BU163">
        <v>0</v>
      </c>
      <c r="BV163" t="s">
        <v>1013</v>
      </c>
      <c r="BW163" t="s">
        <v>257</v>
      </c>
      <c r="BX163">
        <v>0</v>
      </c>
      <c r="BY163" t="s">
        <v>980</v>
      </c>
      <c r="BZ163" t="s">
        <v>257</v>
      </c>
      <c r="CA163">
        <v>0</v>
      </c>
      <c r="CB163">
        <v>0</v>
      </c>
      <c r="CC163" t="s">
        <v>1871</v>
      </c>
      <c r="CD163">
        <v>0</v>
      </c>
      <c r="CE163">
        <v>0</v>
      </c>
      <c r="CF163">
        <v>0</v>
      </c>
      <c r="CG163">
        <v>0</v>
      </c>
      <c r="CH163">
        <v>0</v>
      </c>
      <c r="CI163" t="s">
        <v>983</v>
      </c>
      <c r="CJ163" t="s">
        <v>972</v>
      </c>
      <c r="CK163" t="s">
        <v>986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 t="s">
        <v>987</v>
      </c>
      <c r="CV163">
        <v>400008164</v>
      </c>
      <c r="CW163" t="s">
        <v>987</v>
      </c>
      <c r="CX163" t="s">
        <v>1081</v>
      </c>
      <c r="CY163" t="s">
        <v>989</v>
      </c>
    </row>
    <row r="164" spans="1:103" hidden="1" x14ac:dyDescent="0.25">
      <c r="A164">
        <v>410000165</v>
      </c>
      <c r="B164" t="s">
        <v>2182</v>
      </c>
      <c r="C164" t="s">
        <v>1310</v>
      </c>
      <c r="D164">
        <v>401100000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1</v>
      </c>
      <c r="Y164" t="s">
        <v>972</v>
      </c>
      <c r="Z164" t="s">
        <v>2183</v>
      </c>
      <c r="AA164" t="s">
        <v>2184</v>
      </c>
      <c r="AB164" t="s">
        <v>975</v>
      </c>
      <c r="AC164">
        <v>4432</v>
      </c>
      <c r="AD164" t="s">
        <v>1313</v>
      </c>
      <c r="AE164" t="s">
        <v>2185</v>
      </c>
      <c r="AF164" t="s">
        <v>1315</v>
      </c>
      <c r="AG164" t="s">
        <v>977</v>
      </c>
      <c r="AH164" t="s">
        <v>977</v>
      </c>
      <c r="AI164" t="s">
        <v>977</v>
      </c>
      <c r="AJ164" t="s">
        <v>2186</v>
      </c>
      <c r="AK164" s="1">
        <v>42740</v>
      </c>
      <c r="AL164" t="s">
        <v>978</v>
      </c>
      <c r="AM164" t="s">
        <v>979</v>
      </c>
      <c r="AN164">
        <v>0</v>
      </c>
      <c r="AO164" t="s">
        <v>257</v>
      </c>
      <c r="AP164">
        <v>0</v>
      </c>
      <c r="AQ164">
        <v>1</v>
      </c>
      <c r="AR164">
        <v>43</v>
      </c>
      <c r="AS164">
        <v>1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1</v>
      </c>
      <c r="AZ164" t="s">
        <v>257</v>
      </c>
      <c r="BA164" t="s">
        <v>980</v>
      </c>
      <c r="BB164" t="s">
        <v>1010</v>
      </c>
      <c r="BC164" t="s">
        <v>257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 t="s">
        <v>998</v>
      </c>
      <c r="BK164" t="s">
        <v>981</v>
      </c>
      <c r="BL164" t="s">
        <v>2187</v>
      </c>
      <c r="BM164">
        <v>20141103</v>
      </c>
      <c r="BN164">
        <v>20181119</v>
      </c>
      <c r="BO164">
        <v>20170105</v>
      </c>
      <c r="BP164" t="s">
        <v>257</v>
      </c>
      <c r="BQ164" t="s">
        <v>983</v>
      </c>
      <c r="BR164" t="s">
        <v>978</v>
      </c>
      <c r="BS164" t="s">
        <v>1316</v>
      </c>
      <c r="BT164">
        <v>0</v>
      </c>
      <c r="BU164">
        <v>0</v>
      </c>
      <c r="BV164" t="s">
        <v>1013</v>
      </c>
      <c r="BW164" t="s">
        <v>257</v>
      </c>
      <c r="BX164">
        <v>0</v>
      </c>
      <c r="BY164" t="s">
        <v>980</v>
      </c>
      <c r="BZ164" t="s">
        <v>257</v>
      </c>
      <c r="CA164">
        <v>0</v>
      </c>
      <c r="CB164">
        <v>0</v>
      </c>
      <c r="CC164" t="s">
        <v>1317</v>
      </c>
      <c r="CD164">
        <v>0</v>
      </c>
      <c r="CE164">
        <v>0</v>
      </c>
      <c r="CF164">
        <v>0</v>
      </c>
      <c r="CG164">
        <v>0</v>
      </c>
      <c r="CH164">
        <v>0</v>
      </c>
      <c r="CI164" t="s">
        <v>983</v>
      </c>
      <c r="CJ164" t="s">
        <v>972</v>
      </c>
      <c r="CK164" t="s">
        <v>986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 t="s">
        <v>987</v>
      </c>
      <c r="CV164">
        <v>400008165</v>
      </c>
      <c r="CW164" t="s">
        <v>987</v>
      </c>
      <c r="CX164" t="s">
        <v>2188</v>
      </c>
      <c r="CY164" t="s">
        <v>989</v>
      </c>
    </row>
    <row r="165" spans="1:103" hidden="1" x14ac:dyDescent="0.25">
      <c r="A165">
        <v>410000166</v>
      </c>
      <c r="B165" t="s">
        <v>2189</v>
      </c>
      <c r="C165" t="s">
        <v>2190</v>
      </c>
      <c r="D165">
        <v>401100000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1</v>
      </c>
      <c r="Y165" t="s">
        <v>972</v>
      </c>
      <c r="Z165" t="s">
        <v>2191</v>
      </c>
      <c r="AA165" t="s">
        <v>2192</v>
      </c>
      <c r="AB165" t="s">
        <v>975</v>
      </c>
      <c r="AC165">
        <v>1348</v>
      </c>
      <c r="AD165" t="s">
        <v>2193</v>
      </c>
      <c r="AE165" t="s">
        <v>2194</v>
      </c>
      <c r="AF165" t="s">
        <v>979</v>
      </c>
      <c r="AG165" t="s">
        <v>977</v>
      </c>
      <c r="AH165" t="s">
        <v>977</v>
      </c>
      <c r="AI165" t="s">
        <v>977</v>
      </c>
      <c r="AJ165" t="s">
        <v>978</v>
      </c>
      <c r="AK165" t="s">
        <v>978</v>
      </c>
      <c r="AL165" t="s">
        <v>978</v>
      </c>
      <c r="AM165" t="s">
        <v>979</v>
      </c>
      <c r="AN165">
        <v>0</v>
      </c>
      <c r="AO165" t="s">
        <v>257</v>
      </c>
      <c r="AP165">
        <v>0</v>
      </c>
      <c r="AQ165">
        <v>1</v>
      </c>
      <c r="AR165">
        <v>43</v>
      </c>
      <c r="AS165">
        <v>1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1</v>
      </c>
      <c r="AZ165" t="s">
        <v>257</v>
      </c>
      <c r="BA165" t="s">
        <v>980</v>
      </c>
      <c r="BB165" t="s">
        <v>981</v>
      </c>
      <c r="BC165" t="s">
        <v>257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 t="s">
        <v>998</v>
      </c>
      <c r="BK165" t="s">
        <v>981</v>
      </c>
      <c r="BL165" t="s">
        <v>2189</v>
      </c>
      <c r="BM165">
        <v>20141104</v>
      </c>
      <c r="BN165">
        <v>20181119</v>
      </c>
      <c r="BO165">
        <v>0</v>
      </c>
      <c r="BP165" t="s">
        <v>257</v>
      </c>
      <c r="BQ165" t="s">
        <v>983</v>
      </c>
      <c r="BR165" t="s">
        <v>978</v>
      </c>
      <c r="BS165" t="s">
        <v>979</v>
      </c>
      <c r="BT165">
        <v>0</v>
      </c>
      <c r="BU165">
        <v>0</v>
      </c>
      <c r="BV165" t="s">
        <v>1013</v>
      </c>
      <c r="BW165" t="s">
        <v>257</v>
      </c>
      <c r="BX165">
        <v>0</v>
      </c>
      <c r="BY165" t="s">
        <v>980</v>
      </c>
      <c r="BZ165" t="s">
        <v>257</v>
      </c>
      <c r="CA165">
        <v>0</v>
      </c>
      <c r="CB165">
        <v>0</v>
      </c>
      <c r="CC165" t="s">
        <v>2195</v>
      </c>
      <c r="CD165">
        <v>0</v>
      </c>
      <c r="CE165">
        <v>0</v>
      </c>
      <c r="CF165">
        <v>0</v>
      </c>
      <c r="CG165">
        <v>0</v>
      </c>
      <c r="CH165">
        <v>0</v>
      </c>
      <c r="CI165" t="s">
        <v>983</v>
      </c>
      <c r="CJ165" t="s">
        <v>972</v>
      </c>
      <c r="CK165" t="s">
        <v>986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 t="s">
        <v>987</v>
      </c>
      <c r="CV165">
        <v>400008166</v>
      </c>
      <c r="CW165" t="s">
        <v>987</v>
      </c>
      <c r="CX165" t="s">
        <v>2196</v>
      </c>
      <c r="CY165" t="s">
        <v>989</v>
      </c>
    </row>
    <row r="166" spans="1:103" hidden="1" x14ac:dyDescent="0.25">
      <c r="A166">
        <v>410000167</v>
      </c>
      <c r="B166" t="s">
        <v>2197</v>
      </c>
      <c r="C166" t="s">
        <v>2198</v>
      </c>
      <c r="D166">
        <v>401100000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1</v>
      </c>
      <c r="Y166" t="s">
        <v>972</v>
      </c>
      <c r="Z166" t="s">
        <v>987</v>
      </c>
      <c r="AA166" t="s">
        <v>2199</v>
      </c>
      <c r="AB166" t="s">
        <v>975</v>
      </c>
      <c r="AC166">
        <v>1050</v>
      </c>
      <c r="AD166" t="s">
        <v>2200</v>
      </c>
      <c r="AE166" t="s">
        <v>2201</v>
      </c>
      <c r="AF166" t="s">
        <v>2202</v>
      </c>
      <c r="AG166" t="s">
        <v>977</v>
      </c>
      <c r="AH166" t="s">
        <v>977</v>
      </c>
      <c r="AI166" t="s">
        <v>977</v>
      </c>
      <c r="AJ166" t="s">
        <v>1051</v>
      </c>
      <c r="AK166" t="s">
        <v>978</v>
      </c>
      <c r="AL166" t="s">
        <v>978</v>
      </c>
      <c r="AM166" t="s">
        <v>979</v>
      </c>
      <c r="AN166">
        <v>0</v>
      </c>
      <c r="AO166" t="s">
        <v>257</v>
      </c>
      <c r="AP166">
        <v>0</v>
      </c>
      <c r="AQ166">
        <v>1</v>
      </c>
      <c r="AR166">
        <v>43</v>
      </c>
      <c r="AS166">
        <v>1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1</v>
      </c>
      <c r="AZ166" t="s">
        <v>257</v>
      </c>
      <c r="BA166" t="s">
        <v>980</v>
      </c>
      <c r="BB166" t="s">
        <v>981</v>
      </c>
      <c r="BC166" t="s">
        <v>257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 t="s">
        <v>998</v>
      </c>
      <c r="BK166" t="s">
        <v>981</v>
      </c>
      <c r="BL166" t="s">
        <v>2197</v>
      </c>
      <c r="BM166">
        <v>20141106</v>
      </c>
      <c r="BN166">
        <v>20181119</v>
      </c>
      <c r="BO166">
        <v>0</v>
      </c>
      <c r="BP166" t="s">
        <v>257</v>
      </c>
      <c r="BQ166" t="s">
        <v>983</v>
      </c>
      <c r="BR166" t="s">
        <v>978</v>
      </c>
      <c r="BS166" t="s">
        <v>979</v>
      </c>
      <c r="BT166">
        <v>0</v>
      </c>
      <c r="BU166">
        <v>0</v>
      </c>
      <c r="BV166" t="s">
        <v>1013</v>
      </c>
      <c r="BW166" t="s">
        <v>257</v>
      </c>
      <c r="BX166">
        <v>0</v>
      </c>
      <c r="BY166" t="s">
        <v>980</v>
      </c>
      <c r="BZ166" t="s">
        <v>257</v>
      </c>
      <c r="CA166">
        <v>0</v>
      </c>
      <c r="CB166">
        <v>0</v>
      </c>
      <c r="CC166" t="s">
        <v>1430</v>
      </c>
      <c r="CD166">
        <v>0</v>
      </c>
      <c r="CE166">
        <v>0</v>
      </c>
      <c r="CF166">
        <v>0</v>
      </c>
      <c r="CG166">
        <v>0</v>
      </c>
      <c r="CH166">
        <v>0</v>
      </c>
      <c r="CI166" t="s">
        <v>983</v>
      </c>
      <c r="CJ166" t="s">
        <v>972</v>
      </c>
      <c r="CK166" t="s">
        <v>986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 t="s">
        <v>987</v>
      </c>
      <c r="CV166">
        <v>400008167</v>
      </c>
      <c r="CW166" t="s">
        <v>987</v>
      </c>
      <c r="CX166" t="s">
        <v>2203</v>
      </c>
      <c r="CY166" t="s">
        <v>989</v>
      </c>
    </row>
    <row r="167" spans="1:103" hidden="1" x14ac:dyDescent="0.25">
      <c r="A167">
        <v>410000168</v>
      </c>
      <c r="B167" t="s">
        <v>2204</v>
      </c>
      <c r="C167" t="s">
        <v>2205</v>
      </c>
      <c r="D167">
        <v>401100000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1</v>
      </c>
      <c r="Y167" t="s">
        <v>972</v>
      </c>
      <c r="Z167" t="s">
        <v>987</v>
      </c>
      <c r="AA167" t="s">
        <v>2206</v>
      </c>
      <c r="AB167" t="s">
        <v>975</v>
      </c>
      <c r="AC167">
        <v>4600</v>
      </c>
      <c r="AD167" t="s">
        <v>1813</v>
      </c>
      <c r="AE167" t="s">
        <v>979</v>
      </c>
      <c r="AF167" t="s">
        <v>979</v>
      </c>
      <c r="AG167" t="s">
        <v>977</v>
      </c>
      <c r="AH167" t="s">
        <v>977</v>
      </c>
      <c r="AI167" t="s">
        <v>977</v>
      </c>
      <c r="AJ167" t="s">
        <v>978</v>
      </c>
      <c r="AK167" t="s">
        <v>978</v>
      </c>
      <c r="AL167" t="s">
        <v>978</v>
      </c>
      <c r="AM167" t="s">
        <v>979</v>
      </c>
      <c r="AN167">
        <v>0</v>
      </c>
      <c r="AO167" t="s">
        <v>257</v>
      </c>
      <c r="AP167">
        <v>0</v>
      </c>
      <c r="AQ167">
        <v>1</v>
      </c>
      <c r="AR167">
        <v>43</v>
      </c>
      <c r="AS167">
        <v>1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1</v>
      </c>
      <c r="AZ167" t="s">
        <v>257</v>
      </c>
      <c r="BA167" t="s">
        <v>980</v>
      </c>
      <c r="BB167" t="s">
        <v>981</v>
      </c>
      <c r="BC167" t="s">
        <v>257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 t="s">
        <v>998</v>
      </c>
      <c r="BK167" t="s">
        <v>981</v>
      </c>
      <c r="BL167" t="s">
        <v>2204</v>
      </c>
      <c r="BM167">
        <v>20141106</v>
      </c>
      <c r="BN167">
        <v>20181119</v>
      </c>
      <c r="BO167">
        <v>0</v>
      </c>
      <c r="BP167" t="s">
        <v>257</v>
      </c>
      <c r="BQ167" t="s">
        <v>983</v>
      </c>
      <c r="BR167" t="s">
        <v>978</v>
      </c>
      <c r="BS167" t="s">
        <v>2207</v>
      </c>
      <c r="BT167">
        <v>0</v>
      </c>
      <c r="BU167">
        <v>0</v>
      </c>
      <c r="BV167" t="s">
        <v>1013</v>
      </c>
      <c r="BW167" t="s">
        <v>257</v>
      </c>
      <c r="BX167">
        <v>0</v>
      </c>
      <c r="BY167" t="s">
        <v>980</v>
      </c>
      <c r="BZ167" t="s">
        <v>257</v>
      </c>
      <c r="CA167">
        <v>0</v>
      </c>
      <c r="CB167">
        <v>0</v>
      </c>
      <c r="CC167" t="s">
        <v>2208</v>
      </c>
      <c r="CD167">
        <v>0</v>
      </c>
      <c r="CE167">
        <v>0</v>
      </c>
      <c r="CF167">
        <v>0</v>
      </c>
      <c r="CG167">
        <v>0</v>
      </c>
      <c r="CH167">
        <v>0</v>
      </c>
      <c r="CI167" t="s">
        <v>983</v>
      </c>
      <c r="CJ167" t="s">
        <v>972</v>
      </c>
      <c r="CK167" t="s">
        <v>986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 t="s">
        <v>987</v>
      </c>
      <c r="CV167">
        <v>400008168</v>
      </c>
      <c r="CW167" t="s">
        <v>987</v>
      </c>
      <c r="CX167" t="s">
        <v>1081</v>
      </c>
      <c r="CY167" t="s">
        <v>989</v>
      </c>
    </row>
    <row r="168" spans="1:103" hidden="1" x14ac:dyDescent="0.25">
      <c r="A168">
        <v>410000169</v>
      </c>
      <c r="B168" t="s">
        <v>2209</v>
      </c>
      <c r="C168" t="s">
        <v>1003</v>
      </c>
      <c r="D168">
        <v>401100000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1</v>
      </c>
      <c r="Y168" t="s">
        <v>972</v>
      </c>
      <c r="Z168" t="s">
        <v>987</v>
      </c>
      <c r="AA168" t="s">
        <v>7025</v>
      </c>
      <c r="AB168" t="s">
        <v>975</v>
      </c>
      <c r="AC168">
        <v>1160</v>
      </c>
      <c r="AD168" t="s">
        <v>4429</v>
      </c>
      <c r="AE168" t="s">
        <v>2211</v>
      </c>
      <c r="AF168" t="s">
        <v>2212</v>
      </c>
      <c r="AG168" t="s">
        <v>977</v>
      </c>
      <c r="AH168" t="s">
        <v>977</v>
      </c>
      <c r="AI168" t="s">
        <v>977</v>
      </c>
      <c r="AJ168" t="s">
        <v>1301</v>
      </c>
      <c r="AK168" t="s">
        <v>1302</v>
      </c>
      <c r="AL168" t="s">
        <v>1303</v>
      </c>
      <c r="AM168" t="s">
        <v>979</v>
      </c>
      <c r="AN168">
        <v>0</v>
      </c>
      <c r="AO168" t="s">
        <v>257</v>
      </c>
      <c r="AP168">
        <v>0</v>
      </c>
      <c r="AQ168">
        <v>1</v>
      </c>
      <c r="AR168">
        <v>43</v>
      </c>
      <c r="AS168">
        <v>1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1</v>
      </c>
      <c r="AZ168" t="s">
        <v>257</v>
      </c>
      <c r="BA168" t="s">
        <v>980</v>
      </c>
      <c r="BB168" t="s">
        <v>981</v>
      </c>
      <c r="BC168" t="s">
        <v>257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410000040</v>
      </c>
      <c r="BJ168" t="s">
        <v>998</v>
      </c>
      <c r="BK168" t="s">
        <v>981</v>
      </c>
      <c r="BL168" t="s">
        <v>2209</v>
      </c>
      <c r="BM168">
        <v>20141107</v>
      </c>
      <c r="BN168">
        <v>20250423</v>
      </c>
      <c r="BO168">
        <v>0</v>
      </c>
      <c r="BP168" t="s">
        <v>257</v>
      </c>
      <c r="BQ168" t="s">
        <v>983</v>
      </c>
      <c r="BR168" t="s">
        <v>978</v>
      </c>
      <c r="BS168" t="s">
        <v>979</v>
      </c>
      <c r="BT168">
        <v>0</v>
      </c>
      <c r="BU168">
        <v>0</v>
      </c>
      <c r="BV168" t="s">
        <v>984</v>
      </c>
      <c r="BW168" t="s">
        <v>257</v>
      </c>
      <c r="BX168">
        <v>0</v>
      </c>
      <c r="BY168" t="s">
        <v>980</v>
      </c>
      <c r="BZ168" t="s">
        <v>257</v>
      </c>
      <c r="CA168">
        <v>0</v>
      </c>
      <c r="CB168">
        <v>0</v>
      </c>
      <c r="CC168" t="s">
        <v>1901</v>
      </c>
      <c r="CD168">
        <v>0</v>
      </c>
      <c r="CE168">
        <v>0</v>
      </c>
      <c r="CF168">
        <v>0</v>
      </c>
      <c r="CG168">
        <v>0</v>
      </c>
      <c r="CH168">
        <v>0</v>
      </c>
      <c r="CI168" t="s">
        <v>983</v>
      </c>
      <c r="CJ168" t="s">
        <v>972</v>
      </c>
      <c r="CK168" t="s">
        <v>986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 t="s">
        <v>987</v>
      </c>
      <c r="CV168">
        <v>400008169</v>
      </c>
      <c r="CW168" t="s">
        <v>987</v>
      </c>
      <c r="CX168" t="s">
        <v>1015</v>
      </c>
      <c r="CY168" t="s">
        <v>989</v>
      </c>
    </row>
    <row r="169" spans="1:103" hidden="1" x14ac:dyDescent="0.25">
      <c r="A169">
        <v>410000170</v>
      </c>
      <c r="B169" t="s">
        <v>2213</v>
      </c>
      <c r="C169" t="s">
        <v>2214</v>
      </c>
      <c r="D169">
        <v>401100000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1</v>
      </c>
      <c r="Y169" t="s">
        <v>972</v>
      </c>
      <c r="Z169" t="s">
        <v>2215</v>
      </c>
      <c r="AA169" t="s">
        <v>2216</v>
      </c>
      <c r="AB169" t="s">
        <v>975</v>
      </c>
      <c r="AC169">
        <v>5650</v>
      </c>
      <c r="AD169" t="s">
        <v>2217</v>
      </c>
      <c r="AE169" t="s">
        <v>2218</v>
      </c>
      <c r="AF169" t="s">
        <v>979</v>
      </c>
      <c r="AG169" t="s">
        <v>2219</v>
      </c>
      <c r="AH169" t="s">
        <v>977</v>
      </c>
      <c r="AI169">
        <v>69202</v>
      </c>
      <c r="AJ169" t="s">
        <v>2220</v>
      </c>
      <c r="AK169" t="s">
        <v>978</v>
      </c>
      <c r="AL169" t="s">
        <v>978</v>
      </c>
      <c r="AM169" t="s">
        <v>979</v>
      </c>
      <c r="AN169">
        <v>0</v>
      </c>
      <c r="AO169" t="s">
        <v>257</v>
      </c>
      <c r="AP169">
        <v>0</v>
      </c>
      <c r="AQ169">
        <v>1</v>
      </c>
      <c r="AR169">
        <v>43</v>
      </c>
      <c r="AS169">
        <v>1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1</v>
      </c>
      <c r="AZ169" t="s">
        <v>257</v>
      </c>
      <c r="BA169" t="s">
        <v>980</v>
      </c>
      <c r="BB169" t="s">
        <v>981</v>
      </c>
      <c r="BC169" t="s">
        <v>257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 t="s">
        <v>998</v>
      </c>
      <c r="BK169" t="s">
        <v>981</v>
      </c>
      <c r="BL169" t="s">
        <v>2213</v>
      </c>
      <c r="BM169">
        <v>20141110</v>
      </c>
      <c r="BN169">
        <v>20220201</v>
      </c>
      <c r="BO169">
        <v>0</v>
      </c>
      <c r="BP169" t="s">
        <v>257</v>
      </c>
      <c r="BQ169" t="s">
        <v>983</v>
      </c>
      <c r="BR169" t="s">
        <v>978</v>
      </c>
      <c r="BS169" t="s">
        <v>2221</v>
      </c>
      <c r="BT169">
        <v>0</v>
      </c>
      <c r="BU169">
        <v>0</v>
      </c>
      <c r="BV169" t="s">
        <v>984</v>
      </c>
      <c r="BW169" t="s">
        <v>257</v>
      </c>
      <c r="BX169">
        <v>0</v>
      </c>
      <c r="BY169" t="s">
        <v>980</v>
      </c>
      <c r="BZ169" t="s">
        <v>980</v>
      </c>
      <c r="CA169">
        <v>0</v>
      </c>
      <c r="CB169">
        <v>0</v>
      </c>
      <c r="CC169" t="s">
        <v>2222</v>
      </c>
      <c r="CD169">
        <v>0</v>
      </c>
      <c r="CE169">
        <v>0</v>
      </c>
      <c r="CF169">
        <v>0</v>
      </c>
      <c r="CG169">
        <v>0</v>
      </c>
      <c r="CH169">
        <v>0</v>
      </c>
      <c r="CI169" t="s">
        <v>983</v>
      </c>
      <c r="CJ169" t="s">
        <v>972</v>
      </c>
      <c r="CK169" t="s">
        <v>986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 t="s">
        <v>987</v>
      </c>
      <c r="CV169">
        <v>400008170</v>
      </c>
      <c r="CW169" t="s">
        <v>987</v>
      </c>
      <c r="CX169" t="s">
        <v>2223</v>
      </c>
      <c r="CY169" t="s">
        <v>989</v>
      </c>
    </row>
    <row r="170" spans="1:103" hidden="1" x14ac:dyDescent="0.25">
      <c r="A170">
        <v>410000171</v>
      </c>
      <c r="B170" t="s">
        <v>2224</v>
      </c>
      <c r="C170" t="s">
        <v>2225</v>
      </c>
      <c r="D170">
        <v>401100000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1</v>
      </c>
      <c r="Y170" t="s">
        <v>972</v>
      </c>
      <c r="Z170" t="s">
        <v>987</v>
      </c>
      <c r="AA170" t="s">
        <v>2226</v>
      </c>
      <c r="AB170" t="s">
        <v>975</v>
      </c>
      <c r="AC170">
        <v>5020</v>
      </c>
      <c r="AD170" t="s">
        <v>2227</v>
      </c>
      <c r="AE170" t="s">
        <v>2228</v>
      </c>
      <c r="AF170" t="s">
        <v>979</v>
      </c>
      <c r="AG170" t="s">
        <v>977</v>
      </c>
      <c r="AH170" t="s">
        <v>977</v>
      </c>
      <c r="AI170" t="s">
        <v>977</v>
      </c>
      <c r="AJ170" t="s">
        <v>2229</v>
      </c>
      <c r="AK170" t="s">
        <v>978</v>
      </c>
      <c r="AL170" t="s">
        <v>978</v>
      </c>
      <c r="AM170" t="s">
        <v>979</v>
      </c>
      <c r="AN170">
        <v>0</v>
      </c>
      <c r="AO170" t="s">
        <v>257</v>
      </c>
      <c r="AP170">
        <v>0</v>
      </c>
      <c r="AQ170">
        <v>1</v>
      </c>
      <c r="AR170">
        <v>43</v>
      </c>
      <c r="AS170">
        <v>1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1</v>
      </c>
      <c r="AZ170" t="s">
        <v>257</v>
      </c>
      <c r="BA170" t="s">
        <v>980</v>
      </c>
      <c r="BB170" t="s">
        <v>981</v>
      </c>
      <c r="BC170" t="s">
        <v>257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 t="s">
        <v>998</v>
      </c>
      <c r="BK170" t="s">
        <v>981</v>
      </c>
      <c r="BL170" t="s">
        <v>2224</v>
      </c>
      <c r="BM170">
        <v>20141110</v>
      </c>
      <c r="BN170">
        <v>20181119</v>
      </c>
      <c r="BO170">
        <v>0</v>
      </c>
      <c r="BP170" t="s">
        <v>257</v>
      </c>
      <c r="BQ170" t="s">
        <v>983</v>
      </c>
      <c r="BR170" t="s">
        <v>978</v>
      </c>
      <c r="BS170" t="s">
        <v>979</v>
      </c>
      <c r="BT170">
        <v>0</v>
      </c>
      <c r="BU170">
        <v>0</v>
      </c>
      <c r="BV170" t="s">
        <v>1013</v>
      </c>
      <c r="BW170" t="s">
        <v>257</v>
      </c>
      <c r="BX170">
        <v>0</v>
      </c>
      <c r="BY170" t="s">
        <v>980</v>
      </c>
      <c r="BZ170" t="s">
        <v>257</v>
      </c>
      <c r="CA170">
        <v>0</v>
      </c>
      <c r="CB170">
        <v>0</v>
      </c>
      <c r="CC170" t="s">
        <v>1220</v>
      </c>
      <c r="CD170">
        <v>0</v>
      </c>
      <c r="CE170">
        <v>0</v>
      </c>
      <c r="CF170">
        <v>0</v>
      </c>
      <c r="CG170">
        <v>0</v>
      </c>
      <c r="CH170">
        <v>0</v>
      </c>
      <c r="CI170" t="s">
        <v>983</v>
      </c>
      <c r="CJ170" t="s">
        <v>972</v>
      </c>
      <c r="CK170" t="s">
        <v>986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 t="s">
        <v>987</v>
      </c>
      <c r="CV170">
        <v>400008171</v>
      </c>
      <c r="CW170" t="s">
        <v>987</v>
      </c>
      <c r="CX170" t="s">
        <v>1081</v>
      </c>
      <c r="CY170" t="s">
        <v>989</v>
      </c>
    </row>
    <row r="171" spans="1:103" hidden="1" x14ac:dyDescent="0.25">
      <c r="A171">
        <v>410000172</v>
      </c>
      <c r="B171" t="s">
        <v>6810</v>
      </c>
      <c r="C171" t="s">
        <v>2231</v>
      </c>
      <c r="D171">
        <v>401100000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 t="s">
        <v>972</v>
      </c>
      <c r="Z171" t="s">
        <v>987</v>
      </c>
      <c r="AA171" t="s">
        <v>2232</v>
      </c>
      <c r="AB171" t="s">
        <v>975</v>
      </c>
      <c r="AC171">
        <v>4960</v>
      </c>
      <c r="AD171" t="s">
        <v>1548</v>
      </c>
      <c r="AE171" t="s">
        <v>2233</v>
      </c>
      <c r="AF171" t="s">
        <v>2234</v>
      </c>
      <c r="AG171" t="s">
        <v>977</v>
      </c>
      <c r="AH171" t="s">
        <v>977</v>
      </c>
      <c r="AI171" t="s">
        <v>977</v>
      </c>
      <c r="AJ171" t="s">
        <v>2235</v>
      </c>
      <c r="AK171" t="s">
        <v>978</v>
      </c>
      <c r="AL171" t="s">
        <v>978</v>
      </c>
      <c r="AM171" t="s">
        <v>979</v>
      </c>
      <c r="AN171">
        <v>0</v>
      </c>
      <c r="AO171" t="s">
        <v>257</v>
      </c>
      <c r="AP171">
        <v>0</v>
      </c>
      <c r="AQ171">
        <v>1</v>
      </c>
      <c r="AR171">
        <v>43</v>
      </c>
      <c r="AS171">
        <v>1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1</v>
      </c>
      <c r="AZ171" t="s">
        <v>257</v>
      </c>
      <c r="BA171" t="s">
        <v>980</v>
      </c>
      <c r="BB171" t="s">
        <v>981</v>
      </c>
      <c r="BC171" t="s">
        <v>257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 t="s">
        <v>998</v>
      </c>
      <c r="BK171" t="s">
        <v>981</v>
      </c>
      <c r="BL171" t="s">
        <v>2230</v>
      </c>
      <c r="BM171">
        <v>20141110</v>
      </c>
      <c r="BN171">
        <v>20250113</v>
      </c>
      <c r="BO171">
        <v>0</v>
      </c>
      <c r="BP171" t="s">
        <v>257</v>
      </c>
      <c r="BQ171" t="s">
        <v>983</v>
      </c>
      <c r="BR171" t="s">
        <v>978</v>
      </c>
      <c r="BS171" t="s">
        <v>979</v>
      </c>
      <c r="BT171">
        <v>0</v>
      </c>
      <c r="BU171">
        <v>0</v>
      </c>
      <c r="BV171" t="s">
        <v>984</v>
      </c>
      <c r="BW171" t="s">
        <v>257</v>
      </c>
      <c r="BX171">
        <v>0</v>
      </c>
      <c r="BY171" t="s">
        <v>980</v>
      </c>
      <c r="BZ171" t="s">
        <v>257</v>
      </c>
      <c r="CA171">
        <v>0</v>
      </c>
      <c r="CB171">
        <v>0</v>
      </c>
      <c r="CC171" t="s">
        <v>1207</v>
      </c>
      <c r="CD171">
        <v>0</v>
      </c>
      <c r="CE171">
        <v>0</v>
      </c>
      <c r="CF171">
        <v>0</v>
      </c>
      <c r="CG171">
        <v>0</v>
      </c>
      <c r="CH171">
        <v>0</v>
      </c>
      <c r="CI171" t="s">
        <v>983</v>
      </c>
      <c r="CJ171" t="s">
        <v>972</v>
      </c>
      <c r="CK171" t="s">
        <v>986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 t="s">
        <v>987</v>
      </c>
      <c r="CV171">
        <v>400008172</v>
      </c>
      <c r="CW171" t="s">
        <v>987</v>
      </c>
      <c r="CX171" t="s">
        <v>6811</v>
      </c>
      <c r="CY171" t="s">
        <v>989</v>
      </c>
    </row>
    <row r="172" spans="1:103" hidden="1" x14ac:dyDescent="0.25">
      <c r="A172">
        <v>410000173</v>
      </c>
      <c r="B172" t="s">
        <v>2236</v>
      </c>
      <c r="C172" t="s">
        <v>2237</v>
      </c>
      <c r="D172">
        <v>401100000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1</v>
      </c>
      <c r="Y172" t="s">
        <v>972</v>
      </c>
      <c r="Z172" t="s">
        <v>987</v>
      </c>
      <c r="AA172" t="s">
        <v>2238</v>
      </c>
      <c r="AB172" t="s">
        <v>975</v>
      </c>
      <c r="AC172">
        <v>4041</v>
      </c>
      <c r="AD172" t="s">
        <v>1730</v>
      </c>
      <c r="AE172" t="s">
        <v>2239</v>
      </c>
      <c r="AF172" t="s">
        <v>2240</v>
      </c>
      <c r="AG172" t="s">
        <v>977</v>
      </c>
      <c r="AH172" t="s">
        <v>977</v>
      </c>
      <c r="AI172" t="s">
        <v>977</v>
      </c>
      <c r="AJ172" t="s">
        <v>978</v>
      </c>
      <c r="AK172" t="s">
        <v>978</v>
      </c>
      <c r="AL172" t="s">
        <v>978</v>
      </c>
      <c r="AM172" t="s">
        <v>979</v>
      </c>
      <c r="AN172">
        <v>0</v>
      </c>
      <c r="AO172" t="s">
        <v>257</v>
      </c>
      <c r="AP172">
        <v>0</v>
      </c>
      <c r="AQ172">
        <v>1</v>
      </c>
      <c r="AR172">
        <v>43</v>
      </c>
      <c r="AS172">
        <v>1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1</v>
      </c>
      <c r="AZ172" t="s">
        <v>257</v>
      </c>
      <c r="BA172" t="s">
        <v>980</v>
      </c>
      <c r="BB172" t="s">
        <v>981</v>
      </c>
      <c r="BC172" t="s">
        <v>257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 t="s">
        <v>998</v>
      </c>
      <c r="BK172" t="s">
        <v>981</v>
      </c>
      <c r="BL172" t="s">
        <v>2236</v>
      </c>
      <c r="BM172">
        <v>20141111</v>
      </c>
      <c r="BN172">
        <v>20181119</v>
      </c>
      <c r="BO172">
        <v>0</v>
      </c>
      <c r="BP172" t="s">
        <v>257</v>
      </c>
      <c r="BQ172" t="s">
        <v>983</v>
      </c>
      <c r="BR172" t="s">
        <v>978</v>
      </c>
      <c r="BS172" t="s">
        <v>979</v>
      </c>
      <c r="BT172">
        <v>0</v>
      </c>
      <c r="BU172">
        <v>0</v>
      </c>
      <c r="BV172" t="s">
        <v>1013</v>
      </c>
      <c r="BW172" t="s">
        <v>257</v>
      </c>
      <c r="BX172">
        <v>0</v>
      </c>
      <c r="BY172" t="s">
        <v>980</v>
      </c>
      <c r="BZ172" t="s">
        <v>257</v>
      </c>
      <c r="CA172">
        <v>0</v>
      </c>
      <c r="CB172">
        <v>0</v>
      </c>
      <c r="CC172" t="s">
        <v>1038</v>
      </c>
      <c r="CD172">
        <v>0</v>
      </c>
      <c r="CE172">
        <v>0</v>
      </c>
      <c r="CF172">
        <v>0</v>
      </c>
      <c r="CG172">
        <v>0</v>
      </c>
      <c r="CH172">
        <v>0</v>
      </c>
      <c r="CI172" t="s">
        <v>983</v>
      </c>
      <c r="CJ172" t="s">
        <v>972</v>
      </c>
      <c r="CK172" t="s">
        <v>986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 t="s">
        <v>987</v>
      </c>
      <c r="CV172">
        <v>400008173</v>
      </c>
      <c r="CW172" t="s">
        <v>987</v>
      </c>
      <c r="CX172" t="s">
        <v>2241</v>
      </c>
      <c r="CY172" t="s">
        <v>989</v>
      </c>
    </row>
    <row r="173" spans="1:103" hidden="1" x14ac:dyDescent="0.25">
      <c r="A173">
        <v>410000174</v>
      </c>
      <c r="B173" t="s">
        <v>1055</v>
      </c>
      <c r="C173" t="s">
        <v>1056</v>
      </c>
      <c r="D173">
        <v>401100000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1</v>
      </c>
      <c r="Y173" t="s">
        <v>972</v>
      </c>
      <c r="Z173" t="s">
        <v>2242</v>
      </c>
      <c r="AA173" t="s">
        <v>1057</v>
      </c>
      <c r="AB173" t="s">
        <v>975</v>
      </c>
      <c r="AC173">
        <v>6180</v>
      </c>
      <c r="AD173" t="s">
        <v>1058</v>
      </c>
      <c r="AE173" t="s">
        <v>2243</v>
      </c>
      <c r="AF173" t="s">
        <v>2244</v>
      </c>
      <c r="AG173" t="s">
        <v>977</v>
      </c>
      <c r="AH173" t="s">
        <v>977</v>
      </c>
      <c r="AI173" t="s">
        <v>977</v>
      </c>
      <c r="AJ173" t="s">
        <v>2245</v>
      </c>
      <c r="AK173" t="s">
        <v>978</v>
      </c>
      <c r="AL173" t="s">
        <v>978</v>
      </c>
      <c r="AM173" t="s">
        <v>979</v>
      </c>
      <c r="AN173">
        <v>0</v>
      </c>
      <c r="AO173" t="s">
        <v>257</v>
      </c>
      <c r="AP173">
        <v>0</v>
      </c>
      <c r="AQ173">
        <v>1</v>
      </c>
      <c r="AR173">
        <v>43</v>
      </c>
      <c r="AS173">
        <v>1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1</v>
      </c>
      <c r="AZ173" t="s">
        <v>257</v>
      </c>
      <c r="BA173" t="s">
        <v>980</v>
      </c>
      <c r="BB173" t="s">
        <v>981</v>
      </c>
      <c r="BC173" t="s">
        <v>257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 t="s">
        <v>998</v>
      </c>
      <c r="BK173" t="s">
        <v>981</v>
      </c>
      <c r="BL173" t="s">
        <v>1055</v>
      </c>
      <c r="BM173">
        <v>20141120</v>
      </c>
      <c r="BN173">
        <v>20190204</v>
      </c>
      <c r="BO173">
        <v>0</v>
      </c>
      <c r="BP173" t="s">
        <v>257</v>
      </c>
      <c r="BQ173" t="s">
        <v>983</v>
      </c>
      <c r="BR173" t="s">
        <v>978</v>
      </c>
      <c r="BS173" t="s">
        <v>1061</v>
      </c>
      <c r="BT173">
        <v>0</v>
      </c>
      <c r="BU173">
        <v>0</v>
      </c>
      <c r="BV173" t="s">
        <v>984</v>
      </c>
      <c r="BW173" t="s">
        <v>257</v>
      </c>
      <c r="BX173">
        <v>0</v>
      </c>
      <c r="BY173" t="s">
        <v>980</v>
      </c>
      <c r="BZ173" t="s">
        <v>257</v>
      </c>
      <c r="CA173">
        <v>0</v>
      </c>
      <c r="CB173">
        <v>0</v>
      </c>
      <c r="CC173" t="s">
        <v>1000</v>
      </c>
      <c r="CD173">
        <v>0</v>
      </c>
      <c r="CE173">
        <v>0</v>
      </c>
      <c r="CF173">
        <v>0</v>
      </c>
      <c r="CG173">
        <v>0</v>
      </c>
      <c r="CH173">
        <v>0</v>
      </c>
      <c r="CI173" t="s">
        <v>983</v>
      </c>
      <c r="CJ173" t="s">
        <v>972</v>
      </c>
      <c r="CK173" t="s">
        <v>986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 t="s">
        <v>987</v>
      </c>
      <c r="CV173">
        <v>400008174</v>
      </c>
      <c r="CW173" t="s">
        <v>987</v>
      </c>
      <c r="CX173" t="s">
        <v>2246</v>
      </c>
      <c r="CY173" t="s">
        <v>989</v>
      </c>
    </row>
    <row r="174" spans="1:103" hidden="1" x14ac:dyDescent="0.25">
      <c r="A174">
        <v>410000175</v>
      </c>
      <c r="B174" t="s">
        <v>2247</v>
      </c>
      <c r="C174" t="s">
        <v>2248</v>
      </c>
      <c r="D174">
        <v>401100000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1</v>
      </c>
      <c r="Y174" t="s">
        <v>972</v>
      </c>
      <c r="Z174" t="s">
        <v>2249</v>
      </c>
      <c r="AA174" t="s">
        <v>2250</v>
      </c>
      <c r="AB174" t="s">
        <v>975</v>
      </c>
      <c r="AC174">
        <v>1000</v>
      </c>
      <c r="AD174" t="s">
        <v>1066</v>
      </c>
      <c r="AE174" t="s">
        <v>2251</v>
      </c>
      <c r="AF174" t="s">
        <v>979</v>
      </c>
      <c r="AG174" t="s">
        <v>977</v>
      </c>
      <c r="AH174" t="s">
        <v>977</v>
      </c>
      <c r="AI174" t="s">
        <v>977</v>
      </c>
      <c r="AJ174" t="s">
        <v>2252</v>
      </c>
      <c r="AK174" t="s">
        <v>978</v>
      </c>
      <c r="AL174" t="s">
        <v>978</v>
      </c>
      <c r="AM174" t="s">
        <v>979</v>
      </c>
      <c r="AN174">
        <v>0</v>
      </c>
      <c r="AO174" t="s">
        <v>257</v>
      </c>
      <c r="AP174">
        <v>0</v>
      </c>
      <c r="AQ174">
        <v>1</v>
      </c>
      <c r="AR174">
        <v>43</v>
      </c>
      <c r="AS174">
        <v>1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1</v>
      </c>
      <c r="AZ174" t="s">
        <v>257</v>
      </c>
      <c r="BA174" t="s">
        <v>980</v>
      </c>
      <c r="BB174" t="s">
        <v>981</v>
      </c>
      <c r="BC174" t="s">
        <v>257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 t="s">
        <v>998</v>
      </c>
      <c r="BK174" t="s">
        <v>981</v>
      </c>
      <c r="BL174" t="s">
        <v>2247</v>
      </c>
      <c r="BM174">
        <v>20141120</v>
      </c>
      <c r="BN174">
        <v>20181119</v>
      </c>
      <c r="BO174">
        <v>0</v>
      </c>
      <c r="BP174" t="s">
        <v>257</v>
      </c>
      <c r="BQ174" t="s">
        <v>983</v>
      </c>
      <c r="BR174" t="s">
        <v>978</v>
      </c>
      <c r="BS174" t="s">
        <v>979</v>
      </c>
      <c r="BT174">
        <v>0</v>
      </c>
      <c r="BU174">
        <v>0</v>
      </c>
      <c r="BV174" t="s">
        <v>1013</v>
      </c>
      <c r="BW174" t="s">
        <v>257</v>
      </c>
      <c r="BX174">
        <v>0</v>
      </c>
      <c r="BY174" t="s">
        <v>980</v>
      </c>
      <c r="BZ174" t="s">
        <v>257</v>
      </c>
      <c r="CA174">
        <v>0</v>
      </c>
      <c r="CB174">
        <v>0</v>
      </c>
      <c r="CC174" t="s">
        <v>1430</v>
      </c>
      <c r="CD174">
        <v>0</v>
      </c>
      <c r="CE174">
        <v>0</v>
      </c>
      <c r="CF174">
        <v>0</v>
      </c>
      <c r="CG174">
        <v>0</v>
      </c>
      <c r="CH174">
        <v>0</v>
      </c>
      <c r="CI174" t="s">
        <v>983</v>
      </c>
      <c r="CJ174" t="s">
        <v>972</v>
      </c>
      <c r="CK174" t="s">
        <v>986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 t="s">
        <v>987</v>
      </c>
      <c r="CV174">
        <v>400008175</v>
      </c>
      <c r="CW174" t="s">
        <v>987</v>
      </c>
      <c r="CX174" t="s">
        <v>1081</v>
      </c>
      <c r="CY174" t="s">
        <v>989</v>
      </c>
    </row>
    <row r="175" spans="1:103" hidden="1" x14ac:dyDescent="0.25">
      <c r="A175">
        <v>410000176</v>
      </c>
      <c r="B175" t="s">
        <v>2253</v>
      </c>
      <c r="C175" t="s">
        <v>2254</v>
      </c>
      <c r="D175">
        <v>401100000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  <c r="Y175" t="s">
        <v>972</v>
      </c>
      <c r="Z175" t="s">
        <v>2255</v>
      </c>
      <c r="AA175" t="s">
        <v>2256</v>
      </c>
      <c r="AB175" t="s">
        <v>975</v>
      </c>
      <c r="AC175">
        <v>4040</v>
      </c>
      <c r="AD175" t="s">
        <v>976</v>
      </c>
      <c r="AE175" t="s">
        <v>2257</v>
      </c>
      <c r="AF175" t="s">
        <v>2258</v>
      </c>
      <c r="AG175" t="s">
        <v>977</v>
      </c>
      <c r="AH175" t="s">
        <v>977</v>
      </c>
      <c r="AI175" t="s">
        <v>977</v>
      </c>
      <c r="AJ175" t="s">
        <v>978</v>
      </c>
      <c r="AK175" t="s">
        <v>978</v>
      </c>
      <c r="AL175" t="s">
        <v>978</v>
      </c>
      <c r="AM175" t="s">
        <v>979</v>
      </c>
      <c r="AN175">
        <v>0</v>
      </c>
      <c r="AO175" t="s">
        <v>257</v>
      </c>
      <c r="AP175">
        <v>0</v>
      </c>
      <c r="AQ175">
        <v>1</v>
      </c>
      <c r="AR175">
        <v>43</v>
      </c>
      <c r="AS175">
        <v>1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1</v>
      </c>
      <c r="AZ175" t="s">
        <v>257</v>
      </c>
      <c r="BA175" t="s">
        <v>980</v>
      </c>
      <c r="BB175" t="s">
        <v>981</v>
      </c>
      <c r="BC175" t="s">
        <v>257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 t="s">
        <v>998</v>
      </c>
      <c r="BK175" t="s">
        <v>981</v>
      </c>
      <c r="BL175" t="s">
        <v>2253</v>
      </c>
      <c r="BM175">
        <v>20141120</v>
      </c>
      <c r="BN175">
        <v>20181119</v>
      </c>
      <c r="BO175">
        <v>0</v>
      </c>
      <c r="BP175" t="s">
        <v>257</v>
      </c>
      <c r="BQ175" t="s">
        <v>983</v>
      </c>
      <c r="BR175" t="s">
        <v>978</v>
      </c>
      <c r="BS175" t="s">
        <v>979</v>
      </c>
      <c r="BT175">
        <v>0</v>
      </c>
      <c r="BU175">
        <v>0</v>
      </c>
      <c r="BV175" t="s">
        <v>1013</v>
      </c>
      <c r="BW175" t="s">
        <v>257</v>
      </c>
      <c r="BX175">
        <v>0</v>
      </c>
      <c r="BY175" t="s">
        <v>980</v>
      </c>
      <c r="BZ175" t="s">
        <v>257</v>
      </c>
      <c r="CA175">
        <v>0</v>
      </c>
      <c r="CB175">
        <v>0</v>
      </c>
      <c r="CC175" t="s">
        <v>985</v>
      </c>
      <c r="CD175">
        <v>0</v>
      </c>
      <c r="CE175">
        <v>0</v>
      </c>
      <c r="CF175">
        <v>0</v>
      </c>
      <c r="CG175">
        <v>0</v>
      </c>
      <c r="CH175">
        <v>0</v>
      </c>
      <c r="CI175" t="s">
        <v>983</v>
      </c>
      <c r="CJ175" t="s">
        <v>972</v>
      </c>
      <c r="CK175" t="s">
        <v>986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 t="s">
        <v>987</v>
      </c>
      <c r="CV175">
        <v>400008176</v>
      </c>
      <c r="CW175" t="s">
        <v>987</v>
      </c>
      <c r="CX175" t="s">
        <v>1081</v>
      </c>
      <c r="CY175" t="s">
        <v>989</v>
      </c>
    </row>
    <row r="176" spans="1:103" hidden="1" x14ac:dyDescent="0.25">
      <c r="A176">
        <v>410000177</v>
      </c>
      <c r="B176" t="s">
        <v>2259</v>
      </c>
      <c r="C176" t="s">
        <v>2260</v>
      </c>
      <c r="D176">
        <v>401100000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</v>
      </c>
      <c r="Y176" t="s">
        <v>972</v>
      </c>
      <c r="Z176" t="s">
        <v>2261</v>
      </c>
      <c r="AA176" t="s">
        <v>2262</v>
      </c>
      <c r="AB176" t="s">
        <v>975</v>
      </c>
      <c r="AC176">
        <v>4031</v>
      </c>
      <c r="AD176" t="s">
        <v>1283</v>
      </c>
      <c r="AE176" t="s">
        <v>2263</v>
      </c>
      <c r="AF176" t="s">
        <v>979</v>
      </c>
      <c r="AG176" t="s">
        <v>977</v>
      </c>
      <c r="AH176" t="s">
        <v>977</v>
      </c>
      <c r="AI176" t="s">
        <v>977</v>
      </c>
      <c r="AJ176" t="s">
        <v>978</v>
      </c>
      <c r="AK176" t="s">
        <v>978</v>
      </c>
      <c r="AL176" t="s">
        <v>978</v>
      </c>
      <c r="AM176" t="s">
        <v>979</v>
      </c>
      <c r="AN176">
        <v>0</v>
      </c>
      <c r="AO176" t="s">
        <v>257</v>
      </c>
      <c r="AP176">
        <v>0</v>
      </c>
      <c r="AQ176">
        <v>1</v>
      </c>
      <c r="AR176">
        <v>43</v>
      </c>
      <c r="AS176">
        <v>1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1</v>
      </c>
      <c r="AZ176" t="s">
        <v>257</v>
      </c>
      <c r="BA176" t="s">
        <v>980</v>
      </c>
      <c r="BB176" t="s">
        <v>981</v>
      </c>
      <c r="BC176" t="s">
        <v>257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 t="s">
        <v>998</v>
      </c>
      <c r="BK176" t="s">
        <v>981</v>
      </c>
      <c r="BL176" t="s">
        <v>2259</v>
      </c>
      <c r="BM176">
        <v>20141120</v>
      </c>
      <c r="BN176">
        <v>20181119</v>
      </c>
      <c r="BO176">
        <v>0</v>
      </c>
      <c r="BP176" t="s">
        <v>257</v>
      </c>
      <c r="BQ176" t="s">
        <v>983</v>
      </c>
      <c r="BR176" t="s">
        <v>978</v>
      </c>
      <c r="BS176" t="s">
        <v>979</v>
      </c>
      <c r="BT176">
        <v>0</v>
      </c>
      <c r="BU176">
        <v>0</v>
      </c>
      <c r="BV176" t="s">
        <v>1013</v>
      </c>
      <c r="BW176" t="s">
        <v>257</v>
      </c>
      <c r="BX176">
        <v>0</v>
      </c>
      <c r="BY176" t="s">
        <v>980</v>
      </c>
      <c r="BZ176" t="s">
        <v>257</v>
      </c>
      <c r="CA176">
        <v>0</v>
      </c>
      <c r="CB176">
        <v>0</v>
      </c>
      <c r="CC176" t="s">
        <v>1397</v>
      </c>
      <c r="CD176">
        <v>0</v>
      </c>
      <c r="CE176">
        <v>0</v>
      </c>
      <c r="CF176">
        <v>0</v>
      </c>
      <c r="CG176">
        <v>0</v>
      </c>
      <c r="CH176">
        <v>0</v>
      </c>
      <c r="CI176" t="s">
        <v>983</v>
      </c>
      <c r="CJ176" t="s">
        <v>972</v>
      </c>
      <c r="CK176" t="s">
        <v>986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 t="s">
        <v>987</v>
      </c>
      <c r="CV176">
        <v>400008177</v>
      </c>
      <c r="CW176" t="s">
        <v>987</v>
      </c>
      <c r="CX176" t="s">
        <v>1081</v>
      </c>
      <c r="CY176" t="s">
        <v>989</v>
      </c>
    </row>
    <row r="177" spans="1:103" hidden="1" x14ac:dyDescent="0.25">
      <c r="A177">
        <v>410000178</v>
      </c>
      <c r="B177" t="s">
        <v>2264</v>
      </c>
      <c r="C177" t="s">
        <v>2265</v>
      </c>
      <c r="D177">
        <v>401100000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  <c r="Y177" t="s">
        <v>972</v>
      </c>
      <c r="Z177" t="s">
        <v>2266</v>
      </c>
      <c r="AA177" t="s">
        <v>2267</v>
      </c>
      <c r="AB177" t="s">
        <v>975</v>
      </c>
      <c r="AC177">
        <v>4000</v>
      </c>
      <c r="AD177" t="s">
        <v>2268</v>
      </c>
      <c r="AE177" t="s">
        <v>2269</v>
      </c>
      <c r="AF177" t="s">
        <v>979</v>
      </c>
      <c r="AG177" t="s">
        <v>977</v>
      </c>
      <c r="AH177" t="s">
        <v>977</v>
      </c>
      <c r="AI177" t="s">
        <v>977</v>
      </c>
      <c r="AJ177" t="s">
        <v>978</v>
      </c>
      <c r="AK177" t="s">
        <v>978</v>
      </c>
      <c r="AL177" t="s">
        <v>978</v>
      </c>
      <c r="AM177" t="s">
        <v>979</v>
      </c>
      <c r="AN177">
        <v>0</v>
      </c>
      <c r="AO177" t="s">
        <v>257</v>
      </c>
      <c r="AP177">
        <v>0</v>
      </c>
      <c r="AQ177">
        <v>1</v>
      </c>
      <c r="AR177">
        <v>43</v>
      </c>
      <c r="AS177">
        <v>1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1</v>
      </c>
      <c r="AZ177" t="s">
        <v>257</v>
      </c>
      <c r="BA177" t="s">
        <v>980</v>
      </c>
      <c r="BB177" t="s">
        <v>981</v>
      </c>
      <c r="BC177" t="s">
        <v>257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 t="s">
        <v>998</v>
      </c>
      <c r="BK177" t="s">
        <v>981</v>
      </c>
      <c r="BL177" t="s">
        <v>2270</v>
      </c>
      <c r="BM177">
        <v>20141120</v>
      </c>
      <c r="BN177">
        <v>20181119</v>
      </c>
      <c r="BO177">
        <v>0</v>
      </c>
      <c r="BP177" t="s">
        <v>257</v>
      </c>
      <c r="BQ177" t="s">
        <v>983</v>
      </c>
      <c r="BR177" t="s">
        <v>978</v>
      </c>
      <c r="BS177" t="s">
        <v>979</v>
      </c>
      <c r="BT177">
        <v>0</v>
      </c>
      <c r="BU177">
        <v>0</v>
      </c>
      <c r="BV177" t="s">
        <v>1013</v>
      </c>
      <c r="BW177" t="s">
        <v>257</v>
      </c>
      <c r="BX177">
        <v>0</v>
      </c>
      <c r="BY177" t="s">
        <v>980</v>
      </c>
      <c r="BZ177" t="s">
        <v>257</v>
      </c>
      <c r="CA177">
        <v>0</v>
      </c>
      <c r="CB177">
        <v>0</v>
      </c>
      <c r="CC177" t="s">
        <v>1391</v>
      </c>
      <c r="CD177">
        <v>0</v>
      </c>
      <c r="CE177">
        <v>0</v>
      </c>
      <c r="CF177">
        <v>0</v>
      </c>
      <c r="CG177">
        <v>0</v>
      </c>
      <c r="CH177">
        <v>0</v>
      </c>
      <c r="CI177" t="s">
        <v>983</v>
      </c>
      <c r="CJ177" t="s">
        <v>972</v>
      </c>
      <c r="CK177" t="s">
        <v>986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 t="s">
        <v>987</v>
      </c>
      <c r="CV177">
        <v>400008178</v>
      </c>
      <c r="CW177" t="s">
        <v>987</v>
      </c>
      <c r="CX177" t="s">
        <v>1081</v>
      </c>
      <c r="CY177" t="s">
        <v>989</v>
      </c>
    </row>
    <row r="178" spans="1:103" hidden="1" x14ac:dyDescent="0.25">
      <c r="A178">
        <v>410000179</v>
      </c>
      <c r="B178" t="s">
        <v>2271</v>
      </c>
      <c r="C178" t="s">
        <v>2272</v>
      </c>
      <c r="D178">
        <v>401100000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1</v>
      </c>
      <c r="Y178" t="s">
        <v>972</v>
      </c>
      <c r="Z178" t="s">
        <v>2273</v>
      </c>
      <c r="AA178" t="s">
        <v>2274</v>
      </c>
      <c r="AB178" t="s">
        <v>975</v>
      </c>
      <c r="AC178">
        <v>1030</v>
      </c>
      <c r="AD178" t="s">
        <v>2275</v>
      </c>
      <c r="AE178" t="s">
        <v>2276</v>
      </c>
      <c r="AF178" t="s">
        <v>2277</v>
      </c>
      <c r="AG178" t="s">
        <v>977</v>
      </c>
      <c r="AH178" t="s">
        <v>977</v>
      </c>
      <c r="AI178" t="s">
        <v>977</v>
      </c>
      <c r="AJ178" t="s">
        <v>2278</v>
      </c>
      <c r="AK178" t="s">
        <v>978</v>
      </c>
      <c r="AL178" t="s">
        <v>978</v>
      </c>
      <c r="AM178" t="s">
        <v>979</v>
      </c>
      <c r="AN178">
        <v>0</v>
      </c>
      <c r="AO178" t="s">
        <v>257</v>
      </c>
      <c r="AP178">
        <v>0</v>
      </c>
      <c r="AQ178">
        <v>1</v>
      </c>
      <c r="AR178">
        <v>43</v>
      </c>
      <c r="AS178">
        <v>1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1</v>
      </c>
      <c r="AZ178" t="s">
        <v>257</v>
      </c>
      <c r="BA178" t="s">
        <v>980</v>
      </c>
      <c r="BB178" t="s">
        <v>981</v>
      </c>
      <c r="BC178" t="s">
        <v>257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 t="s">
        <v>998</v>
      </c>
      <c r="BK178" t="s">
        <v>981</v>
      </c>
      <c r="BL178" t="s">
        <v>2271</v>
      </c>
      <c r="BM178">
        <v>20141120</v>
      </c>
      <c r="BN178">
        <v>20181119</v>
      </c>
      <c r="BO178">
        <v>0</v>
      </c>
      <c r="BP178" t="s">
        <v>257</v>
      </c>
      <c r="BQ178" t="s">
        <v>983</v>
      </c>
      <c r="BR178" t="s">
        <v>978</v>
      </c>
      <c r="BS178" t="s">
        <v>979</v>
      </c>
      <c r="BT178">
        <v>0</v>
      </c>
      <c r="BU178">
        <v>0</v>
      </c>
      <c r="BV178" t="s">
        <v>1013</v>
      </c>
      <c r="BW178" t="s">
        <v>257</v>
      </c>
      <c r="BX178">
        <v>0</v>
      </c>
      <c r="BY178" t="s">
        <v>980</v>
      </c>
      <c r="BZ178" t="s">
        <v>257</v>
      </c>
      <c r="CA178">
        <v>0</v>
      </c>
      <c r="CB178">
        <v>0</v>
      </c>
      <c r="CC178" t="s">
        <v>2279</v>
      </c>
      <c r="CD178">
        <v>0</v>
      </c>
      <c r="CE178">
        <v>0</v>
      </c>
      <c r="CF178">
        <v>0</v>
      </c>
      <c r="CG178">
        <v>0</v>
      </c>
      <c r="CH178">
        <v>0</v>
      </c>
      <c r="CI178" t="s">
        <v>983</v>
      </c>
      <c r="CJ178" t="s">
        <v>972</v>
      </c>
      <c r="CK178" t="s">
        <v>986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 t="s">
        <v>987</v>
      </c>
      <c r="CV178">
        <v>400008179</v>
      </c>
      <c r="CW178" t="s">
        <v>987</v>
      </c>
      <c r="CX178" t="s">
        <v>1081</v>
      </c>
      <c r="CY178" t="s">
        <v>989</v>
      </c>
    </row>
    <row r="179" spans="1:103" hidden="1" x14ac:dyDescent="0.25">
      <c r="A179">
        <v>410000180</v>
      </c>
      <c r="B179" t="s">
        <v>2280</v>
      </c>
      <c r="C179" t="s">
        <v>2281</v>
      </c>
      <c r="D179">
        <v>401100000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1</v>
      </c>
      <c r="Y179" t="s">
        <v>972</v>
      </c>
      <c r="Z179" t="s">
        <v>2282</v>
      </c>
      <c r="AA179" t="s">
        <v>2283</v>
      </c>
      <c r="AB179" t="s">
        <v>975</v>
      </c>
      <c r="AC179">
        <v>4840</v>
      </c>
      <c r="AD179" t="s">
        <v>2284</v>
      </c>
      <c r="AE179" t="s">
        <v>2285</v>
      </c>
      <c r="AF179" t="s">
        <v>979</v>
      </c>
      <c r="AG179" t="s">
        <v>977</v>
      </c>
      <c r="AH179" t="s">
        <v>977</v>
      </c>
      <c r="AI179" t="s">
        <v>977</v>
      </c>
      <c r="AJ179" t="s">
        <v>978</v>
      </c>
      <c r="AK179" t="s">
        <v>978</v>
      </c>
      <c r="AL179" t="s">
        <v>978</v>
      </c>
      <c r="AM179" t="s">
        <v>979</v>
      </c>
      <c r="AN179">
        <v>0</v>
      </c>
      <c r="AO179" t="s">
        <v>257</v>
      </c>
      <c r="AP179">
        <v>0</v>
      </c>
      <c r="AQ179">
        <v>1</v>
      </c>
      <c r="AR179">
        <v>43</v>
      </c>
      <c r="AS179">
        <v>1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1</v>
      </c>
      <c r="AZ179" t="s">
        <v>257</v>
      </c>
      <c r="BA179" t="s">
        <v>980</v>
      </c>
      <c r="BB179" t="s">
        <v>981</v>
      </c>
      <c r="BC179" t="s">
        <v>257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 t="s">
        <v>998</v>
      </c>
      <c r="BK179" t="s">
        <v>981</v>
      </c>
      <c r="BL179" t="s">
        <v>2280</v>
      </c>
      <c r="BM179">
        <v>20141120</v>
      </c>
      <c r="BN179">
        <v>20181119</v>
      </c>
      <c r="BO179">
        <v>0</v>
      </c>
      <c r="BP179" t="s">
        <v>257</v>
      </c>
      <c r="BQ179" t="s">
        <v>983</v>
      </c>
      <c r="BR179" t="s">
        <v>978</v>
      </c>
      <c r="BS179" t="s">
        <v>979</v>
      </c>
      <c r="BT179">
        <v>0</v>
      </c>
      <c r="BU179">
        <v>0</v>
      </c>
      <c r="BV179" t="s">
        <v>1013</v>
      </c>
      <c r="BW179" t="s">
        <v>257</v>
      </c>
      <c r="BX179">
        <v>0</v>
      </c>
      <c r="BY179" t="s">
        <v>980</v>
      </c>
      <c r="BZ179" t="s">
        <v>257</v>
      </c>
      <c r="CA179">
        <v>0</v>
      </c>
      <c r="CB179">
        <v>0</v>
      </c>
      <c r="CC179" t="s">
        <v>2286</v>
      </c>
      <c r="CD179">
        <v>0</v>
      </c>
      <c r="CE179">
        <v>0</v>
      </c>
      <c r="CF179">
        <v>0</v>
      </c>
      <c r="CG179">
        <v>0</v>
      </c>
      <c r="CH179">
        <v>0</v>
      </c>
      <c r="CI179" t="s">
        <v>983</v>
      </c>
      <c r="CJ179" t="s">
        <v>972</v>
      </c>
      <c r="CK179" t="s">
        <v>986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 t="s">
        <v>987</v>
      </c>
      <c r="CV179">
        <v>400008180</v>
      </c>
      <c r="CW179" t="s">
        <v>987</v>
      </c>
      <c r="CX179" t="s">
        <v>1081</v>
      </c>
      <c r="CY179" t="s">
        <v>989</v>
      </c>
    </row>
    <row r="180" spans="1:103" hidden="1" x14ac:dyDescent="0.25">
      <c r="A180">
        <v>410000181</v>
      </c>
      <c r="B180" t="s">
        <v>2287</v>
      </c>
      <c r="C180" t="s">
        <v>2288</v>
      </c>
      <c r="D180">
        <v>401100000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1</v>
      </c>
      <c r="Y180" t="s">
        <v>972</v>
      </c>
      <c r="Z180" t="s">
        <v>987</v>
      </c>
      <c r="AA180" t="s">
        <v>2289</v>
      </c>
      <c r="AB180" t="s">
        <v>975</v>
      </c>
      <c r="AC180">
        <v>4102</v>
      </c>
      <c r="AD180" t="s">
        <v>2290</v>
      </c>
      <c r="AE180" t="s">
        <v>2291</v>
      </c>
      <c r="AF180" t="s">
        <v>2292</v>
      </c>
      <c r="AG180" t="s">
        <v>977</v>
      </c>
      <c r="AH180" t="s">
        <v>977</v>
      </c>
      <c r="AI180" t="s">
        <v>977</v>
      </c>
      <c r="AJ180" t="s">
        <v>978</v>
      </c>
      <c r="AK180" t="s">
        <v>978</v>
      </c>
      <c r="AL180" t="s">
        <v>978</v>
      </c>
      <c r="AM180" t="s">
        <v>979</v>
      </c>
      <c r="AN180">
        <v>0</v>
      </c>
      <c r="AO180" t="s">
        <v>257</v>
      </c>
      <c r="AP180">
        <v>0</v>
      </c>
      <c r="AQ180">
        <v>1</v>
      </c>
      <c r="AR180">
        <v>43</v>
      </c>
      <c r="AS180">
        <v>1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1</v>
      </c>
      <c r="AZ180" t="s">
        <v>257</v>
      </c>
      <c r="BA180" t="s">
        <v>980</v>
      </c>
      <c r="BB180" t="s">
        <v>981</v>
      </c>
      <c r="BC180" t="s">
        <v>257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 t="s">
        <v>998</v>
      </c>
      <c r="BK180" t="s">
        <v>981</v>
      </c>
      <c r="BL180" t="s">
        <v>2287</v>
      </c>
      <c r="BM180">
        <v>20141120</v>
      </c>
      <c r="BN180">
        <v>20181119</v>
      </c>
      <c r="BO180">
        <v>0</v>
      </c>
      <c r="BP180" t="s">
        <v>257</v>
      </c>
      <c r="BQ180" t="s">
        <v>983</v>
      </c>
      <c r="BR180" t="s">
        <v>978</v>
      </c>
      <c r="BS180" t="s">
        <v>979</v>
      </c>
      <c r="BT180">
        <v>0</v>
      </c>
      <c r="BU180">
        <v>0</v>
      </c>
      <c r="BV180" t="s">
        <v>1013</v>
      </c>
      <c r="BW180" t="s">
        <v>257</v>
      </c>
      <c r="BX180">
        <v>0</v>
      </c>
      <c r="BY180" t="s">
        <v>980</v>
      </c>
      <c r="BZ180" t="s">
        <v>257</v>
      </c>
      <c r="CA180">
        <v>0</v>
      </c>
      <c r="CB180">
        <v>0</v>
      </c>
      <c r="CC180" t="s">
        <v>2293</v>
      </c>
      <c r="CD180">
        <v>0</v>
      </c>
      <c r="CE180">
        <v>0</v>
      </c>
      <c r="CF180">
        <v>0</v>
      </c>
      <c r="CG180">
        <v>0</v>
      </c>
      <c r="CH180">
        <v>0</v>
      </c>
      <c r="CI180" t="s">
        <v>983</v>
      </c>
      <c r="CJ180" t="s">
        <v>972</v>
      </c>
      <c r="CK180" t="s">
        <v>986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 t="s">
        <v>987</v>
      </c>
      <c r="CV180">
        <v>400008181</v>
      </c>
      <c r="CW180" t="s">
        <v>987</v>
      </c>
      <c r="CX180" t="s">
        <v>1081</v>
      </c>
      <c r="CY180" t="s">
        <v>989</v>
      </c>
    </row>
    <row r="181" spans="1:103" hidden="1" x14ac:dyDescent="0.25">
      <c r="A181">
        <v>410000182</v>
      </c>
      <c r="B181" t="s">
        <v>2294</v>
      </c>
      <c r="C181" t="s">
        <v>2295</v>
      </c>
      <c r="D181">
        <v>401100000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1</v>
      </c>
      <c r="Y181" t="s">
        <v>972</v>
      </c>
      <c r="Z181" t="s">
        <v>2296</v>
      </c>
      <c r="AA181" t="s">
        <v>2297</v>
      </c>
      <c r="AB181" t="s">
        <v>975</v>
      </c>
      <c r="AC181">
        <v>7060</v>
      </c>
      <c r="AD181" t="s">
        <v>2298</v>
      </c>
      <c r="AE181" t="s">
        <v>2299</v>
      </c>
      <c r="AF181" t="s">
        <v>979</v>
      </c>
      <c r="AG181" t="s">
        <v>977</v>
      </c>
      <c r="AH181" t="s">
        <v>977</v>
      </c>
      <c r="AI181" t="s">
        <v>977</v>
      </c>
      <c r="AJ181" t="s">
        <v>2300</v>
      </c>
      <c r="AK181" t="s">
        <v>978</v>
      </c>
      <c r="AL181" t="s">
        <v>978</v>
      </c>
      <c r="AM181" t="s">
        <v>979</v>
      </c>
      <c r="AN181">
        <v>0</v>
      </c>
      <c r="AO181" t="s">
        <v>257</v>
      </c>
      <c r="AP181">
        <v>0</v>
      </c>
      <c r="AQ181">
        <v>1</v>
      </c>
      <c r="AR181">
        <v>43</v>
      </c>
      <c r="AS181">
        <v>1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1</v>
      </c>
      <c r="AZ181" t="s">
        <v>257</v>
      </c>
      <c r="BA181" t="s">
        <v>980</v>
      </c>
      <c r="BB181" t="s">
        <v>981</v>
      </c>
      <c r="BC181" t="s">
        <v>257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 t="s">
        <v>998</v>
      </c>
      <c r="BK181" t="s">
        <v>981</v>
      </c>
      <c r="BL181" t="s">
        <v>2294</v>
      </c>
      <c r="BM181">
        <v>20141120</v>
      </c>
      <c r="BN181">
        <v>20181119</v>
      </c>
      <c r="BO181">
        <v>0</v>
      </c>
      <c r="BP181" t="s">
        <v>257</v>
      </c>
      <c r="BQ181" t="s">
        <v>983</v>
      </c>
      <c r="BR181" t="s">
        <v>978</v>
      </c>
      <c r="BS181" t="s">
        <v>979</v>
      </c>
      <c r="BT181">
        <v>0</v>
      </c>
      <c r="BU181">
        <v>0</v>
      </c>
      <c r="BV181" t="s">
        <v>1013</v>
      </c>
      <c r="BW181" t="s">
        <v>257</v>
      </c>
      <c r="BX181">
        <v>0</v>
      </c>
      <c r="BY181" t="s">
        <v>980</v>
      </c>
      <c r="BZ181" t="s">
        <v>257</v>
      </c>
      <c r="CA181">
        <v>0</v>
      </c>
      <c r="CB181">
        <v>0</v>
      </c>
      <c r="CC181" t="s">
        <v>2301</v>
      </c>
      <c r="CD181">
        <v>0</v>
      </c>
      <c r="CE181">
        <v>0</v>
      </c>
      <c r="CF181">
        <v>0</v>
      </c>
      <c r="CG181">
        <v>0</v>
      </c>
      <c r="CH181">
        <v>0</v>
      </c>
      <c r="CI181" t="s">
        <v>983</v>
      </c>
      <c r="CJ181" t="s">
        <v>972</v>
      </c>
      <c r="CK181" t="s">
        <v>986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 t="s">
        <v>987</v>
      </c>
      <c r="CV181">
        <v>400008182</v>
      </c>
      <c r="CW181" t="s">
        <v>987</v>
      </c>
      <c r="CX181" t="s">
        <v>1081</v>
      </c>
      <c r="CY181" t="s">
        <v>989</v>
      </c>
    </row>
    <row r="182" spans="1:103" hidden="1" x14ac:dyDescent="0.25">
      <c r="A182">
        <v>410000183</v>
      </c>
      <c r="B182" t="s">
        <v>2302</v>
      </c>
      <c r="C182" t="s">
        <v>2303</v>
      </c>
      <c r="D182">
        <v>401100000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1</v>
      </c>
      <c r="Y182" t="s">
        <v>972</v>
      </c>
      <c r="Z182" t="s">
        <v>2304</v>
      </c>
      <c r="AA182" t="s">
        <v>2305</v>
      </c>
      <c r="AB182" t="s">
        <v>975</v>
      </c>
      <c r="AC182">
        <v>5537</v>
      </c>
      <c r="AD182" t="s">
        <v>2306</v>
      </c>
      <c r="AE182" t="s">
        <v>2307</v>
      </c>
      <c r="AF182" t="s">
        <v>979</v>
      </c>
      <c r="AG182" t="s">
        <v>977</v>
      </c>
      <c r="AH182" t="s">
        <v>977</v>
      </c>
      <c r="AI182" t="s">
        <v>977</v>
      </c>
      <c r="AJ182" t="s">
        <v>997</v>
      </c>
      <c r="AK182" t="s">
        <v>978</v>
      </c>
      <c r="AL182" t="s">
        <v>978</v>
      </c>
      <c r="AM182" t="s">
        <v>979</v>
      </c>
      <c r="AN182">
        <v>0</v>
      </c>
      <c r="AO182" t="s">
        <v>257</v>
      </c>
      <c r="AP182">
        <v>0</v>
      </c>
      <c r="AQ182">
        <v>1</v>
      </c>
      <c r="AR182">
        <v>43</v>
      </c>
      <c r="AS182">
        <v>1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1</v>
      </c>
      <c r="AZ182" t="s">
        <v>257</v>
      </c>
      <c r="BA182" t="s">
        <v>980</v>
      </c>
      <c r="BB182" t="s">
        <v>981</v>
      </c>
      <c r="BC182" t="s">
        <v>257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 t="s">
        <v>998</v>
      </c>
      <c r="BK182" t="s">
        <v>981</v>
      </c>
      <c r="BL182" t="s">
        <v>2302</v>
      </c>
      <c r="BM182">
        <v>20141120</v>
      </c>
      <c r="BN182">
        <v>20181119</v>
      </c>
      <c r="BO182">
        <v>0</v>
      </c>
      <c r="BP182" t="s">
        <v>257</v>
      </c>
      <c r="BQ182" t="s">
        <v>983</v>
      </c>
      <c r="BR182" t="s">
        <v>978</v>
      </c>
      <c r="BS182" t="s">
        <v>979</v>
      </c>
      <c r="BT182">
        <v>0</v>
      </c>
      <c r="BU182">
        <v>0</v>
      </c>
      <c r="BV182" t="s">
        <v>1013</v>
      </c>
      <c r="BW182" t="s">
        <v>257</v>
      </c>
      <c r="BX182">
        <v>0</v>
      </c>
      <c r="BY182" t="s">
        <v>980</v>
      </c>
      <c r="BZ182" t="s">
        <v>257</v>
      </c>
      <c r="CA182">
        <v>0</v>
      </c>
      <c r="CB182">
        <v>0</v>
      </c>
      <c r="CC182" t="s">
        <v>2222</v>
      </c>
      <c r="CD182">
        <v>0</v>
      </c>
      <c r="CE182">
        <v>0</v>
      </c>
      <c r="CF182">
        <v>0</v>
      </c>
      <c r="CG182">
        <v>0</v>
      </c>
      <c r="CH182">
        <v>0</v>
      </c>
      <c r="CI182" t="s">
        <v>983</v>
      </c>
      <c r="CJ182" t="s">
        <v>972</v>
      </c>
      <c r="CK182" t="s">
        <v>986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 t="s">
        <v>987</v>
      </c>
      <c r="CV182">
        <v>400008183</v>
      </c>
      <c r="CW182" t="s">
        <v>987</v>
      </c>
      <c r="CX182" t="s">
        <v>1081</v>
      </c>
      <c r="CY182" t="s">
        <v>989</v>
      </c>
    </row>
    <row r="183" spans="1:103" hidden="1" x14ac:dyDescent="0.25">
      <c r="A183">
        <v>410000184</v>
      </c>
      <c r="B183" t="s">
        <v>2308</v>
      </c>
      <c r="C183" t="s">
        <v>2309</v>
      </c>
      <c r="D183">
        <v>401100000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 t="s">
        <v>972</v>
      </c>
      <c r="Z183" t="s">
        <v>987</v>
      </c>
      <c r="AA183" t="s">
        <v>2310</v>
      </c>
      <c r="AB183" t="s">
        <v>975</v>
      </c>
      <c r="AC183">
        <v>4431</v>
      </c>
      <c r="AD183" t="s">
        <v>2311</v>
      </c>
      <c r="AE183" t="s">
        <v>2312</v>
      </c>
      <c r="AF183" t="s">
        <v>2313</v>
      </c>
      <c r="AG183" t="s">
        <v>977</v>
      </c>
      <c r="AH183" t="s">
        <v>977</v>
      </c>
      <c r="AI183" t="s">
        <v>977</v>
      </c>
      <c r="AJ183" t="s">
        <v>978</v>
      </c>
      <c r="AK183" t="s">
        <v>978</v>
      </c>
      <c r="AL183" t="s">
        <v>978</v>
      </c>
      <c r="AM183" t="s">
        <v>979</v>
      </c>
      <c r="AN183">
        <v>0</v>
      </c>
      <c r="AO183" t="s">
        <v>257</v>
      </c>
      <c r="AP183">
        <v>0</v>
      </c>
      <c r="AQ183">
        <v>1</v>
      </c>
      <c r="AR183">
        <v>43</v>
      </c>
      <c r="AS183">
        <v>1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1</v>
      </c>
      <c r="AZ183" t="s">
        <v>257</v>
      </c>
      <c r="BA183" t="s">
        <v>980</v>
      </c>
      <c r="BB183" t="s">
        <v>981</v>
      </c>
      <c r="BC183" t="s">
        <v>257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 t="s">
        <v>998</v>
      </c>
      <c r="BK183" t="s">
        <v>981</v>
      </c>
      <c r="BL183" t="s">
        <v>2308</v>
      </c>
      <c r="BM183">
        <v>20141121</v>
      </c>
      <c r="BN183">
        <v>20181119</v>
      </c>
      <c r="BO183">
        <v>0</v>
      </c>
      <c r="BP183" t="s">
        <v>257</v>
      </c>
      <c r="BQ183" t="s">
        <v>983</v>
      </c>
      <c r="BR183" t="s">
        <v>978</v>
      </c>
      <c r="BS183" t="s">
        <v>979</v>
      </c>
      <c r="BT183">
        <v>0</v>
      </c>
      <c r="BU183">
        <v>0</v>
      </c>
      <c r="BV183" t="s">
        <v>1013</v>
      </c>
      <c r="BW183" t="s">
        <v>257</v>
      </c>
      <c r="BX183">
        <v>0</v>
      </c>
      <c r="BY183" t="s">
        <v>980</v>
      </c>
      <c r="BZ183" t="s">
        <v>257</v>
      </c>
      <c r="CA183">
        <v>0</v>
      </c>
      <c r="CB183">
        <v>0</v>
      </c>
      <c r="CC183" t="s">
        <v>1572</v>
      </c>
      <c r="CD183">
        <v>0</v>
      </c>
      <c r="CE183">
        <v>0</v>
      </c>
      <c r="CF183">
        <v>0</v>
      </c>
      <c r="CG183">
        <v>0</v>
      </c>
      <c r="CH183">
        <v>0</v>
      </c>
      <c r="CI183" t="s">
        <v>983</v>
      </c>
      <c r="CJ183" t="s">
        <v>972</v>
      </c>
      <c r="CK183" t="s">
        <v>986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 t="s">
        <v>987</v>
      </c>
      <c r="CV183">
        <v>400008184</v>
      </c>
      <c r="CW183" t="s">
        <v>987</v>
      </c>
      <c r="CX183" t="s">
        <v>2314</v>
      </c>
      <c r="CY183" t="s">
        <v>989</v>
      </c>
    </row>
    <row r="184" spans="1:103" hidden="1" x14ac:dyDescent="0.25">
      <c r="A184">
        <v>410000185</v>
      </c>
      <c r="B184" t="s">
        <v>2315</v>
      </c>
      <c r="C184" t="s">
        <v>2316</v>
      </c>
      <c r="D184">
        <v>401100000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1</v>
      </c>
      <c r="Y184" t="s">
        <v>972</v>
      </c>
      <c r="Z184" t="s">
        <v>2317</v>
      </c>
      <c r="AA184" t="s">
        <v>2318</v>
      </c>
      <c r="AB184" t="s">
        <v>975</v>
      </c>
      <c r="AC184">
        <v>4681</v>
      </c>
      <c r="AD184" t="s">
        <v>2070</v>
      </c>
      <c r="AE184" t="s">
        <v>2319</v>
      </c>
      <c r="AF184" t="s">
        <v>2320</v>
      </c>
      <c r="AG184" t="s">
        <v>977</v>
      </c>
      <c r="AH184" t="s">
        <v>977</v>
      </c>
      <c r="AI184" t="s">
        <v>977</v>
      </c>
      <c r="AJ184" t="s">
        <v>978</v>
      </c>
      <c r="AK184" t="s">
        <v>978</v>
      </c>
      <c r="AL184" t="s">
        <v>978</v>
      </c>
      <c r="AM184" t="s">
        <v>979</v>
      </c>
      <c r="AN184">
        <v>0</v>
      </c>
      <c r="AO184" t="s">
        <v>257</v>
      </c>
      <c r="AP184">
        <v>0</v>
      </c>
      <c r="AQ184">
        <v>1</v>
      </c>
      <c r="AR184">
        <v>43</v>
      </c>
      <c r="AS184">
        <v>1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1</v>
      </c>
      <c r="AZ184" t="s">
        <v>257</v>
      </c>
      <c r="BA184" t="s">
        <v>980</v>
      </c>
      <c r="BB184" t="s">
        <v>981</v>
      </c>
      <c r="BC184" t="s">
        <v>257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 t="s">
        <v>998</v>
      </c>
      <c r="BK184" t="s">
        <v>981</v>
      </c>
      <c r="BL184" t="s">
        <v>2315</v>
      </c>
      <c r="BM184">
        <v>20141126</v>
      </c>
      <c r="BN184">
        <v>20181119</v>
      </c>
      <c r="BO184">
        <v>0</v>
      </c>
      <c r="BP184" t="s">
        <v>257</v>
      </c>
      <c r="BQ184" t="s">
        <v>983</v>
      </c>
      <c r="BR184" t="s">
        <v>978</v>
      </c>
      <c r="BS184" t="s">
        <v>2321</v>
      </c>
      <c r="BT184">
        <v>0</v>
      </c>
      <c r="BU184">
        <v>0</v>
      </c>
      <c r="BV184" t="s">
        <v>1013</v>
      </c>
      <c r="BW184" t="s">
        <v>257</v>
      </c>
      <c r="BX184">
        <v>0</v>
      </c>
      <c r="BY184" t="s">
        <v>980</v>
      </c>
      <c r="BZ184" t="s">
        <v>257</v>
      </c>
      <c r="CA184">
        <v>0</v>
      </c>
      <c r="CB184">
        <v>0</v>
      </c>
      <c r="CC184" t="s">
        <v>2322</v>
      </c>
      <c r="CD184">
        <v>0</v>
      </c>
      <c r="CE184">
        <v>0</v>
      </c>
      <c r="CF184">
        <v>0</v>
      </c>
      <c r="CG184">
        <v>0</v>
      </c>
      <c r="CH184">
        <v>0</v>
      </c>
      <c r="CI184" t="s">
        <v>983</v>
      </c>
      <c r="CJ184" t="s">
        <v>972</v>
      </c>
      <c r="CK184" t="s">
        <v>986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 t="s">
        <v>987</v>
      </c>
      <c r="CV184">
        <v>400008185</v>
      </c>
      <c r="CW184" t="s">
        <v>987</v>
      </c>
      <c r="CX184" t="s">
        <v>2323</v>
      </c>
      <c r="CY184" t="s">
        <v>989</v>
      </c>
    </row>
    <row r="185" spans="1:103" hidden="1" x14ac:dyDescent="0.25">
      <c r="A185">
        <v>410000186</v>
      </c>
      <c r="B185" t="s">
        <v>2324</v>
      </c>
      <c r="C185" t="s">
        <v>2325</v>
      </c>
      <c r="D185">
        <v>401100000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1</v>
      </c>
      <c r="Y185" t="s">
        <v>972</v>
      </c>
      <c r="Z185" t="s">
        <v>2326</v>
      </c>
      <c r="AA185" t="s">
        <v>2327</v>
      </c>
      <c r="AB185" t="s">
        <v>975</v>
      </c>
      <c r="AC185">
        <v>4432</v>
      </c>
      <c r="AD185" t="s">
        <v>1313</v>
      </c>
      <c r="AE185" t="s">
        <v>2328</v>
      </c>
      <c r="AF185" t="s">
        <v>979</v>
      </c>
      <c r="AG185" t="s">
        <v>977</v>
      </c>
      <c r="AH185" t="s">
        <v>977</v>
      </c>
      <c r="AI185" t="s">
        <v>977</v>
      </c>
      <c r="AJ185" t="s">
        <v>978</v>
      </c>
      <c r="AK185" t="s">
        <v>978</v>
      </c>
      <c r="AL185" t="s">
        <v>978</v>
      </c>
      <c r="AM185" t="s">
        <v>979</v>
      </c>
      <c r="AN185">
        <v>0</v>
      </c>
      <c r="AO185" t="s">
        <v>257</v>
      </c>
      <c r="AP185">
        <v>0</v>
      </c>
      <c r="AQ185">
        <v>1</v>
      </c>
      <c r="AR185">
        <v>43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1</v>
      </c>
      <c r="AZ185" t="s">
        <v>257</v>
      </c>
      <c r="BA185" t="s">
        <v>980</v>
      </c>
      <c r="BB185" t="s">
        <v>981</v>
      </c>
      <c r="BC185" t="s">
        <v>257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 t="s">
        <v>998</v>
      </c>
      <c r="BK185" t="s">
        <v>981</v>
      </c>
      <c r="BL185" t="s">
        <v>2324</v>
      </c>
      <c r="BM185">
        <v>20141127</v>
      </c>
      <c r="BN185">
        <v>20181119</v>
      </c>
      <c r="BO185">
        <v>0</v>
      </c>
      <c r="BP185" t="s">
        <v>257</v>
      </c>
      <c r="BQ185" t="s">
        <v>983</v>
      </c>
      <c r="BR185" t="s">
        <v>978</v>
      </c>
      <c r="BS185" t="s">
        <v>979</v>
      </c>
      <c r="BT185">
        <v>0</v>
      </c>
      <c r="BU185">
        <v>0</v>
      </c>
      <c r="BV185" t="s">
        <v>1013</v>
      </c>
      <c r="BW185" t="s">
        <v>257</v>
      </c>
      <c r="BX185">
        <v>0</v>
      </c>
      <c r="BY185" t="s">
        <v>980</v>
      </c>
      <c r="BZ185" t="s">
        <v>257</v>
      </c>
      <c r="CA185">
        <v>0</v>
      </c>
      <c r="CB185">
        <v>0</v>
      </c>
      <c r="CC185" t="s">
        <v>1317</v>
      </c>
      <c r="CD185">
        <v>0</v>
      </c>
      <c r="CE185">
        <v>0</v>
      </c>
      <c r="CF185">
        <v>0</v>
      </c>
      <c r="CG185">
        <v>0</v>
      </c>
      <c r="CH185">
        <v>0</v>
      </c>
      <c r="CI185" t="s">
        <v>983</v>
      </c>
      <c r="CJ185" t="s">
        <v>972</v>
      </c>
      <c r="CK185" t="s">
        <v>986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 t="s">
        <v>987</v>
      </c>
      <c r="CV185">
        <v>400008186</v>
      </c>
      <c r="CW185" t="s">
        <v>987</v>
      </c>
      <c r="CX185" t="s">
        <v>2329</v>
      </c>
      <c r="CY185" t="s">
        <v>989</v>
      </c>
    </row>
    <row r="186" spans="1:103" hidden="1" x14ac:dyDescent="0.25">
      <c r="A186">
        <v>410000187</v>
      </c>
      <c r="B186" t="s">
        <v>2330</v>
      </c>
      <c r="C186" t="s">
        <v>2331</v>
      </c>
      <c r="D186">
        <v>401100000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1</v>
      </c>
      <c r="Y186" t="s">
        <v>972</v>
      </c>
      <c r="Z186" t="s">
        <v>987</v>
      </c>
      <c r="AA186" t="s">
        <v>2332</v>
      </c>
      <c r="AB186" t="s">
        <v>975</v>
      </c>
      <c r="AC186">
        <v>1420</v>
      </c>
      <c r="AD186" t="s">
        <v>2333</v>
      </c>
      <c r="AE186" t="s">
        <v>2334</v>
      </c>
      <c r="AF186" t="s">
        <v>2335</v>
      </c>
      <c r="AG186" t="s">
        <v>977</v>
      </c>
      <c r="AH186" t="s">
        <v>977</v>
      </c>
      <c r="AI186" t="s">
        <v>977</v>
      </c>
      <c r="AJ186" t="s">
        <v>2336</v>
      </c>
      <c r="AK186" t="s">
        <v>978</v>
      </c>
      <c r="AL186" t="s">
        <v>978</v>
      </c>
      <c r="AM186" t="s">
        <v>979</v>
      </c>
      <c r="AN186">
        <v>0</v>
      </c>
      <c r="AO186" t="s">
        <v>257</v>
      </c>
      <c r="AP186">
        <v>0</v>
      </c>
      <c r="AQ186">
        <v>1</v>
      </c>
      <c r="AR186">
        <v>43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1</v>
      </c>
      <c r="AZ186" t="s">
        <v>257</v>
      </c>
      <c r="BA186" t="s">
        <v>980</v>
      </c>
      <c r="BB186" t="s">
        <v>981</v>
      </c>
      <c r="BC186" t="s">
        <v>257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 t="s">
        <v>998</v>
      </c>
      <c r="BK186" t="s">
        <v>981</v>
      </c>
      <c r="BL186" t="s">
        <v>2330</v>
      </c>
      <c r="BM186">
        <v>20141128</v>
      </c>
      <c r="BN186">
        <v>20181119</v>
      </c>
      <c r="BO186">
        <v>0</v>
      </c>
      <c r="BP186" t="s">
        <v>257</v>
      </c>
      <c r="BQ186" t="s">
        <v>983</v>
      </c>
      <c r="BR186" t="s">
        <v>978</v>
      </c>
      <c r="BS186" t="s">
        <v>979</v>
      </c>
      <c r="BT186">
        <v>0</v>
      </c>
      <c r="BU186">
        <v>0</v>
      </c>
      <c r="BV186" t="s">
        <v>1013</v>
      </c>
      <c r="BW186" t="s">
        <v>257</v>
      </c>
      <c r="BX186">
        <v>0</v>
      </c>
      <c r="BY186" t="s">
        <v>980</v>
      </c>
      <c r="BZ186" t="s">
        <v>257</v>
      </c>
      <c r="CA186">
        <v>0</v>
      </c>
      <c r="CB186">
        <v>0</v>
      </c>
      <c r="CC186" t="s">
        <v>1014</v>
      </c>
      <c r="CD186">
        <v>0</v>
      </c>
      <c r="CE186">
        <v>0</v>
      </c>
      <c r="CF186">
        <v>0</v>
      </c>
      <c r="CG186">
        <v>0</v>
      </c>
      <c r="CH186">
        <v>0</v>
      </c>
      <c r="CI186" t="s">
        <v>983</v>
      </c>
      <c r="CJ186" t="s">
        <v>972</v>
      </c>
      <c r="CK186" t="s">
        <v>986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 t="s">
        <v>987</v>
      </c>
      <c r="CV186">
        <v>400008187</v>
      </c>
      <c r="CW186" t="s">
        <v>987</v>
      </c>
      <c r="CX186" t="s">
        <v>1081</v>
      </c>
      <c r="CY186" t="s">
        <v>989</v>
      </c>
    </row>
    <row r="187" spans="1:103" hidden="1" x14ac:dyDescent="0.25">
      <c r="A187">
        <v>410000188</v>
      </c>
      <c r="B187" t="s">
        <v>2337</v>
      </c>
      <c r="C187" t="s">
        <v>2338</v>
      </c>
      <c r="D187">
        <v>401100000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  <c r="Y187" t="s">
        <v>972</v>
      </c>
      <c r="Z187" t="s">
        <v>987</v>
      </c>
      <c r="AA187" t="s">
        <v>2339</v>
      </c>
      <c r="AB187" t="s">
        <v>975</v>
      </c>
      <c r="AC187">
        <v>4680</v>
      </c>
      <c r="AD187" t="s">
        <v>1891</v>
      </c>
      <c r="AE187" t="s">
        <v>2340</v>
      </c>
      <c r="AF187" t="s">
        <v>979</v>
      </c>
      <c r="AG187" t="s">
        <v>977</v>
      </c>
      <c r="AH187" t="s">
        <v>977</v>
      </c>
      <c r="AI187" t="s">
        <v>977</v>
      </c>
      <c r="AJ187" t="s">
        <v>978</v>
      </c>
      <c r="AK187" t="s">
        <v>978</v>
      </c>
      <c r="AL187" t="s">
        <v>978</v>
      </c>
      <c r="AM187" t="s">
        <v>979</v>
      </c>
      <c r="AN187">
        <v>0</v>
      </c>
      <c r="AO187" t="s">
        <v>257</v>
      </c>
      <c r="AP187">
        <v>0</v>
      </c>
      <c r="AQ187">
        <v>1</v>
      </c>
      <c r="AR187">
        <v>43</v>
      </c>
      <c r="AS187">
        <v>1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1</v>
      </c>
      <c r="AZ187" t="s">
        <v>257</v>
      </c>
      <c r="BA187" t="s">
        <v>980</v>
      </c>
      <c r="BB187" t="s">
        <v>981</v>
      </c>
      <c r="BC187" t="s">
        <v>257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410000317</v>
      </c>
      <c r="BJ187" t="s">
        <v>998</v>
      </c>
      <c r="BK187" t="s">
        <v>981</v>
      </c>
      <c r="BL187" t="s">
        <v>2337</v>
      </c>
      <c r="BM187">
        <v>20141128</v>
      </c>
      <c r="BN187">
        <v>20211013</v>
      </c>
      <c r="BO187">
        <v>0</v>
      </c>
      <c r="BP187" t="s">
        <v>257</v>
      </c>
      <c r="BQ187" t="s">
        <v>983</v>
      </c>
      <c r="BR187" t="s">
        <v>978</v>
      </c>
      <c r="BS187" t="s">
        <v>979</v>
      </c>
      <c r="BT187">
        <v>0</v>
      </c>
      <c r="BU187">
        <v>0</v>
      </c>
      <c r="BV187" t="s">
        <v>2341</v>
      </c>
      <c r="BW187" t="s">
        <v>257</v>
      </c>
      <c r="BX187">
        <v>0</v>
      </c>
      <c r="BY187" t="s">
        <v>980</v>
      </c>
      <c r="BZ187" t="s">
        <v>257</v>
      </c>
      <c r="CA187">
        <v>0</v>
      </c>
      <c r="CB187">
        <v>0</v>
      </c>
      <c r="CC187" t="s">
        <v>2342</v>
      </c>
      <c r="CD187">
        <v>0</v>
      </c>
      <c r="CE187">
        <v>0</v>
      </c>
      <c r="CF187">
        <v>0</v>
      </c>
      <c r="CG187">
        <v>0</v>
      </c>
      <c r="CH187">
        <v>0</v>
      </c>
      <c r="CI187" t="s">
        <v>983</v>
      </c>
      <c r="CJ187" t="s">
        <v>972</v>
      </c>
      <c r="CK187" t="s">
        <v>986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 t="s">
        <v>987</v>
      </c>
      <c r="CV187">
        <v>400008188</v>
      </c>
      <c r="CW187" t="s">
        <v>987</v>
      </c>
      <c r="CX187" t="s">
        <v>1081</v>
      </c>
      <c r="CY187" t="s">
        <v>989</v>
      </c>
    </row>
    <row r="188" spans="1:103" hidden="1" x14ac:dyDescent="0.25">
      <c r="A188">
        <v>410000189</v>
      </c>
      <c r="B188" t="s">
        <v>2343</v>
      </c>
      <c r="C188" t="s">
        <v>2344</v>
      </c>
      <c r="D188">
        <v>401100000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1</v>
      </c>
      <c r="Y188" t="s">
        <v>972</v>
      </c>
      <c r="Z188" t="s">
        <v>987</v>
      </c>
      <c r="AA188" t="s">
        <v>2345</v>
      </c>
      <c r="AB188" t="s">
        <v>975</v>
      </c>
      <c r="AC188">
        <v>4020</v>
      </c>
      <c r="AD188" t="s">
        <v>1019</v>
      </c>
      <c r="AE188" t="s">
        <v>2346</v>
      </c>
      <c r="AF188" t="s">
        <v>2347</v>
      </c>
      <c r="AG188" t="s">
        <v>977</v>
      </c>
      <c r="AH188" t="s">
        <v>977</v>
      </c>
      <c r="AI188" t="s">
        <v>977</v>
      </c>
      <c r="AJ188" t="s">
        <v>978</v>
      </c>
      <c r="AK188" t="s">
        <v>978</v>
      </c>
      <c r="AL188" t="s">
        <v>978</v>
      </c>
      <c r="AM188" t="s">
        <v>979</v>
      </c>
      <c r="AN188">
        <v>0</v>
      </c>
      <c r="AO188" t="s">
        <v>257</v>
      </c>
      <c r="AP188">
        <v>0</v>
      </c>
      <c r="AQ188">
        <v>1</v>
      </c>
      <c r="AR188">
        <v>43</v>
      </c>
      <c r="AS188">
        <v>1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1</v>
      </c>
      <c r="AZ188" t="s">
        <v>257</v>
      </c>
      <c r="BA188" t="s">
        <v>980</v>
      </c>
      <c r="BB188" t="s">
        <v>981</v>
      </c>
      <c r="BC188" t="s">
        <v>257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 t="s">
        <v>998</v>
      </c>
      <c r="BK188" t="s">
        <v>981</v>
      </c>
      <c r="BL188" t="s">
        <v>2343</v>
      </c>
      <c r="BM188">
        <v>20141202</v>
      </c>
      <c r="BN188">
        <v>20181119</v>
      </c>
      <c r="BO188">
        <v>0</v>
      </c>
      <c r="BP188" t="s">
        <v>257</v>
      </c>
      <c r="BQ188" t="s">
        <v>983</v>
      </c>
      <c r="BR188" t="s">
        <v>978</v>
      </c>
      <c r="BS188" t="s">
        <v>979</v>
      </c>
      <c r="BT188">
        <v>0</v>
      </c>
      <c r="BU188">
        <v>0</v>
      </c>
      <c r="BV188" t="s">
        <v>1013</v>
      </c>
      <c r="BW188" t="s">
        <v>257</v>
      </c>
      <c r="BX188">
        <v>0</v>
      </c>
      <c r="BY188" t="s">
        <v>980</v>
      </c>
      <c r="BZ188" t="s">
        <v>257</v>
      </c>
      <c r="CA188">
        <v>0</v>
      </c>
      <c r="CB188">
        <v>0</v>
      </c>
      <c r="CC188" t="s">
        <v>2000</v>
      </c>
      <c r="CD188">
        <v>0</v>
      </c>
      <c r="CE188">
        <v>0</v>
      </c>
      <c r="CF188">
        <v>0</v>
      </c>
      <c r="CG188">
        <v>0</v>
      </c>
      <c r="CH188">
        <v>0</v>
      </c>
      <c r="CI188" t="s">
        <v>983</v>
      </c>
      <c r="CJ188" t="s">
        <v>972</v>
      </c>
      <c r="CK188" t="s">
        <v>986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 t="s">
        <v>987</v>
      </c>
      <c r="CV188">
        <v>400008189</v>
      </c>
      <c r="CW188" t="s">
        <v>987</v>
      </c>
      <c r="CX188" t="s">
        <v>2348</v>
      </c>
      <c r="CY188" t="s">
        <v>989</v>
      </c>
    </row>
    <row r="189" spans="1:103" hidden="1" x14ac:dyDescent="0.25">
      <c r="A189">
        <v>410000190</v>
      </c>
      <c r="B189" t="s">
        <v>2349</v>
      </c>
      <c r="C189" t="s">
        <v>2350</v>
      </c>
      <c r="D189">
        <v>401100000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 t="s">
        <v>972</v>
      </c>
      <c r="Z189" t="s">
        <v>2351</v>
      </c>
      <c r="AA189" t="s">
        <v>2352</v>
      </c>
      <c r="AB189" t="s">
        <v>975</v>
      </c>
      <c r="AC189">
        <v>4141</v>
      </c>
      <c r="AD189" t="s">
        <v>2353</v>
      </c>
      <c r="AE189" t="s">
        <v>2354</v>
      </c>
      <c r="AF189" t="s">
        <v>2355</v>
      </c>
      <c r="AG189" t="s">
        <v>977</v>
      </c>
      <c r="AH189" t="s">
        <v>977</v>
      </c>
      <c r="AI189" t="s">
        <v>977</v>
      </c>
      <c r="AJ189" t="s">
        <v>978</v>
      </c>
      <c r="AK189" t="s">
        <v>978</v>
      </c>
      <c r="AL189" t="s">
        <v>978</v>
      </c>
      <c r="AM189" t="s">
        <v>979</v>
      </c>
      <c r="AN189">
        <v>0</v>
      </c>
      <c r="AO189" t="s">
        <v>257</v>
      </c>
      <c r="AP189">
        <v>0</v>
      </c>
      <c r="AQ189">
        <v>1</v>
      </c>
      <c r="AR189">
        <v>43</v>
      </c>
      <c r="AS189">
        <v>1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1</v>
      </c>
      <c r="AZ189" t="s">
        <v>257</v>
      </c>
      <c r="BA189" t="s">
        <v>980</v>
      </c>
      <c r="BB189" t="s">
        <v>981</v>
      </c>
      <c r="BC189" t="s">
        <v>257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 t="s">
        <v>998</v>
      </c>
      <c r="BK189" t="s">
        <v>981</v>
      </c>
      <c r="BL189" t="s">
        <v>2349</v>
      </c>
      <c r="BM189">
        <v>20141210</v>
      </c>
      <c r="BN189">
        <v>20181119</v>
      </c>
      <c r="BO189">
        <v>0</v>
      </c>
      <c r="BP189" t="s">
        <v>257</v>
      </c>
      <c r="BQ189" t="s">
        <v>983</v>
      </c>
      <c r="BR189" t="s">
        <v>978</v>
      </c>
      <c r="BS189" t="s">
        <v>979</v>
      </c>
      <c r="BT189">
        <v>0</v>
      </c>
      <c r="BU189">
        <v>0</v>
      </c>
      <c r="BV189" t="s">
        <v>1013</v>
      </c>
      <c r="BW189" t="s">
        <v>257</v>
      </c>
      <c r="BX189">
        <v>0</v>
      </c>
      <c r="BY189" t="s">
        <v>980</v>
      </c>
      <c r="BZ189" t="s">
        <v>257</v>
      </c>
      <c r="CA189">
        <v>0</v>
      </c>
      <c r="CB189">
        <v>0</v>
      </c>
      <c r="CC189" t="s">
        <v>2356</v>
      </c>
      <c r="CD189">
        <v>0</v>
      </c>
      <c r="CE189">
        <v>0</v>
      </c>
      <c r="CF189">
        <v>0</v>
      </c>
      <c r="CG189">
        <v>0</v>
      </c>
      <c r="CH189">
        <v>0</v>
      </c>
      <c r="CI189" t="s">
        <v>983</v>
      </c>
      <c r="CJ189" t="s">
        <v>972</v>
      </c>
      <c r="CK189" t="s">
        <v>986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 t="s">
        <v>987</v>
      </c>
      <c r="CV189">
        <v>400008190</v>
      </c>
      <c r="CW189" t="s">
        <v>987</v>
      </c>
      <c r="CX189" t="s">
        <v>2357</v>
      </c>
      <c r="CY189" t="s">
        <v>989</v>
      </c>
    </row>
    <row r="190" spans="1:103" hidden="1" x14ac:dyDescent="0.25">
      <c r="A190">
        <v>410000191</v>
      </c>
      <c r="B190" t="s">
        <v>2358</v>
      </c>
      <c r="C190" t="s">
        <v>2359</v>
      </c>
      <c r="D190">
        <v>401100000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 t="s">
        <v>972</v>
      </c>
      <c r="Z190" t="s">
        <v>2360</v>
      </c>
      <c r="AA190" t="s">
        <v>2361</v>
      </c>
      <c r="AB190" t="s">
        <v>975</v>
      </c>
      <c r="AC190">
        <v>4700</v>
      </c>
      <c r="AD190" t="s">
        <v>1610</v>
      </c>
      <c r="AE190" t="s">
        <v>2362</v>
      </c>
      <c r="AF190" t="s">
        <v>2363</v>
      </c>
      <c r="AG190" t="s">
        <v>977</v>
      </c>
      <c r="AH190" t="s">
        <v>977</v>
      </c>
      <c r="AI190" t="s">
        <v>977</v>
      </c>
      <c r="AJ190" t="s">
        <v>978</v>
      </c>
      <c r="AK190" t="s">
        <v>2364</v>
      </c>
      <c r="AL190" t="s">
        <v>2365</v>
      </c>
      <c r="AM190" t="s">
        <v>979</v>
      </c>
      <c r="AN190">
        <v>0</v>
      </c>
      <c r="AO190" t="s">
        <v>257</v>
      </c>
      <c r="AP190">
        <v>0</v>
      </c>
      <c r="AQ190">
        <v>1</v>
      </c>
      <c r="AR190">
        <v>43</v>
      </c>
      <c r="AS190">
        <v>1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1</v>
      </c>
      <c r="AZ190" t="s">
        <v>257</v>
      </c>
      <c r="BA190" t="s">
        <v>980</v>
      </c>
      <c r="BB190" t="s">
        <v>981</v>
      </c>
      <c r="BC190" t="s">
        <v>257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 t="s">
        <v>998</v>
      </c>
      <c r="BK190" t="s">
        <v>981</v>
      </c>
      <c r="BL190" t="s">
        <v>2358</v>
      </c>
      <c r="BM190">
        <v>20141216</v>
      </c>
      <c r="BN190">
        <v>20251107</v>
      </c>
      <c r="BO190">
        <v>0</v>
      </c>
      <c r="BP190" t="s">
        <v>257</v>
      </c>
      <c r="BQ190" t="s">
        <v>983</v>
      </c>
      <c r="BR190" t="s">
        <v>978</v>
      </c>
      <c r="BS190" t="s">
        <v>979</v>
      </c>
      <c r="BT190">
        <v>0</v>
      </c>
      <c r="BU190">
        <v>0</v>
      </c>
      <c r="BV190" t="s">
        <v>984</v>
      </c>
      <c r="BW190" t="s">
        <v>257</v>
      </c>
      <c r="BX190">
        <v>0</v>
      </c>
      <c r="BY190" t="s">
        <v>980</v>
      </c>
      <c r="BZ190" t="s">
        <v>257</v>
      </c>
      <c r="CA190">
        <v>0</v>
      </c>
      <c r="CB190">
        <v>0</v>
      </c>
      <c r="CC190" t="s">
        <v>2366</v>
      </c>
      <c r="CD190">
        <v>0</v>
      </c>
      <c r="CE190">
        <v>0</v>
      </c>
      <c r="CF190">
        <v>0</v>
      </c>
      <c r="CG190">
        <v>0</v>
      </c>
      <c r="CH190">
        <v>0</v>
      </c>
      <c r="CI190" t="s">
        <v>983</v>
      </c>
      <c r="CJ190" t="s">
        <v>972</v>
      </c>
      <c r="CK190" t="s">
        <v>986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 t="s">
        <v>987</v>
      </c>
      <c r="CV190">
        <v>400008191</v>
      </c>
      <c r="CW190" t="s">
        <v>987</v>
      </c>
      <c r="CX190" t="s">
        <v>2367</v>
      </c>
      <c r="CY190" t="s">
        <v>989</v>
      </c>
    </row>
    <row r="191" spans="1:103" hidden="1" x14ac:dyDescent="0.25">
      <c r="A191">
        <v>410000192</v>
      </c>
      <c r="B191" t="s">
        <v>2368</v>
      </c>
      <c r="C191" t="s">
        <v>2369</v>
      </c>
      <c r="D191">
        <v>401100000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1</v>
      </c>
      <c r="Y191" t="s">
        <v>972</v>
      </c>
      <c r="Z191" t="s">
        <v>2370</v>
      </c>
      <c r="AA191" t="s">
        <v>2371</v>
      </c>
      <c r="AB191" t="s">
        <v>975</v>
      </c>
      <c r="AC191">
        <v>4000</v>
      </c>
      <c r="AD191" t="s">
        <v>1019</v>
      </c>
      <c r="AE191">
        <v>3242505363</v>
      </c>
      <c r="AF191" t="s">
        <v>979</v>
      </c>
      <c r="AG191" t="s">
        <v>977</v>
      </c>
      <c r="AH191" t="s">
        <v>977</v>
      </c>
      <c r="AI191">
        <v>4110</v>
      </c>
      <c r="AJ191" t="s">
        <v>2372</v>
      </c>
      <c r="AK191" t="s">
        <v>2373</v>
      </c>
      <c r="AL191" t="s">
        <v>978</v>
      </c>
      <c r="AM191" t="s">
        <v>979</v>
      </c>
      <c r="AN191">
        <v>0</v>
      </c>
      <c r="AO191" t="s">
        <v>257</v>
      </c>
      <c r="AP191">
        <v>0</v>
      </c>
      <c r="AQ191">
        <v>1</v>
      </c>
      <c r="AR191">
        <v>43</v>
      </c>
      <c r="AS191">
        <v>1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1</v>
      </c>
      <c r="AZ191" t="s">
        <v>257</v>
      </c>
      <c r="BA191" t="s">
        <v>980</v>
      </c>
      <c r="BB191" t="s">
        <v>981</v>
      </c>
      <c r="BC191" t="s">
        <v>257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 t="s">
        <v>998</v>
      </c>
      <c r="BK191" t="s">
        <v>981</v>
      </c>
      <c r="BL191" t="s">
        <v>2368</v>
      </c>
      <c r="BM191">
        <v>20141216</v>
      </c>
      <c r="BN191">
        <v>20220201</v>
      </c>
      <c r="BO191">
        <v>0</v>
      </c>
      <c r="BP191" t="s">
        <v>257</v>
      </c>
      <c r="BQ191" t="s">
        <v>983</v>
      </c>
      <c r="BR191" t="s">
        <v>978</v>
      </c>
      <c r="BS191" t="s">
        <v>979</v>
      </c>
      <c r="BT191">
        <v>0</v>
      </c>
      <c r="BU191">
        <v>0</v>
      </c>
      <c r="BV191" t="s">
        <v>984</v>
      </c>
      <c r="BW191" t="s">
        <v>257</v>
      </c>
      <c r="BX191">
        <v>0</v>
      </c>
      <c r="BY191" t="s">
        <v>980</v>
      </c>
      <c r="BZ191" t="s">
        <v>257</v>
      </c>
      <c r="CA191">
        <v>0</v>
      </c>
      <c r="CB191">
        <v>0</v>
      </c>
      <c r="CC191" t="s">
        <v>1022</v>
      </c>
      <c r="CD191">
        <v>0</v>
      </c>
      <c r="CE191">
        <v>0</v>
      </c>
      <c r="CF191">
        <v>0</v>
      </c>
      <c r="CG191">
        <v>0</v>
      </c>
      <c r="CH191">
        <v>0</v>
      </c>
      <c r="CI191" t="s">
        <v>983</v>
      </c>
      <c r="CJ191" t="s">
        <v>972</v>
      </c>
      <c r="CK191" t="s">
        <v>986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 t="s">
        <v>987</v>
      </c>
      <c r="CV191">
        <v>400008192</v>
      </c>
      <c r="CW191" t="s">
        <v>987</v>
      </c>
      <c r="CX191" t="s">
        <v>2374</v>
      </c>
      <c r="CY191" t="s">
        <v>989</v>
      </c>
    </row>
    <row r="192" spans="1:103" hidden="1" x14ac:dyDescent="0.25">
      <c r="A192">
        <v>410000193</v>
      </c>
      <c r="B192" t="s">
        <v>2375</v>
      </c>
      <c r="C192" t="s">
        <v>2376</v>
      </c>
      <c r="D192">
        <v>401100000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1</v>
      </c>
      <c r="Y192" t="s">
        <v>972</v>
      </c>
      <c r="Z192" t="s">
        <v>2377</v>
      </c>
      <c r="AA192" t="s">
        <v>2378</v>
      </c>
      <c r="AB192" t="s">
        <v>975</v>
      </c>
      <c r="AC192">
        <v>4020</v>
      </c>
      <c r="AD192" t="s">
        <v>1019</v>
      </c>
      <c r="AE192" t="s">
        <v>2379</v>
      </c>
      <c r="AF192" t="s">
        <v>2380</v>
      </c>
      <c r="AG192" t="s">
        <v>977</v>
      </c>
      <c r="AH192" t="s">
        <v>977</v>
      </c>
      <c r="AI192" t="s">
        <v>977</v>
      </c>
      <c r="AJ192" t="s">
        <v>978</v>
      </c>
      <c r="AK192" t="s">
        <v>978</v>
      </c>
      <c r="AL192" t="s">
        <v>978</v>
      </c>
      <c r="AM192" t="s">
        <v>979</v>
      </c>
      <c r="AN192">
        <v>0</v>
      </c>
      <c r="AO192" t="s">
        <v>257</v>
      </c>
      <c r="AP192">
        <v>0</v>
      </c>
      <c r="AQ192">
        <v>1</v>
      </c>
      <c r="AR192">
        <v>43</v>
      </c>
      <c r="AS192">
        <v>1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1</v>
      </c>
      <c r="AZ192" t="s">
        <v>257</v>
      </c>
      <c r="BA192" t="s">
        <v>980</v>
      </c>
      <c r="BB192" t="s">
        <v>981</v>
      </c>
      <c r="BC192" t="s">
        <v>257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 t="s">
        <v>998</v>
      </c>
      <c r="BK192" t="s">
        <v>981</v>
      </c>
      <c r="BL192" t="s">
        <v>2375</v>
      </c>
      <c r="BM192">
        <v>20141217</v>
      </c>
      <c r="BN192">
        <v>20181119</v>
      </c>
      <c r="BO192">
        <v>0</v>
      </c>
      <c r="BP192" t="s">
        <v>257</v>
      </c>
      <c r="BQ192" t="s">
        <v>983</v>
      </c>
      <c r="BR192" t="s">
        <v>978</v>
      </c>
      <c r="BS192" t="s">
        <v>979</v>
      </c>
      <c r="BT192">
        <v>0</v>
      </c>
      <c r="BU192">
        <v>0</v>
      </c>
      <c r="BV192" t="s">
        <v>1013</v>
      </c>
      <c r="BW192" t="s">
        <v>257</v>
      </c>
      <c r="BX192">
        <v>0</v>
      </c>
      <c r="BY192" t="s">
        <v>980</v>
      </c>
      <c r="BZ192" t="s">
        <v>257</v>
      </c>
      <c r="CA192">
        <v>0</v>
      </c>
      <c r="CB192">
        <v>0</v>
      </c>
      <c r="CC192" t="s">
        <v>1308</v>
      </c>
      <c r="CD192">
        <v>0</v>
      </c>
      <c r="CE192">
        <v>0</v>
      </c>
      <c r="CF192">
        <v>0</v>
      </c>
      <c r="CG192">
        <v>0</v>
      </c>
      <c r="CH192">
        <v>0</v>
      </c>
      <c r="CI192" t="s">
        <v>983</v>
      </c>
      <c r="CJ192" t="s">
        <v>972</v>
      </c>
      <c r="CK192" t="s">
        <v>986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 t="s">
        <v>987</v>
      </c>
      <c r="CV192">
        <v>400008193</v>
      </c>
      <c r="CW192" t="s">
        <v>987</v>
      </c>
      <c r="CX192" t="s">
        <v>2381</v>
      </c>
      <c r="CY192" t="s">
        <v>989</v>
      </c>
    </row>
    <row r="193" spans="1:103" hidden="1" x14ac:dyDescent="0.25">
      <c r="A193">
        <v>410000194</v>
      </c>
      <c r="B193" t="s">
        <v>2382</v>
      </c>
      <c r="C193" t="s">
        <v>978</v>
      </c>
      <c r="D193">
        <v>401100000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</v>
      </c>
      <c r="W193">
        <v>1</v>
      </c>
      <c r="X193">
        <v>1</v>
      </c>
      <c r="Y193" t="s">
        <v>972</v>
      </c>
      <c r="Z193" t="s">
        <v>987</v>
      </c>
      <c r="AA193" t="s">
        <v>2383</v>
      </c>
      <c r="AB193" t="s">
        <v>975</v>
      </c>
      <c r="AC193">
        <v>4031</v>
      </c>
      <c r="AD193" t="s">
        <v>1283</v>
      </c>
      <c r="AE193" t="s">
        <v>2384</v>
      </c>
      <c r="AF193" t="s">
        <v>2384</v>
      </c>
      <c r="AG193" t="s">
        <v>977</v>
      </c>
      <c r="AH193" t="s">
        <v>1031</v>
      </c>
      <c r="AI193" t="s">
        <v>977</v>
      </c>
      <c r="AJ193" t="s">
        <v>978</v>
      </c>
      <c r="AK193" t="s">
        <v>978</v>
      </c>
      <c r="AL193" t="s">
        <v>978</v>
      </c>
      <c r="AM193" t="s">
        <v>979</v>
      </c>
      <c r="AN193">
        <v>0</v>
      </c>
      <c r="AO193" t="s">
        <v>257</v>
      </c>
      <c r="AP193">
        <v>0</v>
      </c>
      <c r="AQ193">
        <v>1</v>
      </c>
      <c r="AR193">
        <v>43</v>
      </c>
      <c r="AS193">
        <v>1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1</v>
      </c>
      <c r="AZ193" t="s">
        <v>257</v>
      </c>
      <c r="BA193" t="s">
        <v>980</v>
      </c>
      <c r="BB193" t="s">
        <v>981</v>
      </c>
      <c r="BC193" t="s">
        <v>257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 t="s">
        <v>998</v>
      </c>
      <c r="BK193" t="s">
        <v>981</v>
      </c>
      <c r="BL193" t="s">
        <v>2382</v>
      </c>
      <c r="BM193">
        <v>20141217</v>
      </c>
      <c r="BN193">
        <v>20210624</v>
      </c>
      <c r="BO193">
        <v>0</v>
      </c>
      <c r="BP193" t="s">
        <v>257</v>
      </c>
      <c r="BQ193" t="s">
        <v>983</v>
      </c>
      <c r="BR193" t="s">
        <v>978</v>
      </c>
      <c r="BS193" t="s">
        <v>979</v>
      </c>
      <c r="BT193">
        <v>0</v>
      </c>
      <c r="BU193">
        <v>0</v>
      </c>
      <c r="BV193" t="s">
        <v>1013</v>
      </c>
      <c r="BW193" t="s">
        <v>257</v>
      </c>
      <c r="BX193">
        <v>0</v>
      </c>
      <c r="BY193" t="s">
        <v>980</v>
      </c>
      <c r="BZ193" t="s">
        <v>257</v>
      </c>
      <c r="CA193">
        <v>0</v>
      </c>
      <c r="CB193">
        <v>0</v>
      </c>
      <c r="CC193" t="s">
        <v>1499</v>
      </c>
      <c r="CD193">
        <v>0</v>
      </c>
      <c r="CE193">
        <v>0</v>
      </c>
      <c r="CF193">
        <v>0</v>
      </c>
      <c r="CG193">
        <v>0</v>
      </c>
      <c r="CH193">
        <v>0</v>
      </c>
      <c r="CI193" t="s">
        <v>983</v>
      </c>
      <c r="CJ193" t="s">
        <v>972</v>
      </c>
      <c r="CK193" t="s">
        <v>986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 t="s">
        <v>987</v>
      </c>
      <c r="CV193">
        <v>400008194</v>
      </c>
      <c r="CW193" t="s">
        <v>987</v>
      </c>
      <c r="CX193" t="s">
        <v>2385</v>
      </c>
      <c r="CY193" t="s">
        <v>989</v>
      </c>
    </row>
    <row r="194" spans="1:103" hidden="1" x14ac:dyDescent="0.25">
      <c r="A194">
        <v>410000195</v>
      </c>
      <c r="B194" t="s">
        <v>2386</v>
      </c>
      <c r="C194" t="s">
        <v>2387</v>
      </c>
      <c r="D194">
        <v>401100000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 t="s">
        <v>972</v>
      </c>
      <c r="Z194" t="s">
        <v>2388</v>
      </c>
      <c r="AA194" t="s">
        <v>2389</v>
      </c>
      <c r="AB194" t="s">
        <v>975</v>
      </c>
      <c r="AC194">
        <v>1300</v>
      </c>
      <c r="AD194" t="s">
        <v>2390</v>
      </c>
      <c r="AE194" t="s">
        <v>2391</v>
      </c>
      <c r="AF194" t="s">
        <v>2392</v>
      </c>
      <c r="AG194" t="s">
        <v>2393</v>
      </c>
      <c r="AH194" t="s">
        <v>977</v>
      </c>
      <c r="AI194" t="s">
        <v>977</v>
      </c>
      <c r="AJ194" t="s">
        <v>2394</v>
      </c>
      <c r="AK194" t="s">
        <v>978</v>
      </c>
      <c r="AL194" t="s">
        <v>978</v>
      </c>
      <c r="AM194" t="s">
        <v>979</v>
      </c>
      <c r="AN194">
        <v>0</v>
      </c>
      <c r="AO194" t="s">
        <v>257</v>
      </c>
      <c r="AP194">
        <v>0</v>
      </c>
      <c r="AQ194">
        <v>1</v>
      </c>
      <c r="AR194">
        <v>43</v>
      </c>
      <c r="AS194">
        <v>1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1</v>
      </c>
      <c r="AZ194" t="s">
        <v>257</v>
      </c>
      <c r="BA194" t="s">
        <v>980</v>
      </c>
      <c r="BB194" t="s">
        <v>981</v>
      </c>
      <c r="BC194" t="s">
        <v>257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 t="s">
        <v>998</v>
      </c>
      <c r="BK194" t="s">
        <v>981</v>
      </c>
      <c r="BL194" t="s">
        <v>2395</v>
      </c>
      <c r="BM194">
        <v>20141217</v>
      </c>
      <c r="BN194">
        <v>20210712</v>
      </c>
      <c r="BO194">
        <v>0</v>
      </c>
      <c r="BP194" t="s">
        <v>257</v>
      </c>
      <c r="BQ194" t="s">
        <v>983</v>
      </c>
      <c r="BR194" t="s">
        <v>978</v>
      </c>
      <c r="BS194" t="s">
        <v>979</v>
      </c>
      <c r="BT194">
        <v>0</v>
      </c>
      <c r="BU194">
        <v>0</v>
      </c>
      <c r="BV194" t="s">
        <v>2341</v>
      </c>
      <c r="BW194" t="s">
        <v>257</v>
      </c>
      <c r="BX194">
        <v>0</v>
      </c>
      <c r="BY194" t="s">
        <v>980</v>
      </c>
      <c r="BZ194" t="s">
        <v>257</v>
      </c>
      <c r="CA194">
        <v>0</v>
      </c>
      <c r="CB194">
        <v>0</v>
      </c>
      <c r="CC194" t="s">
        <v>2396</v>
      </c>
      <c r="CD194">
        <v>0</v>
      </c>
      <c r="CE194">
        <v>0</v>
      </c>
      <c r="CF194">
        <v>0</v>
      </c>
      <c r="CG194">
        <v>0</v>
      </c>
      <c r="CH194">
        <v>0</v>
      </c>
      <c r="CI194" t="s">
        <v>983</v>
      </c>
      <c r="CJ194" t="s">
        <v>972</v>
      </c>
      <c r="CK194" t="s">
        <v>986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 t="s">
        <v>987</v>
      </c>
      <c r="CV194">
        <v>400008195</v>
      </c>
      <c r="CW194" t="s">
        <v>987</v>
      </c>
      <c r="CX194" t="s">
        <v>2397</v>
      </c>
      <c r="CY194" t="s">
        <v>989</v>
      </c>
    </row>
    <row r="195" spans="1:103" hidden="1" x14ac:dyDescent="0.25">
      <c r="A195">
        <v>410000196</v>
      </c>
      <c r="B195" t="s">
        <v>2398</v>
      </c>
      <c r="C195" t="s">
        <v>2399</v>
      </c>
      <c r="D195">
        <v>401100000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1</v>
      </c>
      <c r="Y195" t="s">
        <v>1091</v>
      </c>
      <c r="Z195" t="s">
        <v>2400</v>
      </c>
      <c r="AA195" t="s">
        <v>2401</v>
      </c>
      <c r="AB195" t="s">
        <v>975</v>
      </c>
      <c r="AC195">
        <v>4840</v>
      </c>
      <c r="AD195" t="s">
        <v>2284</v>
      </c>
      <c r="AE195" t="s">
        <v>2402</v>
      </c>
      <c r="AF195" t="s">
        <v>979</v>
      </c>
      <c r="AG195" t="s">
        <v>977</v>
      </c>
      <c r="AH195" t="s">
        <v>977</v>
      </c>
      <c r="AI195" t="s">
        <v>977</v>
      </c>
      <c r="AJ195" t="s">
        <v>978</v>
      </c>
      <c r="AK195" t="s">
        <v>978</v>
      </c>
      <c r="AL195" t="s">
        <v>978</v>
      </c>
      <c r="AM195" t="s">
        <v>979</v>
      </c>
      <c r="AN195">
        <v>0</v>
      </c>
      <c r="AO195" t="s">
        <v>257</v>
      </c>
      <c r="AP195">
        <v>0</v>
      </c>
      <c r="AQ195">
        <v>1</v>
      </c>
      <c r="AR195">
        <v>43</v>
      </c>
      <c r="AS195">
        <v>1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1</v>
      </c>
      <c r="AZ195" t="s">
        <v>257</v>
      </c>
      <c r="BA195" t="s">
        <v>980</v>
      </c>
      <c r="BB195" t="s">
        <v>981</v>
      </c>
      <c r="BC195" t="s">
        <v>257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 t="s">
        <v>998</v>
      </c>
      <c r="BK195" t="s">
        <v>981</v>
      </c>
      <c r="BL195" t="s">
        <v>2398</v>
      </c>
      <c r="BM195">
        <v>20141218</v>
      </c>
      <c r="BN195">
        <v>20181119</v>
      </c>
      <c r="BO195">
        <v>0</v>
      </c>
      <c r="BP195" t="s">
        <v>257</v>
      </c>
      <c r="BQ195" t="s">
        <v>983</v>
      </c>
      <c r="BR195" t="s">
        <v>978</v>
      </c>
      <c r="BS195" t="s">
        <v>2403</v>
      </c>
      <c r="BT195">
        <v>0</v>
      </c>
      <c r="BU195">
        <v>0</v>
      </c>
      <c r="BV195" t="s">
        <v>1013</v>
      </c>
      <c r="BW195" t="s">
        <v>257</v>
      </c>
      <c r="BX195">
        <v>0</v>
      </c>
      <c r="BY195" t="s">
        <v>980</v>
      </c>
      <c r="BZ195" t="s">
        <v>257</v>
      </c>
      <c r="CA195">
        <v>0</v>
      </c>
      <c r="CB195">
        <v>0</v>
      </c>
      <c r="CC195" t="s">
        <v>2366</v>
      </c>
      <c r="CD195">
        <v>0</v>
      </c>
      <c r="CE195">
        <v>0</v>
      </c>
      <c r="CF195">
        <v>0</v>
      </c>
      <c r="CG195">
        <v>0</v>
      </c>
      <c r="CH195">
        <v>0</v>
      </c>
      <c r="CI195" t="s">
        <v>983</v>
      </c>
      <c r="CJ195" t="s">
        <v>972</v>
      </c>
      <c r="CK195" t="s">
        <v>986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 t="s">
        <v>987</v>
      </c>
      <c r="CV195">
        <v>400008196</v>
      </c>
      <c r="CW195" t="s">
        <v>987</v>
      </c>
      <c r="CX195" t="s">
        <v>2404</v>
      </c>
      <c r="CY195" t="s">
        <v>989</v>
      </c>
    </row>
    <row r="196" spans="1:103" hidden="1" x14ac:dyDescent="0.25">
      <c r="A196">
        <v>410000197</v>
      </c>
      <c r="B196" t="s">
        <v>2405</v>
      </c>
      <c r="C196" t="s">
        <v>2406</v>
      </c>
      <c r="D196">
        <v>401100000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1</v>
      </c>
      <c r="Y196" t="s">
        <v>972</v>
      </c>
      <c r="Z196" t="s">
        <v>987</v>
      </c>
      <c r="AA196" t="s">
        <v>2407</v>
      </c>
      <c r="AB196" t="s">
        <v>975</v>
      </c>
      <c r="AC196">
        <v>4880</v>
      </c>
      <c r="AD196" t="s">
        <v>2408</v>
      </c>
      <c r="AE196" t="s">
        <v>2409</v>
      </c>
      <c r="AF196" t="s">
        <v>979</v>
      </c>
      <c r="AG196" t="s">
        <v>977</v>
      </c>
      <c r="AH196" t="s">
        <v>977</v>
      </c>
      <c r="AI196" t="s">
        <v>977</v>
      </c>
      <c r="AJ196" t="s">
        <v>978</v>
      </c>
      <c r="AK196" t="s">
        <v>978</v>
      </c>
      <c r="AL196" t="s">
        <v>978</v>
      </c>
      <c r="AM196" t="s">
        <v>979</v>
      </c>
      <c r="AN196">
        <v>0</v>
      </c>
      <c r="AO196" t="s">
        <v>257</v>
      </c>
      <c r="AP196">
        <v>0</v>
      </c>
      <c r="AQ196">
        <v>1</v>
      </c>
      <c r="AR196">
        <v>43</v>
      </c>
      <c r="AS196">
        <v>1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1</v>
      </c>
      <c r="AZ196" t="s">
        <v>257</v>
      </c>
      <c r="BA196" t="s">
        <v>980</v>
      </c>
      <c r="BB196" t="s">
        <v>981</v>
      </c>
      <c r="BC196" t="s">
        <v>257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 t="s">
        <v>998</v>
      </c>
      <c r="BK196" t="s">
        <v>981</v>
      </c>
      <c r="BL196" t="s">
        <v>2405</v>
      </c>
      <c r="BM196">
        <v>20141229</v>
      </c>
      <c r="BN196">
        <v>20181119</v>
      </c>
      <c r="BO196">
        <v>0</v>
      </c>
      <c r="BP196" t="s">
        <v>257</v>
      </c>
      <c r="BQ196" t="s">
        <v>983</v>
      </c>
      <c r="BR196" t="s">
        <v>978</v>
      </c>
      <c r="BS196" t="s">
        <v>979</v>
      </c>
      <c r="BT196">
        <v>0</v>
      </c>
      <c r="BU196">
        <v>0</v>
      </c>
      <c r="BV196" t="s">
        <v>1013</v>
      </c>
      <c r="BW196" t="s">
        <v>257</v>
      </c>
      <c r="BX196">
        <v>0</v>
      </c>
      <c r="BY196" t="s">
        <v>980</v>
      </c>
      <c r="BZ196" t="s">
        <v>257</v>
      </c>
      <c r="CA196">
        <v>0</v>
      </c>
      <c r="CB196">
        <v>0</v>
      </c>
      <c r="CC196" t="s">
        <v>1469</v>
      </c>
      <c r="CD196">
        <v>0</v>
      </c>
      <c r="CE196">
        <v>0</v>
      </c>
      <c r="CF196">
        <v>0</v>
      </c>
      <c r="CG196">
        <v>0</v>
      </c>
      <c r="CH196">
        <v>0</v>
      </c>
      <c r="CI196" t="s">
        <v>983</v>
      </c>
      <c r="CJ196" t="s">
        <v>972</v>
      </c>
      <c r="CK196" t="s">
        <v>986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 t="s">
        <v>987</v>
      </c>
      <c r="CV196">
        <v>400008197</v>
      </c>
      <c r="CW196" t="s">
        <v>987</v>
      </c>
      <c r="CX196" t="s">
        <v>1081</v>
      </c>
      <c r="CY196" t="s">
        <v>989</v>
      </c>
    </row>
    <row r="197" spans="1:103" hidden="1" x14ac:dyDescent="0.25">
      <c r="A197">
        <v>410000198</v>
      </c>
      <c r="B197" t="s">
        <v>2410</v>
      </c>
      <c r="C197" t="s">
        <v>978</v>
      </c>
      <c r="D197">
        <v>401100000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</v>
      </c>
      <c r="W197">
        <v>1</v>
      </c>
      <c r="X197">
        <v>1</v>
      </c>
      <c r="Y197" t="s">
        <v>972</v>
      </c>
      <c r="Z197" t="s">
        <v>987</v>
      </c>
      <c r="AA197" t="s">
        <v>2411</v>
      </c>
      <c r="AB197" t="s">
        <v>975</v>
      </c>
      <c r="AC197">
        <v>6800</v>
      </c>
      <c r="AD197" t="s">
        <v>2412</v>
      </c>
      <c r="AE197" t="s">
        <v>979</v>
      </c>
      <c r="AF197" t="s">
        <v>979</v>
      </c>
      <c r="AG197" t="s">
        <v>977</v>
      </c>
      <c r="AH197" t="s">
        <v>1031</v>
      </c>
      <c r="AI197" t="s">
        <v>977</v>
      </c>
      <c r="AJ197" t="s">
        <v>978</v>
      </c>
      <c r="AK197" t="s">
        <v>978</v>
      </c>
      <c r="AL197" t="s">
        <v>978</v>
      </c>
      <c r="AM197" t="s">
        <v>979</v>
      </c>
      <c r="AN197">
        <v>0</v>
      </c>
      <c r="AO197" t="s">
        <v>257</v>
      </c>
      <c r="AP197">
        <v>0</v>
      </c>
      <c r="AQ197">
        <v>1</v>
      </c>
      <c r="AR197">
        <v>43</v>
      </c>
      <c r="AS197">
        <v>1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1</v>
      </c>
      <c r="AZ197" t="s">
        <v>257</v>
      </c>
      <c r="BA197" t="s">
        <v>980</v>
      </c>
      <c r="BB197" t="s">
        <v>981</v>
      </c>
      <c r="BC197" t="s">
        <v>257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 t="s">
        <v>998</v>
      </c>
      <c r="BK197" t="s">
        <v>981</v>
      </c>
      <c r="BL197" t="s">
        <v>2410</v>
      </c>
      <c r="BM197">
        <v>20150105</v>
      </c>
      <c r="BN197">
        <v>20210624</v>
      </c>
      <c r="BO197">
        <v>0</v>
      </c>
      <c r="BP197" t="s">
        <v>257</v>
      </c>
      <c r="BQ197" t="s">
        <v>983</v>
      </c>
      <c r="BR197" t="s">
        <v>978</v>
      </c>
      <c r="BS197" t="s">
        <v>979</v>
      </c>
      <c r="BT197">
        <v>0</v>
      </c>
      <c r="BU197">
        <v>0</v>
      </c>
      <c r="BV197" t="s">
        <v>1013</v>
      </c>
      <c r="BW197" t="s">
        <v>257</v>
      </c>
      <c r="BX197">
        <v>0</v>
      </c>
      <c r="BY197" t="s">
        <v>980</v>
      </c>
      <c r="BZ197" t="s">
        <v>257</v>
      </c>
      <c r="CA197">
        <v>0</v>
      </c>
      <c r="CB197">
        <v>0</v>
      </c>
      <c r="CC197" t="s">
        <v>1865</v>
      </c>
      <c r="CD197">
        <v>0</v>
      </c>
      <c r="CE197">
        <v>0</v>
      </c>
      <c r="CF197">
        <v>0</v>
      </c>
      <c r="CG197">
        <v>0</v>
      </c>
      <c r="CH197">
        <v>0</v>
      </c>
      <c r="CI197" t="s">
        <v>983</v>
      </c>
      <c r="CJ197" t="s">
        <v>972</v>
      </c>
      <c r="CK197" t="s">
        <v>986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 t="s">
        <v>987</v>
      </c>
      <c r="CV197">
        <v>400008198</v>
      </c>
      <c r="CW197" t="s">
        <v>987</v>
      </c>
      <c r="CX197" t="s">
        <v>1081</v>
      </c>
      <c r="CY197" t="s">
        <v>989</v>
      </c>
    </row>
    <row r="198" spans="1:103" hidden="1" x14ac:dyDescent="0.25">
      <c r="A198">
        <v>410000199</v>
      </c>
      <c r="B198" t="s">
        <v>2413</v>
      </c>
      <c r="C198" t="s">
        <v>2414</v>
      </c>
      <c r="D198">
        <v>401100000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4</v>
      </c>
      <c r="W198">
        <v>1</v>
      </c>
      <c r="X198">
        <v>1</v>
      </c>
      <c r="Y198" t="s">
        <v>972</v>
      </c>
      <c r="Z198" t="s">
        <v>2415</v>
      </c>
      <c r="AA198" t="s">
        <v>2416</v>
      </c>
      <c r="AB198" t="s">
        <v>975</v>
      </c>
      <c r="AC198">
        <v>5100</v>
      </c>
      <c r="AD198" t="s">
        <v>2417</v>
      </c>
      <c r="AE198" t="s">
        <v>2418</v>
      </c>
      <c r="AF198" t="s">
        <v>979</v>
      </c>
      <c r="AG198" t="s">
        <v>977</v>
      </c>
      <c r="AH198" t="s">
        <v>977</v>
      </c>
      <c r="AI198" t="s">
        <v>977</v>
      </c>
      <c r="AJ198" t="s">
        <v>2229</v>
      </c>
      <c r="AK198" t="s">
        <v>978</v>
      </c>
      <c r="AL198" t="s">
        <v>978</v>
      </c>
      <c r="AM198" t="s">
        <v>979</v>
      </c>
      <c r="AN198">
        <v>0</v>
      </c>
      <c r="AO198" t="s">
        <v>257</v>
      </c>
      <c r="AP198">
        <v>0</v>
      </c>
      <c r="AQ198">
        <v>1</v>
      </c>
      <c r="AR198">
        <v>43</v>
      </c>
      <c r="AS198">
        <v>1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1</v>
      </c>
      <c r="AZ198" t="s">
        <v>257</v>
      </c>
      <c r="BA198" t="s">
        <v>980</v>
      </c>
      <c r="BB198" t="s">
        <v>981</v>
      </c>
      <c r="BC198" t="s">
        <v>257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 t="s">
        <v>998</v>
      </c>
      <c r="BK198" t="s">
        <v>981</v>
      </c>
      <c r="BL198" t="s">
        <v>2413</v>
      </c>
      <c r="BM198">
        <v>20150107</v>
      </c>
      <c r="BN198">
        <v>20181119</v>
      </c>
      <c r="BO198">
        <v>0</v>
      </c>
      <c r="BP198" t="s">
        <v>257</v>
      </c>
      <c r="BQ198" t="s">
        <v>983</v>
      </c>
      <c r="BR198" t="s">
        <v>978</v>
      </c>
      <c r="BS198" t="s">
        <v>979</v>
      </c>
      <c r="BT198">
        <v>0</v>
      </c>
      <c r="BU198">
        <v>0</v>
      </c>
      <c r="BV198" t="s">
        <v>1013</v>
      </c>
      <c r="BW198" t="s">
        <v>257</v>
      </c>
      <c r="BX198">
        <v>0</v>
      </c>
      <c r="BY198" t="s">
        <v>980</v>
      </c>
      <c r="BZ198" t="s">
        <v>257</v>
      </c>
      <c r="CA198">
        <v>0</v>
      </c>
      <c r="CB198">
        <v>0</v>
      </c>
      <c r="CC198" t="s">
        <v>1161</v>
      </c>
      <c r="CD198">
        <v>0</v>
      </c>
      <c r="CE198">
        <v>0</v>
      </c>
      <c r="CF198">
        <v>0</v>
      </c>
      <c r="CG198">
        <v>0</v>
      </c>
      <c r="CH198">
        <v>0</v>
      </c>
      <c r="CI198" t="s">
        <v>983</v>
      </c>
      <c r="CJ198" t="s">
        <v>972</v>
      </c>
      <c r="CK198" t="s">
        <v>986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 t="s">
        <v>987</v>
      </c>
      <c r="CV198">
        <v>400008199</v>
      </c>
      <c r="CW198" t="s">
        <v>987</v>
      </c>
      <c r="CX198" t="s">
        <v>2419</v>
      </c>
      <c r="CY198" t="s">
        <v>989</v>
      </c>
    </row>
    <row r="199" spans="1:103" hidden="1" x14ac:dyDescent="0.25">
      <c r="A199">
        <v>410000200</v>
      </c>
      <c r="B199" t="s">
        <v>2420</v>
      </c>
      <c r="C199" t="s">
        <v>2421</v>
      </c>
      <c r="D199">
        <v>401100000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1</v>
      </c>
      <c r="Y199" t="s">
        <v>972</v>
      </c>
      <c r="Z199" t="s">
        <v>987</v>
      </c>
      <c r="AA199" t="s">
        <v>2422</v>
      </c>
      <c r="AB199" t="s">
        <v>975</v>
      </c>
      <c r="AC199">
        <v>4000</v>
      </c>
      <c r="AD199" t="s">
        <v>1019</v>
      </c>
      <c r="AE199" t="s">
        <v>979</v>
      </c>
      <c r="AF199" t="s">
        <v>979</v>
      </c>
      <c r="AG199" t="s">
        <v>977</v>
      </c>
      <c r="AH199" t="s">
        <v>977</v>
      </c>
      <c r="AI199" t="s">
        <v>977</v>
      </c>
      <c r="AJ199" t="s">
        <v>978</v>
      </c>
      <c r="AK199" t="s">
        <v>978</v>
      </c>
      <c r="AL199" t="s">
        <v>978</v>
      </c>
      <c r="AM199" t="s">
        <v>979</v>
      </c>
      <c r="AN199">
        <v>0</v>
      </c>
      <c r="AO199" t="s">
        <v>257</v>
      </c>
      <c r="AP199">
        <v>0</v>
      </c>
      <c r="AQ199">
        <v>1</v>
      </c>
      <c r="AR199">
        <v>43</v>
      </c>
      <c r="AS199">
        <v>1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1</v>
      </c>
      <c r="AZ199" t="s">
        <v>257</v>
      </c>
      <c r="BA199" t="s">
        <v>980</v>
      </c>
      <c r="BB199" t="s">
        <v>981</v>
      </c>
      <c r="BC199" t="s">
        <v>257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 t="s">
        <v>998</v>
      </c>
      <c r="BK199" t="s">
        <v>981</v>
      </c>
      <c r="BL199" t="s">
        <v>2420</v>
      </c>
      <c r="BM199">
        <v>20150107</v>
      </c>
      <c r="BN199">
        <v>20181119</v>
      </c>
      <c r="BO199">
        <v>0</v>
      </c>
      <c r="BP199" t="s">
        <v>257</v>
      </c>
      <c r="BQ199" t="s">
        <v>983</v>
      </c>
      <c r="BR199" t="s">
        <v>978</v>
      </c>
      <c r="BS199" t="s">
        <v>2423</v>
      </c>
      <c r="BT199">
        <v>0</v>
      </c>
      <c r="BU199">
        <v>0</v>
      </c>
      <c r="BV199" t="s">
        <v>1013</v>
      </c>
      <c r="BW199" t="s">
        <v>257</v>
      </c>
      <c r="BX199">
        <v>0</v>
      </c>
      <c r="BY199" t="s">
        <v>980</v>
      </c>
      <c r="BZ199" t="s">
        <v>257</v>
      </c>
      <c r="CA199">
        <v>0</v>
      </c>
      <c r="CB199">
        <v>0</v>
      </c>
      <c r="CC199" t="s">
        <v>1815</v>
      </c>
      <c r="CD199">
        <v>0</v>
      </c>
      <c r="CE199">
        <v>0</v>
      </c>
      <c r="CF199">
        <v>0</v>
      </c>
      <c r="CG199">
        <v>0</v>
      </c>
      <c r="CH199">
        <v>0</v>
      </c>
      <c r="CI199" t="s">
        <v>983</v>
      </c>
      <c r="CJ199" t="s">
        <v>972</v>
      </c>
      <c r="CK199" t="s">
        <v>986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 t="s">
        <v>987</v>
      </c>
      <c r="CV199">
        <v>400008200</v>
      </c>
      <c r="CW199" t="s">
        <v>987</v>
      </c>
      <c r="CX199" t="s">
        <v>2424</v>
      </c>
      <c r="CY199" t="s">
        <v>989</v>
      </c>
    </row>
    <row r="200" spans="1:103" hidden="1" x14ac:dyDescent="0.25">
      <c r="A200">
        <v>410000201</v>
      </c>
      <c r="B200" t="s">
        <v>2425</v>
      </c>
      <c r="C200" t="s">
        <v>2426</v>
      </c>
      <c r="D200">
        <v>401100000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 t="s">
        <v>972</v>
      </c>
      <c r="Z200" t="s">
        <v>2427</v>
      </c>
      <c r="AA200" t="s">
        <v>2428</v>
      </c>
      <c r="AB200" t="s">
        <v>975</v>
      </c>
      <c r="AC200">
        <v>4690</v>
      </c>
      <c r="AD200" t="s">
        <v>1420</v>
      </c>
      <c r="AE200" t="s">
        <v>2429</v>
      </c>
      <c r="AF200" t="s">
        <v>979</v>
      </c>
      <c r="AG200" t="s">
        <v>977</v>
      </c>
      <c r="AH200" t="s">
        <v>977</v>
      </c>
      <c r="AI200" t="s">
        <v>977</v>
      </c>
      <c r="AJ200" t="s">
        <v>978</v>
      </c>
      <c r="AK200" t="s">
        <v>978</v>
      </c>
      <c r="AL200" t="s">
        <v>978</v>
      </c>
      <c r="AM200" t="s">
        <v>979</v>
      </c>
      <c r="AN200">
        <v>0</v>
      </c>
      <c r="AO200" t="s">
        <v>257</v>
      </c>
      <c r="AP200">
        <v>0</v>
      </c>
      <c r="AQ200">
        <v>1</v>
      </c>
      <c r="AR200">
        <v>43</v>
      </c>
      <c r="AS200">
        <v>1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1</v>
      </c>
      <c r="AZ200" t="s">
        <v>257</v>
      </c>
      <c r="BA200" t="s">
        <v>980</v>
      </c>
      <c r="BB200" t="s">
        <v>981</v>
      </c>
      <c r="BC200" t="s">
        <v>257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 t="s">
        <v>998</v>
      </c>
      <c r="BK200" t="s">
        <v>981</v>
      </c>
      <c r="BL200" t="s">
        <v>2430</v>
      </c>
      <c r="BM200">
        <v>20150107</v>
      </c>
      <c r="BN200">
        <v>20181119</v>
      </c>
      <c r="BO200">
        <v>0</v>
      </c>
      <c r="BP200" t="s">
        <v>257</v>
      </c>
      <c r="BQ200" t="s">
        <v>983</v>
      </c>
      <c r="BR200" t="s">
        <v>978</v>
      </c>
      <c r="BS200">
        <v>32496844651</v>
      </c>
      <c r="BT200">
        <v>0</v>
      </c>
      <c r="BU200">
        <v>0</v>
      </c>
      <c r="BV200" t="s">
        <v>1013</v>
      </c>
      <c r="BW200" t="s">
        <v>257</v>
      </c>
      <c r="BX200">
        <v>0</v>
      </c>
      <c r="BY200" t="s">
        <v>980</v>
      </c>
      <c r="BZ200" t="s">
        <v>257</v>
      </c>
      <c r="CA200">
        <v>0</v>
      </c>
      <c r="CB200">
        <v>0</v>
      </c>
      <c r="CC200" t="s">
        <v>1371</v>
      </c>
      <c r="CD200">
        <v>0</v>
      </c>
      <c r="CE200">
        <v>0</v>
      </c>
      <c r="CF200">
        <v>0</v>
      </c>
      <c r="CG200">
        <v>0</v>
      </c>
      <c r="CH200">
        <v>0</v>
      </c>
      <c r="CI200" t="s">
        <v>983</v>
      </c>
      <c r="CJ200" t="s">
        <v>972</v>
      </c>
      <c r="CK200" t="s">
        <v>986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 t="s">
        <v>987</v>
      </c>
      <c r="CV200">
        <v>400008201</v>
      </c>
      <c r="CW200" t="s">
        <v>987</v>
      </c>
      <c r="CX200" t="s">
        <v>2431</v>
      </c>
      <c r="CY200" t="s">
        <v>989</v>
      </c>
    </row>
    <row r="201" spans="1:103" hidden="1" x14ac:dyDescent="0.25">
      <c r="A201">
        <v>410000202</v>
      </c>
      <c r="B201" t="s">
        <v>2432</v>
      </c>
      <c r="C201" t="s">
        <v>2433</v>
      </c>
      <c r="D201">
        <v>401100000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1</v>
      </c>
      <c r="Y201" t="s">
        <v>972</v>
      </c>
      <c r="Z201" t="s">
        <v>2434</v>
      </c>
      <c r="AA201" t="s">
        <v>2435</v>
      </c>
      <c r="AB201" t="s">
        <v>975</v>
      </c>
      <c r="AC201">
        <v>4651</v>
      </c>
      <c r="AD201" t="s">
        <v>1093</v>
      </c>
      <c r="AE201" t="s">
        <v>2436</v>
      </c>
      <c r="AF201" t="s">
        <v>2437</v>
      </c>
      <c r="AG201" t="s">
        <v>977</v>
      </c>
      <c r="AH201" t="s">
        <v>977</v>
      </c>
      <c r="AI201">
        <v>46699</v>
      </c>
      <c r="AJ201" t="s">
        <v>978</v>
      </c>
      <c r="AK201" t="s">
        <v>978</v>
      </c>
      <c r="AL201" t="s">
        <v>978</v>
      </c>
      <c r="AM201" t="s">
        <v>979</v>
      </c>
      <c r="AN201">
        <v>0</v>
      </c>
      <c r="AO201" t="s">
        <v>257</v>
      </c>
      <c r="AP201">
        <v>0</v>
      </c>
      <c r="AQ201">
        <v>1</v>
      </c>
      <c r="AR201">
        <v>43</v>
      </c>
      <c r="AS201">
        <v>1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1</v>
      </c>
      <c r="AZ201" t="s">
        <v>257</v>
      </c>
      <c r="BA201" t="s">
        <v>980</v>
      </c>
      <c r="BB201" t="s">
        <v>981</v>
      </c>
      <c r="BC201" t="s">
        <v>257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 t="s">
        <v>998</v>
      </c>
      <c r="BK201" t="s">
        <v>981</v>
      </c>
      <c r="BL201" t="s">
        <v>2432</v>
      </c>
      <c r="BM201">
        <v>20150113</v>
      </c>
      <c r="BN201">
        <v>20220201</v>
      </c>
      <c r="BO201">
        <v>0</v>
      </c>
      <c r="BP201" t="s">
        <v>257</v>
      </c>
      <c r="BQ201" t="s">
        <v>983</v>
      </c>
      <c r="BR201" t="s">
        <v>978</v>
      </c>
      <c r="BS201" t="s">
        <v>2438</v>
      </c>
      <c r="BT201">
        <v>0</v>
      </c>
      <c r="BU201">
        <v>0</v>
      </c>
      <c r="BV201" t="s">
        <v>2341</v>
      </c>
      <c r="BW201" t="s">
        <v>257</v>
      </c>
      <c r="BX201">
        <v>0</v>
      </c>
      <c r="BY201" t="s">
        <v>980</v>
      </c>
      <c r="BZ201" t="s">
        <v>257</v>
      </c>
      <c r="CA201">
        <v>0</v>
      </c>
      <c r="CB201">
        <v>0</v>
      </c>
      <c r="CC201" t="s">
        <v>1113</v>
      </c>
      <c r="CD201">
        <v>0</v>
      </c>
      <c r="CE201">
        <v>0</v>
      </c>
      <c r="CF201">
        <v>0</v>
      </c>
      <c r="CG201">
        <v>0</v>
      </c>
      <c r="CH201">
        <v>0</v>
      </c>
      <c r="CI201" t="s">
        <v>983</v>
      </c>
      <c r="CJ201" t="s">
        <v>972</v>
      </c>
      <c r="CK201" t="s">
        <v>986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 t="s">
        <v>987</v>
      </c>
      <c r="CV201">
        <v>400008202</v>
      </c>
      <c r="CW201" t="s">
        <v>987</v>
      </c>
      <c r="CX201" t="s">
        <v>1081</v>
      </c>
      <c r="CY201" t="s">
        <v>989</v>
      </c>
    </row>
    <row r="202" spans="1:103" hidden="1" x14ac:dyDescent="0.25">
      <c r="A202">
        <v>410000203</v>
      </c>
      <c r="B202" t="s">
        <v>2439</v>
      </c>
      <c r="C202" t="s">
        <v>2440</v>
      </c>
      <c r="D202">
        <v>401100000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1</v>
      </c>
      <c r="Y202" t="s">
        <v>972</v>
      </c>
      <c r="Z202" t="s">
        <v>2441</v>
      </c>
      <c r="AA202" t="s">
        <v>2442</v>
      </c>
      <c r="AB202" t="s">
        <v>975</v>
      </c>
      <c r="AC202">
        <v>1082</v>
      </c>
      <c r="AD202" t="s">
        <v>1066</v>
      </c>
      <c r="AE202" t="s">
        <v>979</v>
      </c>
      <c r="AF202" t="s">
        <v>979</v>
      </c>
      <c r="AG202" t="s">
        <v>977</v>
      </c>
      <c r="AH202" t="s">
        <v>977</v>
      </c>
      <c r="AI202" t="s">
        <v>977</v>
      </c>
      <c r="AJ202" t="s">
        <v>978</v>
      </c>
      <c r="AK202" t="s">
        <v>978</v>
      </c>
      <c r="AL202" t="s">
        <v>978</v>
      </c>
      <c r="AM202" t="s">
        <v>979</v>
      </c>
      <c r="AN202">
        <v>0</v>
      </c>
      <c r="AO202" t="s">
        <v>257</v>
      </c>
      <c r="AP202">
        <v>0</v>
      </c>
      <c r="AQ202">
        <v>1</v>
      </c>
      <c r="AR202">
        <v>43</v>
      </c>
      <c r="AS202">
        <v>1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1</v>
      </c>
      <c r="AZ202" t="s">
        <v>257</v>
      </c>
      <c r="BA202" t="s">
        <v>257</v>
      </c>
      <c r="BB202" t="s">
        <v>981</v>
      </c>
      <c r="BC202" t="s">
        <v>257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 t="s">
        <v>998</v>
      </c>
      <c r="BK202" t="s">
        <v>981</v>
      </c>
      <c r="BL202" t="s">
        <v>2439</v>
      </c>
      <c r="BM202">
        <v>20150114</v>
      </c>
      <c r="BN202">
        <v>20181119</v>
      </c>
      <c r="BO202">
        <v>0</v>
      </c>
      <c r="BP202" t="s">
        <v>257</v>
      </c>
      <c r="BQ202" t="s">
        <v>983</v>
      </c>
      <c r="BR202" t="s">
        <v>978</v>
      </c>
      <c r="BS202" t="s">
        <v>979</v>
      </c>
      <c r="BT202">
        <v>0</v>
      </c>
      <c r="BU202">
        <v>0</v>
      </c>
      <c r="BV202" t="s">
        <v>1013</v>
      </c>
      <c r="BW202" t="s">
        <v>257</v>
      </c>
      <c r="BX202">
        <v>0</v>
      </c>
      <c r="BY202" t="s">
        <v>980</v>
      </c>
      <c r="BZ202" t="s">
        <v>257</v>
      </c>
      <c r="CA202">
        <v>0</v>
      </c>
      <c r="CB202">
        <v>0</v>
      </c>
      <c r="CC202" t="s">
        <v>985</v>
      </c>
      <c r="CD202">
        <v>0</v>
      </c>
      <c r="CE202">
        <v>0</v>
      </c>
      <c r="CF202">
        <v>0</v>
      </c>
      <c r="CG202">
        <v>0</v>
      </c>
      <c r="CH202">
        <v>0</v>
      </c>
      <c r="CI202" t="s">
        <v>983</v>
      </c>
      <c r="CJ202" t="s">
        <v>972</v>
      </c>
      <c r="CK202" t="s">
        <v>986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 t="s">
        <v>987</v>
      </c>
      <c r="CV202">
        <v>400008203</v>
      </c>
      <c r="CW202" t="s">
        <v>987</v>
      </c>
      <c r="CX202" t="s">
        <v>1081</v>
      </c>
      <c r="CY202" t="s">
        <v>989</v>
      </c>
    </row>
    <row r="203" spans="1:103" hidden="1" x14ac:dyDescent="0.25">
      <c r="A203">
        <v>410000204</v>
      </c>
      <c r="B203" t="s">
        <v>2443</v>
      </c>
      <c r="C203" t="s">
        <v>2444</v>
      </c>
      <c r="D203">
        <v>401100000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1</v>
      </c>
      <c r="Y203" t="s">
        <v>972</v>
      </c>
      <c r="Z203" t="s">
        <v>2445</v>
      </c>
      <c r="AA203" t="s">
        <v>2446</v>
      </c>
      <c r="AB203" t="s">
        <v>975</v>
      </c>
      <c r="AC203">
        <v>4600</v>
      </c>
      <c r="AD203" t="s">
        <v>1813</v>
      </c>
      <c r="AE203" t="s">
        <v>2447</v>
      </c>
      <c r="AF203" t="s">
        <v>979</v>
      </c>
      <c r="AG203" t="s">
        <v>977</v>
      </c>
      <c r="AH203" t="s">
        <v>977</v>
      </c>
      <c r="AI203" t="s">
        <v>977</v>
      </c>
      <c r="AJ203" t="s">
        <v>978</v>
      </c>
      <c r="AK203" t="s">
        <v>978</v>
      </c>
      <c r="AL203" t="s">
        <v>978</v>
      </c>
      <c r="AM203" t="s">
        <v>979</v>
      </c>
      <c r="AN203">
        <v>0</v>
      </c>
      <c r="AO203" t="s">
        <v>257</v>
      </c>
      <c r="AP203">
        <v>0</v>
      </c>
      <c r="AQ203">
        <v>1</v>
      </c>
      <c r="AR203">
        <v>69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1</v>
      </c>
      <c r="AZ203" t="s">
        <v>257</v>
      </c>
      <c r="BA203" t="s">
        <v>980</v>
      </c>
      <c r="BB203" t="s">
        <v>981</v>
      </c>
      <c r="BC203" t="s">
        <v>257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 t="s">
        <v>998</v>
      </c>
      <c r="BK203" t="s">
        <v>981</v>
      </c>
      <c r="BL203" t="s">
        <v>2443</v>
      </c>
      <c r="BM203">
        <v>20150116</v>
      </c>
      <c r="BN203">
        <v>20240910</v>
      </c>
      <c r="BO203">
        <v>0</v>
      </c>
      <c r="BP203" t="s">
        <v>257</v>
      </c>
      <c r="BQ203" t="s">
        <v>983</v>
      </c>
      <c r="BR203" t="s">
        <v>978</v>
      </c>
      <c r="BS203" t="s">
        <v>979</v>
      </c>
      <c r="BT203">
        <v>0</v>
      </c>
      <c r="BU203">
        <v>0</v>
      </c>
      <c r="BV203" t="s">
        <v>1013</v>
      </c>
      <c r="BW203" t="s">
        <v>257</v>
      </c>
      <c r="BX203">
        <v>0</v>
      </c>
      <c r="BY203" t="s">
        <v>980</v>
      </c>
      <c r="BZ203" t="s">
        <v>257</v>
      </c>
      <c r="CA203">
        <v>0</v>
      </c>
      <c r="CB203">
        <v>0</v>
      </c>
      <c r="CC203" t="s">
        <v>2448</v>
      </c>
      <c r="CD203">
        <v>0</v>
      </c>
      <c r="CE203">
        <v>0</v>
      </c>
      <c r="CF203">
        <v>0</v>
      </c>
      <c r="CG203">
        <v>0</v>
      </c>
      <c r="CH203">
        <v>0</v>
      </c>
      <c r="CI203" t="s">
        <v>983</v>
      </c>
      <c r="CJ203" t="s">
        <v>972</v>
      </c>
      <c r="CK203" t="s">
        <v>986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 t="s">
        <v>987</v>
      </c>
      <c r="CV203">
        <v>400008204</v>
      </c>
      <c r="CW203" t="s">
        <v>987</v>
      </c>
      <c r="CX203" t="s">
        <v>2449</v>
      </c>
      <c r="CY203" t="s">
        <v>989</v>
      </c>
    </row>
    <row r="204" spans="1:103" hidden="1" x14ac:dyDescent="0.25">
      <c r="A204">
        <v>410000205</v>
      </c>
      <c r="B204" t="s">
        <v>2450</v>
      </c>
      <c r="C204" t="s">
        <v>2451</v>
      </c>
      <c r="D204">
        <v>401100000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</v>
      </c>
      <c r="W204">
        <v>1</v>
      </c>
      <c r="X204">
        <v>1</v>
      </c>
      <c r="Y204" t="s">
        <v>972</v>
      </c>
      <c r="Z204" t="s">
        <v>2452</v>
      </c>
      <c r="AA204" t="s">
        <v>2453</v>
      </c>
      <c r="AB204" t="s">
        <v>975</v>
      </c>
      <c r="AC204">
        <v>4130</v>
      </c>
      <c r="AD204" t="s">
        <v>2454</v>
      </c>
      <c r="AE204" t="s">
        <v>2455</v>
      </c>
      <c r="AF204" t="s">
        <v>979</v>
      </c>
      <c r="AG204" t="s">
        <v>977</v>
      </c>
      <c r="AH204" t="s">
        <v>977</v>
      </c>
      <c r="AI204" t="s">
        <v>977</v>
      </c>
      <c r="AJ204" t="s">
        <v>978</v>
      </c>
      <c r="AK204" t="s">
        <v>978</v>
      </c>
      <c r="AL204" t="s">
        <v>978</v>
      </c>
      <c r="AM204" t="s">
        <v>979</v>
      </c>
      <c r="AN204">
        <v>0</v>
      </c>
      <c r="AO204" t="s">
        <v>257</v>
      </c>
      <c r="AP204">
        <v>0</v>
      </c>
      <c r="AQ204">
        <v>1</v>
      </c>
      <c r="AR204">
        <v>43</v>
      </c>
      <c r="AS204">
        <v>1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1</v>
      </c>
      <c r="AZ204" t="s">
        <v>257</v>
      </c>
      <c r="BA204" t="s">
        <v>980</v>
      </c>
      <c r="BB204" t="s">
        <v>981</v>
      </c>
      <c r="BC204" t="s">
        <v>257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 t="s">
        <v>998</v>
      </c>
      <c r="BK204" t="s">
        <v>981</v>
      </c>
      <c r="BL204" t="s">
        <v>2450</v>
      </c>
      <c r="BM204">
        <v>20150116</v>
      </c>
      <c r="BN204">
        <v>20210624</v>
      </c>
      <c r="BO204">
        <v>0</v>
      </c>
      <c r="BP204" t="s">
        <v>257</v>
      </c>
      <c r="BQ204" t="s">
        <v>983</v>
      </c>
      <c r="BR204" t="s">
        <v>978</v>
      </c>
      <c r="BS204" t="s">
        <v>979</v>
      </c>
      <c r="BT204">
        <v>0</v>
      </c>
      <c r="BU204">
        <v>0</v>
      </c>
      <c r="BV204" t="s">
        <v>984</v>
      </c>
      <c r="BW204" t="s">
        <v>257</v>
      </c>
      <c r="BX204">
        <v>0</v>
      </c>
      <c r="BY204" t="s">
        <v>980</v>
      </c>
      <c r="BZ204" t="s">
        <v>257</v>
      </c>
      <c r="CA204">
        <v>0</v>
      </c>
      <c r="CB204">
        <v>0</v>
      </c>
      <c r="CC204" t="s">
        <v>2456</v>
      </c>
      <c r="CD204">
        <v>0</v>
      </c>
      <c r="CE204">
        <v>0</v>
      </c>
      <c r="CF204">
        <v>0</v>
      </c>
      <c r="CG204">
        <v>0</v>
      </c>
      <c r="CH204">
        <v>0</v>
      </c>
      <c r="CI204" t="s">
        <v>983</v>
      </c>
      <c r="CJ204" t="s">
        <v>972</v>
      </c>
      <c r="CK204" t="s">
        <v>986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 t="s">
        <v>987</v>
      </c>
      <c r="CV204">
        <v>400008205</v>
      </c>
      <c r="CW204" t="s">
        <v>987</v>
      </c>
      <c r="CX204" t="s">
        <v>2457</v>
      </c>
      <c r="CY204" t="s">
        <v>989</v>
      </c>
    </row>
    <row r="205" spans="1:103" hidden="1" x14ac:dyDescent="0.25">
      <c r="A205">
        <v>410000206</v>
      </c>
      <c r="B205" t="s">
        <v>2458</v>
      </c>
      <c r="C205" t="s">
        <v>2459</v>
      </c>
      <c r="D205">
        <v>401100000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1</v>
      </c>
      <c r="Y205" t="s">
        <v>972</v>
      </c>
      <c r="Z205" t="s">
        <v>2460</v>
      </c>
      <c r="AA205" t="s">
        <v>2461</v>
      </c>
      <c r="AB205" t="s">
        <v>975</v>
      </c>
      <c r="AC205">
        <v>4040</v>
      </c>
      <c r="AD205" t="s">
        <v>976</v>
      </c>
      <c r="AE205" t="s">
        <v>2462</v>
      </c>
      <c r="AF205" t="s">
        <v>979</v>
      </c>
      <c r="AG205" t="s">
        <v>977</v>
      </c>
      <c r="AH205" t="s">
        <v>977</v>
      </c>
      <c r="AI205" t="s">
        <v>977</v>
      </c>
      <c r="AJ205" t="s">
        <v>978</v>
      </c>
      <c r="AK205" t="s">
        <v>978</v>
      </c>
      <c r="AL205" t="s">
        <v>978</v>
      </c>
      <c r="AM205" t="s">
        <v>979</v>
      </c>
      <c r="AN205">
        <v>0</v>
      </c>
      <c r="AO205" t="s">
        <v>257</v>
      </c>
      <c r="AP205">
        <v>0</v>
      </c>
      <c r="AQ205">
        <v>1</v>
      </c>
      <c r="AR205">
        <v>43</v>
      </c>
      <c r="AS205">
        <v>1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1</v>
      </c>
      <c r="AZ205" t="s">
        <v>257</v>
      </c>
      <c r="BA205" t="s">
        <v>980</v>
      </c>
      <c r="BB205" t="s">
        <v>981</v>
      </c>
      <c r="BC205" t="s">
        <v>257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 t="s">
        <v>998</v>
      </c>
      <c r="BK205" t="s">
        <v>981</v>
      </c>
      <c r="BL205" t="s">
        <v>2458</v>
      </c>
      <c r="BM205">
        <v>20150116</v>
      </c>
      <c r="BN205">
        <v>20181119</v>
      </c>
      <c r="BO205">
        <v>0</v>
      </c>
      <c r="BP205" t="s">
        <v>257</v>
      </c>
      <c r="BQ205" t="s">
        <v>983</v>
      </c>
      <c r="BR205" t="s">
        <v>978</v>
      </c>
      <c r="BS205" t="s">
        <v>2463</v>
      </c>
      <c r="BT205">
        <v>0</v>
      </c>
      <c r="BU205">
        <v>0</v>
      </c>
      <c r="BV205" t="s">
        <v>1013</v>
      </c>
      <c r="BW205" t="s">
        <v>257</v>
      </c>
      <c r="BX205">
        <v>0</v>
      </c>
      <c r="BY205" t="s">
        <v>980</v>
      </c>
      <c r="BZ205" t="s">
        <v>257</v>
      </c>
      <c r="CA205">
        <v>0</v>
      </c>
      <c r="CB205">
        <v>0</v>
      </c>
      <c r="CC205" t="s">
        <v>985</v>
      </c>
      <c r="CD205">
        <v>0</v>
      </c>
      <c r="CE205">
        <v>0</v>
      </c>
      <c r="CF205">
        <v>0</v>
      </c>
      <c r="CG205">
        <v>0</v>
      </c>
      <c r="CH205">
        <v>0</v>
      </c>
      <c r="CI205" t="s">
        <v>983</v>
      </c>
      <c r="CJ205" t="s">
        <v>972</v>
      </c>
      <c r="CK205" t="s">
        <v>986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 t="s">
        <v>987</v>
      </c>
      <c r="CV205">
        <v>400008206</v>
      </c>
      <c r="CW205" t="s">
        <v>987</v>
      </c>
      <c r="CX205" t="s">
        <v>2464</v>
      </c>
      <c r="CY205" t="s">
        <v>989</v>
      </c>
    </row>
    <row r="206" spans="1:103" hidden="1" x14ac:dyDescent="0.25">
      <c r="A206">
        <v>410000207</v>
      </c>
      <c r="B206" t="s">
        <v>2465</v>
      </c>
      <c r="C206" t="s">
        <v>2466</v>
      </c>
      <c r="D206">
        <v>401100000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1</v>
      </c>
      <c r="Y206" t="s">
        <v>972</v>
      </c>
      <c r="Z206" t="s">
        <v>2460</v>
      </c>
      <c r="AA206" t="s">
        <v>2461</v>
      </c>
      <c r="AB206" t="s">
        <v>975</v>
      </c>
      <c r="AC206">
        <v>4040</v>
      </c>
      <c r="AD206" t="s">
        <v>976</v>
      </c>
      <c r="AE206" t="s">
        <v>2462</v>
      </c>
      <c r="AF206" t="s">
        <v>979</v>
      </c>
      <c r="AG206" t="s">
        <v>977</v>
      </c>
      <c r="AH206" t="s">
        <v>977</v>
      </c>
      <c r="AI206" t="s">
        <v>977</v>
      </c>
      <c r="AJ206" t="s">
        <v>978</v>
      </c>
      <c r="AK206" t="s">
        <v>978</v>
      </c>
      <c r="AL206" t="s">
        <v>978</v>
      </c>
      <c r="AM206" t="s">
        <v>979</v>
      </c>
      <c r="AN206">
        <v>0</v>
      </c>
      <c r="AO206" t="s">
        <v>257</v>
      </c>
      <c r="AP206">
        <v>0</v>
      </c>
      <c r="AQ206">
        <v>1</v>
      </c>
      <c r="AR206">
        <v>43</v>
      </c>
      <c r="AS206">
        <v>1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1</v>
      </c>
      <c r="AZ206" t="s">
        <v>257</v>
      </c>
      <c r="BA206" t="s">
        <v>980</v>
      </c>
      <c r="BB206" t="s">
        <v>981</v>
      </c>
      <c r="BC206" t="s">
        <v>257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 t="s">
        <v>998</v>
      </c>
      <c r="BK206" t="s">
        <v>981</v>
      </c>
      <c r="BL206" t="s">
        <v>2465</v>
      </c>
      <c r="BM206">
        <v>20150116</v>
      </c>
      <c r="BN206">
        <v>20181119</v>
      </c>
      <c r="BO206">
        <v>0</v>
      </c>
      <c r="BP206" t="s">
        <v>257</v>
      </c>
      <c r="BQ206" t="s">
        <v>983</v>
      </c>
      <c r="BR206" t="s">
        <v>978</v>
      </c>
      <c r="BS206" t="s">
        <v>2463</v>
      </c>
      <c r="BT206">
        <v>0</v>
      </c>
      <c r="BU206">
        <v>0</v>
      </c>
      <c r="BV206" t="s">
        <v>1013</v>
      </c>
      <c r="BW206" t="s">
        <v>257</v>
      </c>
      <c r="BX206">
        <v>0</v>
      </c>
      <c r="BY206" t="s">
        <v>980</v>
      </c>
      <c r="BZ206" t="s">
        <v>257</v>
      </c>
      <c r="CA206">
        <v>0</v>
      </c>
      <c r="CB206">
        <v>0</v>
      </c>
      <c r="CC206" t="s">
        <v>985</v>
      </c>
      <c r="CD206">
        <v>0</v>
      </c>
      <c r="CE206">
        <v>0</v>
      </c>
      <c r="CF206">
        <v>0</v>
      </c>
      <c r="CG206">
        <v>0</v>
      </c>
      <c r="CH206">
        <v>0</v>
      </c>
      <c r="CI206" t="s">
        <v>983</v>
      </c>
      <c r="CJ206" t="s">
        <v>972</v>
      </c>
      <c r="CK206" t="s">
        <v>986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 t="s">
        <v>987</v>
      </c>
      <c r="CV206">
        <v>400008207</v>
      </c>
      <c r="CW206" t="s">
        <v>987</v>
      </c>
      <c r="CX206" t="s">
        <v>2467</v>
      </c>
      <c r="CY206" t="s">
        <v>989</v>
      </c>
    </row>
    <row r="207" spans="1:103" hidden="1" x14ac:dyDescent="0.25">
      <c r="A207">
        <v>410000208</v>
      </c>
      <c r="B207" t="s">
        <v>2468</v>
      </c>
      <c r="C207" t="s">
        <v>2469</v>
      </c>
      <c r="D207">
        <v>401100000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1</v>
      </c>
      <c r="Y207" t="s">
        <v>972</v>
      </c>
      <c r="Z207" t="s">
        <v>2470</v>
      </c>
      <c r="AA207" t="s">
        <v>2471</v>
      </c>
      <c r="AB207" t="s">
        <v>975</v>
      </c>
      <c r="AC207">
        <v>1410</v>
      </c>
      <c r="AD207" t="s">
        <v>2472</v>
      </c>
      <c r="AE207" t="s">
        <v>979</v>
      </c>
      <c r="AF207" t="s">
        <v>979</v>
      </c>
      <c r="AG207" t="s">
        <v>977</v>
      </c>
      <c r="AH207" t="s">
        <v>977</v>
      </c>
      <c r="AI207" t="s">
        <v>977</v>
      </c>
      <c r="AJ207" t="s">
        <v>2336</v>
      </c>
      <c r="AK207" t="s">
        <v>978</v>
      </c>
      <c r="AL207" t="s">
        <v>978</v>
      </c>
      <c r="AM207" t="s">
        <v>979</v>
      </c>
      <c r="AN207">
        <v>0</v>
      </c>
      <c r="AO207" t="s">
        <v>257</v>
      </c>
      <c r="AP207">
        <v>0</v>
      </c>
      <c r="AQ207">
        <v>1</v>
      </c>
      <c r="AR207">
        <v>43</v>
      </c>
      <c r="AS207">
        <v>1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1</v>
      </c>
      <c r="AZ207" t="s">
        <v>257</v>
      </c>
      <c r="BA207" t="s">
        <v>980</v>
      </c>
      <c r="BB207" t="s">
        <v>981</v>
      </c>
      <c r="BC207" t="s">
        <v>257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 t="s">
        <v>998</v>
      </c>
      <c r="BK207" t="s">
        <v>981</v>
      </c>
      <c r="BL207" t="s">
        <v>2468</v>
      </c>
      <c r="BM207">
        <v>20150119</v>
      </c>
      <c r="BN207">
        <v>20181119</v>
      </c>
      <c r="BO207">
        <v>0</v>
      </c>
      <c r="BP207" t="s">
        <v>257</v>
      </c>
      <c r="BQ207" t="s">
        <v>983</v>
      </c>
      <c r="BR207" t="s">
        <v>978</v>
      </c>
      <c r="BS207" t="s">
        <v>2473</v>
      </c>
      <c r="BT207">
        <v>0</v>
      </c>
      <c r="BU207">
        <v>0</v>
      </c>
      <c r="BV207" t="s">
        <v>1013</v>
      </c>
      <c r="BW207" t="s">
        <v>257</v>
      </c>
      <c r="BX207">
        <v>0</v>
      </c>
      <c r="BY207" t="s">
        <v>980</v>
      </c>
      <c r="BZ207" t="s">
        <v>257</v>
      </c>
      <c r="CA207">
        <v>0</v>
      </c>
      <c r="CB207">
        <v>0</v>
      </c>
      <c r="CC207" t="s">
        <v>1865</v>
      </c>
      <c r="CD207">
        <v>0</v>
      </c>
      <c r="CE207">
        <v>0</v>
      </c>
      <c r="CF207">
        <v>0</v>
      </c>
      <c r="CG207">
        <v>0</v>
      </c>
      <c r="CH207">
        <v>0</v>
      </c>
      <c r="CI207" t="s">
        <v>983</v>
      </c>
      <c r="CJ207" t="s">
        <v>972</v>
      </c>
      <c r="CK207" t="s">
        <v>986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 t="s">
        <v>987</v>
      </c>
      <c r="CV207">
        <v>400008208</v>
      </c>
      <c r="CW207" t="s">
        <v>987</v>
      </c>
      <c r="CX207" t="s">
        <v>1081</v>
      </c>
      <c r="CY207" t="s">
        <v>989</v>
      </c>
    </row>
    <row r="208" spans="1:103" hidden="1" x14ac:dyDescent="0.25">
      <c r="A208">
        <v>410000209</v>
      </c>
      <c r="B208" t="s">
        <v>2474</v>
      </c>
      <c r="C208" t="s">
        <v>2475</v>
      </c>
      <c r="D208">
        <v>401100000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1</v>
      </c>
      <c r="Y208" t="s">
        <v>972</v>
      </c>
      <c r="Z208" t="s">
        <v>2476</v>
      </c>
      <c r="AA208" t="s">
        <v>2477</v>
      </c>
      <c r="AB208" t="s">
        <v>975</v>
      </c>
      <c r="AC208">
        <v>6987</v>
      </c>
      <c r="AD208" t="s">
        <v>2478</v>
      </c>
      <c r="AE208" t="s">
        <v>2479</v>
      </c>
      <c r="AF208" t="s">
        <v>979</v>
      </c>
      <c r="AG208" t="s">
        <v>977</v>
      </c>
      <c r="AH208" t="s">
        <v>977</v>
      </c>
      <c r="AI208" t="s">
        <v>977</v>
      </c>
      <c r="AJ208" t="s">
        <v>2480</v>
      </c>
      <c r="AK208" t="s">
        <v>978</v>
      </c>
      <c r="AL208" t="s">
        <v>978</v>
      </c>
      <c r="AM208" t="s">
        <v>979</v>
      </c>
      <c r="AN208">
        <v>0</v>
      </c>
      <c r="AO208" t="s">
        <v>257</v>
      </c>
      <c r="AP208">
        <v>0</v>
      </c>
      <c r="AQ208">
        <v>1</v>
      </c>
      <c r="AR208">
        <v>69</v>
      </c>
      <c r="AS208">
        <v>1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1</v>
      </c>
      <c r="AZ208" t="s">
        <v>257</v>
      </c>
      <c r="BA208" t="s">
        <v>980</v>
      </c>
      <c r="BB208" t="s">
        <v>981</v>
      </c>
      <c r="BC208" t="s">
        <v>257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 t="s">
        <v>998</v>
      </c>
      <c r="BK208" t="s">
        <v>981</v>
      </c>
      <c r="BL208" t="s">
        <v>2474</v>
      </c>
      <c r="BM208">
        <v>20150119</v>
      </c>
      <c r="BN208">
        <v>20240910</v>
      </c>
      <c r="BO208">
        <v>0</v>
      </c>
      <c r="BP208" t="s">
        <v>257</v>
      </c>
      <c r="BQ208" t="s">
        <v>983</v>
      </c>
      <c r="BR208" t="s">
        <v>978</v>
      </c>
      <c r="BS208" t="s">
        <v>979</v>
      </c>
      <c r="BT208">
        <v>0</v>
      </c>
      <c r="BU208">
        <v>0</v>
      </c>
      <c r="BV208" t="s">
        <v>1013</v>
      </c>
      <c r="BW208" t="s">
        <v>257</v>
      </c>
      <c r="BX208">
        <v>0</v>
      </c>
      <c r="BY208" t="s">
        <v>980</v>
      </c>
      <c r="BZ208" t="s">
        <v>257</v>
      </c>
      <c r="CA208">
        <v>0</v>
      </c>
      <c r="CB208">
        <v>0</v>
      </c>
      <c r="CC208" t="s">
        <v>1469</v>
      </c>
      <c r="CD208">
        <v>0</v>
      </c>
      <c r="CE208">
        <v>0</v>
      </c>
      <c r="CF208">
        <v>0</v>
      </c>
      <c r="CG208">
        <v>0</v>
      </c>
      <c r="CH208">
        <v>0</v>
      </c>
      <c r="CI208" t="s">
        <v>983</v>
      </c>
      <c r="CJ208" t="s">
        <v>972</v>
      </c>
      <c r="CK208" t="s">
        <v>986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 t="s">
        <v>987</v>
      </c>
      <c r="CV208">
        <v>400008209</v>
      </c>
      <c r="CW208" t="s">
        <v>987</v>
      </c>
      <c r="CX208" t="s">
        <v>2481</v>
      </c>
      <c r="CY208" t="s">
        <v>989</v>
      </c>
    </row>
    <row r="209" spans="1:103" hidden="1" x14ac:dyDescent="0.25">
      <c r="A209">
        <v>410000210</v>
      </c>
      <c r="B209" t="s">
        <v>2482</v>
      </c>
      <c r="C209" t="s">
        <v>978</v>
      </c>
      <c r="D209">
        <v>401100000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</v>
      </c>
      <c r="W209">
        <v>1</v>
      </c>
      <c r="X209">
        <v>1</v>
      </c>
      <c r="Y209" t="s">
        <v>972</v>
      </c>
      <c r="Z209" t="s">
        <v>987</v>
      </c>
      <c r="AA209" t="s">
        <v>2483</v>
      </c>
      <c r="AB209" t="s">
        <v>975</v>
      </c>
      <c r="AC209">
        <v>4053</v>
      </c>
      <c r="AD209" t="s">
        <v>2077</v>
      </c>
      <c r="AE209" t="s">
        <v>979</v>
      </c>
      <c r="AF209" t="s">
        <v>979</v>
      </c>
      <c r="AG209" t="s">
        <v>977</v>
      </c>
      <c r="AH209" t="s">
        <v>977</v>
      </c>
      <c r="AI209" t="s">
        <v>977</v>
      </c>
      <c r="AJ209" t="s">
        <v>978</v>
      </c>
      <c r="AK209" t="s">
        <v>978</v>
      </c>
      <c r="AL209" t="s">
        <v>978</v>
      </c>
      <c r="AM209" t="s">
        <v>979</v>
      </c>
      <c r="AN209">
        <v>0</v>
      </c>
      <c r="AO209" t="s">
        <v>257</v>
      </c>
      <c r="AP209">
        <v>0</v>
      </c>
      <c r="AQ209">
        <v>1</v>
      </c>
      <c r="AR209">
        <v>43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1</v>
      </c>
      <c r="AZ209" t="s">
        <v>257</v>
      </c>
      <c r="BA209" t="s">
        <v>980</v>
      </c>
      <c r="BB209" t="s">
        <v>981</v>
      </c>
      <c r="BC209" t="s">
        <v>257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 t="s">
        <v>998</v>
      </c>
      <c r="BK209" t="s">
        <v>981</v>
      </c>
      <c r="BL209" t="s">
        <v>2482</v>
      </c>
      <c r="BM209">
        <v>20150121</v>
      </c>
      <c r="BN209">
        <v>20181119</v>
      </c>
      <c r="BO209">
        <v>0</v>
      </c>
      <c r="BP209" t="s">
        <v>257</v>
      </c>
      <c r="BQ209" t="s">
        <v>983</v>
      </c>
      <c r="BR209" t="s">
        <v>978</v>
      </c>
      <c r="BS209" t="s">
        <v>979</v>
      </c>
      <c r="BT209">
        <v>0</v>
      </c>
      <c r="BU209">
        <v>0</v>
      </c>
      <c r="BV209" t="s">
        <v>1013</v>
      </c>
      <c r="BW209" t="s">
        <v>257</v>
      </c>
      <c r="BX209">
        <v>0</v>
      </c>
      <c r="BY209" t="s">
        <v>980</v>
      </c>
      <c r="BZ209" t="s">
        <v>257</v>
      </c>
      <c r="CA209">
        <v>0</v>
      </c>
      <c r="CB209">
        <v>0</v>
      </c>
      <c r="CC209" t="s">
        <v>1559</v>
      </c>
      <c r="CD209">
        <v>0</v>
      </c>
      <c r="CE209">
        <v>0</v>
      </c>
      <c r="CF209">
        <v>0</v>
      </c>
      <c r="CG209">
        <v>0</v>
      </c>
      <c r="CH209">
        <v>0</v>
      </c>
      <c r="CI209" t="s">
        <v>983</v>
      </c>
      <c r="CJ209" t="s">
        <v>972</v>
      </c>
      <c r="CK209" t="s">
        <v>986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 t="s">
        <v>987</v>
      </c>
      <c r="CV209">
        <v>400008210</v>
      </c>
      <c r="CW209" t="s">
        <v>987</v>
      </c>
      <c r="CX209" t="s">
        <v>1081</v>
      </c>
      <c r="CY209" t="s">
        <v>989</v>
      </c>
    </row>
    <row r="210" spans="1:103" hidden="1" x14ac:dyDescent="0.25">
      <c r="A210">
        <v>410000211</v>
      </c>
      <c r="B210" t="s">
        <v>1016</v>
      </c>
      <c r="C210" t="s">
        <v>1017</v>
      </c>
      <c r="D210">
        <v>401100000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1</v>
      </c>
      <c r="Y210" t="s">
        <v>972</v>
      </c>
      <c r="Z210" t="s">
        <v>2484</v>
      </c>
      <c r="AA210" t="s">
        <v>1018</v>
      </c>
      <c r="AB210" t="s">
        <v>975</v>
      </c>
      <c r="AC210">
        <v>4000</v>
      </c>
      <c r="AD210" t="s">
        <v>1019</v>
      </c>
      <c r="AE210" t="s">
        <v>2485</v>
      </c>
      <c r="AF210" t="s">
        <v>979</v>
      </c>
      <c r="AG210" t="s">
        <v>977</v>
      </c>
      <c r="AH210" t="s">
        <v>977</v>
      </c>
      <c r="AI210">
        <v>74104</v>
      </c>
      <c r="AJ210" t="s">
        <v>978</v>
      </c>
      <c r="AK210" t="s">
        <v>978</v>
      </c>
      <c r="AL210" t="s">
        <v>978</v>
      </c>
      <c r="AM210" t="s">
        <v>979</v>
      </c>
      <c r="AN210">
        <v>0</v>
      </c>
      <c r="AO210" t="s">
        <v>257</v>
      </c>
      <c r="AP210">
        <v>0</v>
      </c>
      <c r="AQ210">
        <v>1</v>
      </c>
      <c r="AR210">
        <v>43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1</v>
      </c>
      <c r="AZ210" t="s">
        <v>257</v>
      </c>
      <c r="BA210" t="s">
        <v>980</v>
      </c>
      <c r="BB210" t="s">
        <v>981</v>
      </c>
      <c r="BC210" t="s">
        <v>257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 t="s">
        <v>982</v>
      </c>
      <c r="BK210" t="s">
        <v>981</v>
      </c>
      <c r="BL210" t="s">
        <v>1016</v>
      </c>
      <c r="BM210">
        <v>20150123</v>
      </c>
      <c r="BN210">
        <v>20220201</v>
      </c>
      <c r="BO210">
        <v>0</v>
      </c>
      <c r="BP210" t="s">
        <v>257</v>
      </c>
      <c r="BQ210" t="s">
        <v>983</v>
      </c>
      <c r="BR210" t="s">
        <v>978</v>
      </c>
      <c r="BS210" t="s">
        <v>979</v>
      </c>
      <c r="BT210">
        <v>0</v>
      </c>
      <c r="BU210">
        <v>0</v>
      </c>
      <c r="BV210" t="s">
        <v>984</v>
      </c>
      <c r="BW210" t="s">
        <v>257</v>
      </c>
      <c r="BX210">
        <v>0</v>
      </c>
      <c r="BY210" t="s">
        <v>980</v>
      </c>
      <c r="BZ210" t="s">
        <v>257</v>
      </c>
      <c r="CA210">
        <v>0</v>
      </c>
      <c r="CB210">
        <v>0</v>
      </c>
      <c r="CC210" t="s">
        <v>1022</v>
      </c>
      <c r="CD210">
        <v>0</v>
      </c>
      <c r="CE210">
        <v>0</v>
      </c>
      <c r="CF210">
        <v>0</v>
      </c>
      <c r="CG210">
        <v>0</v>
      </c>
      <c r="CH210">
        <v>0</v>
      </c>
      <c r="CI210" t="s">
        <v>983</v>
      </c>
      <c r="CJ210" t="s">
        <v>972</v>
      </c>
      <c r="CK210" t="s">
        <v>986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 t="s">
        <v>987</v>
      </c>
      <c r="CV210">
        <v>400008211</v>
      </c>
      <c r="CW210" t="s">
        <v>987</v>
      </c>
      <c r="CX210" t="s">
        <v>2486</v>
      </c>
      <c r="CY210" t="s">
        <v>989</v>
      </c>
    </row>
    <row r="211" spans="1:103" hidden="1" x14ac:dyDescent="0.25">
      <c r="A211">
        <v>410000212</v>
      </c>
      <c r="B211" t="s">
        <v>2487</v>
      </c>
      <c r="C211" t="s">
        <v>2488</v>
      </c>
      <c r="D211">
        <v>401100000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1</v>
      </c>
      <c r="X211">
        <v>1</v>
      </c>
      <c r="Y211" t="s">
        <v>972</v>
      </c>
      <c r="Z211" t="s">
        <v>987</v>
      </c>
      <c r="AA211" t="s">
        <v>2489</v>
      </c>
      <c r="AB211" t="s">
        <v>1626</v>
      </c>
      <c r="AC211">
        <v>8308</v>
      </c>
      <c r="AD211" t="s">
        <v>2490</v>
      </c>
      <c r="AE211" t="s">
        <v>979</v>
      </c>
      <c r="AF211" t="s">
        <v>979</v>
      </c>
      <c r="AG211" t="s">
        <v>977</v>
      </c>
      <c r="AH211" t="s">
        <v>977</v>
      </c>
      <c r="AI211" t="s">
        <v>977</v>
      </c>
      <c r="AJ211" t="s">
        <v>978</v>
      </c>
      <c r="AK211" t="s">
        <v>978</v>
      </c>
      <c r="AL211" t="s">
        <v>978</v>
      </c>
      <c r="AM211" t="s">
        <v>979</v>
      </c>
      <c r="AN211">
        <v>0</v>
      </c>
      <c r="AO211" t="s">
        <v>257</v>
      </c>
      <c r="AP211">
        <v>30</v>
      </c>
      <c r="AQ211">
        <v>1</v>
      </c>
      <c r="AR211">
        <v>43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1</v>
      </c>
      <c r="AZ211" t="s">
        <v>257</v>
      </c>
      <c r="BA211" t="s">
        <v>980</v>
      </c>
      <c r="BB211" t="s">
        <v>981</v>
      </c>
      <c r="BC211" t="s">
        <v>257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 t="s">
        <v>982</v>
      </c>
      <c r="BK211" t="s">
        <v>981</v>
      </c>
      <c r="BL211" t="s">
        <v>2487</v>
      </c>
      <c r="BM211">
        <v>20150202</v>
      </c>
      <c r="BN211">
        <v>20240223</v>
      </c>
      <c r="BO211">
        <v>0</v>
      </c>
      <c r="BP211" t="s">
        <v>257</v>
      </c>
      <c r="BQ211" t="s">
        <v>983</v>
      </c>
      <c r="BR211" t="s">
        <v>978</v>
      </c>
      <c r="BS211" t="s">
        <v>979</v>
      </c>
      <c r="BT211">
        <v>0</v>
      </c>
      <c r="BU211">
        <v>0</v>
      </c>
      <c r="BV211" t="s">
        <v>984</v>
      </c>
      <c r="BW211" t="s">
        <v>257</v>
      </c>
      <c r="BX211">
        <v>0</v>
      </c>
      <c r="BY211" t="s">
        <v>980</v>
      </c>
      <c r="BZ211" t="s">
        <v>257</v>
      </c>
      <c r="CA211">
        <v>0</v>
      </c>
      <c r="CB211">
        <v>0</v>
      </c>
      <c r="CC211" t="s">
        <v>985</v>
      </c>
      <c r="CD211">
        <v>0</v>
      </c>
      <c r="CE211">
        <v>0</v>
      </c>
      <c r="CF211">
        <v>0</v>
      </c>
      <c r="CG211">
        <v>0</v>
      </c>
      <c r="CH211">
        <v>0</v>
      </c>
      <c r="CI211" t="s">
        <v>983</v>
      </c>
      <c r="CJ211" t="s">
        <v>972</v>
      </c>
      <c r="CK211" t="s">
        <v>986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 t="s">
        <v>987</v>
      </c>
      <c r="CV211">
        <v>400008212</v>
      </c>
      <c r="CW211" t="s">
        <v>987</v>
      </c>
      <c r="CX211" t="s">
        <v>2491</v>
      </c>
      <c r="CY211" t="s">
        <v>989</v>
      </c>
    </row>
    <row r="212" spans="1:103" hidden="1" x14ac:dyDescent="0.25">
      <c r="A212">
        <v>410000213</v>
      </c>
      <c r="B212" t="s">
        <v>2492</v>
      </c>
      <c r="C212" t="s">
        <v>2493</v>
      </c>
      <c r="D212">
        <v>401100000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1</v>
      </c>
      <c r="Y212" t="s">
        <v>972</v>
      </c>
      <c r="Z212" t="s">
        <v>2494</v>
      </c>
      <c r="AA212" t="s">
        <v>2495</v>
      </c>
      <c r="AB212" t="s">
        <v>975</v>
      </c>
      <c r="AC212">
        <v>4020</v>
      </c>
      <c r="AD212" t="s">
        <v>1019</v>
      </c>
      <c r="AE212" t="s">
        <v>2496</v>
      </c>
      <c r="AF212" t="s">
        <v>2497</v>
      </c>
      <c r="AG212" t="s">
        <v>977</v>
      </c>
      <c r="AH212" t="s">
        <v>977</v>
      </c>
      <c r="AI212" t="s">
        <v>977</v>
      </c>
      <c r="AJ212" t="s">
        <v>978</v>
      </c>
      <c r="AK212" t="s">
        <v>978</v>
      </c>
      <c r="AL212" t="s">
        <v>978</v>
      </c>
      <c r="AM212" t="s">
        <v>979</v>
      </c>
      <c r="AN212">
        <v>0</v>
      </c>
      <c r="AO212" t="s">
        <v>257</v>
      </c>
      <c r="AP212">
        <v>0</v>
      </c>
      <c r="AQ212">
        <v>1</v>
      </c>
      <c r="AR212">
        <v>43</v>
      </c>
      <c r="AS212">
        <v>1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1</v>
      </c>
      <c r="AZ212" t="s">
        <v>257</v>
      </c>
      <c r="BA212" t="s">
        <v>980</v>
      </c>
      <c r="BB212" t="s">
        <v>981</v>
      </c>
      <c r="BC212" t="s">
        <v>257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 t="s">
        <v>998</v>
      </c>
      <c r="BK212" t="s">
        <v>981</v>
      </c>
      <c r="BL212" t="s">
        <v>2492</v>
      </c>
      <c r="BM212">
        <v>20150206</v>
      </c>
      <c r="BN212">
        <v>20230508</v>
      </c>
      <c r="BO212">
        <v>0</v>
      </c>
      <c r="BP212" t="s">
        <v>257</v>
      </c>
      <c r="BQ212" t="s">
        <v>983</v>
      </c>
      <c r="BR212" t="s">
        <v>978</v>
      </c>
      <c r="BS212" t="s">
        <v>979</v>
      </c>
      <c r="BT212">
        <v>0</v>
      </c>
      <c r="BU212">
        <v>0</v>
      </c>
      <c r="BV212" t="s">
        <v>984</v>
      </c>
      <c r="BW212" t="s">
        <v>257</v>
      </c>
      <c r="BX212">
        <v>0</v>
      </c>
      <c r="BY212" t="s">
        <v>980</v>
      </c>
      <c r="BZ212" t="s">
        <v>980</v>
      </c>
      <c r="CA212">
        <v>0</v>
      </c>
      <c r="CB212">
        <v>0</v>
      </c>
      <c r="CC212" t="s">
        <v>2498</v>
      </c>
      <c r="CD212">
        <v>0</v>
      </c>
      <c r="CE212">
        <v>0</v>
      </c>
      <c r="CF212">
        <v>0</v>
      </c>
      <c r="CG212">
        <v>0</v>
      </c>
      <c r="CH212">
        <v>0</v>
      </c>
      <c r="CI212" t="s">
        <v>983</v>
      </c>
      <c r="CJ212" t="s">
        <v>972</v>
      </c>
      <c r="CK212" t="s">
        <v>986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 t="s">
        <v>987</v>
      </c>
      <c r="CV212">
        <v>400008213</v>
      </c>
      <c r="CW212" t="s">
        <v>987</v>
      </c>
      <c r="CX212" t="s">
        <v>2499</v>
      </c>
      <c r="CY212" t="s">
        <v>989</v>
      </c>
    </row>
    <row r="213" spans="1:103" hidden="1" x14ac:dyDescent="0.25">
      <c r="A213">
        <v>410000214</v>
      </c>
      <c r="B213" t="s">
        <v>2500</v>
      </c>
      <c r="C213" t="s">
        <v>2501</v>
      </c>
      <c r="D213">
        <v>401100000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1</v>
      </c>
      <c r="Y213" t="s">
        <v>972</v>
      </c>
      <c r="Z213" t="s">
        <v>987</v>
      </c>
      <c r="AA213" t="s">
        <v>2502</v>
      </c>
      <c r="AB213" t="s">
        <v>975</v>
      </c>
      <c r="AC213">
        <v>4020</v>
      </c>
      <c r="AD213" t="s">
        <v>1019</v>
      </c>
      <c r="AE213" t="s">
        <v>979</v>
      </c>
      <c r="AF213" t="s">
        <v>979</v>
      </c>
      <c r="AG213" t="s">
        <v>977</v>
      </c>
      <c r="AH213" t="s">
        <v>977</v>
      </c>
      <c r="AI213" t="s">
        <v>977</v>
      </c>
      <c r="AJ213" t="s">
        <v>978</v>
      </c>
      <c r="AK213" t="s">
        <v>978</v>
      </c>
      <c r="AL213" t="s">
        <v>978</v>
      </c>
      <c r="AM213" t="s">
        <v>979</v>
      </c>
      <c r="AN213">
        <v>0</v>
      </c>
      <c r="AO213" t="s">
        <v>257</v>
      </c>
      <c r="AP213">
        <v>0</v>
      </c>
      <c r="AQ213">
        <v>1</v>
      </c>
      <c r="AR213">
        <v>43</v>
      </c>
      <c r="AS213">
        <v>1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1</v>
      </c>
      <c r="AZ213" t="s">
        <v>257</v>
      </c>
      <c r="BA213" t="s">
        <v>980</v>
      </c>
      <c r="BB213" t="s">
        <v>981</v>
      </c>
      <c r="BC213" t="s">
        <v>257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 t="s">
        <v>998</v>
      </c>
      <c r="BK213" t="s">
        <v>981</v>
      </c>
      <c r="BL213" t="s">
        <v>2500</v>
      </c>
      <c r="BM213">
        <v>20150211</v>
      </c>
      <c r="BN213">
        <v>20181119</v>
      </c>
      <c r="BO213">
        <v>0</v>
      </c>
      <c r="BP213" t="s">
        <v>257</v>
      </c>
      <c r="BQ213" t="s">
        <v>983</v>
      </c>
      <c r="BR213" t="s">
        <v>978</v>
      </c>
      <c r="BS213" t="s">
        <v>979</v>
      </c>
      <c r="BT213">
        <v>0</v>
      </c>
      <c r="BU213">
        <v>0</v>
      </c>
      <c r="BV213" t="s">
        <v>1013</v>
      </c>
      <c r="BW213" t="s">
        <v>257</v>
      </c>
      <c r="BX213">
        <v>0</v>
      </c>
      <c r="BY213" t="s">
        <v>980</v>
      </c>
      <c r="BZ213" t="s">
        <v>257</v>
      </c>
      <c r="CA213">
        <v>0</v>
      </c>
      <c r="CB213">
        <v>0</v>
      </c>
      <c r="CC213" t="s">
        <v>1317</v>
      </c>
      <c r="CD213">
        <v>0</v>
      </c>
      <c r="CE213">
        <v>0</v>
      </c>
      <c r="CF213">
        <v>0</v>
      </c>
      <c r="CG213">
        <v>0</v>
      </c>
      <c r="CH213">
        <v>0</v>
      </c>
      <c r="CI213" t="s">
        <v>983</v>
      </c>
      <c r="CJ213" t="s">
        <v>972</v>
      </c>
      <c r="CK213" t="s">
        <v>986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 t="s">
        <v>987</v>
      </c>
      <c r="CV213">
        <v>400008214</v>
      </c>
      <c r="CW213" t="s">
        <v>987</v>
      </c>
      <c r="CX213" t="s">
        <v>1081</v>
      </c>
      <c r="CY213" t="s">
        <v>989</v>
      </c>
    </row>
    <row r="214" spans="1:103" hidden="1" x14ac:dyDescent="0.25">
      <c r="A214">
        <v>410000215</v>
      </c>
      <c r="B214" t="s">
        <v>2503</v>
      </c>
      <c r="C214" t="s">
        <v>2504</v>
      </c>
      <c r="D214">
        <v>401100000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1</v>
      </c>
      <c r="Y214" t="s">
        <v>972</v>
      </c>
      <c r="Z214" t="s">
        <v>2505</v>
      </c>
      <c r="AA214" t="s">
        <v>2506</v>
      </c>
      <c r="AB214" t="s">
        <v>975</v>
      </c>
      <c r="AC214">
        <v>4890</v>
      </c>
      <c r="AD214" t="s">
        <v>2507</v>
      </c>
      <c r="AE214" t="s">
        <v>2508</v>
      </c>
      <c r="AF214" t="s">
        <v>979</v>
      </c>
      <c r="AG214" t="s">
        <v>977</v>
      </c>
      <c r="AH214" t="s">
        <v>977</v>
      </c>
      <c r="AI214" t="s">
        <v>977</v>
      </c>
      <c r="AJ214" t="s">
        <v>978</v>
      </c>
      <c r="AK214" t="s">
        <v>978</v>
      </c>
      <c r="AL214" t="s">
        <v>978</v>
      </c>
      <c r="AM214" t="s">
        <v>979</v>
      </c>
      <c r="AN214">
        <v>0</v>
      </c>
      <c r="AO214" t="s">
        <v>257</v>
      </c>
      <c r="AP214">
        <v>0</v>
      </c>
      <c r="AQ214">
        <v>1</v>
      </c>
      <c r="AR214">
        <v>43</v>
      </c>
      <c r="AS214">
        <v>1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1</v>
      </c>
      <c r="AZ214" t="s">
        <v>257</v>
      </c>
      <c r="BA214" t="s">
        <v>980</v>
      </c>
      <c r="BB214" t="s">
        <v>981</v>
      </c>
      <c r="BC214" t="s">
        <v>257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 t="s">
        <v>998</v>
      </c>
      <c r="BK214" t="s">
        <v>981</v>
      </c>
      <c r="BL214" t="s">
        <v>2503</v>
      </c>
      <c r="BM214">
        <v>20150212</v>
      </c>
      <c r="BN214">
        <v>20181119</v>
      </c>
      <c r="BO214">
        <v>0</v>
      </c>
      <c r="BP214" t="s">
        <v>257</v>
      </c>
      <c r="BQ214" t="s">
        <v>983</v>
      </c>
      <c r="BR214" t="s">
        <v>978</v>
      </c>
      <c r="BS214" t="s">
        <v>2509</v>
      </c>
      <c r="BT214">
        <v>0</v>
      </c>
      <c r="BU214">
        <v>0</v>
      </c>
      <c r="BV214" t="s">
        <v>1013</v>
      </c>
      <c r="BW214" t="s">
        <v>257</v>
      </c>
      <c r="BX214">
        <v>0</v>
      </c>
      <c r="BY214" t="s">
        <v>980</v>
      </c>
      <c r="BZ214" t="s">
        <v>257</v>
      </c>
      <c r="CA214">
        <v>0</v>
      </c>
      <c r="CB214">
        <v>0</v>
      </c>
      <c r="CC214" t="s">
        <v>2079</v>
      </c>
      <c r="CD214">
        <v>0</v>
      </c>
      <c r="CE214">
        <v>0</v>
      </c>
      <c r="CF214">
        <v>0</v>
      </c>
      <c r="CG214">
        <v>0</v>
      </c>
      <c r="CH214">
        <v>0</v>
      </c>
      <c r="CI214" t="s">
        <v>983</v>
      </c>
      <c r="CJ214" t="s">
        <v>972</v>
      </c>
      <c r="CK214" t="s">
        <v>986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 t="s">
        <v>987</v>
      </c>
      <c r="CV214">
        <v>400008215</v>
      </c>
      <c r="CW214" t="s">
        <v>987</v>
      </c>
      <c r="CX214" t="s">
        <v>2510</v>
      </c>
      <c r="CY214" t="s">
        <v>989</v>
      </c>
    </row>
    <row r="215" spans="1:103" hidden="1" x14ac:dyDescent="0.25">
      <c r="A215">
        <v>410000216</v>
      </c>
      <c r="B215" t="s">
        <v>2511</v>
      </c>
      <c r="C215" t="s">
        <v>2512</v>
      </c>
      <c r="D215">
        <v>401100000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1</v>
      </c>
      <c r="Y215" t="s">
        <v>972</v>
      </c>
      <c r="Z215" t="s">
        <v>2513</v>
      </c>
      <c r="AA215" t="s">
        <v>2514</v>
      </c>
      <c r="AB215" t="s">
        <v>975</v>
      </c>
      <c r="AC215">
        <v>4130</v>
      </c>
      <c r="AD215" t="s">
        <v>2454</v>
      </c>
      <c r="AE215" t="s">
        <v>2515</v>
      </c>
      <c r="AF215" t="s">
        <v>979</v>
      </c>
      <c r="AG215" t="s">
        <v>2516</v>
      </c>
      <c r="AH215" t="s">
        <v>977</v>
      </c>
      <c r="AI215" t="s">
        <v>977</v>
      </c>
      <c r="AJ215" t="s">
        <v>978</v>
      </c>
      <c r="AK215" t="s">
        <v>978</v>
      </c>
      <c r="AL215" t="s">
        <v>978</v>
      </c>
      <c r="AM215" t="s">
        <v>979</v>
      </c>
      <c r="AN215">
        <v>0</v>
      </c>
      <c r="AO215" t="s">
        <v>257</v>
      </c>
      <c r="AP215">
        <v>0</v>
      </c>
      <c r="AQ215">
        <v>1</v>
      </c>
      <c r="AR215">
        <v>69</v>
      </c>
      <c r="AS215">
        <v>1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1</v>
      </c>
      <c r="AZ215" t="s">
        <v>257</v>
      </c>
      <c r="BA215" t="s">
        <v>980</v>
      </c>
      <c r="BB215" t="s">
        <v>981</v>
      </c>
      <c r="BC215" t="s">
        <v>257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 t="s">
        <v>998</v>
      </c>
      <c r="BK215" t="s">
        <v>981</v>
      </c>
      <c r="BL215" t="s">
        <v>2511</v>
      </c>
      <c r="BM215">
        <v>20150219</v>
      </c>
      <c r="BN215">
        <v>20240910</v>
      </c>
      <c r="BO215">
        <v>0</v>
      </c>
      <c r="BP215" t="s">
        <v>257</v>
      </c>
      <c r="BQ215" t="s">
        <v>983</v>
      </c>
      <c r="BR215" t="s">
        <v>978</v>
      </c>
      <c r="BS215" t="s">
        <v>979</v>
      </c>
      <c r="BT215">
        <v>0</v>
      </c>
      <c r="BU215">
        <v>0</v>
      </c>
      <c r="BV215" t="s">
        <v>984</v>
      </c>
      <c r="BW215" t="s">
        <v>257</v>
      </c>
      <c r="BX215">
        <v>0</v>
      </c>
      <c r="BY215" t="s">
        <v>980</v>
      </c>
      <c r="BZ215" t="s">
        <v>980</v>
      </c>
      <c r="CA215">
        <v>0</v>
      </c>
      <c r="CB215">
        <v>0</v>
      </c>
      <c r="CC215" t="s">
        <v>1916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983</v>
      </c>
      <c r="CJ215" t="s">
        <v>972</v>
      </c>
      <c r="CK215" t="s">
        <v>986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 t="s">
        <v>987</v>
      </c>
      <c r="CV215">
        <v>400008216</v>
      </c>
      <c r="CW215" t="s">
        <v>987</v>
      </c>
      <c r="CX215" t="s">
        <v>2517</v>
      </c>
      <c r="CY215" t="s">
        <v>989</v>
      </c>
    </row>
    <row r="216" spans="1:103" hidden="1" x14ac:dyDescent="0.25">
      <c r="A216">
        <v>410000217</v>
      </c>
      <c r="B216" t="s">
        <v>2518</v>
      </c>
      <c r="C216" t="s">
        <v>2519</v>
      </c>
      <c r="D216">
        <v>401100000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 t="s">
        <v>972</v>
      </c>
      <c r="Z216" t="s">
        <v>2520</v>
      </c>
      <c r="AA216" t="s">
        <v>2521</v>
      </c>
      <c r="AB216" t="s">
        <v>975</v>
      </c>
      <c r="AC216">
        <v>40304000</v>
      </c>
      <c r="AD216" t="s">
        <v>2522</v>
      </c>
      <c r="AE216" t="s">
        <v>2523</v>
      </c>
      <c r="AF216" t="s">
        <v>979</v>
      </c>
      <c r="AG216" t="s">
        <v>977</v>
      </c>
      <c r="AH216" t="s">
        <v>977</v>
      </c>
      <c r="AI216" t="s">
        <v>977</v>
      </c>
      <c r="AJ216" t="s">
        <v>978</v>
      </c>
      <c r="AK216" t="s">
        <v>978</v>
      </c>
      <c r="AL216" t="s">
        <v>978</v>
      </c>
      <c r="AM216" t="s">
        <v>979</v>
      </c>
      <c r="AN216">
        <v>0</v>
      </c>
      <c r="AO216" t="s">
        <v>257</v>
      </c>
      <c r="AP216">
        <v>0</v>
      </c>
      <c r="AQ216">
        <v>1</v>
      </c>
      <c r="AR216">
        <v>43</v>
      </c>
      <c r="AS216">
        <v>1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1</v>
      </c>
      <c r="AZ216" t="s">
        <v>257</v>
      </c>
      <c r="BA216" t="s">
        <v>980</v>
      </c>
      <c r="BB216" t="s">
        <v>1010</v>
      </c>
      <c r="BC216" t="s">
        <v>257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 t="s">
        <v>998</v>
      </c>
      <c r="BK216" t="s">
        <v>981</v>
      </c>
      <c r="BL216" t="s">
        <v>2518</v>
      </c>
      <c r="BM216">
        <v>20150219</v>
      </c>
      <c r="BN216">
        <v>20190204</v>
      </c>
      <c r="BO216">
        <v>20190129</v>
      </c>
      <c r="BP216" t="s">
        <v>257</v>
      </c>
      <c r="BQ216" t="s">
        <v>983</v>
      </c>
      <c r="BR216" t="s">
        <v>978</v>
      </c>
      <c r="BS216" t="s">
        <v>2524</v>
      </c>
      <c r="BT216">
        <v>0</v>
      </c>
      <c r="BU216">
        <v>0</v>
      </c>
      <c r="BV216" t="s">
        <v>1013</v>
      </c>
      <c r="BW216" t="s">
        <v>257</v>
      </c>
      <c r="BX216">
        <v>0</v>
      </c>
      <c r="BY216" t="s">
        <v>980</v>
      </c>
      <c r="BZ216" t="s">
        <v>257</v>
      </c>
      <c r="CA216">
        <v>0</v>
      </c>
      <c r="CB216">
        <v>0</v>
      </c>
      <c r="CC216" t="s">
        <v>1391</v>
      </c>
      <c r="CD216">
        <v>0</v>
      </c>
      <c r="CE216">
        <v>0</v>
      </c>
      <c r="CF216">
        <v>0</v>
      </c>
      <c r="CG216">
        <v>0</v>
      </c>
      <c r="CH216">
        <v>0</v>
      </c>
      <c r="CI216" t="s">
        <v>983</v>
      </c>
      <c r="CJ216" t="s">
        <v>972</v>
      </c>
      <c r="CK216" t="s">
        <v>986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 t="s">
        <v>987</v>
      </c>
      <c r="CV216">
        <v>400008217</v>
      </c>
      <c r="CW216" t="s">
        <v>987</v>
      </c>
      <c r="CX216" t="s">
        <v>2525</v>
      </c>
      <c r="CY216" t="s">
        <v>989</v>
      </c>
    </row>
    <row r="217" spans="1:103" hidden="1" x14ac:dyDescent="0.25">
      <c r="A217">
        <v>410000218</v>
      </c>
      <c r="B217" t="s">
        <v>2526</v>
      </c>
      <c r="C217" t="s">
        <v>2527</v>
      </c>
      <c r="D217">
        <v>401100000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1</v>
      </c>
      <c r="Y217" t="s">
        <v>972</v>
      </c>
      <c r="Z217" t="s">
        <v>987</v>
      </c>
      <c r="AA217" t="s">
        <v>2528</v>
      </c>
      <c r="AB217" t="s">
        <v>975</v>
      </c>
      <c r="AC217">
        <v>6840</v>
      </c>
      <c r="AD217" t="s">
        <v>2529</v>
      </c>
      <c r="AE217" t="s">
        <v>2530</v>
      </c>
      <c r="AF217" t="s">
        <v>2531</v>
      </c>
      <c r="AG217" t="s">
        <v>977</v>
      </c>
      <c r="AH217" t="s">
        <v>977</v>
      </c>
      <c r="AI217" t="s">
        <v>977</v>
      </c>
      <c r="AJ217" t="s">
        <v>2532</v>
      </c>
      <c r="AK217" t="s">
        <v>2533</v>
      </c>
      <c r="AL217" t="s">
        <v>978</v>
      </c>
      <c r="AM217" t="s">
        <v>979</v>
      </c>
      <c r="AN217">
        <v>0</v>
      </c>
      <c r="AO217" t="s">
        <v>257</v>
      </c>
      <c r="AP217">
        <v>0</v>
      </c>
      <c r="AQ217">
        <v>1</v>
      </c>
      <c r="AR217">
        <v>43</v>
      </c>
      <c r="AS217">
        <v>1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1</v>
      </c>
      <c r="AZ217" t="s">
        <v>257</v>
      </c>
      <c r="BA217" t="s">
        <v>980</v>
      </c>
      <c r="BB217" t="s">
        <v>981</v>
      </c>
      <c r="BC217" t="s">
        <v>257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 t="s">
        <v>998</v>
      </c>
      <c r="BK217" t="s">
        <v>981</v>
      </c>
      <c r="BL217" t="s">
        <v>2526</v>
      </c>
      <c r="BM217">
        <v>20150224</v>
      </c>
      <c r="BN217">
        <v>20181119</v>
      </c>
      <c r="BO217">
        <v>0</v>
      </c>
      <c r="BP217" t="s">
        <v>257</v>
      </c>
      <c r="BQ217" t="s">
        <v>983</v>
      </c>
      <c r="BR217" t="s">
        <v>978</v>
      </c>
      <c r="BS217" t="s">
        <v>979</v>
      </c>
      <c r="BT217">
        <v>0</v>
      </c>
      <c r="BU217">
        <v>0</v>
      </c>
      <c r="BV217" t="s">
        <v>1013</v>
      </c>
      <c r="BW217" t="s">
        <v>257</v>
      </c>
      <c r="BX217">
        <v>0</v>
      </c>
      <c r="BY217" t="s">
        <v>980</v>
      </c>
      <c r="BZ217" t="s">
        <v>257</v>
      </c>
      <c r="CA217">
        <v>0</v>
      </c>
      <c r="CB217">
        <v>0</v>
      </c>
      <c r="CC217" t="s">
        <v>2534</v>
      </c>
      <c r="CD217">
        <v>0</v>
      </c>
      <c r="CE217">
        <v>0</v>
      </c>
      <c r="CF217">
        <v>0</v>
      </c>
      <c r="CG217">
        <v>0</v>
      </c>
      <c r="CH217">
        <v>0</v>
      </c>
      <c r="CI217" t="s">
        <v>983</v>
      </c>
      <c r="CJ217" t="s">
        <v>972</v>
      </c>
      <c r="CK217" t="s">
        <v>986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 t="s">
        <v>987</v>
      </c>
      <c r="CV217">
        <v>400008218</v>
      </c>
      <c r="CW217" t="s">
        <v>987</v>
      </c>
      <c r="CX217" t="s">
        <v>1081</v>
      </c>
      <c r="CY217" t="s">
        <v>989</v>
      </c>
    </row>
    <row r="218" spans="1:103" hidden="1" x14ac:dyDescent="0.25">
      <c r="A218">
        <v>410000219</v>
      </c>
      <c r="B218" t="s">
        <v>2535</v>
      </c>
      <c r="C218" t="s">
        <v>2536</v>
      </c>
      <c r="D218">
        <v>401100000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1</v>
      </c>
      <c r="Y218" t="s">
        <v>972</v>
      </c>
      <c r="Z218" t="s">
        <v>987</v>
      </c>
      <c r="AA218" t="s">
        <v>2537</v>
      </c>
      <c r="AB218" t="s">
        <v>975</v>
      </c>
      <c r="AC218">
        <v>1300</v>
      </c>
      <c r="AD218" t="s">
        <v>2390</v>
      </c>
      <c r="AE218" t="s">
        <v>2538</v>
      </c>
      <c r="AF218" t="s">
        <v>979</v>
      </c>
      <c r="AG218" t="s">
        <v>977</v>
      </c>
      <c r="AH218" t="s">
        <v>977</v>
      </c>
      <c r="AI218" t="s">
        <v>977</v>
      </c>
      <c r="AJ218" t="s">
        <v>2539</v>
      </c>
      <c r="AK218" t="s">
        <v>978</v>
      </c>
      <c r="AL218" t="s">
        <v>978</v>
      </c>
      <c r="AM218" t="s">
        <v>979</v>
      </c>
      <c r="AN218">
        <v>0</v>
      </c>
      <c r="AO218" t="s">
        <v>257</v>
      </c>
      <c r="AP218">
        <v>0</v>
      </c>
      <c r="AQ218">
        <v>1</v>
      </c>
      <c r="AR218">
        <v>43</v>
      </c>
      <c r="AS218">
        <v>1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1</v>
      </c>
      <c r="AZ218" t="s">
        <v>257</v>
      </c>
      <c r="BA218" t="s">
        <v>980</v>
      </c>
      <c r="BB218" t="s">
        <v>981</v>
      </c>
      <c r="BC218" t="s">
        <v>257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 t="s">
        <v>998</v>
      </c>
      <c r="BK218" t="s">
        <v>981</v>
      </c>
      <c r="BL218" t="s">
        <v>2535</v>
      </c>
      <c r="BM218">
        <v>20150224</v>
      </c>
      <c r="BN218">
        <v>20181119</v>
      </c>
      <c r="BO218">
        <v>0</v>
      </c>
      <c r="BP218" t="s">
        <v>257</v>
      </c>
      <c r="BQ218" t="s">
        <v>983</v>
      </c>
      <c r="BR218" t="s">
        <v>978</v>
      </c>
      <c r="BS218" t="s">
        <v>979</v>
      </c>
      <c r="BT218">
        <v>0</v>
      </c>
      <c r="BU218">
        <v>0</v>
      </c>
      <c r="BV218" t="s">
        <v>1013</v>
      </c>
      <c r="BW218" t="s">
        <v>257</v>
      </c>
      <c r="BX218">
        <v>0</v>
      </c>
      <c r="BY218" t="s">
        <v>980</v>
      </c>
      <c r="BZ218" t="s">
        <v>257</v>
      </c>
      <c r="CA218">
        <v>0</v>
      </c>
      <c r="CB218">
        <v>0</v>
      </c>
      <c r="CC218" t="s">
        <v>1491</v>
      </c>
      <c r="CD218">
        <v>0</v>
      </c>
      <c r="CE218">
        <v>0</v>
      </c>
      <c r="CF218">
        <v>0</v>
      </c>
      <c r="CG218">
        <v>0</v>
      </c>
      <c r="CH218">
        <v>0</v>
      </c>
      <c r="CI218" t="s">
        <v>983</v>
      </c>
      <c r="CJ218" t="s">
        <v>972</v>
      </c>
      <c r="CK218" t="s">
        <v>986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 t="s">
        <v>987</v>
      </c>
      <c r="CV218">
        <v>400008219</v>
      </c>
      <c r="CW218" t="s">
        <v>987</v>
      </c>
      <c r="CX218" t="s">
        <v>2540</v>
      </c>
      <c r="CY218" t="s">
        <v>989</v>
      </c>
    </row>
    <row r="219" spans="1:103" hidden="1" x14ac:dyDescent="0.25">
      <c r="A219">
        <v>410000220</v>
      </c>
      <c r="B219" t="s">
        <v>2541</v>
      </c>
      <c r="C219" t="s">
        <v>2542</v>
      </c>
      <c r="D219">
        <v>401100000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1</v>
      </c>
      <c r="Y219" t="s">
        <v>2543</v>
      </c>
      <c r="Z219" t="s">
        <v>2544</v>
      </c>
      <c r="AA219" t="s">
        <v>2545</v>
      </c>
      <c r="AB219" t="s">
        <v>975</v>
      </c>
      <c r="AC219">
        <v>5550</v>
      </c>
      <c r="AD219" t="s">
        <v>2546</v>
      </c>
      <c r="AE219" t="s">
        <v>2547</v>
      </c>
      <c r="AF219" t="s">
        <v>2548</v>
      </c>
      <c r="AG219" t="s">
        <v>977</v>
      </c>
      <c r="AH219" t="s">
        <v>977</v>
      </c>
      <c r="AI219" t="s">
        <v>977</v>
      </c>
      <c r="AJ219" t="s">
        <v>978</v>
      </c>
      <c r="AK219" t="s">
        <v>978</v>
      </c>
      <c r="AL219" t="s">
        <v>978</v>
      </c>
      <c r="AM219" t="s">
        <v>979</v>
      </c>
      <c r="AN219">
        <v>0</v>
      </c>
      <c r="AO219" t="s">
        <v>257</v>
      </c>
      <c r="AP219">
        <v>0</v>
      </c>
      <c r="AQ219">
        <v>1</v>
      </c>
      <c r="AR219">
        <v>43</v>
      </c>
      <c r="AS219">
        <v>1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1</v>
      </c>
      <c r="AZ219" t="s">
        <v>257</v>
      </c>
      <c r="BA219" t="s">
        <v>980</v>
      </c>
      <c r="BB219" t="s">
        <v>981</v>
      </c>
      <c r="BC219" t="s">
        <v>257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 t="s">
        <v>998</v>
      </c>
      <c r="BK219" t="s">
        <v>981</v>
      </c>
      <c r="BL219" t="s">
        <v>2549</v>
      </c>
      <c r="BM219">
        <v>20150224</v>
      </c>
      <c r="BN219">
        <v>20181119</v>
      </c>
      <c r="BO219">
        <v>0</v>
      </c>
      <c r="BP219" t="s">
        <v>257</v>
      </c>
      <c r="BQ219" t="s">
        <v>983</v>
      </c>
      <c r="BR219" t="s">
        <v>978</v>
      </c>
      <c r="BS219" t="s">
        <v>2550</v>
      </c>
      <c r="BT219">
        <v>0</v>
      </c>
      <c r="BU219">
        <v>0</v>
      </c>
      <c r="BV219" t="s">
        <v>1013</v>
      </c>
      <c r="BW219" t="s">
        <v>257</v>
      </c>
      <c r="BX219">
        <v>0</v>
      </c>
      <c r="BY219" t="s">
        <v>980</v>
      </c>
      <c r="BZ219" t="s">
        <v>257</v>
      </c>
      <c r="CA219">
        <v>0</v>
      </c>
      <c r="CB219">
        <v>0</v>
      </c>
      <c r="CC219" t="s">
        <v>2551</v>
      </c>
      <c r="CD219">
        <v>0</v>
      </c>
      <c r="CE219">
        <v>0</v>
      </c>
      <c r="CF219">
        <v>0</v>
      </c>
      <c r="CG219">
        <v>0</v>
      </c>
      <c r="CH219">
        <v>0</v>
      </c>
      <c r="CI219" t="s">
        <v>983</v>
      </c>
      <c r="CJ219" t="s">
        <v>972</v>
      </c>
      <c r="CK219" t="s">
        <v>986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 t="s">
        <v>987</v>
      </c>
      <c r="CV219">
        <v>400008220</v>
      </c>
      <c r="CW219" t="s">
        <v>987</v>
      </c>
      <c r="CX219" t="s">
        <v>2552</v>
      </c>
      <c r="CY219" t="s">
        <v>989</v>
      </c>
    </row>
    <row r="220" spans="1:103" hidden="1" x14ac:dyDescent="0.25">
      <c r="A220">
        <v>410000221</v>
      </c>
      <c r="B220" t="s">
        <v>2553</v>
      </c>
      <c r="C220" t="s">
        <v>2554</v>
      </c>
      <c r="D220">
        <v>401100000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1</v>
      </c>
      <c r="Y220" t="s">
        <v>972</v>
      </c>
      <c r="Z220" t="s">
        <v>2555</v>
      </c>
      <c r="AA220" t="s">
        <v>2556</v>
      </c>
      <c r="AB220" t="s">
        <v>975</v>
      </c>
      <c r="AC220">
        <v>4606</v>
      </c>
      <c r="AD220" t="s">
        <v>2557</v>
      </c>
      <c r="AE220" t="s">
        <v>2558</v>
      </c>
      <c r="AF220" t="s">
        <v>2559</v>
      </c>
      <c r="AG220" t="s">
        <v>977</v>
      </c>
      <c r="AH220" t="s">
        <v>977</v>
      </c>
      <c r="AI220" t="s">
        <v>977</v>
      </c>
      <c r="AJ220" t="s">
        <v>978</v>
      </c>
      <c r="AK220" t="s">
        <v>978</v>
      </c>
      <c r="AL220" t="s">
        <v>978</v>
      </c>
      <c r="AM220" t="s">
        <v>979</v>
      </c>
      <c r="AN220">
        <v>0</v>
      </c>
      <c r="AO220" t="s">
        <v>257</v>
      </c>
      <c r="AP220">
        <v>0</v>
      </c>
      <c r="AQ220">
        <v>1</v>
      </c>
      <c r="AR220">
        <v>43</v>
      </c>
      <c r="AS220">
        <v>1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1</v>
      </c>
      <c r="AZ220" t="s">
        <v>257</v>
      </c>
      <c r="BA220" t="s">
        <v>257</v>
      </c>
      <c r="BB220" t="s">
        <v>981</v>
      </c>
      <c r="BC220" t="s">
        <v>257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 t="s">
        <v>998</v>
      </c>
      <c r="BK220" t="s">
        <v>981</v>
      </c>
      <c r="BL220" t="s">
        <v>2553</v>
      </c>
      <c r="BM220">
        <v>20150226</v>
      </c>
      <c r="BN220">
        <v>20181119</v>
      </c>
      <c r="BO220">
        <v>0</v>
      </c>
      <c r="BP220" t="s">
        <v>257</v>
      </c>
      <c r="BQ220" t="s">
        <v>983</v>
      </c>
      <c r="BR220" t="s">
        <v>978</v>
      </c>
      <c r="BS220" t="s">
        <v>979</v>
      </c>
      <c r="BT220">
        <v>0</v>
      </c>
      <c r="BU220">
        <v>0</v>
      </c>
      <c r="BV220" t="s">
        <v>1013</v>
      </c>
      <c r="BW220" t="s">
        <v>257</v>
      </c>
      <c r="BX220">
        <v>0</v>
      </c>
      <c r="BY220" t="s">
        <v>980</v>
      </c>
      <c r="BZ220" t="s">
        <v>257</v>
      </c>
      <c r="CA220">
        <v>0</v>
      </c>
      <c r="CB220">
        <v>0</v>
      </c>
      <c r="CC220" t="s">
        <v>1080</v>
      </c>
      <c r="CD220">
        <v>0</v>
      </c>
      <c r="CE220">
        <v>0</v>
      </c>
      <c r="CF220">
        <v>0</v>
      </c>
      <c r="CG220">
        <v>0</v>
      </c>
      <c r="CH220">
        <v>0</v>
      </c>
      <c r="CI220" t="s">
        <v>983</v>
      </c>
      <c r="CJ220" t="s">
        <v>972</v>
      </c>
      <c r="CK220" t="s">
        <v>986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 t="s">
        <v>987</v>
      </c>
      <c r="CV220">
        <v>400008221</v>
      </c>
      <c r="CW220" t="s">
        <v>987</v>
      </c>
      <c r="CX220" t="s">
        <v>2560</v>
      </c>
      <c r="CY220" t="s">
        <v>989</v>
      </c>
    </row>
    <row r="221" spans="1:103" hidden="1" x14ac:dyDescent="0.25">
      <c r="A221">
        <v>410000222</v>
      </c>
      <c r="B221" t="s">
        <v>2561</v>
      </c>
      <c r="C221" t="s">
        <v>978</v>
      </c>
      <c r="D221">
        <v>401100000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1</v>
      </c>
      <c r="X221">
        <v>1</v>
      </c>
      <c r="Y221" t="s">
        <v>972</v>
      </c>
      <c r="Z221" t="s">
        <v>2400</v>
      </c>
      <c r="AA221" t="s">
        <v>2562</v>
      </c>
      <c r="AB221" t="s">
        <v>1626</v>
      </c>
      <c r="AC221">
        <v>9990</v>
      </c>
      <c r="AD221" t="s">
        <v>2563</v>
      </c>
      <c r="AE221" t="s">
        <v>2564</v>
      </c>
      <c r="AF221" t="s">
        <v>979</v>
      </c>
      <c r="AG221" t="s">
        <v>977</v>
      </c>
      <c r="AH221" t="s">
        <v>977</v>
      </c>
      <c r="AI221" t="s">
        <v>977</v>
      </c>
      <c r="AJ221" t="s">
        <v>978</v>
      </c>
      <c r="AK221" t="s">
        <v>978</v>
      </c>
      <c r="AL221" t="s">
        <v>978</v>
      </c>
      <c r="AM221" t="s">
        <v>979</v>
      </c>
      <c r="AN221">
        <v>0</v>
      </c>
      <c r="AO221" t="s">
        <v>257</v>
      </c>
      <c r="AP221">
        <v>0</v>
      </c>
      <c r="AQ221">
        <v>1</v>
      </c>
      <c r="AR221">
        <v>43</v>
      </c>
      <c r="AS221">
        <v>1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1</v>
      </c>
      <c r="AZ221" t="s">
        <v>257</v>
      </c>
      <c r="BA221" t="s">
        <v>980</v>
      </c>
      <c r="BB221" t="s">
        <v>981</v>
      </c>
      <c r="BC221" t="s">
        <v>257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 t="s">
        <v>998</v>
      </c>
      <c r="BK221" t="s">
        <v>981</v>
      </c>
      <c r="BL221" t="s">
        <v>2561</v>
      </c>
      <c r="BM221">
        <v>20150226</v>
      </c>
      <c r="BN221">
        <v>20181119</v>
      </c>
      <c r="BO221">
        <v>0</v>
      </c>
      <c r="BP221" t="s">
        <v>257</v>
      </c>
      <c r="BQ221" t="s">
        <v>983</v>
      </c>
      <c r="BR221" t="s">
        <v>978</v>
      </c>
      <c r="BS221" t="s">
        <v>979</v>
      </c>
      <c r="BT221">
        <v>0</v>
      </c>
      <c r="BU221">
        <v>0</v>
      </c>
      <c r="BV221" t="s">
        <v>1013</v>
      </c>
      <c r="BW221" t="s">
        <v>257</v>
      </c>
      <c r="BX221">
        <v>0</v>
      </c>
      <c r="BY221" t="s">
        <v>980</v>
      </c>
      <c r="BZ221" t="s">
        <v>257</v>
      </c>
      <c r="CA221">
        <v>0</v>
      </c>
      <c r="CB221">
        <v>0</v>
      </c>
      <c r="CC221" t="s">
        <v>1363</v>
      </c>
      <c r="CD221">
        <v>0</v>
      </c>
      <c r="CE221">
        <v>0</v>
      </c>
      <c r="CF221">
        <v>0</v>
      </c>
      <c r="CG221">
        <v>0</v>
      </c>
      <c r="CH221">
        <v>0</v>
      </c>
      <c r="CI221" t="s">
        <v>983</v>
      </c>
      <c r="CJ221" t="s">
        <v>972</v>
      </c>
      <c r="CK221" t="s">
        <v>986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 t="s">
        <v>987</v>
      </c>
      <c r="CV221">
        <v>400008222</v>
      </c>
      <c r="CW221" t="s">
        <v>987</v>
      </c>
      <c r="CX221" t="s">
        <v>2565</v>
      </c>
      <c r="CY221" t="s">
        <v>989</v>
      </c>
    </row>
    <row r="222" spans="1:103" hidden="1" x14ac:dyDescent="0.25">
      <c r="A222">
        <v>410000223</v>
      </c>
      <c r="B222" t="s">
        <v>2566</v>
      </c>
      <c r="C222" t="s">
        <v>2567</v>
      </c>
      <c r="D222">
        <v>401100000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1</v>
      </c>
      <c r="Y222" t="s">
        <v>972</v>
      </c>
      <c r="Z222" t="s">
        <v>2568</v>
      </c>
      <c r="AA222" t="s">
        <v>2569</v>
      </c>
      <c r="AB222" t="s">
        <v>975</v>
      </c>
      <c r="AC222">
        <v>1301</v>
      </c>
      <c r="AD222" t="s">
        <v>2570</v>
      </c>
      <c r="AE222" t="s">
        <v>2571</v>
      </c>
      <c r="AF222" t="s">
        <v>2572</v>
      </c>
      <c r="AG222" t="s">
        <v>977</v>
      </c>
      <c r="AH222" t="s">
        <v>977</v>
      </c>
      <c r="AI222" t="s">
        <v>977</v>
      </c>
      <c r="AJ222" t="s">
        <v>2573</v>
      </c>
      <c r="AK222" t="s">
        <v>978</v>
      </c>
      <c r="AL222" t="s">
        <v>978</v>
      </c>
      <c r="AM222" t="s">
        <v>979</v>
      </c>
      <c r="AN222">
        <v>0</v>
      </c>
      <c r="AO222" t="s">
        <v>257</v>
      </c>
      <c r="AP222">
        <v>0</v>
      </c>
      <c r="AQ222">
        <v>1</v>
      </c>
      <c r="AR222">
        <v>43</v>
      </c>
      <c r="AS222">
        <v>1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1</v>
      </c>
      <c r="AZ222" t="s">
        <v>257</v>
      </c>
      <c r="BA222" t="s">
        <v>980</v>
      </c>
      <c r="BB222" t="s">
        <v>981</v>
      </c>
      <c r="BC222" t="s">
        <v>257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 t="s">
        <v>998</v>
      </c>
      <c r="BK222" t="s">
        <v>981</v>
      </c>
      <c r="BL222" t="s">
        <v>2566</v>
      </c>
      <c r="BM222">
        <v>20150305</v>
      </c>
      <c r="BN222">
        <v>20181119</v>
      </c>
      <c r="BO222">
        <v>0</v>
      </c>
      <c r="BP222" t="s">
        <v>257</v>
      </c>
      <c r="BQ222" t="s">
        <v>983</v>
      </c>
      <c r="BR222" t="s">
        <v>978</v>
      </c>
      <c r="BS222" t="s">
        <v>979</v>
      </c>
      <c r="BT222">
        <v>0</v>
      </c>
      <c r="BU222">
        <v>0</v>
      </c>
      <c r="BV222" t="s">
        <v>1013</v>
      </c>
      <c r="BW222" t="s">
        <v>257</v>
      </c>
      <c r="BX222">
        <v>0</v>
      </c>
      <c r="BY222" t="s">
        <v>980</v>
      </c>
      <c r="BZ222" t="s">
        <v>257</v>
      </c>
      <c r="CA222">
        <v>0</v>
      </c>
      <c r="CB222">
        <v>0</v>
      </c>
      <c r="CC222" t="s">
        <v>1469</v>
      </c>
      <c r="CD222">
        <v>0</v>
      </c>
      <c r="CE222">
        <v>0</v>
      </c>
      <c r="CF222">
        <v>0</v>
      </c>
      <c r="CG222">
        <v>0</v>
      </c>
      <c r="CH222">
        <v>0</v>
      </c>
      <c r="CI222" t="s">
        <v>983</v>
      </c>
      <c r="CJ222" t="s">
        <v>972</v>
      </c>
      <c r="CK222" t="s">
        <v>986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 t="s">
        <v>987</v>
      </c>
      <c r="CV222">
        <v>400008223</v>
      </c>
      <c r="CW222" t="s">
        <v>987</v>
      </c>
      <c r="CX222" t="s">
        <v>1081</v>
      </c>
      <c r="CY222" t="s">
        <v>989</v>
      </c>
    </row>
    <row r="223" spans="1:103" hidden="1" x14ac:dyDescent="0.25">
      <c r="A223">
        <v>410000224</v>
      </c>
      <c r="B223" t="s">
        <v>2574</v>
      </c>
      <c r="C223" t="s">
        <v>2575</v>
      </c>
      <c r="D223">
        <v>401100000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 t="s">
        <v>972</v>
      </c>
      <c r="Z223" t="s">
        <v>987</v>
      </c>
      <c r="AA223" t="s">
        <v>2576</v>
      </c>
      <c r="AB223" t="s">
        <v>975</v>
      </c>
      <c r="AC223">
        <v>4680</v>
      </c>
      <c r="AD223" t="s">
        <v>1891</v>
      </c>
      <c r="AE223" t="s">
        <v>2577</v>
      </c>
      <c r="AF223" t="s">
        <v>979</v>
      </c>
      <c r="AG223" t="s">
        <v>977</v>
      </c>
      <c r="AH223" t="s">
        <v>977</v>
      </c>
      <c r="AI223" t="s">
        <v>977</v>
      </c>
      <c r="AJ223" t="s">
        <v>978</v>
      </c>
      <c r="AK223" t="s">
        <v>978</v>
      </c>
      <c r="AL223" t="s">
        <v>978</v>
      </c>
      <c r="AM223" t="s">
        <v>979</v>
      </c>
      <c r="AN223">
        <v>0</v>
      </c>
      <c r="AO223" t="s">
        <v>257</v>
      </c>
      <c r="AP223">
        <v>0</v>
      </c>
      <c r="AQ223">
        <v>1</v>
      </c>
      <c r="AR223">
        <v>43</v>
      </c>
      <c r="AS223">
        <v>1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1</v>
      </c>
      <c r="AZ223" t="s">
        <v>257</v>
      </c>
      <c r="BA223" t="s">
        <v>980</v>
      </c>
      <c r="BB223" t="s">
        <v>981</v>
      </c>
      <c r="BC223" t="s">
        <v>257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 t="s">
        <v>998</v>
      </c>
      <c r="BK223" t="s">
        <v>981</v>
      </c>
      <c r="BL223" t="s">
        <v>2574</v>
      </c>
      <c r="BM223">
        <v>20150309</v>
      </c>
      <c r="BN223">
        <v>20181119</v>
      </c>
      <c r="BO223">
        <v>0</v>
      </c>
      <c r="BP223" t="s">
        <v>257</v>
      </c>
      <c r="BQ223" t="s">
        <v>983</v>
      </c>
      <c r="BR223" t="s">
        <v>978</v>
      </c>
      <c r="BS223" t="s">
        <v>979</v>
      </c>
      <c r="BT223">
        <v>0</v>
      </c>
      <c r="BU223">
        <v>0</v>
      </c>
      <c r="BV223" t="s">
        <v>1013</v>
      </c>
      <c r="BW223" t="s">
        <v>257</v>
      </c>
      <c r="BX223">
        <v>0</v>
      </c>
      <c r="BY223" t="s">
        <v>980</v>
      </c>
      <c r="BZ223" t="s">
        <v>257</v>
      </c>
      <c r="CA223">
        <v>0</v>
      </c>
      <c r="CB223">
        <v>0</v>
      </c>
      <c r="CC223" t="s">
        <v>1088</v>
      </c>
      <c r="CD223">
        <v>0</v>
      </c>
      <c r="CE223">
        <v>0</v>
      </c>
      <c r="CF223">
        <v>0</v>
      </c>
      <c r="CG223">
        <v>0</v>
      </c>
      <c r="CH223">
        <v>0</v>
      </c>
      <c r="CI223" t="s">
        <v>983</v>
      </c>
      <c r="CJ223" t="s">
        <v>972</v>
      </c>
      <c r="CK223" t="s">
        <v>986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 t="s">
        <v>987</v>
      </c>
      <c r="CV223">
        <v>400008224</v>
      </c>
      <c r="CW223" t="s">
        <v>987</v>
      </c>
      <c r="CX223" t="s">
        <v>1081</v>
      </c>
      <c r="CY223" t="s">
        <v>989</v>
      </c>
    </row>
    <row r="224" spans="1:103" hidden="1" x14ac:dyDescent="0.25">
      <c r="A224">
        <v>410000225</v>
      </c>
      <c r="B224" t="s">
        <v>2578</v>
      </c>
      <c r="C224" t="s">
        <v>2579</v>
      </c>
      <c r="D224">
        <v>401100000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1</v>
      </c>
      <c r="Y224" t="s">
        <v>972</v>
      </c>
      <c r="Z224" t="s">
        <v>2580</v>
      </c>
      <c r="AA224" t="s">
        <v>2581</v>
      </c>
      <c r="AB224" t="s">
        <v>975</v>
      </c>
      <c r="AC224">
        <v>4460</v>
      </c>
      <c r="AD224" t="s">
        <v>1946</v>
      </c>
      <c r="AE224" t="s">
        <v>2582</v>
      </c>
      <c r="AF224" t="s">
        <v>979</v>
      </c>
      <c r="AG224" t="s">
        <v>2583</v>
      </c>
      <c r="AH224" t="s">
        <v>977</v>
      </c>
      <c r="AI224" t="s">
        <v>977</v>
      </c>
      <c r="AJ224" t="s">
        <v>978</v>
      </c>
      <c r="AK224" t="s">
        <v>978</v>
      </c>
      <c r="AL224" t="s">
        <v>978</v>
      </c>
      <c r="AM224" t="s">
        <v>979</v>
      </c>
      <c r="AN224">
        <v>0</v>
      </c>
      <c r="AO224" t="s">
        <v>257</v>
      </c>
      <c r="AP224">
        <v>0</v>
      </c>
      <c r="AQ224">
        <v>1</v>
      </c>
      <c r="AR224">
        <v>43</v>
      </c>
      <c r="AS224">
        <v>1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1</v>
      </c>
      <c r="AZ224" t="s">
        <v>257</v>
      </c>
      <c r="BA224" t="s">
        <v>980</v>
      </c>
      <c r="BB224" t="s">
        <v>981</v>
      </c>
      <c r="BC224" t="s">
        <v>257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 t="s">
        <v>998</v>
      </c>
      <c r="BK224" t="s">
        <v>981</v>
      </c>
      <c r="BL224" t="s">
        <v>2578</v>
      </c>
      <c r="BM224">
        <v>20150309</v>
      </c>
      <c r="BN224">
        <v>20181119</v>
      </c>
      <c r="BO224">
        <v>0</v>
      </c>
      <c r="BP224" t="s">
        <v>257</v>
      </c>
      <c r="BQ224" t="s">
        <v>983</v>
      </c>
      <c r="BR224" t="s">
        <v>978</v>
      </c>
      <c r="BS224" t="s">
        <v>2584</v>
      </c>
      <c r="BT224">
        <v>0</v>
      </c>
      <c r="BU224">
        <v>0</v>
      </c>
      <c r="BV224" t="s">
        <v>1013</v>
      </c>
      <c r="BW224" t="s">
        <v>257</v>
      </c>
      <c r="BX224">
        <v>0</v>
      </c>
      <c r="BY224" t="s">
        <v>980</v>
      </c>
      <c r="BZ224" t="s">
        <v>257</v>
      </c>
      <c r="CA224">
        <v>0</v>
      </c>
      <c r="CB224">
        <v>0</v>
      </c>
      <c r="CC224" t="s">
        <v>1329</v>
      </c>
      <c r="CD224">
        <v>0</v>
      </c>
      <c r="CE224">
        <v>0</v>
      </c>
      <c r="CF224">
        <v>0</v>
      </c>
      <c r="CG224">
        <v>0</v>
      </c>
      <c r="CH224">
        <v>0</v>
      </c>
      <c r="CI224" t="s">
        <v>983</v>
      </c>
      <c r="CJ224" t="s">
        <v>972</v>
      </c>
      <c r="CK224" t="s">
        <v>986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 t="s">
        <v>987</v>
      </c>
      <c r="CV224">
        <v>400008225</v>
      </c>
      <c r="CW224" t="s">
        <v>987</v>
      </c>
      <c r="CX224" t="s">
        <v>2585</v>
      </c>
      <c r="CY224" t="s">
        <v>989</v>
      </c>
    </row>
    <row r="225" spans="1:103" hidden="1" x14ac:dyDescent="0.25">
      <c r="A225">
        <v>410000226</v>
      </c>
      <c r="B225" t="s">
        <v>2586</v>
      </c>
      <c r="C225" t="s">
        <v>2587</v>
      </c>
      <c r="D225">
        <v>401100000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1</v>
      </c>
      <c r="Y225" t="s">
        <v>972</v>
      </c>
      <c r="Z225" t="s">
        <v>987</v>
      </c>
      <c r="AA225" t="s">
        <v>2588</v>
      </c>
      <c r="AB225" t="s">
        <v>975</v>
      </c>
      <c r="AC225">
        <v>4960</v>
      </c>
      <c r="AD225" t="s">
        <v>1548</v>
      </c>
      <c r="AE225" t="s">
        <v>2589</v>
      </c>
      <c r="AF225" t="s">
        <v>979</v>
      </c>
      <c r="AG225" t="s">
        <v>2590</v>
      </c>
      <c r="AH225" t="s">
        <v>977</v>
      </c>
      <c r="AI225">
        <v>46321</v>
      </c>
      <c r="AJ225" t="s">
        <v>978</v>
      </c>
      <c r="AK225" t="s">
        <v>978</v>
      </c>
      <c r="AL225" t="s">
        <v>978</v>
      </c>
      <c r="AM225" t="s">
        <v>979</v>
      </c>
      <c r="AN225">
        <v>0</v>
      </c>
      <c r="AO225" t="s">
        <v>257</v>
      </c>
      <c r="AP225">
        <v>0</v>
      </c>
      <c r="AQ225">
        <v>1</v>
      </c>
      <c r="AR225">
        <v>43</v>
      </c>
      <c r="AS225">
        <v>1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1</v>
      </c>
      <c r="AZ225" t="s">
        <v>257</v>
      </c>
      <c r="BA225" t="s">
        <v>980</v>
      </c>
      <c r="BB225" t="s">
        <v>981</v>
      </c>
      <c r="BC225" t="s">
        <v>257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 t="s">
        <v>998</v>
      </c>
      <c r="BK225" t="s">
        <v>981</v>
      </c>
      <c r="BL225" t="s">
        <v>2586</v>
      </c>
      <c r="BM225">
        <v>20150309</v>
      </c>
      <c r="BN225">
        <v>20220201</v>
      </c>
      <c r="BO225">
        <v>0</v>
      </c>
      <c r="BP225" t="s">
        <v>257</v>
      </c>
      <c r="BQ225" t="s">
        <v>983</v>
      </c>
      <c r="BR225" t="s">
        <v>978</v>
      </c>
      <c r="BS225" t="s">
        <v>979</v>
      </c>
      <c r="BT225">
        <v>0</v>
      </c>
      <c r="BU225">
        <v>0</v>
      </c>
      <c r="BV225" t="s">
        <v>984</v>
      </c>
      <c r="BW225" t="s">
        <v>257</v>
      </c>
      <c r="BX225">
        <v>0</v>
      </c>
      <c r="BY225" t="s">
        <v>980</v>
      </c>
      <c r="BZ225" t="s">
        <v>257</v>
      </c>
      <c r="CA225">
        <v>0</v>
      </c>
      <c r="CB225">
        <v>0</v>
      </c>
      <c r="CC225" t="s">
        <v>1033</v>
      </c>
      <c r="CD225">
        <v>0</v>
      </c>
      <c r="CE225">
        <v>0</v>
      </c>
      <c r="CF225">
        <v>0</v>
      </c>
      <c r="CG225">
        <v>0</v>
      </c>
      <c r="CH225">
        <v>0</v>
      </c>
      <c r="CI225" t="s">
        <v>983</v>
      </c>
      <c r="CJ225" t="s">
        <v>972</v>
      </c>
      <c r="CK225" t="s">
        <v>986</v>
      </c>
      <c r="CL225">
        <v>0</v>
      </c>
      <c r="CM225">
        <v>1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 t="s">
        <v>987</v>
      </c>
      <c r="CV225">
        <v>400008226</v>
      </c>
      <c r="CW225" t="s">
        <v>987</v>
      </c>
      <c r="CX225" t="s">
        <v>2591</v>
      </c>
      <c r="CY225" t="s">
        <v>989</v>
      </c>
    </row>
    <row r="226" spans="1:103" hidden="1" x14ac:dyDescent="0.25">
      <c r="A226">
        <v>410000227</v>
      </c>
      <c r="B226" t="s">
        <v>2592</v>
      </c>
      <c r="C226" t="s">
        <v>2593</v>
      </c>
      <c r="D226">
        <v>401100000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1</v>
      </c>
      <c r="Y226" t="s">
        <v>972</v>
      </c>
      <c r="Z226" t="s">
        <v>2594</v>
      </c>
      <c r="AA226" t="s">
        <v>2595</v>
      </c>
      <c r="AB226" t="s">
        <v>975</v>
      </c>
      <c r="AC226">
        <v>4140</v>
      </c>
      <c r="AD226" t="s">
        <v>2353</v>
      </c>
      <c r="AE226" t="s">
        <v>2596</v>
      </c>
      <c r="AF226" t="s">
        <v>979</v>
      </c>
      <c r="AG226" t="s">
        <v>977</v>
      </c>
      <c r="AH226" t="s">
        <v>977</v>
      </c>
      <c r="AI226" t="s">
        <v>977</v>
      </c>
      <c r="AJ226" t="s">
        <v>978</v>
      </c>
      <c r="AK226" t="s">
        <v>978</v>
      </c>
      <c r="AL226" t="s">
        <v>978</v>
      </c>
      <c r="AM226" t="s">
        <v>979</v>
      </c>
      <c r="AN226">
        <v>0</v>
      </c>
      <c r="AO226" t="s">
        <v>257</v>
      </c>
      <c r="AP226">
        <v>0</v>
      </c>
      <c r="AQ226">
        <v>1</v>
      </c>
      <c r="AR226">
        <v>43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1</v>
      </c>
      <c r="AZ226" t="s">
        <v>257</v>
      </c>
      <c r="BA226" t="s">
        <v>980</v>
      </c>
      <c r="BB226" t="s">
        <v>981</v>
      </c>
      <c r="BC226" t="s">
        <v>257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 t="s">
        <v>998</v>
      </c>
      <c r="BK226" t="s">
        <v>981</v>
      </c>
      <c r="BL226" t="s">
        <v>2592</v>
      </c>
      <c r="BM226">
        <v>20150309</v>
      </c>
      <c r="BN226">
        <v>20181119</v>
      </c>
      <c r="BO226">
        <v>0</v>
      </c>
      <c r="BP226" t="s">
        <v>257</v>
      </c>
      <c r="BQ226" t="s">
        <v>983</v>
      </c>
      <c r="BR226" t="s">
        <v>978</v>
      </c>
      <c r="BS226" t="s">
        <v>2597</v>
      </c>
      <c r="BT226">
        <v>0</v>
      </c>
      <c r="BU226">
        <v>0</v>
      </c>
      <c r="BV226" t="s">
        <v>1013</v>
      </c>
      <c r="BW226" t="s">
        <v>257</v>
      </c>
      <c r="BX226">
        <v>0</v>
      </c>
      <c r="BY226" t="s">
        <v>980</v>
      </c>
      <c r="BZ226" t="s">
        <v>257</v>
      </c>
      <c r="CA226">
        <v>0</v>
      </c>
      <c r="CB226">
        <v>0</v>
      </c>
      <c r="CC226" t="s">
        <v>1304</v>
      </c>
      <c r="CD226">
        <v>0</v>
      </c>
      <c r="CE226">
        <v>0</v>
      </c>
      <c r="CF226">
        <v>0</v>
      </c>
      <c r="CG226">
        <v>0</v>
      </c>
      <c r="CH226">
        <v>0</v>
      </c>
      <c r="CI226" t="s">
        <v>983</v>
      </c>
      <c r="CJ226" t="s">
        <v>972</v>
      </c>
      <c r="CK226" t="s">
        <v>986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 t="s">
        <v>987</v>
      </c>
      <c r="CV226">
        <v>400008227</v>
      </c>
      <c r="CW226" t="s">
        <v>987</v>
      </c>
      <c r="CX226" t="s">
        <v>2598</v>
      </c>
      <c r="CY226" t="s">
        <v>989</v>
      </c>
    </row>
    <row r="227" spans="1:103" hidden="1" x14ac:dyDescent="0.25">
      <c r="A227">
        <v>410000228</v>
      </c>
      <c r="B227" t="s">
        <v>2599</v>
      </c>
      <c r="C227" t="s">
        <v>2600</v>
      </c>
      <c r="D227">
        <v>401100000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1</v>
      </c>
      <c r="Y227" t="s">
        <v>972</v>
      </c>
      <c r="Z227" t="s">
        <v>2601</v>
      </c>
      <c r="AA227" t="s">
        <v>2602</v>
      </c>
      <c r="AB227" t="s">
        <v>975</v>
      </c>
      <c r="AC227">
        <v>4890</v>
      </c>
      <c r="AD227" t="s">
        <v>2603</v>
      </c>
      <c r="AE227" t="s">
        <v>2604</v>
      </c>
      <c r="AF227" t="s">
        <v>2605</v>
      </c>
      <c r="AG227" t="s">
        <v>977</v>
      </c>
      <c r="AH227" t="s">
        <v>977</v>
      </c>
      <c r="AI227" t="s">
        <v>977</v>
      </c>
      <c r="AJ227" t="s">
        <v>978</v>
      </c>
      <c r="AK227" t="s">
        <v>978</v>
      </c>
      <c r="AL227" t="s">
        <v>978</v>
      </c>
      <c r="AM227" t="s">
        <v>979</v>
      </c>
      <c r="AN227">
        <v>0</v>
      </c>
      <c r="AO227" t="s">
        <v>257</v>
      </c>
      <c r="AP227">
        <v>0</v>
      </c>
      <c r="AQ227">
        <v>1</v>
      </c>
      <c r="AR227">
        <v>43</v>
      </c>
      <c r="AS227">
        <v>1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1</v>
      </c>
      <c r="AZ227" t="s">
        <v>257</v>
      </c>
      <c r="BA227" t="s">
        <v>980</v>
      </c>
      <c r="BB227" t="s">
        <v>981</v>
      </c>
      <c r="BC227" t="s">
        <v>257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 t="s">
        <v>998</v>
      </c>
      <c r="BK227" t="s">
        <v>981</v>
      </c>
      <c r="BL227" t="s">
        <v>2599</v>
      </c>
      <c r="BM227">
        <v>20150309</v>
      </c>
      <c r="BN227">
        <v>20181119</v>
      </c>
      <c r="BO227">
        <v>0</v>
      </c>
      <c r="BP227" t="s">
        <v>257</v>
      </c>
      <c r="BQ227" t="s">
        <v>983</v>
      </c>
      <c r="BR227" t="s">
        <v>978</v>
      </c>
      <c r="BS227" t="s">
        <v>979</v>
      </c>
      <c r="BT227">
        <v>0</v>
      </c>
      <c r="BU227">
        <v>0</v>
      </c>
      <c r="BV227" t="s">
        <v>1013</v>
      </c>
      <c r="BW227" t="s">
        <v>257</v>
      </c>
      <c r="BX227">
        <v>0</v>
      </c>
      <c r="BY227" t="s">
        <v>980</v>
      </c>
      <c r="BZ227" t="s">
        <v>257</v>
      </c>
      <c r="CA227">
        <v>0</v>
      </c>
      <c r="CB227">
        <v>0</v>
      </c>
      <c r="CC227" t="s">
        <v>1469</v>
      </c>
      <c r="CD227">
        <v>0</v>
      </c>
      <c r="CE227">
        <v>0</v>
      </c>
      <c r="CF227">
        <v>0</v>
      </c>
      <c r="CG227">
        <v>0</v>
      </c>
      <c r="CH227">
        <v>0</v>
      </c>
      <c r="CI227" t="s">
        <v>983</v>
      </c>
      <c r="CJ227" t="s">
        <v>972</v>
      </c>
      <c r="CK227" t="s">
        <v>986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 t="s">
        <v>987</v>
      </c>
      <c r="CV227">
        <v>400008228</v>
      </c>
      <c r="CW227" t="s">
        <v>987</v>
      </c>
      <c r="CX227" t="s">
        <v>2606</v>
      </c>
      <c r="CY227" t="s">
        <v>989</v>
      </c>
    </row>
    <row r="228" spans="1:103" hidden="1" x14ac:dyDescent="0.25">
      <c r="A228">
        <v>410000229</v>
      </c>
      <c r="B228" t="s">
        <v>2607</v>
      </c>
      <c r="C228" t="s">
        <v>2608</v>
      </c>
      <c r="D228">
        <v>401100000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 t="s">
        <v>972</v>
      </c>
      <c r="Z228" t="s">
        <v>987</v>
      </c>
      <c r="AA228" t="s">
        <v>2609</v>
      </c>
      <c r="AB228" t="s">
        <v>975</v>
      </c>
      <c r="AC228">
        <v>4877</v>
      </c>
      <c r="AD228" t="s">
        <v>1322</v>
      </c>
      <c r="AE228" t="s">
        <v>2610</v>
      </c>
      <c r="AF228" t="s">
        <v>979</v>
      </c>
      <c r="AG228" t="s">
        <v>977</v>
      </c>
      <c r="AH228" t="s">
        <v>977</v>
      </c>
      <c r="AI228" t="s">
        <v>977</v>
      </c>
      <c r="AJ228" t="s">
        <v>978</v>
      </c>
      <c r="AK228" t="s">
        <v>978</v>
      </c>
      <c r="AL228" t="s">
        <v>978</v>
      </c>
      <c r="AM228" t="s">
        <v>979</v>
      </c>
      <c r="AN228">
        <v>0</v>
      </c>
      <c r="AO228" t="s">
        <v>257</v>
      </c>
      <c r="AP228">
        <v>0</v>
      </c>
      <c r="AQ228">
        <v>1</v>
      </c>
      <c r="AR228">
        <v>43</v>
      </c>
      <c r="AS228">
        <v>1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1</v>
      </c>
      <c r="AZ228" t="s">
        <v>257</v>
      </c>
      <c r="BA228" t="s">
        <v>980</v>
      </c>
      <c r="BB228" t="s">
        <v>981</v>
      </c>
      <c r="BC228" t="s">
        <v>257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 t="s">
        <v>998</v>
      </c>
      <c r="BK228" t="s">
        <v>981</v>
      </c>
      <c r="BL228" t="s">
        <v>2607</v>
      </c>
      <c r="BM228">
        <v>20150310</v>
      </c>
      <c r="BN228">
        <v>20211013</v>
      </c>
      <c r="BO228">
        <v>0</v>
      </c>
      <c r="BP228" t="s">
        <v>257</v>
      </c>
      <c r="BQ228" t="s">
        <v>983</v>
      </c>
      <c r="BR228" t="s">
        <v>978</v>
      </c>
      <c r="BS228" t="s">
        <v>979</v>
      </c>
      <c r="BT228">
        <v>0</v>
      </c>
      <c r="BU228">
        <v>0</v>
      </c>
      <c r="BV228" t="s">
        <v>2341</v>
      </c>
      <c r="BW228" t="s">
        <v>257</v>
      </c>
      <c r="BX228">
        <v>0</v>
      </c>
      <c r="BY228" t="s">
        <v>980</v>
      </c>
      <c r="BZ228" t="s">
        <v>257</v>
      </c>
      <c r="CA228">
        <v>0</v>
      </c>
      <c r="CB228">
        <v>0</v>
      </c>
      <c r="CC228" t="s">
        <v>2208</v>
      </c>
      <c r="CD228">
        <v>0</v>
      </c>
      <c r="CE228">
        <v>0</v>
      </c>
      <c r="CF228">
        <v>0</v>
      </c>
      <c r="CG228">
        <v>0</v>
      </c>
      <c r="CH228">
        <v>0</v>
      </c>
      <c r="CI228" t="s">
        <v>983</v>
      </c>
      <c r="CJ228" t="s">
        <v>972</v>
      </c>
      <c r="CK228" t="s">
        <v>986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 t="s">
        <v>987</v>
      </c>
      <c r="CV228">
        <v>400008229</v>
      </c>
      <c r="CW228" t="s">
        <v>987</v>
      </c>
      <c r="CX228" t="s">
        <v>1081</v>
      </c>
      <c r="CY228" t="s">
        <v>989</v>
      </c>
    </row>
    <row r="229" spans="1:103" hidden="1" x14ac:dyDescent="0.25">
      <c r="A229">
        <v>410000230</v>
      </c>
      <c r="B229" t="s">
        <v>2611</v>
      </c>
      <c r="C229" t="s">
        <v>2612</v>
      </c>
      <c r="D229">
        <v>401100000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</v>
      </c>
      <c r="W229">
        <v>1</v>
      </c>
      <c r="X229">
        <v>1</v>
      </c>
      <c r="Y229" t="s">
        <v>972</v>
      </c>
      <c r="Z229" t="s">
        <v>987</v>
      </c>
      <c r="AA229" t="s">
        <v>2613</v>
      </c>
      <c r="AB229" t="s">
        <v>975</v>
      </c>
      <c r="AC229">
        <v>4770</v>
      </c>
      <c r="AD229" t="s">
        <v>2614</v>
      </c>
      <c r="AE229" t="s">
        <v>2615</v>
      </c>
      <c r="AF229" t="s">
        <v>979</v>
      </c>
      <c r="AG229" t="s">
        <v>2616</v>
      </c>
      <c r="AH229" t="s">
        <v>977</v>
      </c>
      <c r="AI229" t="s">
        <v>977</v>
      </c>
      <c r="AJ229" t="s">
        <v>978</v>
      </c>
      <c r="AK229" t="s">
        <v>978</v>
      </c>
      <c r="AL229" t="s">
        <v>978</v>
      </c>
      <c r="AM229" t="s">
        <v>979</v>
      </c>
      <c r="AN229">
        <v>0</v>
      </c>
      <c r="AO229" t="s">
        <v>257</v>
      </c>
      <c r="AP229">
        <v>0</v>
      </c>
      <c r="AQ229">
        <v>1</v>
      </c>
      <c r="AR229">
        <v>43</v>
      </c>
      <c r="AS229">
        <v>1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1</v>
      </c>
      <c r="AZ229" t="s">
        <v>257</v>
      </c>
      <c r="BA229" t="s">
        <v>980</v>
      </c>
      <c r="BB229" t="s">
        <v>981</v>
      </c>
      <c r="BC229" t="s">
        <v>257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 t="s">
        <v>998</v>
      </c>
      <c r="BK229" t="s">
        <v>981</v>
      </c>
      <c r="BL229" t="s">
        <v>2611</v>
      </c>
      <c r="BM229">
        <v>20150312</v>
      </c>
      <c r="BN229">
        <v>20181119</v>
      </c>
      <c r="BO229">
        <v>0</v>
      </c>
      <c r="BP229" t="s">
        <v>257</v>
      </c>
      <c r="BQ229" t="s">
        <v>983</v>
      </c>
      <c r="BR229" t="s">
        <v>978</v>
      </c>
      <c r="BS229" t="s">
        <v>979</v>
      </c>
      <c r="BT229">
        <v>0</v>
      </c>
      <c r="BU229">
        <v>0</v>
      </c>
      <c r="BV229" t="s">
        <v>1013</v>
      </c>
      <c r="BW229" t="s">
        <v>257</v>
      </c>
      <c r="BX229">
        <v>0</v>
      </c>
      <c r="BY229" t="s">
        <v>980</v>
      </c>
      <c r="BZ229" t="s">
        <v>257</v>
      </c>
      <c r="CA229">
        <v>0</v>
      </c>
      <c r="CB229">
        <v>0</v>
      </c>
      <c r="CC229" t="s">
        <v>2617</v>
      </c>
      <c r="CD229">
        <v>0</v>
      </c>
      <c r="CE229">
        <v>0</v>
      </c>
      <c r="CF229">
        <v>0</v>
      </c>
      <c r="CG229">
        <v>0</v>
      </c>
      <c r="CH229">
        <v>0</v>
      </c>
      <c r="CI229" t="s">
        <v>983</v>
      </c>
      <c r="CJ229" t="s">
        <v>972</v>
      </c>
      <c r="CK229" t="s">
        <v>986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 t="s">
        <v>987</v>
      </c>
      <c r="CV229">
        <v>400008230</v>
      </c>
      <c r="CW229" t="s">
        <v>987</v>
      </c>
      <c r="CX229" t="s">
        <v>2618</v>
      </c>
      <c r="CY229" t="s">
        <v>989</v>
      </c>
    </row>
    <row r="230" spans="1:103" hidden="1" x14ac:dyDescent="0.25">
      <c r="A230">
        <v>410000231</v>
      </c>
      <c r="B230" t="s">
        <v>2619</v>
      </c>
      <c r="C230" t="s">
        <v>978</v>
      </c>
      <c r="D230">
        <v>401100000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1</v>
      </c>
      <c r="X230">
        <v>1</v>
      </c>
      <c r="Y230" t="s">
        <v>972</v>
      </c>
      <c r="Z230" t="s">
        <v>987</v>
      </c>
      <c r="AA230" t="s">
        <v>2620</v>
      </c>
      <c r="AB230" t="s">
        <v>975</v>
      </c>
      <c r="AC230">
        <v>5100</v>
      </c>
      <c r="AD230" t="s">
        <v>1789</v>
      </c>
      <c r="AE230" t="s">
        <v>2621</v>
      </c>
      <c r="AF230" t="s">
        <v>979</v>
      </c>
      <c r="AG230" t="s">
        <v>2622</v>
      </c>
      <c r="AH230" t="s">
        <v>977</v>
      </c>
      <c r="AI230" t="s">
        <v>977</v>
      </c>
      <c r="AJ230" t="s">
        <v>978</v>
      </c>
      <c r="AK230" t="s">
        <v>978</v>
      </c>
      <c r="AL230" t="s">
        <v>978</v>
      </c>
      <c r="AM230" t="s">
        <v>979</v>
      </c>
      <c r="AN230">
        <v>0</v>
      </c>
      <c r="AO230" t="s">
        <v>257</v>
      </c>
      <c r="AP230">
        <v>0</v>
      </c>
      <c r="AQ230">
        <v>1</v>
      </c>
      <c r="AR230">
        <v>43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1</v>
      </c>
      <c r="AZ230" t="s">
        <v>257</v>
      </c>
      <c r="BA230" t="s">
        <v>980</v>
      </c>
      <c r="BB230" t="s">
        <v>981</v>
      </c>
      <c r="BC230" t="s">
        <v>257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 t="s">
        <v>998</v>
      </c>
      <c r="BK230" t="s">
        <v>981</v>
      </c>
      <c r="BL230" t="s">
        <v>2619</v>
      </c>
      <c r="BM230">
        <v>20150312</v>
      </c>
      <c r="BN230">
        <v>20181119</v>
      </c>
      <c r="BO230">
        <v>0</v>
      </c>
      <c r="BP230" t="s">
        <v>257</v>
      </c>
      <c r="BQ230" t="s">
        <v>983</v>
      </c>
      <c r="BR230" t="s">
        <v>978</v>
      </c>
      <c r="BS230" t="s">
        <v>2623</v>
      </c>
      <c r="BT230">
        <v>0</v>
      </c>
      <c r="BU230">
        <v>0</v>
      </c>
      <c r="BV230" t="s">
        <v>1013</v>
      </c>
      <c r="BW230" t="s">
        <v>257</v>
      </c>
      <c r="BX230">
        <v>0</v>
      </c>
      <c r="BY230" t="s">
        <v>980</v>
      </c>
      <c r="BZ230" t="s">
        <v>257</v>
      </c>
      <c r="CA230">
        <v>0</v>
      </c>
      <c r="CB230">
        <v>0</v>
      </c>
      <c r="CC230" t="s">
        <v>2624</v>
      </c>
      <c r="CD230">
        <v>0</v>
      </c>
      <c r="CE230">
        <v>0</v>
      </c>
      <c r="CF230">
        <v>0</v>
      </c>
      <c r="CG230">
        <v>0</v>
      </c>
      <c r="CH230">
        <v>0</v>
      </c>
      <c r="CI230" t="s">
        <v>983</v>
      </c>
      <c r="CJ230" t="s">
        <v>972</v>
      </c>
      <c r="CK230" t="s">
        <v>986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 t="s">
        <v>987</v>
      </c>
      <c r="CV230">
        <v>400008231</v>
      </c>
      <c r="CW230" t="s">
        <v>987</v>
      </c>
      <c r="CX230" t="s">
        <v>2625</v>
      </c>
      <c r="CY230" t="s">
        <v>989</v>
      </c>
    </row>
    <row r="231" spans="1:103" hidden="1" x14ac:dyDescent="0.25">
      <c r="A231">
        <v>410000232</v>
      </c>
      <c r="B231" t="s">
        <v>2626</v>
      </c>
      <c r="C231" t="s">
        <v>2627</v>
      </c>
      <c r="D231">
        <v>401100000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</v>
      </c>
      <c r="W231">
        <v>1</v>
      </c>
      <c r="X231">
        <v>1</v>
      </c>
      <c r="Y231" t="s">
        <v>972</v>
      </c>
      <c r="Z231" t="s">
        <v>987</v>
      </c>
      <c r="AA231" t="s">
        <v>2628</v>
      </c>
      <c r="AB231" t="s">
        <v>975</v>
      </c>
      <c r="AC231">
        <v>4300</v>
      </c>
      <c r="AD231" t="s">
        <v>1170</v>
      </c>
      <c r="AE231" t="s">
        <v>2629</v>
      </c>
      <c r="AF231" t="s">
        <v>979</v>
      </c>
      <c r="AG231" t="s">
        <v>977</v>
      </c>
      <c r="AH231" t="s">
        <v>977</v>
      </c>
      <c r="AI231" t="s">
        <v>977</v>
      </c>
      <c r="AJ231" t="s">
        <v>978</v>
      </c>
      <c r="AK231" t="s">
        <v>978</v>
      </c>
      <c r="AL231" t="s">
        <v>978</v>
      </c>
      <c r="AM231" t="s">
        <v>979</v>
      </c>
      <c r="AN231">
        <v>0</v>
      </c>
      <c r="AO231" t="s">
        <v>257</v>
      </c>
      <c r="AP231">
        <v>0</v>
      </c>
      <c r="AQ231">
        <v>1</v>
      </c>
      <c r="AR231">
        <v>43</v>
      </c>
      <c r="AS231">
        <v>1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1</v>
      </c>
      <c r="AZ231" t="s">
        <v>257</v>
      </c>
      <c r="BA231" t="s">
        <v>980</v>
      </c>
      <c r="BB231" t="s">
        <v>980</v>
      </c>
      <c r="BC231" t="s">
        <v>257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410000001</v>
      </c>
      <c r="BJ231" t="s">
        <v>1021</v>
      </c>
      <c r="BK231" t="s">
        <v>981</v>
      </c>
      <c r="BL231" t="s">
        <v>2626</v>
      </c>
      <c r="BM231">
        <v>20150316</v>
      </c>
      <c r="BN231">
        <v>20211130</v>
      </c>
      <c r="BO231">
        <v>20150428</v>
      </c>
      <c r="BP231" t="s">
        <v>257</v>
      </c>
      <c r="BQ231" t="s">
        <v>983</v>
      </c>
      <c r="BR231" t="s">
        <v>978</v>
      </c>
      <c r="BS231" t="s">
        <v>979</v>
      </c>
      <c r="BT231">
        <v>0</v>
      </c>
      <c r="BU231">
        <v>0</v>
      </c>
      <c r="BV231" t="s">
        <v>984</v>
      </c>
      <c r="BW231" t="s">
        <v>257</v>
      </c>
      <c r="BX231">
        <v>0</v>
      </c>
      <c r="BY231" t="s">
        <v>980</v>
      </c>
      <c r="BZ231" t="s">
        <v>257</v>
      </c>
      <c r="CA231">
        <v>0</v>
      </c>
      <c r="CB231">
        <v>0</v>
      </c>
      <c r="CC231" t="s">
        <v>1871</v>
      </c>
      <c r="CD231">
        <v>0</v>
      </c>
      <c r="CE231">
        <v>0</v>
      </c>
      <c r="CF231">
        <v>0</v>
      </c>
      <c r="CG231">
        <v>0</v>
      </c>
      <c r="CH231">
        <v>0</v>
      </c>
      <c r="CI231" t="s">
        <v>983</v>
      </c>
      <c r="CJ231" t="s">
        <v>972</v>
      </c>
      <c r="CK231" t="s">
        <v>986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 t="s">
        <v>987</v>
      </c>
      <c r="CV231">
        <v>400008232</v>
      </c>
      <c r="CW231" t="s">
        <v>987</v>
      </c>
      <c r="CX231" t="s">
        <v>1023</v>
      </c>
      <c r="CY231" t="s">
        <v>989</v>
      </c>
    </row>
    <row r="232" spans="1:103" hidden="1" x14ac:dyDescent="0.25">
      <c r="A232">
        <v>410000233</v>
      </c>
      <c r="B232" t="s">
        <v>2630</v>
      </c>
      <c r="C232" t="s">
        <v>2631</v>
      </c>
      <c r="D232">
        <v>401100000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 t="s">
        <v>972</v>
      </c>
      <c r="Z232" t="s">
        <v>987</v>
      </c>
      <c r="AA232" t="s">
        <v>2632</v>
      </c>
      <c r="AB232" t="s">
        <v>975</v>
      </c>
      <c r="AC232">
        <v>4000</v>
      </c>
      <c r="AD232" t="s">
        <v>1019</v>
      </c>
      <c r="AE232" t="s">
        <v>2633</v>
      </c>
      <c r="AF232" t="s">
        <v>2634</v>
      </c>
      <c r="AG232" t="s">
        <v>977</v>
      </c>
      <c r="AH232" t="s">
        <v>977</v>
      </c>
      <c r="AI232" t="s">
        <v>977</v>
      </c>
      <c r="AJ232" t="s">
        <v>978</v>
      </c>
      <c r="AK232" t="s">
        <v>978</v>
      </c>
      <c r="AL232" t="s">
        <v>978</v>
      </c>
      <c r="AM232" t="s">
        <v>979</v>
      </c>
      <c r="AN232">
        <v>0</v>
      </c>
      <c r="AO232" t="s">
        <v>257</v>
      </c>
      <c r="AP232">
        <v>0</v>
      </c>
      <c r="AQ232">
        <v>1</v>
      </c>
      <c r="AR232">
        <v>43</v>
      </c>
      <c r="AS232">
        <v>1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1</v>
      </c>
      <c r="AZ232" t="s">
        <v>257</v>
      </c>
      <c r="BA232" t="s">
        <v>980</v>
      </c>
      <c r="BB232" t="s">
        <v>981</v>
      </c>
      <c r="BC232" t="s">
        <v>257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 t="s">
        <v>998</v>
      </c>
      <c r="BK232" t="s">
        <v>981</v>
      </c>
      <c r="BL232" t="s">
        <v>2630</v>
      </c>
      <c r="BM232">
        <v>20150316</v>
      </c>
      <c r="BN232">
        <v>20181119</v>
      </c>
      <c r="BO232">
        <v>0</v>
      </c>
      <c r="BP232" t="s">
        <v>257</v>
      </c>
      <c r="BQ232" t="s">
        <v>983</v>
      </c>
      <c r="BR232" t="s">
        <v>978</v>
      </c>
      <c r="BS232" t="s">
        <v>979</v>
      </c>
      <c r="BT232">
        <v>0</v>
      </c>
      <c r="BU232">
        <v>0</v>
      </c>
      <c r="BV232" t="s">
        <v>1013</v>
      </c>
      <c r="BW232" t="s">
        <v>257</v>
      </c>
      <c r="BX232">
        <v>0</v>
      </c>
      <c r="BY232" t="s">
        <v>980</v>
      </c>
      <c r="BZ232" t="s">
        <v>257</v>
      </c>
      <c r="CA232">
        <v>0</v>
      </c>
      <c r="CB232">
        <v>0</v>
      </c>
      <c r="CC232" t="s">
        <v>2208</v>
      </c>
      <c r="CD232">
        <v>0</v>
      </c>
      <c r="CE232">
        <v>0</v>
      </c>
      <c r="CF232">
        <v>0</v>
      </c>
      <c r="CG232">
        <v>0</v>
      </c>
      <c r="CH232">
        <v>0</v>
      </c>
      <c r="CI232" t="s">
        <v>983</v>
      </c>
      <c r="CJ232" t="s">
        <v>972</v>
      </c>
      <c r="CK232" t="s">
        <v>986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 t="s">
        <v>987</v>
      </c>
      <c r="CV232">
        <v>400008233</v>
      </c>
      <c r="CW232" t="s">
        <v>987</v>
      </c>
      <c r="CX232" t="s">
        <v>2635</v>
      </c>
      <c r="CY232" t="s">
        <v>989</v>
      </c>
    </row>
    <row r="233" spans="1:103" hidden="1" x14ac:dyDescent="0.25">
      <c r="A233">
        <v>410000234</v>
      </c>
      <c r="B233" t="s">
        <v>2636</v>
      </c>
      <c r="C233" t="s">
        <v>978</v>
      </c>
      <c r="D233">
        <v>401100000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1</v>
      </c>
      <c r="X233">
        <v>1</v>
      </c>
      <c r="Y233" t="s">
        <v>972</v>
      </c>
      <c r="Z233" t="s">
        <v>987</v>
      </c>
      <c r="AA233" t="s">
        <v>2637</v>
      </c>
      <c r="AB233" t="s">
        <v>975</v>
      </c>
      <c r="AC233">
        <v>4801</v>
      </c>
      <c r="AD233" t="s">
        <v>1124</v>
      </c>
      <c r="AE233" t="s">
        <v>2638</v>
      </c>
      <c r="AF233" t="s">
        <v>979</v>
      </c>
      <c r="AG233" t="s">
        <v>977</v>
      </c>
      <c r="AH233" t="s">
        <v>977</v>
      </c>
      <c r="AI233" t="s">
        <v>977</v>
      </c>
      <c r="AJ233" t="s">
        <v>978</v>
      </c>
      <c r="AK233" t="s">
        <v>978</v>
      </c>
      <c r="AL233" t="s">
        <v>978</v>
      </c>
      <c r="AM233" t="s">
        <v>979</v>
      </c>
      <c r="AN233">
        <v>0</v>
      </c>
      <c r="AO233" t="s">
        <v>257</v>
      </c>
      <c r="AP233">
        <v>0</v>
      </c>
      <c r="AQ233">
        <v>1</v>
      </c>
      <c r="AR233">
        <v>43</v>
      </c>
      <c r="AS233">
        <v>1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1</v>
      </c>
      <c r="AZ233" t="s">
        <v>257</v>
      </c>
      <c r="BA233" t="s">
        <v>980</v>
      </c>
      <c r="BB233" t="s">
        <v>981</v>
      </c>
      <c r="BC233" t="s">
        <v>257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 t="s">
        <v>998</v>
      </c>
      <c r="BK233" t="s">
        <v>981</v>
      </c>
      <c r="BL233" t="s">
        <v>2636</v>
      </c>
      <c r="BM233">
        <v>20150317</v>
      </c>
      <c r="BN233">
        <v>20181119</v>
      </c>
      <c r="BO233">
        <v>0</v>
      </c>
      <c r="BP233" t="s">
        <v>257</v>
      </c>
      <c r="BQ233" t="s">
        <v>983</v>
      </c>
      <c r="BR233" t="s">
        <v>978</v>
      </c>
      <c r="BS233" t="s">
        <v>979</v>
      </c>
      <c r="BT233">
        <v>0</v>
      </c>
      <c r="BU233">
        <v>0</v>
      </c>
      <c r="BV233" t="s">
        <v>1013</v>
      </c>
      <c r="BW233" t="s">
        <v>257</v>
      </c>
      <c r="BX233">
        <v>0</v>
      </c>
      <c r="BY233" t="s">
        <v>980</v>
      </c>
      <c r="BZ233" t="s">
        <v>257</v>
      </c>
      <c r="CA233">
        <v>0</v>
      </c>
      <c r="CB233">
        <v>0</v>
      </c>
      <c r="CC233" t="s">
        <v>2144</v>
      </c>
      <c r="CD233">
        <v>0</v>
      </c>
      <c r="CE233">
        <v>0</v>
      </c>
      <c r="CF233">
        <v>0</v>
      </c>
      <c r="CG233">
        <v>0</v>
      </c>
      <c r="CH233">
        <v>0</v>
      </c>
      <c r="CI233" t="s">
        <v>983</v>
      </c>
      <c r="CJ233" t="s">
        <v>972</v>
      </c>
      <c r="CK233" t="s">
        <v>986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 t="s">
        <v>987</v>
      </c>
      <c r="CV233">
        <v>400008234</v>
      </c>
      <c r="CW233" t="s">
        <v>987</v>
      </c>
      <c r="CX233" t="s">
        <v>2639</v>
      </c>
      <c r="CY233" t="s">
        <v>989</v>
      </c>
    </row>
    <row r="234" spans="1:103" hidden="1" x14ac:dyDescent="0.25">
      <c r="A234">
        <v>410000235</v>
      </c>
      <c r="B234" t="s">
        <v>2640</v>
      </c>
      <c r="C234" t="s">
        <v>2641</v>
      </c>
      <c r="D234">
        <v>401100000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 t="s">
        <v>972</v>
      </c>
      <c r="Z234" t="s">
        <v>987</v>
      </c>
      <c r="AA234" t="s">
        <v>2642</v>
      </c>
      <c r="AB234" t="s">
        <v>975</v>
      </c>
      <c r="AC234">
        <v>4821</v>
      </c>
      <c r="AD234" t="s">
        <v>2643</v>
      </c>
      <c r="AE234" t="s">
        <v>2644</v>
      </c>
      <c r="AF234" t="s">
        <v>2645</v>
      </c>
      <c r="AG234" t="s">
        <v>977</v>
      </c>
      <c r="AH234" t="s">
        <v>977</v>
      </c>
      <c r="AI234" t="s">
        <v>977</v>
      </c>
      <c r="AJ234" t="s">
        <v>978</v>
      </c>
      <c r="AK234" t="s">
        <v>978</v>
      </c>
      <c r="AL234" t="s">
        <v>978</v>
      </c>
      <c r="AM234" t="s">
        <v>979</v>
      </c>
      <c r="AN234">
        <v>0</v>
      </c>
      <c r="AO234" t="s">
        <v>257</v>
      </c>
      <c r="AP234">
        <v>0</v>
      </c>
      <c r="AQ234">
        <v>1</v>
      </c>
      <c r="AR234">
        <v>43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1</v>
      </c>
      <c r="AZ234" t="s">
        <v>257</v>
      </c>
      <c r="BA234" t="s">
        <v>980</v>
      </c>
      <c r="BB234" t="s">
        <v>981</v>
      </c>
      <c r="BC234" t="s">
        <v>257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 t="s">
        <v>998</v>
      </c>
      <c r="BK234" t="s">
        <v>981</v>
      </c>
      <c r="BL234" t="s">
        <v>2640</v>
      </c>
      <c r="BM234">
        <v>20150317</v>
      </c>
      <c r="BN234">
        <v>20181119</v>
      </c>
      <c r="BO234">
        <v>0</v>
      </c>
      <c r="BP234" t="s">
        <v>257</v>
      </c>
      <c r="BQ234" t="s">
        <v>983</v>
      </c>
      <c r="BR234" t="s">
        <v>978</v>
      </c>
      <c r="BS234" t="s">
        <v>979</v>
      </c>
      <c r="BT234">
        <v>0</v>
      </c>
      <c r="BU234">
        <v>0</v>
      </c>
      <c r="BV234" t="s">
        <v>1013</v>
      </c>
      <c r="BW234" t="s">
        <v>257</v>
      </c>
      <c r="BX234">
        <v>0</v>
      </c>
      <c r="BY234" t="s">
        <v>980</v>
      </c>
      <c r="BZ234" t="s">
        <v>257</v>
      </c>
      <c r="CA234">
        <v>0</v>
      </c>
      <c r="CB234">
        <v>0</v>
      </c>
      <c r="CC234" t="s">
        <v>1128</v>
      </c>
      <c r="CD234">
        <v>0</v>
      </c>
      <c r="CE234">
        <v>0</v>
      </c>
      <c r="CF234">
        <v>0</v>
      </c>
      <c r="CG234">
        <v>0</v>
      </c>
      <c r="CH234">
        <v>0</v>
      </c>
      <c r="CI234" t="s">
        <v>983</v>
      </c>
      <c r="CJ234" t="s">
        <v>972</v>
      </c>
      <c r="CK234" t="s">
        <v>986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 t="s">
        <v>987</v>
      </c>
      <c r="CV234">
        <v>400008235</v>
      </c>
      <c r="CW234" t="s">
        <v>987</v>
      </c>
      <c r="CX234" t="s">
        <v>2646</v>
      </c>
      <c r="CY234" t="s">
        <v>989</v>
      </c>
    </row>
    <row r="235" spans="1:103" hidden="1" x14ac:dyDescent="0.25">
      <c r="A235">
        <v>410000236</v>
      </c>
      <c r="B235" t="s">
        <v>901</v>
      </c>
      <c r="C235" t="s">
        <v>2512</v>
      </c>
      <c r="D235">
        <v>401100000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1</v>
      </c>
      <c r="Y235" t="s">
        <v>972</v>
      </c>
      <c r="Z235" t="s">
        <v>987</v>
      </c>
      <c r="AA235" t="s">
        <v>2647</v>
      </c>
      <c r="AB235" t="s">
        <v>975</v>
      </c>
      <c r="AC235">
        <v>4130</v>
      </c>
      <c r="AD235" t="s">
        <v>2454</v>
      </c>
      <c r="AE235" t="s">
        <v>2515</v>
      </c>
      <c r="AF235" t="s">
        <v>979</v>
      </c>
      <c r="AG235" t="s">
        <v>2516</v>
      </c>
      <c r="AH235" t="s">
        <v>977</v>
      </c>
      <c r="AI235" t="s">
        <v>977</v>
      </c>
      <c r="AJ235" t="s">
        <v>978</v>
      </c>
      <c r="AK235" t="s">
        <v>978</v>
      </c>
      <c r="AL235" t="s">
        <v>978</v>
      </c>
      <c r="AM235" t="s">
        <v>979</v>
      </c>
      <c r="AN235">
        <v>0</v>
      </c>
      <c r="AO235" t="s">
        <v>257</v>
      </c>
      <c r="AP235">
        <v>0</v>
      </c>
      <c r="AQ235">
        <v>1</v>
      </c>
      <c r="AR235">
        <v>69</v>
      </c>
      <c r="AS235">
        <v>1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1</v>
      </c>
      <c r="AZ235" t="s">
        <v>257</v>
      </c>
      <c r="BA235" t="s">
        <v>980</v>
      </c>
      <c r="BB235" t="s">
        <v>981</v>
      </c>
      <c r="BC235" t="s">
        <v>257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410000216</v>
      </c>
      <c r="BJ235" t="s">
        <v>998</v>
      </c>
      <c r="BK235" t="s">
        <v>981</v>
      </c>
      <c r="BL235" t="s">
        <v>2511</v>
      </c>
      <c r="BM235">
        <v>20150324</v>
      </c>
      <c r="BN235">
        <v>20240910</v>
      </c>
      <c r="BO235">
        <v>0</v>
      </c>
      <c r="BP235" t="s">
        <v>257</v>
      </c>
      <c r="BQ235" t="s">
        <v>983</v>
      </c>
      <c r="BR235" t="s">
        <v>978</v>
      </c>
      <c r="BS235" t="s">
        <v>979</v>
      </c>
      <c r="BT235">
        <v>0</v>
      </c>
      <c r="BU235">
        <v>0</v>
      </c>
      <c r="BV235" t="s">
        <v>1013</v>
      </c>
      <c r="BW235" t="s">
        <v>257</v>
      </c>
      <c r="BX235">
        <v>0</v>
      </c>
      <c r="BY235" t="s">
        <v>980</v>
      </c>
      <c r="BZ235" t="s">
        <v>257</v>
      </c>
      <c r="CA235">
        <v>0</v>
      </c>
      <c r="CB235">
        <v>0</v>
      </c>
      <c r="CC235" t="s">
        <v>1916</v>
      </c>
      <c r="CD235">
        <v>0</v>
      </c>
      <c r="CE235">
        <v>0</v>
      </c>
      <c r="CF235">
        <v>0</v>
      </c>
      <c r="CG235">
        <v>0</v>
      </c>
      <c r="CH235">
        <v>0</v>
      </c>
      <c r="CI235" t="s">
        <v>983</v>
      </c>
      <c r="CJ235" t="s">
        <v>972</v>
      </c>
      <c r="CK235" t="s">
        <v>986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 t="s">
        <v>987</v>
      </c>
      <c r="CV235">
        <v>400008236</v>
      </c>
      <c r="CW235" t="s">
        <v>987</v>
      </c>
      <c r="CX235" t="s">
        <v>2517</v>
      </c>
      <c r="CY235" t="s">
        <v>989</v>
      </c>
    </row>
    <row r="236" spans="1:103" hidden="1" x14ac:dyDescent="0.25">
      <c r="A236">
        <v>410000237</v>
      </c>
      <c r="B236" t="s">
        <v>2648</v>
      </c>
      <c r="C236" t="s">
        <v>2536</v>
      </c>
      <c r="D236">
        <v>401100000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 t="s">
        <v>972</v>
      </c>
      <c r="Z236" t="s">
        <v>987</v>
      </c>
      <c r="AA236" t="s">
        <v>2649</v>
      </c>
      <c r="AB236" t="s">
        <v>975</v>
      </c>
      <c r="AC236">
        <v>1331</v>
      </c>
      <c r="AD236" t="s">
        <v>2650</v>
      </c>
      <c r="AE236" t="s">
        <v>2538</v>
      </c>
      <c r="AF236" t="s">
        <v>979</v>
      </c>
      <c r="AG236" t="s">
        <v>977</v>
      </c>
      <c r="AH236" t="s">
        <v>977</v>
      </c>
      <c r="AI236" t="s">
        <v>977</v>
      </c>
      <c r="AJ236" t="s">
        <v>978</v>
      </c>
      <c r="AK236" t="s">
        <v>978</v>
      </c>
      <c r="AL236" t="s">
        <v>978</v>
      </c>
      <c r="AM236" t="s">
        <v>979</v>
      </c>
      <c r="AN236">
        <v>0</v>
      </c>
      <c r="AO236" t="s">
        <v>257</v>
      </c>
      <c r="AP236">
        <v>0</v>
      </c>
      <c r="AQ236">
        <v>1</v>
      </c>
      <c r="AR236">
        <v>43</v>
      </c>
      <c r="AS236">
        <v>1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1</v>
      </c>
      <c r="AZ236" t="s">
        <v>257</v>
      </c>
      <c r="BA236" t="s">
        <v>980</v>
      </c>
      <c r="BB236" t="s">
        <v>981</v>
      </c>
      <c r="BC236" t="s">
        <v>257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 t="s">
        <v>998</v>
      </c>
      <c r="BK236" t="s">
        <v>981</v>
      </c>
      <c r="BL236" t="s">
        <v>2648</v>
      </c>
      <c r="BM236">
        <v>20150324</v>
      </c>
      <c r="BN236">
        <v>20181119</v>
      </c>
      <c r="BO236">
        <v>0</v>
      </c>
      <c r="BP236" t="s">
        <v>257</v>
      </c>
      <c r="BQ236" t="s">
        <v>983</v>
      </c>
      <c r="BR236" t="s">
        <v>978</v>
      </c>
      <c r="BS236" t="s">
        <v>979</v>
      </c>
      <c r="BT236">
        <v>0</v>
      </c>
      <c r="BU236">
        <v>0</v>
      </c>
      <c r="BV236" t="s">
        <v>1013</v>
      </c>
      <c r="BW236" t="s">
        <v>257</v>
      </c>
      <c r="BX236">
        <v>0</v>
      </c>
      <c r="BY236" t="s">
        <v>980</v>
      </c>
      <c r="BZ236" t="s">
        <v>257</v>
      </c>
      <c r="CA236">
        <v>0</v>
      </c>
      <c r="CB236">
        <v>0</v>
      </c>
      <c r="CC236" t="s">
        <v>1491</v>
      </c>
      <c r="CD236">
        <v>0</v>
      </c>
      <c r="CE236">
        <v>0</v>
      </c>
      <c r="CF236">
        <v>0</v>
      </c>
      <c r="CG236">
        <v>0</v>
      </c>
      <c r="CH236">
        <v>0</v>
      </c>
      <c r="CI236" t="s">
        <v>983</v>
      </c>
      <c r="CJ236" t="s">
        <v>972</v>
      </c>
      <c r="CK236" t="s">
        <v>986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 t="s">
        <v>987</v>
      </c>
      <c r="CV236">
        <v>400008237</v>
      </c>
      <c r="CW236" t="s">
        <v>987</v>
      </c>
      <c r="CX236" t="s">
        <v>2540</v>
      </c>
      <c r="CY236" t="s">
        <v>989</v>
      </c>
    </row>
    <row r="237" spans="1:103" hidden="1" x14ac:dyDescent="0.25">
      <c r="A237">
        <v>410000238</v>
      </c>
      <c r="B237" t="s">
        <v>2651</v>
      </c>
      <c r="C237" t="s">
        <v>2652</v>
      </c>
      <c r="D237">
        <v>401100000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1</v>
      </c>
      <c r="Y237" t="s">
        <v>972</v>
      </c>
      <c r="Z237" t="s">
        <v>2653</v>
      </c>
      <c r="AA237" t="s">
        <v>2654</v>
      </c>
      <c r="AB237" t="s">
        <v>975</v>
      </c>
      <c r="AC237">
        <v>4800</v>
      </c>
      <c r="AD237" t="s">
        <v>1124</v>
      </c>
      <c r="AE237" t="s">
        <v>2655</v>
      </c>
      <c r="AF237" t="s">
        <v>2656</v>
      </c>
      <c r="AG237" t="s">
        <v>977</v>
      </c>
      <c r="AH237" t="s">
        <v>977</v>
      </c>
      <c r="AI237" t="s">
        <v>977</v>
      </c>
      <c r="AJ237" t="s">
        <v>978</v>
      </c>
      <c r="AK237" t="s">
        <v>978</v>
      </c>
      <c r="AL237" t="s">
        <v>978</v>
      </c>
      <c r="AM237" t="s">
        <v>979</v>
      </c>
      <c r="AN237">
        <v>0</v>
      </c>
      <c r="AO237" t="s">
        <v>257</v>
      </c>
      <c r="AP237">
        <v>0</v>
      </c>
      <c r="AQ237">
        <v>1</v>
      </c>
      <c r="AR237">
        <v>43</v>
      </c>
      <c r="AS237">
        <v>1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1</v>
      </c>
      <c r="AZ237" t="s">
        <v>257</v>
      </c>
      <c r="BA237" t="s">
        <v>980</v>
      </c>
      <c r="BB237" t="s">
        <v>981</v>
      </c>
      <c r="BC237" t="s">
        <v>257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 t="s">
        <v>998</v>
      </c>
      <c r="BK237" t="s">
        <v>981</v>
      </c>
      <c r="BL237" t="s">
        <v>2651</v>
      </c>
      <c r="BM237">
        <v>20150330</v>
      </c>
      <c r="BN237">
        <v>20181119</v>
      </c>
      <c r="BO237">
        <v>0</v>
      </c>
      <c r="BP237" t="s">
        <v>257</v>
      </c>
      <c r="BQ237" t="s">
        <v>983</v>
      </c>
      <c r="BR237" t="s">
        <v>978</v>
      </c>
      <c r="BS237" t="s">
        <v>979</v>
      </c>
      <c r="BT237">
        <v>0</v>
      </c>
      <c r="BU237">
        <v>0</v>
      </c>
      <c r="BV237" t="s">
        <v>1013</v>
      </c>
      <c r="BW237" t="s">
        <v>257</v>
      </c>
      <c r="BX237">
        <v>0</v>
      </c>
      <c r="BY237" t="s">
        <v>980</v>
      </c>
      <c r="BZ237" t="s">
        <v>257</v>
      </c>
      <c r="CA237">
        <v>0</v>
      </c>
      <c r="CB237">
        <v>0</v>
      </c>
      <c r="CC237" t="s">
        <v>1161</v>
      </c>
      <c r="CD237">
        <v>0</v>
      </c>
      <c r="CE237">
        <v>0</v>
      </c>
      <c r="CF237">
        <v>0</v>
      </c>
      <c r="CG237">
        <v>0</v>
      </c>
      <c r="CH237">
        <v>0</v>
      </c>
      <c r="CI237" t="s">
        <v>983</v>
      </c>
      <c r="CJ237" t="s">
        <v>972</v>
      </c>
      <c r="CK237" t="s">
        <v>986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 t="s">
        <v>987</v>
      </c>
      <c r="CV237">
        <v>400008238</v>
      </c>
      <c r="CW237" t="s">
        <v>987</v>
      </c>
      <c r="CX237" t="s">
        <v>2657</v>
      </c>
      <c r="CY237" t="s">
        <v>989</v>
      </c>
    </row>
    <row r="238" spans="1:103" hidden="1" x14ac:dyDescent="0.25">
      <c r="A238">
        <v>410000239</v>
      </c>
      <c r="B238" t="s">
        <v>2658</v>
      </c>
      <c r="C238" t="s">
        <v>2659</v>
      </c>
      <c r="D238">
        <v>401100000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</v>
      </c>
      <c r="Y238" t="s">
        <v>972</v>
      </c>
      <c r="Z238" t="s">
        <v>987</v>
      </c>
      <c r="AA238" t="s">
        <v>2660</v>
      </c>
      <c r="AB238" t="s">
        <v>975</v>
      </c>
      <c r="AC238">
        <v>4651</v>
      </c>
      <c r="AD238" t="s">
        <v>1204</v>
      </c>
      <c r="AE238" t="s">
        <v>2661</v>
      </c>
      <c r="AF238" t="s">
        <v>979</v>
      </c>
      <c r="AG238" t="s">
        <v>977</v>
      </c>
      <c r="AH238" t="s">
        <v>977</v>
      </c>
      <c r="AI238" t="s">
        <v>977</v>
      </c>
      <c r="AJ238" t="s">
        <v>978</v>
      </c>
      <c r="AK238" t="s">
        <v>978</v>
      </c>
      <c r="AL238" t="s">
        <v>978</v>
      </c>
      <c r="AM238" t="s">
        <v>979</v>
      </c>
      <c r="AN238">
        <v>0</v>
      </c>
      <c r="AO238" t="s">
        <v>257</v>
      </c>
      <c r="AP238">
        <v>0</v>
      </c>
      <c r="AQ238">
        <v>1</v>
      </c>
      <c r="AR238">
        <v>43</v>
      </c>
      <c r="AS238">
        <v>1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1</v>
      </c>
      <c r="AZ238" t="s">
        <v>257</v>
      </c>
      <c r="BA238" t="s">
        <v>980</v>
      </c>
      <c r="BB238" t="s">
        <v>981</v>
      </c>
      <c r="BC238" t="s">
        <v>257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 t="s">
        <v>998</v>
      </c>
      <c r="BK238" t="s">
        <v>981</v>
      </c>
      <c r="BL238" t="s">
        <v>2658</v>
      </c>
      <c r="BM238">
        <v>20150330</v>
      </c>
      <c r="BN238">
        <v>20181119</v>
      </c>
      <c r="BO238">
        <v>0</v>
      </c>
      <c r="BP238" t="s">
        <v>257</v>
      </c>
      <c r="BQ238" t="s">
        <v>983</v>
      </c>
      <c r="BR238" t="s">
        <v>978</v>
      </c>
      <c r="BS238" t="s">
        <v>2662</v>
      </c>
      <c r="BT238">
        <v>0</v>
      </c>
      <c r="BU238">
        <v>0</v>
      </c>
      <c r="BV238" t="s">
        <v>1013</v>
      </c>
      <c r="BW238" t="s">
        <v>257</v>
      </c>
      <c r="BX238">
        <v>0</v>
      </c>
      <c r="BY238" t="s">
        <v>980</v>
      </c>
      <c r="BZ238" t="s">
        <v>257</v>
      </c>
      <c r="CA238">
        <v>0</v>
      </c>
      <c r="CB238">
        <v>0</v>
      </c>
      <c r="CC238" t="s">
        <v>1113</v>
      </c>
      <c r="CD238">
        <v>0</v>
      </c>
      <c r="CE238">
        <v>0</v>
      </c>
      <c r="CF238">
        <v>0</v>
      </c>
      <c r="CG238">
        <v>0</v>
      </c>
      <c r="CH238">
        <v>0</v>
      </c>
      <c r="CI238" t="s">
        <v>983</v>
      </c>
      <c r="CJ238" t="s">
        <v>972</v>
      </c>
      <c r="CK238" t="s">
        <v>986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 t="s">
        <v>987</v>
      </c>
      <c r="CV238">
        <v>400008239</v>
      </c>
      <c r="CW238" t="s">
        <v>987</v>
      </c>
      <c r="CX238" t="s">
        <v>2663</v>
      </c>
      <c r="CY238" t="s">
        <v>989</v>
      </c>
    </row>
    <row r="239" spans="1:103" hidden="1" x14ac:dyDescent="0.25">
      <c r="A239">
        <v>410000240</v>
      </c>
      <c r="B239" t="s">
        <v>2664</v>
      </c>
      <c r="C239" t="s">
        <v>2665</v>
      </c>
      <c r="D239">
        <v>401100000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1</v>
      </c>
      <c r="Y239" t="s">
        <v>972</v>
      </c>
      <c r="Z239" t="s">
        <v>2666</v>
      </c>
      <c r="AA239" t="s">
        <v>2667</v>
      </c>
      <c r="AB239" t="s">
        <v>975</v>
      </c>
      <c r="AC239">
        <v>4821</v>
      </c>
      <c r="AD239" t="s">
        <v>2643</v>
      </c>
      <c r="AE239" t="s">
        <v>2668</v>
      </c>
      <c r="AF239" t="s">
        <v>979</v>
      </c>
      <c r="AG239" t="s">
        <v>977</v>
      </c>
      <c r="AH239" t="s">
        <v>977</v>
      </c>
      <c r="AI239" t="s">
        <v>977</v>
      </c>
      <c r="AJ239" t="s">
        <v>978</v>
      </c>
      <c r="AK239" t="s">
        <v>978</v>
      </c>
      <c r="AL239" t="s">
        <v>978</v>
      </c>
      <c r="AM239" t="s">
        <v>979</v>
      </c>
      <c r="AN239">
        <v>0</v>
      </c>
      <c r="AO239" t="s">
        <v>257</v>
      </c>
      <c r="AP239">
        <v>0</v>
      </c>
      <c r="AQ239">
        <v>1</v>
      </c>
      <c r="AR239">
        <v>43</v>
      </c>
      <c r="AS239">
        <v>1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1</v>
      </c>
      <c r="AZ239" t="s">
        <v>257</v>
      </c>
      <c r="BA239" t="s">
        <v>980</v>
      </c>
      <c r="BB239" t="s">
        <v>981</v>
      </c>
      <c r="BC239" t="s">
        <v>257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 t="s">
        <v>998</v>
      </c>
      <c r="BK239" t="s">
        <v>981</v>
      </c>
      <c r="BL239" t="s">
        <v>2664</v>
      </c>
      <c r="BM239">
        <v>20150409</v>
      </c>
      <c r="BN239">
        <v>20211021</v>
      </c>
      <c r="BO239">
        <v>0</v>
      </c>
      <c r="BP239" t="s">
        <v>257</v>
      </c>
      <c r="BQ239" t="s">
        <v>983</v>
      </c>
      <c r="BR239" t="s">
        <v>978</v>
      </c>
      <c r="BS239" t="s">
        <v>2669</v>
      </c>
      <c r="BT239">
        <v>0</v>
      </c>
      <c r="BU239">
        <v>0</v>
      </c>
      <c r="BV239" t="s">
        <v>1013</v>
      </c>
      <c r="BW239" t="s">
        <v>257</v>
      </c>
      <c r="BX239">
        <v>0</v>
      </c>
      <c r="BY239" t="s">
        <v>980</v>
      </c>
      <c r="BZ239" t="s">
        <v>257</v>
      </c>
      <c r="CA239">
        <v>0</v>
      </c>
      <c r="CB239">
        <v>0</v>
      </c>
      <c r="CC239" t="s">
        <v>2293</v>
      </c>
      <c r="CD239">
        <v>0</v>
      </c>
      <c r="CE239">
        <v>0</v>
      </c>
      <c r="CF239">
        <v>0</v>
      </c>
      <c r="CG239">
        <v>0</v>
      </c>
      <c r="CH239">
        <v>0</v>
      </c>
      <c r="CI239" t="s">
        <v>983</v>
      </c>
      <c r="CJ239" t="s">
        <v>972</v>
      </c>
      <c r="CK239" t="s">
        <v>986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 t="s">
        <v>987</v>
      </c>
      <c r="CV239">
        <v>400008240</v>
      </c>
      <c r="CW239" t="s">
        <v>987</v>
      </c>
      <c r="CX239" t="s">
        <v>1081</v>
      </c>
      <c r="CY239" t="s">
        <v>989</v>
      </c>
    </row>
    <row r="240" spans="1:103" hidden="1" x14ac:dyDescent="0.25">
      <c r="A240">
        <v>410000241</v>
      </c>
      <c r="B240" t="s">
        <v>2670</v>
      </c>
      <c r="C240" t="s">
        <v>2671</v>
      </c>
      <c r="D240">
        <v>401100000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1</v>
      </c>
      <c r="Y240" t="s">
        <v>972</v>
      </c>
      <c r="Z240" t="s">
        <v>987</v>
      </c>
      <c r="AA240" t="s">
        <v>2672</v>
      </c>
      <c r="AB240" t="s">
        <v>975</v>
      </c>
      <c r="AC240">
        <v>1070</v>
      </c>
      <c r="AD240" t="s">
        <v>2673</v>
      </c>
      <c r="AE240" t="s">
        <v>2674</v>
      </c>
      <c r="AF240" t="s">
        <v>2675</v>
      </c>
      <c r="AG240" t="s">
        <v>977</v>
      </c>
      <c r="AH240" t="s">
        <v>977</v>
      </c>
      <c r="AI240" t="s">
        <v>977</v>
      </c>
      <c r="AJ240" t="s">
        <v>2676</v>
      </c>
      <c r="AK240" t="s">
        <v>978</v>
      </c>
      <c r="AL240" t="s">
        <v>978</v>
      </c>
      <c r="AM240" t="s">
        <v>979</v>
      </c>
      <c r="AN240">
        <v>0</v>
      </c>
      <c r="AO240" t="s">
        <v>257</v>
      </c>
      <c r="AP240">
        <v>0</v>
      </c>
      <c r="AQ240">
        <v>1</v>
      </c>
      <c r="AR240">
        <v>43</v>
      </c>
      <c r="AS240">
        <v>1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1</v>
      </c>
      <c r="AZ240" t="s">
        <v>257</v>
      </c>
      <c r="BA240" t="s">
        <v>980</v>
      </c>
      <c r="BB240" t="s">
        <v>981</v>
      </c>
      <c r="BC240" t="s">
        <v>257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 t="s">
        <v>998</v>
      </c>
      <c r="BK240" t="s">
        <v>981</v>
      </c>
      <c r="BL240" t="s">
        <v>2670</v>
      </c>
      <c r="BM240">
        <v>20150409</v>
      </c>
      <c r="BN240">
        <v>20210111</v>
      </c>
      <c r="BO240">
        <v>0</v>
      </c>
      <c r="BP240" t="s">
        <v>257</v>
      </c>
      <c r="BQ240" t="s">
        <v>983</v>
      </c>
      <c r="BR240" t="s">
        <v>978</v>
      </c>
      <c r="BS240" t="s">
        <v>979</v>
      </c>
      <c r="BT240">
        <v>0</v>
      </c>
      <c r="BU240">
        <v>0</v>
      </c>
      <c r="BV240" t="s">
        <v>984</v>
      </c>
      <c r="BW240" t="s">
        <v>257</v>
      </c>
      <c r="BX240">
        <v>0</v>
      </c>
      <c r="BY240" t="s">
        <v>980</v>
      </c>
      <c r="BZ240" t="s">
        <v>257</v>
      </c>
      <c r="CA240">
        <v>0</v>
      </c>
      <c r="CB240">
        <v>0</v>
      </c>
      <c r="CC240" t="s">
        <v>2677</v>
      </c>
      <c r="CD240">
        <v>0</v>
      </c>
      <c r="CE240">
        <v>0</v>
      </c>
      <c r="CF240">
        <v>0</v>
      </c>
      <c r="CG240">
        <v>0</v>
      </c>
      <c r="CH240">
        <v>0</v>
      </c>
      <c r="CI240" t="s">
        <v>983</v>
      </c>
      <c r="CJ240" t="s">
        <v>972</v>
      </c>
      <c r="CK240" t="s">
        <v>986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 t="s">
        <v>987</v>
      </c>
      <c r="CV240">
        <v>400008241</v>
      </c>
      <c r="CW240" t="s">
        <v>987</v>
      </c>
      <c r="CX240" t="s">
        <v>2678</v>
      </c>
      <c r="CY240" t="s">
        <v>989</v>
      </c>
    </row>
    <row r="241" spans="1:103" hidden="1" x14ac:dyDescent="0.25">
      <c r="A241">
        <v>410000242</v>
      </c>
      <c r="B241" t="s">
        <v>2679</v>
      </c>
      <c r="C241" t="s">
        <v>2680</v>
      </c>
      <c r="D241">
        <v>401100000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1</v>
      </c>
      <c r="Y241" t="s">
        <v>972</v>
      </c>
      <c r="Z241" t="s">
        <v>2681</v>
      </c>
      <c r="AA241" t="s">
        <v>2682</v>
      </c>
      <c r="AB241" t="s">
        <v>975</v>
      </c>
      <c r="AC241">
        <v>4020</v>
      </c>
      <c r="AD241" t="s">
        <v>2683</v>
      </c>
      <c r="AE241" t="s">
        <v>2684</v>
      </c>
      <c r="AF241" t="s">
        <v>2685</v>
      </c>
      <c r="AG241" t="s">
        <v>2686</v>
      </c>
      <c r="AH241" t="s">
        <v>977</v>
      </c>
      <c r="AI241" t="s">
        <v>977</v>
      </c>
      <c r="AJ241" t="s">
        <v>2687</v>
      </c>
      <c r="AK241" t="s">
        <v>978</v>
      </c>
      <c r="AL241" t="s">
        <v>978</v>
      </c>
      <c r="AM241" t="s">
        <v>979</v>
      </c>
      <c r="AN241">
        <v>0</v>
      </c>
      <c r="AO241" t="s">
        <v>257</v>
      </c>
      <c r="AP241">
        <v>0</v>
      </c>
      <c r="AQ241">
        <v>1</v>
      </c>
      <c r="AR241">
        <v>43</v>
      </c>
      <c r="AS241">
        <v>1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1</v>
      </c>
      <c r="AZ241" t="s">
        <v>257</v>
      </c>
      <c r="BA241" t="s">
        <v>980</v>
      </c>
      <c r="BB241" t="s">
        <v>981</v>
      </c>
      <c r="BC241" t="s">
        <v>257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410000001</v>
      </c>
      <c r="BJ241" t="s">
        <v>1021</v>
      </c>
      <c r="BK241" t="s">
        <v>981</v>
      </c>
      <c r="BL241" t="s">
        <v>2679</v>
      </c>
      <c r="BM241">
        <v>20150413</v>
      </c>
      <c r="BN241">
        <v>20211130</v>
      </c>
      <c r="BO241">
        <v>0</v>
      </c>
      <c r="BP241" t="s">
        <v>257</v>
      </c>
      <c r="BQ241" t="s">
        <v>983</v>
      </c>
      <c r="BR241" t="s">
        <v>978</v>
      </c>
      <c r="BS241" t="s">
        <v>979</v>
      </c>
      <c r="BT241">
        <v>0</v>
      </c>
      <c r="BU241">
        <v>0</v>
      </c>
      <c r="BV241" t="s">
        <v>984</v>
      </c>
      <c r="BW241" t="s">
        <v>257</v>
      </c>
      <c r="BX241">
        <v>0</v>
      </c>
      <c r="BY241" t="s">
        <v>980</v>
      </c>
      <c r="BZ241" t="s">
        <v>980</v>
      </c>
      <c r="CA241">
        <v>0</v>
      </c>
      <c r="CB241">
        <v>0</v>
      </c>
      <c r="CC241" t="s">
        <v>1848</v>
      </c>
      <c r="CD241">
        <v>0</v>
      </c>
      <c r="CE241">
        <v>0</v>
      </c>
      <c r="CF241">
        <v>0</v>
      </c>
      <c r="CG241">
        <v>0</v>
      </c>
      <c r="CH241">
        <v>0</v>
      </c>
      <c r="CI241" t="s">
        <v>983</v>
      </c>
      <c r="CJ241" t="s">
        <v>972</v>
      </c>
      <c r="CK241" t="s">
        <v>986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 t="s">
        <v>987</v>
      </c>
      <c r="CV241">
        <v>400008242</v>
      </c>
      <c r="CW241" t="s">
        <v>987</v>
      </c>
      <c r="CX241" t="s">
        <v>1023</v>
      </c>
      <c r="CY241" t="s">
        <v>989</v>
      </c>
    </row>
    <row r="242" spans="1:103" hidden="1" x14ac:dyDescent="0.25">
      <c r="A242">
        <v>410000243</v>
      </c>
      <c r="B242" t="s">
        <v>2688</v>
      </c>
      <c r="C242" t="s">
        <v>2689</v>
      </c>
      <c r="D242">
        <v>401100000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 t="s">
        <v>972</v>
      </c>
      <c r="Z242" t="s">
        <v>987</v>
      </c>
      <c r="AA242" t="s">
        <v>2690</v>
      </c>
      <c r="AB242" t="s">
        <v>975</v>
      </c>
      <c r="AC242">
        <v>5100</v>
      </c>
      <c r="AD242" t="s">
        <v>2691</v>
      </c>
      <c r="AE242" t="s">
        <v>2692</v>
      </c>
      <c r="AF242" t="s">
        <v>2693</v>
      </c>
      <c r="AG242" t="s">
        <v>977</v>
      </c>
      <c r="AH242" t="s">
        <v>977</v>
      </c>
      <c r="AI242">
        <v>69202</v>
      </c>
      <c r="AJ242" t="s">
        <v>978</v>
      </c>
      <c r="AK242" t="s">
        <v>978</v>
      </c>
      <c r="AL242" t="s">
        <v>978</v>
      </c>
      <c r="AM242" t="s">
        <v>979</v>
      </c>
      <c r="AN242">
        <v>0</v>
      </c>
      <c r="AO242" t="s">
        <v>257</v>
      </c>
      <c r="AP242">
        <v>0</v>
      </c>
      <c r="AQ242">
        <v>1</v>
      </c>
      <c r="AR242">
        <v>43</v>
      </c>
      <c r="AS242">
        <v>1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1</v>
      </c>
      <c r="AZ242" t="s">
        <v>257</v>
      </c>
      <c r="BA242" t="s">
        <v>980</v>
      </c>
      <c r="BB242" t="s">
        <v>981</v>
      </c>
      <c r="BC242" t="s">
        <v>257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 t="s">
        <v>998</v>
      </c>
      <c r="BK242" t="s">
        <v>981</v>
      </c>
      <c r="BL242" t="s">
        <v>2688</v>
      </c>
      <c r="BM242">
        <v>20150427</v>
      </c>
      <c r="BN242">
        <v>20220201</v>
      </c>
      <c r="BO242">
        <v>0</v>
      </c>
      <c r="BP242" t="s">
        <v>257</v>
      </c>
      <c r="BQ242" t="s">
        <v>983</v>
      </c>
      <c r="BR242" t="s">
        <v>978</v>
      </c>
      <c r="BS242" t="s">
        <v>979</v>
      </c>
      <c r="BT242">
        <v>0</v>
      </c>
      <c r="BU242">
        <v>0</v>
      </c>
      <c r="BV242" t="s">
        <v>984</v>
      </c>
      <c r="BW242" t="s">
        <v>257</v>
      </c>
      <c r="BX242">
        <v>0</v>
      </c>
      <c r="BY242" t="s">
        <v>980</v>
      </c>
      <c r="BZ242" t="s">
        <v>257</v>
      </c>
      <c r="CA242">
        <v>0</v>
      </c>
      <c r="CB242">
        <v>0</v>
      </c>
      <c r="CC242" t="s">
        <v>1033</v>
      </c>
      <c r="CD242">
        <v>0</v>
      </c>
      <c r="CE242">
        <v>0</v>
      </c>
      <c r="CF242">
        <v>0</v>
      </c>
      <c r="CG242">
        <v>0</v>
      </c>
      <c r="CH242">
        <v>0</v>
      </c>
      <c r="CI242" t="s">
        <v>983</v>
      </c>
      <c r="CJ242" t="s">
        <v>972</v>
      </c>
      <c r="CK242" t="s">
        <v>986</v>
      </c>
      <c r="CL242">
        <v>0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 t="s">
        <v>987</v>
      </c>
      <c r="CV242">
        <v>400008243</v>
      </c>
      <c r="CW242" t="s">
        <v>987</v>
      </c>
      <c r="CX242" t="s">
        <v>2694</v>
      </c>
      <c r="CY242" t="s">
        <v>989</v>
      </c>
    </row>
    <row r="243" spans="1:103" hidden="1" x14ac:dyDescent="0.25">
      <c r="A243">
        <v>410000244</v>
      </c>
      <c r="B243" t="s">
        <v>2695</v>
      </c>
      <c r="C243" t="s">
        <v>2696</v>
      </c>
      <c r="D243">
        <v>401100000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 t="s">
        <v>972</v>
      </c>
      <c r="Z243" t="s">
        <v>2697</v>
      </c>
      <c r="AA243" t="s">
        <v>2698</v>
      </c>
      <c r="AB243" t="s">
        <v>975</v>
      </c>
      <c r="AC243">
        <v>4040</v>
      </c>
      <c r="AD243" t="s">
        <v>976</v>
      </c>
      <c r="AE243" t="s">
        <v>2699</v>
      </c>
      <c r="AF243" t="s">
        <v>2700</v>
      </c>
      <c r="AG243" t="s">
        <v>977</v>
      </c>
      <c r="AH243" t="s">
        <v>977</v>
      </c>
      <c r="AI243" t="s">
        <v>977</v>
      </c>
      <c r="AJ243" t="s">
        <v>978</v>
      </c>
      <c r="AK243" t="s">
        <v>978</v>
      </c>
      <c r="AL243" t="s">
        <v>978</v>
      </c>
      <c r="AM243" t="s">
        <v>979</v>
      </c>
      <c r="AN243">
        <v>0</v>
      </c>
      <c r="AO243" t="s">
        <v>257</v>
      </c>
      <c r="AP243">
        <v>0</v>
      </c>
      <c r="AQ243">
        <v>1</v>
      </c>
      <c r="AR243">
        <v>43</v>
      </c>
      <c r="AS243">
        <v>1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1</v>
      </c>
      <c r="AZ243" t="s">
        <v>257</v>
      </c>
      <c r="BA243" t="s">
        <v>980</v>
      </c>
      <c r="BB243" t="s">
        <v>981</v>
      </c>
      <c r="BC243" t="s">
        <v>257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 t="s">
        <v>998</v>
      </c>
      <c r="BK243" t="s">
        <v>981</v>
      </c>
      <c r="BL243" t="s">
        <v>2695</v>
      </c>
      <c r="BM243">
        <v>20150427</v>
      </c>
      <c r="BN243">
        <v>20181119</v>
      </c>
      <c r="BO243">
        <v>0</v>
      </c>
      <c r="BP243" t="s">
        <v>257</v>
      </c>
      <c r="BQ243" t="s">
        <v>983</v>
      </c>
      <c r="BR243" t="s">
        <v>978</v>
      </c>
      <c r="BS243" t="s">
        <v>2701</v>
      </c>
      <c r="BT243">
        <v>0</v>
      </c>
      <c r="BU243">
        <v>0</v>
      </c>
      <c r="BV243" t="s">
        <v>1013</v>
      </c>
      <c r="BW243" t="s">
        <v>257</v>
      </c>
      <c r="BX243">
        <v>0</v>
      </c>
      <c r="BY243" t="s">
        <v>980</v>
      </c>
      <c r="BZ243" t="s">
        <v>257</v>
      </c>
      <c r="CA243">
        <v>0</v>
      </c>
      <c r="CB243">
        <v>0</v>
      </c>
      <c r="CC243" t="s">
        <v>985</v>
      </c>
      <c r="CD243">
        <v>0</v>
      </c>
      <c r="CE243">
        <v>0</v>
      </c>
      <c r="CF243">
        <v>0</v>
      </c>
      <c r="CG243">
        <v>0</v>
      </c>
      <c r="CH243">
        <v>0</v>
      </c>
      <c r="CI243" t="s">
        <v>983</v>
      </c>
      <c r="CJ243" t="s">
        <v>972</v>
      </c>
      <c r="CK243" t="s">
        <v>986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 t="s">
        <v>987</v>
      </c>
      <c r="CV243">
        <v>400008244</v>
      </c>
      <c r="CW243" t="s">
        <v>987</v>
      </c>
      <c r="CX243" t="s">
        <v>1081</v>
      </c>
      <c r="CY243" t="s">
        <v>989</v>
      </c>
    </row>
    <row r="244" spans="1:103" hidden="1" x14ac:dyDescent="0.25">
      <c r="A244">
        <v>410000245</v>
      </c>
      <c r="B244" t="s">
        <v>2702</v>
      </c>
      <c r="C244" t="s">
        <v>2703</v>
      </c>
      <c r="D244">
        <v>401100000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 t="s">
        <v>972</v>
      </c>
      <c r="Z244" t="s">
        <v>987</v>
      </c>
      <c r="AA244" t="s">
        <v>2704</v>
      </c>
      <c r="AB244" t="s">
        <v>975</v>
      </c>
      <c r="AC244">
        <v>1420</v>
      </c>
      <c r="AD244" t="s">
        <v>2333</v>
      </c>
      <c r="AE244" t="s">
        <v>2705</v>
      </c>
      <c r="AF244" t="s">
        <v>2706</v>
      </c>
      <c r="AG244" t="s">
        <v>2707</v>
      </c>
      <c r="AH244" t="s">
        <v>977</v>
      </c>
      <c r="AI244" t="s">
        <v>977</v>
      </c>
      <c r="AJ244" t="s">
        <v>978</v>
      </c>
      <c r="AK244" t="s">
        <v>978</v>
      </c>
      <c r="AL244" t="s">
        <v>978</v>
      </c>
      <c r="AM244" t="s">
        <v>979</v>
      </c>
      <c r="AN244">
        <v>0</v>
      </c>
      <c r="AO244" t="s">
        <v>257</v>
      </c>
      <c r="AP244">
        <v>0</v>
      </c>
      <c r="AQ244">
        <v>1</v>
      </c>
      <c r="AR244">
        <v>43</v>
      </c>
      <c r="AS244">
        <v>1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1</v>
      </c>
      <c r="AZ244" t="s">
        <v>257</v>
      </c>
      <c r="BA244" t="s">
        <v>980</v>
      </c>
      <c r="BB244" t="s">
        <v>981</v>
      </c>
      <c r="BC244" t="s">
        <v>257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 t="s">
        <v>998</v>
      </c>
      <c r="BK244" t="s">
        <v>981</v>
      </c>
      <c r="BL244" t="s">
        <v>2702</v>
      </c>
      <c r="BM244">
        <v>20150427</v>
      </c>
      <c r="BN244">
        <v>20240311</v>
      </c>
      <c r="BO244">
        <v>0</v>
      </c>
      <c r="BP244" t="s">
        <v>257</v>
      </c>
      <c r="BQ244" t="s">
        <v>983</v>
      </c>
      <c r="BR244" t="s">
        <v>978</v>
      </c>
      <c r="BS244" t="s">
        <v>2708</v>
      </c>
      <c r="BT244">
        <v>0</v>
      </c>
      <c r="BU244">
        <v>0</v>
      </c>
      <c r="BV244" t="s">
        <v>984</v>
      </c>
      <c r="BW244" t="s">
        <v>257</v>
      </c>
      <c r="BX244">
        <v>0</v>
      </c>
      <c r="BY244" t="s">
        <v>980</v>
      </c>
      <c r="BZ244" t="s">
        <v>257</v>
      </c>
      <c r="CA244">
        <v>0</v>
      </c>
      <c r="CB244">
        <v>0</v>
      </c>
      <c r="CC244" t="s">
        <v>2709</v>
      </c>
      <c r="CD244">
        <v>0</v>
      </c>
      <c r="CE244">
        <v>0</v>
      </c>
      <c r="CF244">
        <v>0</v>
      </c>
      <c r="CG244">
        <v>0</v>
      </c>
      <c r="CH244">
        <v>0</v>
      </c>
      <c r="CI244" t="s">
        <v>983</v>
      </c>
      <c r="CJ244" t="s">
        <v>972</v>
      </c>
      <c r="CK244" t="s">
        <v>986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 t="s">
        <v>987</v>
      </c>
      <c r="CV244">
        <v>400008245</v>
      </c>
      <c r="CW244" t="s">
        <v>987</v>
      </c>
      <c r="CX244" t="s">
        <v>2710</v>
      </c>
      <c r="CY244" t="s">
        <v>989</v>
      </c>
    </row>
    <row r="245" spans="1:103" hidden="1" x14ac:dyDescent="0.25">
      <c r="A245">
        <v>410000246</v>
      </c>
      <c r="B245" t="s">
        <v>2711</v>
      </c>
      <c r="C245" t="s">
        <v>2712</v>
      </c>
      <c r="D245">
        <v>401100000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1</v>
      </c>
      <c r="Y245" t="s">
        <v>972</v>
      </c>
      <c r="Z245" t="s">
        <v>987</v>
      </c>
      <c r="AA245" t="s">
        <v>2713</v>
      </c>
      <c r="AB245" t="s">
        <v>975</v>
      </c>
      <c r="AC245">
        <v>4000</v>
      </c>
      <c r="AD245" t="s">
        <v>1019</v>
      </c>
      <c r="AE245" t="s">
        <v>2714</v>
      </c>
      <c r="AF245" t="s">
        <v>979</v>
      </c>
      <c r="AG245" t="s">
        <v>977</v>
      </c>
      <c r="AH245" t="s">
        <v>977</v>
      </c>
      <c r="AI245" t="s">
        <v>977</v>
      </c>
      <c r="AJ245" t="s">
        <v>978</v>
      </c>
      <c r="AK245" t="s">
        <v>978</v>
      </c>
      <c r="AL245" t="s">
        <v>978</v>
      </c>
      <c r="AM245" t="s">
        <v>979</v>
      </c>
      <c r="AN245">
        <v>0</v>
      </c>
      <c r="AO245" t="s">
        <v>257</v>
      </c>
      <c r="AP245">
        <v>0</v>
      </c>
      <c r="AQ245">
        <v>1</v>
      </c>
      <c r="AR245">
        <v>43</v>
      </c>
      <c r="AS245">
        <v>1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1</v>
      </c>
      <c r="AZ245" t="s">
        <v>257</v>
      </c>
      <c r="BA245" t="s">
        <v>980</v>
      </c>
      <c r="BB245" t="s">
        <v>981</v>
      </c>
      <c r="BC245" t="s">
        <v>257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 t="s">
        <v>998</v>
      </c>
      <c r="BK245" t="s">
        <v>981</v>
      </c>
      <c r="BL245" t="s">
        <v>2711</v>
      </c>
      <c r="BM245">
        <v>20150427</v>
      </c>
      <c r="BN245">
        <v>20181119</v>
      </c>
      <c r="BO245">
        <v>0</v>
      </c>
      <c r="BP245" t="s">
        <v>257</v>
      </c>
      <c r="BQ245" t="s">
        <v>983</v>
      </c>
      <c r="BR245" t="s">
        <v>978</v>
      </c>
      <c r="BS245" t="s">
        <v>979</v>
      </c>
      <c r="BT245">
        <v>0</v>
      </c>
      <c r="BU245">
        <v>0</v>
      </c>
      <c r="BV245" t="s">
        <v>1013</v>
      </c>
      <c r="BW245" t="s">
        <v>257</v>
      </c>
      <c r="BX245">
        <v>0</v>
      </c>
      <c r="BY245" t="s">
        <v>980</v>
      </c>
      <c r="BZ245" t="s">
        <v>980</v>
      </c>
      <c r="CA245">
        <v>0</v>
      </c>
      <c r="CB245">
        <v>0</v>
      </c>
      <c r="CC245" t="s">
        <v>1848</v>
      </c>
      <c r="CD245">
        <v>0</v>
      </c>
      <c r="CE245">
        <v>0</v>
      </c>
      <c r="CF245">
        <v>0</v>
      </c>
      <c r="CG245">
        <v>0</v>
      </c>
      <c r="CH245">
        <v>0</v>
      </c>
      <c r="CI245" t="s">
        <v>983</v>
      </c>
      <c r="CJ245" t="s">
        <v>972</v>
      </c>
      <c r="CK245" t="s">
        <v>986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 t="s">
        <v>987</v>
      </c>
      <c r="CV245">
        <v>400008246</v>
      </c>
      <c r="CW245" t="s">
        <v>987</v>
      </c>
      <c r="CX245" t="s">
        <v>2715</v>
      </c>
      <c r="CY245" t="s">
        <v>989</v>
      </c>
    </row>
    <row r="246" spans="1:103" hidden="1" x14ac:dyDescent="0.25">
      <c r="A246">
        <v>410000247</v>
      </c>
      <c r="B246" t="s">
        <v>2716</v>
      </c>
      <c r="C246" t="s">
        <v>2717</v>
      </c>
      <c r="D246">
        <v>401100000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 t="s">
        <v>972</v>
      </c>
      <c r="Z246" t="s">
        <v>987</v>
      </c>
      <c r="AA246" t="s">
        <v>2718</v>
      </c>
      <c r="AB246" t="s">
        <v>975</v>
      </c>
      <c r="AC246">
        <v>4600</v>
      </c>
      <c r="AD246" t="s">
        <v>1813</v>
      </c>
      <c r="AE246" t="s">
        <v>2719</v>
      </c>
      <c r="AF246" t="s">
        <v>2720</v>
      </c>
      <c r="AG246" t="s">
        <v>977</v>
      </c>
      <c r="AH246" t="s">
        <v>977</v>
      </c>
      <c r="AI246" t="s">
        <v>977</v>
      </c>
      <c r="AJ246" t="s">
        <v>2721</v>
      </c>
      <c r="AK246" t="s">
        <v>978</v>
      </c>
      <c r="AL246" t="s">
        <v>978</v>
      </c>
      <c r="AM246" t="s">
        <v>979</v>
      </c>
      <c r="AN246">
        <v>0</v>
      </c>
      <c r="AO246" t="s">
        <v>257</v>
      </c>
      <c r="AP246">
        <v>0</v>
      </c>
      <c r="AQ246">
        <v>1</v>
      </c>
      <c r="AR246">
        <v>69</v>
      </c>
      <c r="AS246">
        <v>1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1</v>
      </c>
      <c r="AZ246" t="s">
        <v>257</v>
      </c>
      <c r="BA246" t="s">
        <v>980</v>
      </c>
      <c r="BB246" t="s">
        <v>981</v>
      </c>
      <c r="BC246" t="s">
        <v>257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 t="s">
        <v>998</v>
      </c>
      <c r="BK246" t="s">
        <v>981</v>
      </c>
      <c r="BL246" t="s">
        <v>2716</v>
      </c>
      <c r="BM246">
        <v>20150430</v>
      </c>
      <c r="BN246">
        <v>20240910</v>
      </c>
      <c r="BO246">
        <v>0</v>
      </c>
      <c r="BP246" t="s">
        <v>257</v>
      </c>
      <c r="BQ246" t="s">
        <v>983</v>
      </c>
      <c r="BR246" t="s">
        <v>978</v>
      </c>
      <c r="BS246" t="s">
        <v>2722</v>
      </c>
      <c r="BT246">
        <v>0</v>
      </c>
      <c r="BU246">
        <v>0</v>
      </c>
      <c r="BV246" t="s">
        <v>984</v>
      </c>
      <c r="BW246" t="s">
        <v>257</v>
      </c>
      <c r="BX246">
        <v>0</v>
      </c>
      <c r="BY246" t="s">
        <v>980</v>
      </c>
      <c r="BZ246" t="s">
        <v>257</v>
      </c>
      <c r="CA246">
        <v>0</v>
      </c>
      <c r="CB246">
        <v>0</v>
      </c>
      <c r="CC246" t="s">
        <v>1317</v>
      </c>
      <c r="CD246">
        <v>0</v>
      </c>
      <c r="CE246">
        <v>0</v>
      </c>
      <c r="CF246">
        <v>0</v>
      </c>
      <c r="CG246">
        <v>0</v>
      </c>
      <c r="CH246">
        <v>0</v>
      </c>
      <c r="CI246" t="s">
        <v>983</v>
      </c>
      <c r="CJ246" t="s">
        <v>972</v>
      </c>
      <c r="CK246" t="s">
        <v>986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 t="s">
        <v>987</v>
      </c>
      <c r="CV246">
        <v>400008247</v>
      </c>
      <c r="CW246" t="s">
        <v>987</v>
      </c>
      <c r="CX246" t="s">
        <v>2723</v>
      </c>
      <c r="CY246" t="s">
        <v>989</v>
      </c>
    </row>
    <row r="247" spans="1:103" hidden="1" x14ac:dyDescent="0.25">
      <c r="A247">
        <v>410000248</v>
      </c>
      <c r="B247" t="s">
        <v>2724</v>
      </c>
      <c r="C247" t="s">
        <v>2725</v>
      </c>
      <c r="D247">
        <v>401100000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1</v>
      </c>
      <c r="Y247" t="s">
        <v>972</v>
      </c>
      <c r="Z247" t="s">
        <v>987</v>
      </c>
      <c r="AA247" t="s">
        <v>2726</v>
      </c>
      <c r="AB247" t="s">
        <v>975</v>
      </c>
      <c r="AC247">
        <v>4890</v>
      </c>
      <c r="AD247" t="s">
        <v>2603</v>
      </c>
      <c r="AE247" t="s">
        <v>2727</v>
      </c>
      <c r="AF247" t="s">
        <v>2727</v>
      </c>
      <c r="AG247" t="s">
        <v>977</v>
      </c>
      <c r="AH247" t="s">
        <v>977</v>
      </c>
      <c r="AI247" t="s">
        <v>977</v>
      </c>
      <c r="AJ247" t="s">
        <v>978</v>
      </c>
      <c r="AK247" t="s">
        <v>978</v>
      </c>
      <c r="AL247" t="s">
        <v>978</v>
      </c>
      <c r="AM247" t="s">
        <v>979</v>
      </c>
      <c r="AN247">
        <v>0</v>
      </c>
      <c r="AO247" t="s">
        <v>257</v>
      </c>
      <c r="AP247">
        <v>0</v>
      </c>
      <c r="AQ247">
        <v>1</v>
      </c>
      <c r="AR247">
        <v>43</v>
      </c>
      <c r="AS247">
        <v>1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1</v>
      </c>
      <c r="AZ247" t="s">
        <v>257</v>
      </c>
      <c r="BA247" t="s">
        <v>980</v>
      </c>
      <c r="BB247" t="s">
        <v>981</v>
      </c>
      <c r="BC247" t="s">
        <v>257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 t="s">
        <v>998</v>
      </c>
      <c r="BK247" t="s">
        <v>981</v>
      </c>
      <c r="BL247" t="s">
        <v>2724</v>
      </c>
      <c r="BM247">
        <v>20150507</v>
      </c>
      <c r="BN247">
        <v>20181119</v>
      </c>
      <c r="BO247">
        <v>0</v>
      </c>
      <c r="BP247" t="s">
        <v>257</v>
      </c>
      <c r="BQ247" t="s">
        <v>983</v>
      </c>
      <c r="BR247" t="s">
        <v>978</v>
      </c>
      <c r="BS247" t="s">
        <v>979</v>
      </c>
      <c r="BT247">
        <v>0</v>
      </c>
      <c r="BU247">
        <v>0</v>
      </c>
      <c r="BV247" t="s">
        <v>1013</v>
      </c>
      <c r="BW247" t="s">
        <v>257</v>
      </c>
      <c r="BX247">
        <v>0</v>
      </c>
      <c r="BY247" t="s">
        <v>980</v>
      </c>
      <c r="BZ247" t="s">
        <v>257</v>
      </c>
      <c r="CA247">
        <v>0</v>
      </c>
      <c r="CB247">
        <v>0</v>
      </c>
      <c r="CC247" t="s">
        <v>1469</v>
      </c>
      <c r="CD247">
        <v>0</v>
      </c>
      <c r="CE247">
        <v>0</v>
      </c>
      <c r="CF247">
        <v>0</v>
      </c>
      <c r="CG247">
        <v>0</v>
      </c>
      <c r="CH247">
        <v>0</v>
      </c>
      <c r="CI247" t="s">
        <v>983</v>
      </c>
      <c r="CJ247" t="s">
        <v>972</v>
      </c>
      <c r="CK247" t="s">
        <v>986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 t="s">
        <v>987</v>
      </c>
      <c r="CV247">
        <v>400008248</v>
      </c>
      <c r="CW247" t="s">
        <v>987</v>
      </c>
      <c r="CX247" t="s">
        <v>1081</v>
      </c>
      <c r="CY247" t="s">
        <v>989</v>
      </c>
    </row>
    <row r="248" spans="1:103" hidden="1" x14ac:dyDescent="0.25">
      <c r="A248">
        <v>410000249</v>
      </c>
      <c r="B248" t="s">
        <v>2728</v>
      </c>
      <c r="C248" t="s">
        <v>2729</v>
      </c>
      <c r="D248">
        <v>401100000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1</v>
      </c>
      <c r="Y248" t="s">
        <v>972</v>
      </c>
      <c r="Z248" t="s">
        <v>987</v>
      </c>
      <c r="AA248" t="s">
        <v>2730</v>
      </c>
      <c r="AB248" t="s">
        <v>975</v>
      </c>
      <c r="AC248">
        <v>4557</v>
      </c>
      <c r="AD248" t="s">
        <v>2731</v>
      </c>
      <c r="AE248" t="s">
        <v>2732</v>
      </c>
      <c r="AF248" t="s">
        <v>979</v>
      </c>
      <c r="AG248" t="s">
        <v>977</v>
      </c>
      <c r="AH248" t="s">
        <v>977</v>
      </c>
      <c r="AI248">
        <v>87301</v>
      </c>
      <c r="AJ248" t="s">
        <v>978</v>
      </c>
      <c r="AK248" t="s">
        <v>978</v>
      </c>
      <c r="AL248" t="s">
        <v>978</v>
      </c>
      <c r="AM248" t="s">
        <v>979</v>
      </c>
      <c r="AN248">
        <v>0</v>
      </c>
      <c r="AO248" t="s">
        <v>257</v>
      </c>
      <c r="AP248">
        <v>0</v>
      </c>
      <c r="AQ248">
        <v>1</v>
      </c>
      <c r="AR248">
        <v>43</v>
      </c>
      <c r="AS248">
        <v>1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1</v>
      </c>
      <c r="AZ248" t="s">
        <v>257</v>
      </c>
      <c r="BA248" t="s">
        <v>980</v>
      </c>
      <c r="BB248" t="s">
        <v>981</v>
      </c>
      <c r="BC248" t="s">
        <v>257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 t="s">
        <v>998</v>
      </c>
      <c r="BK248" t="s">
        <v>981</v>
      </c>
      <c r="BL248" t="s">
        <v>2728</v>
      </c>
      <c r="BM248">
        <v>20150507</v>
      </c>
      <c r="BN248">
        <v>20210624</v>
      </c>
      <c r="BO248">
        <v>0</v>
      </c>
      <c r="BP248" t="s">
        <v>257</v>
      </c>
      <c r="BQ248" t="s">
        <v>983</v>
      </c>
      <c r="BR248" t="s">
        <v>978</v>
      </c>
      <c r="BS248" t="s">
        <v>2733</v>
      </c>
      <c r="BT248">
        <v>0</v>
      </c>
      <c r="BU248">
        <v>0</v>
      </c>
      <c r="BV248" t="s">
        <v>1013</v>
      </c>
      <c r="BW248" t="s">
        <v>257</v>
      </c>
      <c r="BX248">
        <v>0</v>
      </c>
      <c r="BY248" t="s">
        <v>980</v>
      </c>
      <c r="BZ248" t="s">
        <v>257</v>
      </c>
      <c r="CA248">
        <v>0</v>
      </c>
      <c r="CB248">
        <v>0</v>
      </c>
      <c r="CC248" t="s">
        <v>1430</v>
      </c>
      <c r="CD248">
        <v>0</v>
      </c>
      <c r="CE248">
        <v>0</v>
      </c>
      <c r="CF248">
        <v>0</v>
      </c>
      <c r="CG248">
        <v>0</v>
      </c>
      <c r="CH248">
        <v>0</v>
      </c>
      <c r="CI248" t="s">
        <v>983</v>
      </c>
      <c r="CJ248" t="s">
        <v>972</v>
      </c>
      <c r="CK248" t="s">
        <v>986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 t="s">
        <v>987</v>
      </c>
      <c r="CV248">
        <v>400008249</v>
      </c>
      <c r="CW248" t="s">
        <v>987</v>
      </c>
      <c r="CX248" t="s">
        <v>2734</v>
      </c>
      <c r="CY248" t="s">
        <v>989</v>
      </c>
    </row>
    <row r="249" spans="1:103" hidden="1" x14ac:dyDescent="0.25">
      <c r="A249">
        <v>410000250</v>
      </c>
      <c r="B249" t="s">
        <v>2735</v>
      </c>
      <c r="C249" t="s">
        <v>2736</v>
      </c>
      <c r="D249">
        <v>401100000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1</v>
      </c>
      <c r="Y249" t="s">
        <v>972</v>
      </c>
      <c r="Z249" t="s">
        <v>2737</v>
      </c>
      <c r="AA249" t="s">
        <v>2738</v>
      </c>
      <c r="AB249" t="s">
        <v>975</v>
      </c>
      <c r="AC249">
        <v>4053</v>
      </c>
      <c r="AD249" t="s">
        <v>2739</v>
      </c>
      <c r="AE249" t="s">
        <v>2740</v>
      </c>
      <c r="AF249" t="s">
        <v>979</v>
      </c>
      <c r="AG249" t="s">
        <v>977</v>
      </c>
      <c r="AH249" t="s">
        <v>977</v>
      </c>
      <c r="AI249" t="s">
        <v>977</v>
      </c>
      <c r="AJ249" t="s">
        <v>978</v>
      </c>
      <c r="AK249" t="s">
        <v>978</v>
      </c>
      <c r="AL249" t="s">
        <v>978</v>
      </c>
      <c r="AM249" t="s">
        <v>979</v>
      </c>
      <c r="AN249">
        <v>0</v>
      </c>
      <c r="AO249" t="s">
        <v>257</v>
      </c>
      <c r="AP249">
        <v>0</v>
      </c>
      <c r="AQ249">
        <v>1</v>
      </c>
      <c r="AR249">
        <v>43</v>
      </c>
      <c r="AS249">
        <v>1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1</v>
      </c>
      <c r="AZ249" t="s">
        <v>257</v>
      </c>
      <c r="BA249" t="s">
        <v>980</v>
      </c>
      <c r="BB249" t="s">
        <v>981</v>
      </c>
      <c r="BC249" t="s">
        <v>257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 t="s">
        <v>998</v>
      </c>
      <c r="BK249" t="s">
        <v>981</v>
      </c>
      <c r="BL249" t="s">
        <v>2735</v>
      </c>
      <c r="BM249">
        <v>20150507</v>
      </c>
      <c r="BN249">
        <v>20181119</v>
      </c>
      <c r="BO249">
        <v>0</v>
      </c>
      <c r="BP249" t="s">
        <v>257</v>
      </c>
      <c r="BQ249" t="s">
        <v>983</v>
      </c>
      <c r="BR249" t="s">
        <v>978</v>
      </c>
      <c r="BS249" t="s">
        <v>979</v>
      </c>
      <c r="BT249">
        <v>0</v>
      </c>
      <c r="BU249">
        <v>0</v>
      </c>
      <c r="BV249" t="s">
        <v>1013</v>
      </c>
      <c r="BW249" t="s">
        <v>257</v>
      </c>
      <c r="BX249">
        <v>0</v>
      </c>
      <c r="BY249" t="s">
        <v>980</v>
      </c>
      <c r="BZ249" t="s">
        <v>257</v>
      </c>
      <c r="CA249">
        <v>0</v>
      </c>
      <c r="CB249">
        <v>0</v>
      </c>
      <c r="CC249" t="s">
        <v>1916</v>
      </c>
      <c r="CD249">
        <v>0</v>
      </c>
      <c r="CE249">
        <v>0</v>
      </c>
      <c r="CF249">
        <v>0</v>
      </c>
      <c r="CG249">
        <v>0</v>
      </c>
      <c r="CH249">
        <v>0</v>
      </c>
      <c r="CI249" t="s">
        <v>983</v>
      </c>
      <c r="CJ249" t="s">
        <v>972</v>
      </c>
      <c r="CK249" t="s">
        <v>986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 t="s">
        <v>987</v>
      </c>
      <c r="CV249">
        <v>400008250</v>
      </c>
      <c r="CW249" t="s">
        <v>987</v>
      </c>
      <c r="CX249" t="s">
        <v>2741</v>
      </c>
      <c r="CY249" t="s">
        <v>989</v>
      </c>
    </row>
    <row r="250" spans="1:103" hidden="1" x14ac:dyDescent="0.25">
      <c r="A250">
        <v>410000251</v>
      </c>
      <c r="B250" t="s">
        <v>2742</v>
      </c>
      <c r="C250" t="s">
        <v>2743</v>
      </c>
      <c r="D250">
        <v>401100000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1</v>
      </c>
      <c r="Y250" t="s">
        <v>972</v>
      </c>
      <c r="Z250" t="s">
        <v>987</v>
      </c>
      <c r="AA250" t="s">
        <v>1341</v>
      </c>
      <c r="AB250" t="s">
        <v>975</v>
      </c>
      <c r="AC250">
        <v>4347</v>
      </c>
      <c r="AD250" t="s">
        <v>1342</v>
      </c>
      <c r="AE250" t="s">
        <v>1343</v>
      </c>
      <c r="AF250" t="s">
        <v>1344</v>
      </c>
      <c r="AG250" t="s">
        <v>977</v>
      </c>
      <c r="AH250" t="s">
        <v>977</v>
      </c>
      <c r="AI250">
        <v>69202</v>
      </c>
      <c r="AJ250" t="s">
        <v>2744</v>
      </c>
      <c r="AK250" t="s">
        <v>2745</v>
      </c>
      <c r="AL250" t="s">
        <v>978</v>
      </c>
      <c r="AM250" t="s">
        <v>979</v>
      </c>
      <c r="AN250">
        <v>0</v>
      </c>
      <c r="AO250" t="s">
        <v>257</v>
      </c>
      <c r="AP250">
        <v>0</v>
      </c>
      <c r="AQ250">
        <v>1</v>
      </c>
      <c r="AR250">
        <v>43</v>
      </c>
      <c r="AS250">
        <v>1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1</v>
      </c>
      <c r="AZ250" t="s">
        <v>257</v>
      </c>
      <c r="BA250" t="s">
        <v>980</v>
      </c>
      <c r="BB250" t="s">
        <v>981</v>
      </c>
      <c r="BC250" t="s">
        <v>257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 t="s">
        <v>998</v>
      </c>
      <c r="BK250" t="s">
        <v>981</v>
      </c>
      <c r="BL250" t="s">
        <v>2742</v>
      </c>
      <c r="BM250">
        <v>20150512</v>
      </c>
      <c r="BN250">
        <v>20221025</v>
      </c>
      <c r="BO250">
        <v>0</v>
      </c>
      <c r="BP250" t="s">
        <v>257</v>
      </c>
      <c r="BQ250" t="s">
        <v>983</v>
      </c>
      <c r="BR250" t="s">
        <v>978</v>
      </c>
      <c r="BS250" t="s">
        <v>1346</v>
      </c>
      <c r="BT250">
        <v>0</v>
      </c>
      <c r="BU250">
        <v>0</v>
      </c>
      <c r="BV250" t="s">
        <v>984</v>
      </c>
      <c r="BW250" t="s">
        <v>257</v>
      </c>
      <c r="BX250">
        <v>0</v>
      </c>
      <c r="BY250" t="s">
        <v>980</v>
      </c>
      <c r="BZ250" t="s">
        <v>980</v>
      </c>
      <c r="CA250">
        <v>0</v>
      </c>
      <c r="CB250">
        <v>0</v>
      </c>
      <c r="CC250" t="s">
        <v>1220</v>
      </c>
      <c r="CD250">
        <v>0</v>
      </c>
      <c r="CE250">
        <v>0</v>
      </c>
      <c r="CF250">
        <v>0</v>
      </c>
      <c r="CG250">
        <v>0</v>
      </c>
      <c r="CH250">
        <v>0</v>
      </c>
      <c r="CI250" t="s">
        <v>983</v>
      </c>
      <c r="CJ250" t="s">
        <v>972</v>
      </c>
      <c r="CK250" t="s">
        <v>986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 t="s">
        <v>987</v>
      </c>
      <c r="CV250">
        <v>400008251</v>
      </c>
      <c r="CW250" t="s">
        <v>987</v>
      </c>
      <c r="CX250" t="s">
        <v>2746</v>
      </c>
      <c r="CY250" t="s">
        <v>989</v>
      </c>
    </row>
    <row r="251" spans="1:103" hidden="1" x14ac:dyDescent="0.25">
      <c r="A251">
        <v>410000252</v>
      </c>
      <c r="B251" t="s">
        <v>2747</v>
      </c>
      <c r="C251" t="s">
        <v>2748</v>
      </c>
      <c r="D251">
        <v>401100000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1</v>
      </c>
      <c r="Y251" t="s">
        <v>972</v>
      </c>
      <c r="Z251" t="s">
        <v>2749</v>
      </c>
      <c r="AA251" t="s">
        <v>2750</v>
      </c>
      <c r="AB251" t="s">
        <v>975</v>
      </c>
      <c r="AC251">
        <v>5004</v>
      </c>
      <c r="AD251" t="s">
        <v>2751</v>
      </c>
      <c r="AE251" t="s">
        <v>2752</v>
      </c>
      <c r="AF251" t="s">
        <v>2753</v>
      </c>
      <c r="AG251" t="s">
        <v>2754</v>
      </c>
      <c r="AH251" t="s">
        <v>977</v>
      </c>
      <c r="AI251" t="s">
        <v>977</v>
      </c>
      <c r="AJ251" t="s">
        <v>2755</v>
      </c>
      <c r="AK251" t="s">
        <v>978</v>
      </c>
      <c r="AL251" t="s">
        <v>978</v>
      </c>
      <c r="AM251" t="s">
        <v>979</v>
      </c>
      <c r="AN251">
        <v>0</v>
      </c>
      <c r="AO251" t="s">
        <v>257</v>
      </c>
      <c r="AP251">
        <v>0</v>
      </c>
      <c r="AQ251">
        <v>1</v>
      </c>
      <c r="AR251">
        <v>43</v>
      </c>
      <c r="AS251">
        <v>1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1</v>
      </c>
      <c r="AZ251" t="s">
        <v>257</v>
      </c>
      <c r="BA251" t="s">
        <v>980</v>
      </c>
      <c r="BB251" t="s">
        <v>981</v>
      </c>
      <c r="BC251" t="s">
        <v>257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 t="s">
        <v>998</v>
      </c>
      <c r="BK251" t="s">
        <v>981</v>
      </c>
      <c r="BL251" t="s">
        <v>2747</v>
      </c>
      <c r="BM251">
        <v>20150518</v>
      </c>
      <c r="BN251">
        <v>20201215</v>
      </c>
      <c r="BO251">
        <v>0</v>
      </c>
      <c r="BP251" t="s">
        <v>257</v>
      </c>
      <c r="BQ251" t="s">
        <v>983</v>
      </c>
      <c r="BR251" t="s">
        <v>978</v>
      </c>
      <c r="BS251" t="s">
        <v>979</v>
      </c>
      <c r="BT251">
        <v>0</v>
      </c>
      <c r="BU251">
        <v>0</v>
      </c>
      <c r="BV251" t="s">
        <v>984</v>
      </c>
      <c r="BW251" t="s">
        <v>257</v>
      </c>
      <c r="BX251">
        <v>0</v>
      </c>
      <c r="BY251" t="s">
        <v>980</v>
      </c>
      <c r="BZ251" t="s">
        <v>257</v>
      </c>
      <c r="CA251">
        <v>0</v>
      </c>
      <c r="CB251">
        <v>0</v>
      </c>
      <c r="CC251" t="s">
        <v>1901</v>
      </c>
      <c r="CD251">
        <v>0</v>
      </c>
      <c r="CE251">
        <v>0</v>
      </c>
      <c r="CF251">
        <v>0</v>
      </c>
      <c r="CG251">
        <v>0</v>
      </c>
      <c r="CH251">
        <v>0</v>
      </c>
      <c r="CI251" t="s">
        <v>983</v>
      </c>
      <c r="CJ251" t="s">
        <v>972</v>
      </c>
      <c r="CK251" t="s">
        <v>986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 t="s">
        <v>987</v>
      </c>
      <c r="CV251">
        <v>400008252</v>
      </c>
      <c r="CW251" t="s">
        <v>987</v>
      </c>
      <c r="CX251" t="s">
        <v>2756</v>
      </c>
      <c r="CY251" t="s">
        <v>989</v>
      </c>
    </row>
    <row r="252" spans="1:103" hidden="1" x14ac:dyDescent="0.25">
      <c r="A252">
        <v>410000253</v>
      </c>
      <c r="B252" t="s">
        <v>2757</v>
      </c>
      <c r="C252" t="s">
        <v>2758</v>
      </c>
      <c r="D252">
        <v>401100000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1</v>
      </c>
      <c r="Y252" t="s">
        <v>972</v>
      </c>
      <c r="Z252" t="s">
        <v>2759</v>
      </c>
      <c r="AA252" t="s">
        <v>2760</v>
      </c>
      <c r="AB252" t="s">
        <v>975</v>
      </c>
      <c r="AC252">
        <v>4000</v>
      </c>
      <c r="AD252" t="s">
        <v>1019</v>
      </c>
      <c r="AE252" t="s">
        <v>2761</v>
      </c>
      <c r="AF252" t="s">
        <v>979</v>
      </c>
      <c r="AG252" t="s">
        <v>977</v>
      </c>
      <c r="AH252" t="s">
        <v>977</v>
      </c>
      <c r="AI252" t="s">
        <v>977</v>
      </c>
      <c r="AJ252" t="s">
        <v>978</v>
      </c>
      <c r="AK252" t="s">
        <v>978</v>
      </c>
      <c r="AL252" t="s">
        <v>978</v>
      </c>
      <c r="AM252" t="s">
        <v>979</v>
      </c>
      <c r="AN252">
        <v>0</v>
      </c>
      <c r="AO252" t="s">
        <v>257</v>
      </c>
      <c r="AP252">
        <v>0</v>
      </c>
      <c r="AQ252">
        <v>1</v>
      </c>
      <c r="AR252">
        <v>43</v>
      </c>
      <c r="AS252">
        <v>1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1</v>
      </c>
      <c r="AZ252" t="s">
        <v>257</v>
      </c>
      <c r="BA252" t="s">
        <v>980</v>
      </c>
      <c r="BB252" t="s">
        <v>981</v>
      </c>
      <c r="BC252" t="s">
        <v>257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 t="s">
        <v>998</v>
      </c>
      <c r="BK252" t="s">
        <v>981</v>
      </c>
      <c r="BL252" t="s">
        <v>2757</v>
      </c>
      <c r="BM252">
        <v>20150521</v>
      </c>
      <c r="BN252">
        <v>20211021</v>
      </c>
      <c r="BO252">
        <v>0</v>
      </c>
      <c r="BP252" t="s">
        <v>257</v>
      </c>
      <c r="BQ252" t="s">
        <v>983</v>
      </c>
      <c r="BR252" t="s">
        <v>978</v>
      </c>
      <c r="BS252" t="s">
        <v>979</v>
      </c>
      <c r="BT252">
        <v>0</v>
      </c>
      <c r="BU252">
        <v>0</v>
      </c>
      <c r="BV252" t="s">
        <v>1013</v>
      </c>
      <c r="BW252" t="s">
        <v>257</v>
      </c>
      <c r="BX252">
        <v>0</v>
      </c>
      <c r="BY252" t="s">
        <v>980</v>
      </c>
      <c r="BZ252" t="s">
        <v>257</v>
      </c>
      <c r="CA252">
        <v>0</v>
      </c>
      <c r="CB252">
        <v>0</v>
      </c>
      <c r="CC252" t="s">
        <v>1391</v>
      </c>
      <c r="CD252">
        <v>0</v>
      </c>
      <c r="CE252">
        <v>0</v>
      </c>
      <c r="CF252">
        <v>0</v>
      </c>
      <c r="CG252">
        <v>0</v>
      </c>
      <c r="CH252">
        <v>0</v>
      </c>
      <c r="CI252" t="s">
        <v>983</v>
      </c>
      <c r="CJ252" t="s">
        <v>972</v>
      </c>
      <c r="CK252" t="s">
        <v>986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 t="s">
        <v>987</v>
      </c>
      <c r="CV252">
        <v>400008253</v>
      </c>
      <c r="CW252" t="s">
        <v>987</v>
      </c>
      <c r="CX252" t="s">
        <v>2762</v>
      </c>
      <c r="CY252" t="s">
        <v>989</v>
      </c>
    </row>
    <row r="253" spans="1:103" hidden="1" x14ac:dyDescent="0.25">
      <c r="A253">
        <v>410000255</v>
      </c>
      <c r="B253" t="s">
        <v>2763</v>
      </c>
      <c r="C253" t="s">
        <v>2764</v>
      </c>
      <c r="D253">
        <v>401100000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1</v>
      </c>
      <c r="Y253" t="s">
        <v>972</v>
      </c>
      <c r="Z253" t="s">
        <v>2765</v>
      </c>
      <c r="AA253" t="s">
        <v>2766</v>
      </c>
      <c r="AB253" t="s">
        <v>975</v>
      </c>
      <c r="AC253">
        <v>4280</v>
      </c>
      <c r="AD253" t="s">
        <v>1743</v>
      </c>
      <c r="AE253" t="s">
        <v>2767</v>
      </c>
      <c r="AF253" t="s">
        <v>2768</v>
      </c>
      <c r="AG253" t="s">
        <v>977</v>
      </c>
      <c r="AH253" t="s">
        <v>977</v>
      </c>
      <c r="AI253" t="s">
        <v>977</v>
      </c>
      <c r="AJ253" t="s">
        <v>2769</v>
      </c>
      <c r="AK253" t="s">
        <v>2770</v>
      </c>
      <c r="AL253" t="s">
        <v>2771</v>
      </c>
      <c r="AM253" t="s">
        <v>979</v>
      </c>
      <c r="AN253">
        <v>0</v>
      </c>
      <c r="AO253" t="s">
        <v>257</v>
      </c>
      <c r="AP253">
        <v>0</v>
      </c>
      <c r="AQ253">
        <v>1</v>
      </c>
      <c r="AR253">
        <v>43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1</v>
      </c>
      <c r="AZ253" t="s">
        <v>257</v>
      </c>
      <c r="BA253" t="s">
        <v>980</v>
      </c>
      <c r="BB253" t="s">
        <v>981</v>
      </c>
      <c r="BC253" t="s">
        <v>257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 t="s">
        <v>998</v>
      </c>
      <c r="BK253" t="s">
        <v>981</v>
      </c>
      <c r="BL253" t="s">
        <v>2763</v>
      </c>
      <c r="BM253">
        <v>20150602</v>
      </c>
      <c r="BN253">
        <v>20250902</v>
      </c>
      <c r="BO253">
        <v>0</v>
      </c>
      <c r="BP253" t="s">
        <v>257</v>
      </c>
      <c r="BQ253" t="s">
        <v>983</v>
      </c>
      <c r="BR253" t="s">
        <v>978</v>
      </c>
      <c r="BS253" t="s">
        <v>979</v>
      </c>
      <c r="BT253">
        <v>0</v>
      </c>
      <c r="BU253">
        <v>0</v>
      </c>
      <c r="BV253" t="s">
        <v>984</v>
      </c>
      <c r="BW253" t="s">
        <v>257</v>
      </c>
      <c r="BX253">
        <v>0</v>
      </c>
      <c r="BY253" t="s">
        <v>980</v>
      </c>
      <c r="BZ253" t="s">
        <v>257</v>
      </c>
      <c r="CA253">
        <v>0</v>
      </c>
      <c r="CB253">
        <v>0</v>
      </c>
      <c r="CC253" t="s">
        <v>1053</v>
      </c>
      <c r="CD253">
        <v>0</v>
      </c>
      <c r="CE253">
        <v>0</v>
      </c>
      <c r="CF253">
        <v>0</v>
      </c>
      <c r="CG253">
        <v>0</v>
      </c>
      <c r="CH253">
        <v>0</v>
      </c>
      <c r="CI253" t="s">
        <v>983</v>
      </c>
      <c r="CJ253" t="s">
        <v>972</v>
      </c>
      <c r="CK253" t="s">
        <v>986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 t="s">
        <v>987</v>
      </c>
      <c r="CV253">
        <v>400008255</v>
      </c>
      <c r="CW253" t="s">
        <v>987</v>
      </c>
      <c r="CX253" t="s">
        <v>7297</v>
      </c>
      <c r="CY253" t="s">
        <v>989</v>
      </c>
    </row>
    <row r="254" spans="1:103" hidden="1" x14ac:dyDescent="0.25">
      <c r="A254">
        <v>410000256</v>
      </c>
      <c r="B254" t="s">
        <v>2772</v>
      </c>
      <c r="C254" t="s">
        <v>2773</v>
      </c>
      <c r="D254">
        <v>401100000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1</v>
      </c>
      <c r="Y254" t="s">
        <v>972</v>
      </c>
      <c r="Z254" t="s">
        <v>2774</v>
      </c>
      <c r="AA254" t="s">
        <v>987</v>
      </c>
      <c r="AB254" t="s">
        <v>975</v>
      </c>
      <c r="AC254">
        <v>4040</v>
      </c>
      <c r="AD254" t="s">
        <v>976</v>
      </c>
      <c r="AE254" t="s">
        <v>2775</v>
      </c>
      <c r="AF254" t="s">
        <v>2776</v>
      </c>
      <c r="AG254" t="s">
        <v>2777</v>
      </c>
      <c r="AH254" t="s">
        <v>977</v>
      </c>
      <c r="AI254" t="s">
        <v>977</v>
      </c>
      <c r="AJ254" t="s">
        <v>978</v>
      </c>
      <c r="AK254" t="s">
        <v>978</v>
      </c>
      <c r="AL254" t="s">
        <v>978</v>
      </c>
      <c r="AM254" t="s">
        <v>979</v>
      </c>
      <c r="AN254">
        <v>0</v>
      </c>
      <c r="AO254" t="s">
        <v>257</v>
      </c>
      <c r="AP254">
        <v>0</v>
      </c>
      <c r="AQ254">
        <v>1</v>
      </c>
      <c r="AR254">
        <v>43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1</v>
      </c>
      <c r="AZ254" t="s">
        <v>257</v>
      </c>
      <c r="BA254" t="s">
        <v>980</v>
      </c>
      <c r="BB254" t="s">
        <v>981</v>
      </c>
      <c r="BC254" t="s">
        <v>257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 t="s">
        <v>998</v>
      </c>
      <c r="BK254" t="s">
        <v>981</v>
      </c>
      <c r="BL254" t="s">
        <v>2772</v>
      </c>
      <c r="BM254">
        <v>20150602</v>
      </c>
      <c r="BN254">
        <v>20181119</v>
      </c>
      <c r="BO254">
        <v>0</v>
      </c>
      <c r="BP254" t="s">
        <v>257</v>
      </c>
      <c r="BQ254" t="s">
        <v>983</v>
      </c>
      <c r="BR254" t="s">
        <v>978</v>
      </c>
      <c r="BS254" t="s">
        <v>979</v>
      </c>
      <c r="BT254">
        <v>0</v>
      </c>
      <c r="BU254">
        <v>0</v>
      </c>
      <c r="BV254" t="s">
        <v>1013</v>
      </c>
      <c r="BW254" t="s">
        <v>257</v>
      </c>
      <c r="BX254">
        <v>0</v>
      </c>
      <c r="BY254" t="s">
        <v>980</v>
      </c>
      <c r="BZ254" t="s">
        <v>257</v>
      </c>
      <c r="CA254">
        <v>0</v>
      </c>
      <c r="CB254">
        <v>0</v>
      </c>
      <c r="CC254" t="s">
        <v>985</v>
      </c>
      <c r="CD254">
        <v>0</v>
      </c>
      <c r="CE254">
        <v>0</v>
      </c>
      <c r="CF254">
        <v>0</v>
      </c>
      <c r="CG254">
        <v>0</v>
      </c>
      <c r="CH254">
        <v>0</v>
      </c>
      <c r="CI254" t="s">
        <v>983</v>
      </c>
      <c r="CJ254" t="s">
        <v>972</v>
      </c>
      <c r="CK254" t="s">
        <v>986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 t="s">
        <v>987</v>
      </c>
      <c r="CV254">
        <v>400008256</v>
      </c>
      <c r="CW254" t="s">
        <v>987</v>
      </c>
      <c r="CX254" t="s">
        <v>2778</v>
      </c>
      <c r="CY254" t="s">
        <v>989</v>
      </c>
    </row>
    <row r="255" spans="1:103" hidden="1" x14ac:dyDescent="0.25">
      <c r="A255">
        <v>410000257</v>
      </c>
      <c r="B255" t="s">
        <v>2779</v>
      </c>
      <c r="C255" t="s">
        <v>2780</v>
      </c>
      <c r="D255">
        <v>401100000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1</v>
      </c>
      <c r="Y255" t="s">
        <v>972</v>
      </c>
      <c r="Z255" t="s">
        <v>987</v>
      </c>
      <c r="AA255" t="s">
        <v>2781</v>
      </c>
      <c r="AB255" t="s">
        <v>975</v>
      </c>
      <c r="AC255">
        <v>5100</v>
      </c>
      <c r="AD255" t="s">
        <v>2691</v>
      </c>
      <c r="AE255">
        <v>81711782</v>
      </c>
      <c r="AF255">
        <v>81711716</v>
      </c>
      <c r="AG255" t="s">
        <v>977</v>
      </c>
      <c r="AH255" t="s">
        <v>977</v>
      </c>
      <c r="AI255" t="s">
        <v>977</v>
      </c>
      <c r="AJ255" t="s">
        <v>978</v>
      </c>
      <c r="AK255" t="s">
        <v>978</v>
      </c>
      <c r="AL255" t="s">
        <v>978</v>
      </c>
      <c r="AM255" t="s">
        <v>979</v>
      </c>
      <c r="AN255">
        <v>0</v>
      </c>
      <c r="AO255" t="s">
        <v>257</v>
      </c>
      <c r="AP255">
        <v>0</v>
      </c>
      <c r="AQ255">
        <v>1</v>
      </c>
      <c r="AR255">
        <v>43</v>
      </c>
      <c r="AS255">
        <v>1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1</v>
      </c>
      <c r="AZ255" t="s">
        <v>257</v>
      </c>
      <c r="BA255" t="s">
        <v>980</v>
      </c>
      <c r="BB255" t="s">
        <v>981</v>
      </c>
      <c r="BC255" t="s">
        <v>257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 t="s">
        <v>998</v>
      </c>
      <c r="BK255" t="s">
        <v>981</v>
      </c>
      <c r="BL255" t="s">
        <v>2779</v>
      </c>
      <c r="BM255">
        <v>20150612</v>
      </c>
      <c r="BN255">
        <v>20181119</v>
      </c>
      <c r="BO255">
        <v>0</v>
      </c>
      <c r="BP255" t="s">
        <v>257</v>
      </c>
      <c r="BQ255" t="s">
        <v>983</v>
      </c>
      <c r="BR255" t="s">
        <v>978</v>
      </c>
      <c r="BS255" t="s">
        <v>979</v>
      </c>
      <c r="BT255">
        <v>0</v>
      </c>
      <c r="BU255">
        <v>0</v>
      </c>
      <c r="BV255" t="s">
        <v>1013</v>
      </c>
      <c r="BW255" t="s">
        <v>257</v>
      </c>
      <c r="BX255">
        <v>0</v>
      </c>
      <c r="BY255" t="s">
        <v>980</v>
      </c>
      <c r="BZ255" t="s">
        <v>257</v>
      </c>
      <c r="CA255">
        <v>0</v>
      </c>
      <c r="CB255">
        <v>0</v>
      </c>
      <c r="CC255" t="s">
        <v>985</v>
      </c>
      <c r="CD255">
        <v>0</v>
      </c>
      <c r="CE255">
        <v>0</v>
      </c>
      <c r="CF255">
        <v>0</v>
      </c>
      <c r="CG255">
        <v>0</v>
      </c>
      <c r="CH255">
        <v>0</v>
      </c>
      <c r="CI255" t="s">
        <v>983</v>
      </c>
      <c r="CJ255" t="s">
        <v>972</v>
      </c>
      <c r="CK255" t="s">
        <v>986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 t="s">
        <v>987</v>
      </c>
      <c r="CV255">
        <v>400008257</v>
      </c>
      <c r="CW255" t="s">
        <v>987</v>
      </c>
      <c r="CX255" t="s">
        <v>2782</v>
      </c>
      <c r="CY255" t="s">
        <v>989</v>
      </c>
    </row>
    <row r="256" spans="1:103" hidden="1" x14ac:dyDescent="0.25">
      <c r="A256">
        <v>410000258</v>
      </c>
      <c r="B256" t="s">
        <v>2783</v>
      </c>
      <c r="C256" t="s">
        <v>2784</v>
      </c>
      <c r="D256">
        <v>401100000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 t="s">
        <v>972</v>
      </c>
      <c r="Z256" t="s">
        <v>2785</v>
      </c>
      <c r="AA256" t="s">
        <v>2786</v>
      </c>
      <c r="AB256" t="s">
        <v>975</v>
      </c>
      <c r="AC256">
        <v>1080</v>
      </c>
      <c r="AD256" t="s">
        <v>1066</v>
      </c>
      <c r="AE256">
        <v>476333214</v>
      </c>
      <c r="AF256">
        <v>24210740</v>
      </c>
      <c r="AG256" t="s">
        <v>977</v>
      </c>
      <c r="AH256" t="s">
        <v>977</v>
      </c>
      <c r="AI256">
        <v>69201</v>
      </c>
      <c r="AJ256" t="s">
        <v>978</v>
      </c>
      <c r="AK256" t="s">
        <v>978</v>
      </c>
      <c r="AL256" t="s">
        <v>978</v>
      </c>
      <c r="AM256" t="s">
        <v>979</v>
      </c>
      <c r="AN256">
        <v>0</v>
      </c>
      <c r="AO256" t="s">
        <v>257</v>
      </c>
      <c r="AP256">
        <v>0</v>
      </c>
      <c r="AQ256">
        <v>1</v>
      </c>
      <c r="AR256">
        <v>43</v>
      </c>
      <c r="AS256">
        <v>1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1</v>
      </c>
      <c r="AZ256" t="s">
        <v>257</v>
      </c>
      <c r="BA256" t="s">
        <v>980</v>
      </c>
      <c r="BB256" t="s">
        <v>981</v>
      </c>
      <c r="BC256" t="s">
        <v>257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 t="s">
        <v>998</v>
      </c>
      <c r="BK256" t="s">
        <v>981</v>
      </c>
      <c r="BL256" t="s">
        <v>2783</v>
      </c>
      <c r="BM256">
        <v>20150612</v>
      </c>
      <c r="BN256">
        <v>20230309</v>
      </c>
      <c r="BO256">
        <v>0</v>
      </c>
      <c r="BP256" t="s">
        <v>257</v>
      </c>
      <c r="BQ256" t="s">
        <v>983</v>
      </c>
      <c r="BR256" t="s">
        <v>978</v>
      </c>
      <c r="BS256">
        <v>476333214</v>
      </c>
      <c r="BT256">
        <v>0</v>
      </c>
      <c r="BU256">
        <v>0</v>
      </c>
      <c r="BV256" t="s">
        <v>984</v>
      </c>
      <c r="BW256" t="s">
        <v>257</v>
      </c>
      <c r="BX256">
        <v>0</v>
      </c>
      <c r="BY256" t="s">
        <v>980</v>
      </c>
      <c r="BZ256" t="s">
        <v>257</v>
      </c>
      <c r="CA256">
        <v>0</v>
      </c>
      <c r="CB256">
        <v>0</v>
      </c>
      <c r="CC256" t="s">
        <v>1033</v>
      </c>
      <c r="CD256">
        <v>0</v>
      </c>
      <c r="CE256">
        <v>0</v>
      </c>
      <c r="CF256">
        <v>0</v>
      </c>
      <c r="CG256">
        <v>0</v>
      </c>
      <c r="CH256">
        <v>0</v>
      </c>
      <c r="CI256" t="s">
        <v>983</v>
      </c>
      <c r="CJ256" t="s">
        <v>972</v>
      </c>
      <c r="CK256" t="s">
        <v>986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 t="s">
        <v>987</v>
      </c>
      <c r="CV256">
        <v>400008258</v>
      </c>
      <c r="CW256" t="s">
        <v>987</v>
      </c>
      <c r="CX256" t="s">
        <v>2787</v>
      </c>
      <c r="CY256" t="s">
        <v>989</v>
      </c>
    </row>
    <row r="257" spans="1:103" hidden="1" x14ac:dyDescent="0.25">
      <c r="A257">
        <v>410000259</v>
      </c>
      <c r="B257" t="s">
        <v>2788</v>
      </c>
      <c r="C257" t="s">
        <v>2789</v>
      </c>
      <c r="D257">
        <v>401100000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1</v>
      </c>
      <c r="Y257" t="s">
        <v>972</v>
      </c>
      <c r="Z257" t="s">
        <v>987</v>
      </c>
      <c r="AA257" t="s">
        <v>2790</v>
      </c>
      <c r="AB257" t="s">
        <v>975</v>
      </c>
      <c r="AC257">
        <v>4651</v>
      </c>
      <c r="AD257" t="s">
        <v>1204</v>
      </c>
      <c r="AE257" t="s">
        <v>2791</v>
      </c>
      <c r="AF257" t="s">
        <v>2792</v>
      </c>
      <c r="AG257" t="s">
        <v>2793</v>
      </c>
      <c r="AH257" t="s">
        <v>977</v>
      </c>
      <c r="AI257" t="s">
        <v>977</v>
      </c>
      <c r="AJ257" t="s">
        <v>978</v>
      </c>
      <c r="AK257" t="s">
        <v>978</v>
      </c>
      <c r="AL257" t="s">
        <v>978</v>
      </c>
      <c r="AM257" t="s">
        <v>979</v>
      </c>
      <c r="AN257">
        <v>0</v>
      </c>
      <c r="AO257" t="s">
        <v>257</v>
      </c>
      <c r="AP257">
        <v>0</v>
      </c>
      <c r="AQ257">
        <v>1</v>
      </c>
      <c r="AR257">
        <v>43</v>
      </c>
      <c r="AS257">
        <v>1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1</v>
      </c>
      <c r="AZ257" t="s">
        <v>257</v>
      </c>
      <c r="BA257" t="s">
        <v>980</v>
      </c>
      <c r="BB257" t="s">
        <v>981</v>
      </c>
      <c r="BC257" t="s">
        <v>257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 t="s">
        <v>998</v>
      </c>
      <c r="BK257" t="s">
        <v>981</v>
      </c>
      <c r="BL257" t="s">
        <v>2788</v>
      </c>
      <c r="BM257">
        <v>20150615</v>
      </c>
      <c r="BN257">
        <v>20181119</v>
      </c>
      <c r="BO257">
        <v>0</v>
      </c>
      <c r="BP257" t="s">
        <v>257</v>
      </c>
      <c r="BQ257" t="s">
        <v>983</v>
      </c>
      <c r="BR257" t="s">
        <v>978</v>
      </c>
      <c r="BS257" t="s">
        <v>979</v>
      </c>
      <c r="BT257">
        <v>0</v>
      </c>
      <c r="BU257">
        <v>0</v>
      </c>
      <c r="BV257" t="s">
        <v>1013</v>
      </c>
      <c r="BW257" t="s">
        <v>257</v>
      </c>
      <c r="BX257">
        <v>0</v>
      </c>
      <c r="BY257" t="s">
        <v>980</v>
      </c>
      <c r="BZ257" t="s">
        <v>257</v>
      </c>
      <c r="CA257">
        <v>0</v>
      </c>
      <c r="CB257">
        <v>0</v>
      </c>
      <c r="CC257" t="s">
        <v>1397</v>
      </c>
      <c r="CD257">
        <v>0</v>
      </c>
      <c r="CE257">
        <v>0</v>
      </c>
      <c r="CF257">
        <v>0</v>
      </c>
      <c r="CG257">
        <v>0</v>
      </c>
      <c r="CH257">
        <v>0</v>
      </c>
      <c r="CI257" t="s">
        <v>983</v>
      </c>
      <c r="CJ257" t="s">
        <v>972</v>
      </c>
      <c r="CK257" t="s">
        <v>986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 t="s">
        <v>987</v>
      </c>
      <c r="CV257">
        <v>400008259</v>
      </c>
      <c r="CW257" t="s">
        <v>987</v>
      </c>
      <c r="CX257" t="s">
        <v>2794</v>
      </c>
      <c r="CY257" t="s">
        <v>989</v>
      </c>
    </row>
    <row r="258" spans="1:103" hidden="1" x14ac:dyDescent="0.25">
      <c r="A258">
        <v>410000260</v>
      </c>
      <c r="B258" t="s">
        <v>2795</v>
      </c>
      <c r="C258" t="s">
        <v>2796</v>
      </c>
      <c r="D258">
        <v>401100000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1</v>
      </c>
      <c r="Y258" t="s">
        <v>972</v>
      </c>
      <c r="Z258" t="s">
        <v>2797</v>
      </c>
      <c r="AA258" t="s">
        <v>2798</v>
      </c>
      <c r="AB258" t="s">
        <v>975</v>
      </c>
      <c r="AC258">
        <v>4031</v>
      </c>
      <c r="AD258" t="s">
        <v>1283</v>
      </c>
      <c r="AE258" t="s">
        <v>2799</v>
      </c>
      <c r="AF258" t="s">
        <v>2800</v>
      </c>
      <c r="AG258" t="s">
        <v>977</v>
      </c>
      <c r="AH258" t="s">
        <v>2801</v>
      </c>
      <c r="AI258" t="s">
        <v>977</v>
      </c>
      <c r="AJ258" t="s">
        <v>978</v>
      </c>
      <c r="AK258" t="s">
        <v>978</v>
      </c>
      <c r="AL258" t="s">
        <v>978</v>
      </c>
      <c r="AM258" t="s">
        <v>979</v>
      </c>
      <c r="AN258">
        <v>0</v>
      </c>
      <c r="AO258" t="s">
        <v>257</v>
      </c>
      <c r="AP258">
        <v>0</v>
      </c>
      <c r="AQ258">
        <v>1</v>
      </c>
      <c r="AR258">
        <v>43</v>
      </c>
      <c r="AS258">
        <v>1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1</v>
      </c>
      <c r="AZ258" t="s">
        <v>257</v>
      </c>
      <c r="BA258" t="s">
        <v>980</v>
      </c>
      <c r="BB258" t="s">
        <v>981</v>
      </c>
      <c r="BC258" t="s">
        <v>257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 t="s">
        <v>998</v>
      </c>
      <c r="BK258" t="s">
        <v>981</v>
      </c>
      <c r="BL258" t="s">
        <v>2795</v>
      </c>
      <c r="BM258">
        <v>20150616</v>
      </c>
      <c r="BN258">
        <v>20181119</v>
      </c>
      <c r="BO258">
        <v>0</v>
      </c>
      <c r="BP258" t="s">
        <v>257</v>
      </c>
      <c r="BQ258" t="s">
        <v>983</v>
      </c>
      <c r="BR258" t="s">
        <v>978</v>
      </c>
      <c r="BS258" t="s">
        <v>979</v>
      </c>
      <c r="BT258">
        <v>0</v>
      </c>
      <c r="BU258">
        <v>0</v>
      </c>
      <c r="BV258" t="s">
        <v>1013</v>
      </c>
      <c r="BW258" t="s">
        <v>257</v>
      </c>
      <c r="BX258">
        <v>0</v>
      </c>
      <c r="BY258" t="s">
        <v>980</v>
      </c>
      <c r="BZ258" t="s">
        <v>257</v>
      </c>
      <c r="CA258">
        <v>0</v>
      </c>
      <c r="CB258">
        <v>0</v>
      </c>
      <c r="CC258" t="s">
        <v>1397</v>
      </c>
      <c r="CD258">
        <v>0</v>
      </c>
      <c r="CE258">
        <v>0</v>
      </c>
      <c r="CF258">
        <v>0</v>
      </c>
      <c r="CG258">
        <v>0</v>
      </c>
      <c r="CH258">
        <v>0</v>
      </c>
      <c r="CI258" t="s">
        <v>983</v>
      </c>
      <c r="CJ258" t="s">
        <v>972</v>
      </c>
      <c r="CK258" t="s">
        <v>986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 t="s">
        <v>987</v>
      </c>
      <c r="CV258">
        <v>400008260</v>
      </c>
      <c r="CW258" t="s">
        <v>987</v>
      </c>
      <c r="CX258" t="s">
        <v>2802</v>
      </c>
      <c r="CY258" t="s">
        <v>989</v>
      </c>
    </row>
    <row r="259" spans="1:103" hidden="1" x14ac:dyDescent="0.25">
      <c r="A259">
        <v>410000261</v>
      </c>
      <c r="B259" t="s">
        <v>2803</v>
      </c>
      <c r="C259" t="s">
        <v>2804</v>
      </c>
      <c r="D259">
        <v>401100000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1</v>
      </c>
      <c r="Y259" t="s">
        <v>972</v>
      </c>
      <c r="Z259" t="s">
        <v>987</v>
      </c>
      <c r="AA259" t="s">
        <v>2805</v>
      </c>
      <c r="AB259" t="s">
        <v>975</v>
      </c>
      <c r="AC259">
        <v>4031</v>
      </c>
      <c r="AD259" t="s">
        <v>1283</v>
      </c>
      <c r="AE259" t="s">
        <v>2806</v>
      </c>
      <c r="AF259" t="s">
        <v>979</v>
      </c>
      <c r="AG259" t="s">
        <v>977</v>
      </c>
      <c r="AH259" t="s">
        <v>977</v>
      </c>
      <c r="AI259" t="s">
        <v>977</v>
      </c>
      <c r="AJ259" t="s">
        <v>978</v>
      </c>
      <c r="AK259" t="s">
        <v>978</v>
      </c>
      <c r="AL259" t="s">
        <v>978</v>
      </c>
      <c r="AM259" t="s">
        <v>979</v>
      </c>
      <c r="AN259">
        <v>0</v>
      </c>
      <c r="AO259" t="s">
        <v>257</v>
      </c>
      <c r="AP259">
        <v>0</v>
      </c>
      <c r="AQ259">
        <v>1</v>
      </c>
      <c r="AR259">
        <v>43</v>
      </c>
      <c r="AS259">
        <v>1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1</v>
      </c>
      <c r="AZ259" t="s">
        <v>257</v>
      </c>
      <c r="BA259" t="s">
        <v>980</v>
      </c>
      <c r="BB259" t="s">
        <v>981</v>
      </c>
      <c r="BC259" t="s">
        <v>257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 t="s">
        <v>998</v>
      </c>
      <c r="BK259" t="s">
        <v>981</v>
      </c>
      <c r="BL259" t="s">
        <v>2803</v>
      </c>
      <c r="BM259">
        <v>20150625</v>
      </c>
      <c r="BN259">
        <v>20181119</v>
      </c>
      <c r="BO259">
        <v>0</v>
      </c>
      <c r="BP259" t="s">
        <v>257</v>
      </c>
      <c r="BQ259" t="s">
        <v>983</v>
      </c>
      <c r="BR259" t="s">
        <v>978</v>
      </c>
      <c r="BS259" t="s">
        <v>979</v>
      </c>
      <c r="BT259">
        <v>0</v>
      </c>
      <c r="BU259">
        <v>0</v>
      </c>
      <c r="BV259" t="s">
        <v>1013</v>
      </c>
      <c r="BW259" t="s">
        <v>257</v>
      </c>
      <c r="BX259">
        <v>0</v>
      </c>
      <c r="BY259" t="s">
        <v>980</v>
      </c>
      <c r="BZ259" t="s">
        <v>257</v>
      </c>
      <c r="CA259">
        <v>0</v>
      </c>
      <c r="CB259">
        <v>0</v>
      </c>
      <c r="CC259" t="s">
        <v>1207</v>
      </c>
      <c r="CD259">
        <v>0</v>
      </c>
      <c r="CE259">
        <v>0</v>
      </c>
      <c r="CF259">
        <v>0</v>
      </c>
      <c r="CG259">
        <v>0</v>
      </c>
      <c r="CH259">
        <v>0</v>
      </c>
      <c r="CI259" t="s">
        <v>983</v>
      </c>
      <c r="CJ259" t="s">
        <v>972</v>
      </c>
      <c r="CK259" t="s">
        <v>986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 t="s">
        <v>987</v>
      </c>
      <c r="CV259">
        <v>400008261</v>
      </c>
      <c r="CW259" t="s">
        <v>987</v>
      </c>
      <c r="CX259" t="s">
        <v>2807</v>
      </c>
      <c r="CY259" t="s">
        <v>989</v>
      </c>
    </row>
    <row r="260" spans="1:103" hidden="1" x14ac:dyDescent="0.25">
      <c r="A260">
        <v>410000262</v>
      </c>
      <c r="B260" t="s">
        <v>2808</v>
      </c>
      <c r="C260" t="s">
        <v>2809</v>
      </c>
      <c r="D260">
        <v>401100000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1</v>
      </c>
      <c r="Y260" t="s">
        <v>972</v>
      </c>
      <c r="Z260" t="s">
        <v>2810</v>
      </c>
      <c r="AA260" t="s">
        <v>2811</v>
      </c>
      <c r="AB260" t="s">
        <v>975</v>
      </c>
      <c r="AC260">
        <v>7181</v>
      </c>
      <c r="AD260" t="s">
        <v>1827</v>
      </c>
      <c r="AE260" t="s">
        <v>2812</v>
      </c>
      <c r="AF260" t="s">
        <v>2813</v>
      </c>
      <c r="AG260" t="s">
        <v>977</v>
      </c>
      <c r="AH260" t="s">
        <v>977</v>
      </c>
      <c r="AI260" t="s">
        <v>977</v>
      </c>
      <c r="AJ260" t="s">
        <v>2814</v>
      </c>
      <c r="AK260" t="s">
        <v>2815</v>
      </c>
      <c r="AL260" t="s">
        <v>978</v>
      </c>
      <c r="AM260" t="s">
        <v>979</v>
      </c>
      <c r="AN260">
        <v>0</v>
      </c>
      <c r="AO260" t="s">
        <v>257</v>
      </c>
      <c r="AP260">
        <v>0</v>
      </c>
      <c r="AQ260">
        <v>1</v>
      </c>
      <c r="AR260">
        <v>43</v>
      </c>
      <c r="AS260">
        <v>1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1</v>
      </c>
      <c r="AZ260" t="s">
        <v>257</v>
      </c>
      <c r="BA260" t="s">
        <v>980</v>
      </c>
      <c r="BB260" t="s">
        <v>1010</v>
      </c>
      <c r="BC260" t="s">
        <v>257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 t="s">
        <v>998</v>
      </c>
      <c r="BK260" t="s">
        <v>981</v>
      </c>
      <c r="BL260" t="s">
        <v>2808</v>
      </c>
      <c r="BM260">
        <v>20150629</v>
      </c>
      <c r="BN260">
        <v>20181119</v>
      </c>
      <c r="BO260">
        <v>20170529</v>
      </c>
      <c r="BP260" t="s">
        <v>257</v>
      </c>
      <c r="BQ260" t="s">
        <v>983</v>
      </c>
      <c r="BR260" t="s">
        <v>978</v>
      </c>
      <c r="BS260" t="s">
        <v>979</v>
      </c>
      <c r="BT260">
        <v>0</v>
      </c>
      <c r="BU260">
        <v>0</v>
      </c>
      <c r="BV260" t="s">
        <v>1013</v>
      </c>
      <c r="BW260" t="s">
        <v>257</v>
      </c>
      <c r="BX260">
        <v>0</v>
      </c>
      <c r="BY260" t="s">
        <v>980</v>
      </c>
      <c r="BZ260" t="s">
        <v>257</v>
      </c>
      <c r="CA260">
        <v>0</v>
      </c>
      <c r="CB260">
        <v>0</v>
      </c>
      <c r="CC260" t="s">
        <v>1033</v>
      </c>
      <c r="CD260">
        <v>0</v>
      </c>
      <c r="CE260">
        <v>0</v>
      </c>
      <c r="CF260">
        <v>0</v>
      </c>
      <c r="CG260">
        <v>0</v>
      </c>
      <c r="CH260">
        <v>0</v>
      </c>
      <c r="CI260" t="s">
        <v>983</v>
      </c>
      <c r="CJ260" t="s">
        <v>972</v>
      </c>
      <c r="CK260" t="s">
        <v>986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 t="s">
        <v>987</v>
      </c>
      <c r="CV260">
        <v>400008262</v>
      </c>
      <c r="CW260" t="s">
        <v>987</v>
      </c>
      <c r="CX260" t="s">
        <v>2816</v>
      </c>
      <c r="CY260" t="s">
        <v>989</v>
      </c>
    </row>
    <row r="261" spans="1:103" hidden="1" x14ac:dyDescent="0.25">
      <c r="A261">
        <v>410000264</v>
      </c>
      <c r="B261" t="s">
        <v>2817</v>
      </c>
      <c r="C261" t="s">
        <v>2818</v>
      </c>
      <c r="D261">
        <v>401100000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1</v>
      </c>
      <c r="X261">
        <v>1</v>
      </c>
      <c r="Y261" t="s">
        <v>2819</v>
      </c>
      <c r="Z261" t="s">
        <v>987</v>
      </c>
      <c r="AA261" t="s">
        <v>2820</v>
      </c>
      <c r="AB261" t="s">
        <v>1626</v>
      </c>
      <c r="AC261">
        <v>8308</v>
      </c>
      <c r="AD261" t="s">
        <v>2490</v>
      </c>
      <c r="AE261" t="s">
        <v>2821</v>
      </c>
      <c r="AF261" t="s">
        <v>2822</v>
      </c>
      <c r="AG261" t="s">
        <v>977</v>
      </c>
      <c r="AH261" t="s">
        <v>977</v>
      </c>
      <c r="AI261" t="s">
        <v>977</v>
      </c>
      <c r="AJ261" t="s">
        <v>978</v>
      </c>
      <c r="AK261" t="s">
        <v>978</v>
      </c>
      <c r="AL261" t="s">
        <v>978</v>
      </c>
      <c r="AM261" t="s">
        <v>979</v>
      </c>
      <c r="AN261">
        <v>0</v>
      </c>
      <c r="AO261" t="s">
        <v>257</v>
      </c>
      <c r="AP261">
        <v>0</v>
      </c>
      <c r="AQ261">
        <v>1</v>
      </c>
      <c r="AR261">
        <v>43</v>
      </c>
      <c r="AS261">
        <v>1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1</v>
      </c>
      <c r="AZ261" t="s">
        <v>257</v>
      </c>
      <c r="BA261" t="s">
        <v>980</v>
      </c>
      <c r="BB261" t="s">
        <v>981</v>
      </c>
      <c r="BC261" t="s">
        <v>257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 t="s">
        <v>998</v>
      </c>
      <c r="BK261" t="s">
        <v>981</v>
      </c>
      <c r="BL261" t="s">
        <v>2823</v>
      </c>
      <c r="BM261">
        <v>20150707</v>
      </c>
      <c r="BN261">
        <v>20190129</v>
      </c>
      <c r="BO261">
        <v>0</v>
      </c>
      <c r="BP261" t="s">
        <v>257</v>
      </c>
      <c r="BQ261" t="s">
        <v>983</v>
      </c>
      <c r="BR261" t="s">
        <v>978</v>
      </c>
      <c r="BS261" t="s">
        <v>979</v>
      </c>
      <c r="BT261">
        <v>0</v>
      </c>
      <c r="BU261">
        <v>0</v>
      </c>
      <c r="BV261" t="s">
        <v>984</v>
      </c>
      <c r="BW261" t="s">
        <v>257</v>
      </c>
      <c r="BX261">
        <v>0</v>
      </c>
      <c r="BY261" t="s">
        <v>980</v>
      </c>
      <c r="BZ261" t="s">
        <v>257</v>
      </c>
      <c r="CA261">
        <v>0</v>
      </c>
      <c r="CB261">
        <v>0</v>
      </c>
      <c r="CC261" t="s">
        <v>985</v>
      </c>
      <c r="CD261">
        <v>0</v>
      </c>
      <c r="CE261">
        <v>0</v>
      </c>
      <c r="CF261">
        <v>0</v>
      </c>
      <c r="CG261">
        <v>0</v>
      </c>
      <c r="CH261">
        <v>0</v>
      </c>
      <c r="CI261" t="s">
        <v>983</v>
      </c>
      <c r="CJ261" t="s">
        <v>972</v>
      </c>
      <c r="CK261" t="s">
        <v>986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 t="s">
        <v>987</v>
      </c>
      <c r="CV261">
        <v>400008264</v>
      </c>
      <c r="CW261" t="s">
        <v>987</v>
      </c>
      <c r="CX261" t="s">
        <v>2824</v>
      </c>
      <c r="CY261" t="s">
        <v>989</v>
      </c>
    </row>
    <row r="262" spans="1:103" hidden="1" x14ac:dyDescent="0.25">
      <c r="A262">
        <v>410000265</v>
      </c>
      <c r="B262" t="s">
        <v>2825</v>
      </c>
      <c r="C262" t="s">
        <v>2826</v>
      </c>
      <c r="D262">
        <v>401100000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1</v>
      </c>
      <c r="Y262" t="s">
        <v>972</v>
      </c>
      <c r="Z262" t="s">
        <v>987</v>
      </c>
      <c r="AA262" t="s">
        <v>2827</v>
      </c>
      <c r="AB262" t="s">
        <v>975</v>
      </c>
      <c r="AC262">
        <v>4630</v>
      </c>
      <c r="AD262" t="s">
        <v>1511</v>
      </c>
      <c r="AE262" t="s">
        <v>2828</v>
      </c>
      <c r="AF262" t="s">
        <v>2829</v>
      </c>
      <c r="AG262" t="s">
        <v>977</v>
      </c>
      <c r="AH262" t="s">
        <v>977</v>
      </c>
      <c r="AI262" t="s">
        <v>977</v>
      </c>
      <c r="AJ262" t="s">
        <v>978</v>
      </c>
      <c r="AK262" t="s">
        <v>978</v>
      </c>
      <c r="AL262" t="s">
        <v>978</v>
      </c>
      <c r="AM262" t="s">
        <v>979</v>
      </c>
      <c r="AN262">
        <v>0</v>
      </c>
      <c r="AO262" t="s">
        <v>257</v>
      </c>
      <c r="AP262">
        <v>0</v>
      </c>
      <c r="AQ262">
        <v>1</v>
      </c>
      <c r="AR262">
        <v>43</v>
      </c>
      <c r="AS262">
        <v>1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1</v>
      </c>
      <c r="AZ262" t="s">
        <v>257</v>
      </c>
      <c r="BA262" t="s">
        <v>980</v>
      </c>
      <c r="BB262" t="s">
        <v>981</v>
      </c>
      <c r="BC262" t="s">
        <v>257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 t="s">
        <v>998</v>
      </c>
      <c r="BK262" t="s">
        <v>981</v>
      </c>
      <c r="BL262" t="s">
        <v>2825</v>
      </c>
      <c r="BM262">
        <v>20150710</v>
      </c>
      <c r="BN262">
        <v>20181119</v>
      </c>
      <c r="BO262">
        <v>0</v>
      </c>
      <c r="BP262" t="s">
        <v>257</v>
      </c>
      <c r="BQ262" t="s">
        <v>983</v>
      </c>
      <c r="BR262" t="s">
        <v>978</v>
      </c>
      <c r="BS262" t="s">
        <v>2830</v>
      </c>
      <c r="BT262">
        <v>0</v>
      </c>
      <c r="BU262">
        <v>0</v>
      </c>
      <c r="BV262" t="s">
        <v>1013</v>
      </c>
      <c r="BW262" t="s">
        <v>257</v>
      </c>
      <c r="BX262">
        <v>0</v>
      </c>
      <c r="BY262" t="s">
        <v>980</v>
      </c>
      <c r="BZ262" t="s">
        <v>257</v>
      </c>
      <c r="CA262">
        <v>0</v>
      </c>
      <c r="CB262">
        <v>0</v>
      </c>
      <c r="CC262" t="s">
        <v>1848</v>
      </c>
      <c r="CD262">
        <v>0</v>
      </c>
      <c r="CE262">
        <v>0</v>
      </c>
      <c r="CF262">
        <v>0</v>
      </c>
      <c r="CG262">
        <v>0</v>
      </c>
      <c r="CH262">
        <v>0</v>
      </c>
      <c r="CI262" t="s">
        <v>983</v>
      </c>
      <c r="CJ262" t="s">
        <v>972</v>
      </c>
      <c r="CK262" t="s">
        <v>986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 t="s">
        <v>987</v>
      </c>
      <c r="CV262">
        <v>400008265</v>
      </c>
      <c r="CW262" t="s">
        <v>987</v>
      </c>
      <c r="CX262" t="s">
        <v>2831</v>
      </c>
      <c r="CY262" t="s">
        <v>989</v>
      </c>
    </row>
    <row r="263" spans="1:103" hidden="1" x14ac:dyDescent="0.25">
      <c r="A263">
        <v>410000266</v>
      </c>
      <c r="B263" t="s">
        <v>2832</v>
      </c>
      <c r="C263" t="s">
        <v>2833</v>
      </c>
      <c r="D263">
        <v>401100000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1</v>
      </c>
      <c r="Y263" t="s">
        <v>972</v>
      </c>
      <c r="Z263" t="s">
        <v>2834</v>
      </c>
      <c r="AA263" t="s">
        <v>2835</v>
      </c>
      <c r="AB263" t="s">
        <v>975</v>
      </c>
      <c r="AC263">
        <v>1380</v>
      </c>
      <c r="AD263" t="s">
        <v>2836</v>
      </c>
      <c r="AE263" t="s">
        <v>979</v>
      </c>
      <c r="AF263" t="s">
        <v>979</v>
      </c>
      <c r="AG263" t="s">
        <v>977</v>
      </c>
      <c r="AH263" t="s">
        <v>977</v>
      </c>
      <c r="AI263" t="s">
        <v>977</v>
      </c>
      <c r="AJ263" t="s">
        <v>2837</v>
      </c>
      <c r="AK263" t="s">
        <v>2838</v>
      </c>
      <c r="AL263" t="s">
        <v>978</v>
      </c>
      <c r="AM263" t="s">
        <v>979</v>
      </c>
      <c r="AN263">
        <v>0</v>
      </c>
      <c r="AO263" t="s">
        <v>257</v>
      </c>
      <c r="AP263">
        <v>0</v>
      </c>
      <c r="AQ263">
        <v>1</v>
      </c>
      <c r="AR263">
        <v>43</v>
      </c>
      <c r="AS263">
        <v>1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1</v>
      </c>
      <c r="AZ263" t="s">
        <v>257</v>
      </c>
      <c r="BA263" t="s">
        <v>980</v>
      </c>
      <c r="BB263" t="s">
        <v>981</v>
      </c>
      <c r="BC263" t="s">
        <v>257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 t="s">
        <v>998</v>
      </c>
      <c r="BK263" t="s">
        <v>981</v>
      </c>
      <c r="BL263" t="s">
        <v>2832</v>
      </c>
      <c r="BM263">
        <v>20150715</v>
      </c>
      <c r="BN263">
        <v>20181119</v>
      </c>
      <c r="BO263">
        <v>0</v>
      </c>
      <c r="BP263" t="s">
        <v>257</v>
      </c>
      <c r="BQ263" t="s">
        <v>983</v>
      </c>
      <c r="BR263" t="s">
        <v>978</v>
      </c>
      <c r="BS263" t="s">
        <v>2839</v>
      </c>
      <c r="BT263">
        <v>0</v>
      </c>
      <c r="BU263">
        <v>0</v>
      </c>
      <c r="BV263" t="s">
        <v>1013</v>
      </c>
      <c r="BW263" t="s">
        <v>257</v>
      </c>
      <c r="BX263">
        <v>0</v>
      </c>
      <c r="BY263" t="s">
        <v>980</v>
      </c>
      <c r="BZ263" t="s">
        <v>257</v>
      </c>
      <c r="CA263">
        <v>0</v>
      </c>
      <c r="CB263">
        <v>0</v>
      </c>
      <c r="CC263" t="s">
        <v>2840</v>
      </c>
      <c r="CD263">
        <v>0</v>
      </c>
      <c r="CE263">
        <v>0</v>
      </c>
      <c r="CF263">
        <v>0</v>
      </c>
      <c r="CG263">
        <v>0</v>
      </c>
      <c r="CH263">
        <v>0</v>
      </c>
      <c r="CI263" t="s">
        <v>983</v>
      </c>
      <c r="CJ263" t="s">
        <v>972</v>
      </c>
      <c r="CK263" t="s">
        <v>986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 t="s">
        <v>987</v>
      </c>
      <c r="CV263">
        <v>400008266</v>
      </c>
      <c r="CW263" t="s">
        <v>987</v>
      </c>
      <c r="CX263" t="s">
        <v>1081</v>
      </c>
      <c r="CY263" t="s">
        <v>989</v>
      </c>
    </row>
    <row r="264" spans="1:103" hidden="1" x14ac:dyDescent="0.25">
      <c r="A264">
        <v>410000267</v>
      </c>
      <c r="B264" t="s">
        <v>2841</v>
      </c>
      <c r="C264" t="s">
        <v>2842</v>
      </c>
      <c r="D264">
        <v>401100000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1</v>
      </c>
      <c r="Y264" t="s">
        <v>972</v>
      </c>
      <c r="Z264" t="s">
        <v>987</v>
      </c>
      <c r="AA264" t="s">
        <v>2843</v>
      </c>
      <c r="AB264" t="s">
        <v>975</v>
      </c>
      <c r="AC264">
        <v>4020</v>
      </c>
      <c r="AD264" t="s">
        <v>1019</v>
      </c>
      <c r="AE264" t="s">
        <v>2844</v>
      </c>
      <c r="AF264" t="s">
        <v>979</v>
      </c>
      <c r="AG264" t="s">
        <v>977</v>
      </c>
      <c r="AH264" t="s">
        <v>977</v>
      </c>
      <c r="AI264" t="s">
        <v>977</v>
      </c>
      <c r="AJ264" t="s">
        <v>978</v>
      </c>
      <c r="AK264" t="s">
        <v>978</v>
      </c>
      <c r="AL264" t="s">
        <v>978</v>
      </c>
      <c r="AM264" t="s">
        <v>979</v>
      </c>
      <c r="AN264">
        <v>0</v>
      </c>
      <c r="AO264" t="s">
        <v>257</v>
      </c>
      <c r="AP264">
        <v>0</v>
      </c>
      <c r="AQ264">
        <v>1</v>
      </c>
      <c r="AR264">
        <v>43</v>
      </c>
      <c r="AS264">
        <v>1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1</v>
      </c>
      <c r="AZ264" t="s">
        <v>257</v>
      </c>
      <c r="BA264" t="s">
        <v>980</v>
      </c>
      <c r="BB264" t="s">
        <v>981</v>
      </c>
      <c r="BC264" t="s">
        <v>257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 t="s">
        <v>998</v>
      </c>
      <c r="BK264" t="s">
        <v>981</v>
      </c>
      <c r="BL264" t="s">
        <v>2845</v>
      </c>
      <c r="BM264">
        <v>20150715</v>
      </c>
      <c r="BN264">
        <v>20230130</v>
      </c>
      <c r="BO264">
        <v>0</v>
      </c>
      <c r="BP264" t="s">
        <v>257</v>
      </c>
      <c r="BQ264" t="s">
        <v>983</v>
      </c>
      <c r="BR264" t="s">
        <v>978</v>
      </c>
      <c r="BS264" t="s">
        <v>979</v>
      </c>
      <c r="BT264">
        <v>0</v>
      </c>
      <c r="BU264">
        <v>0</v>
      </c>
      <c r="BV264" t="s">
        <v>984</v>
      </c>
      <c r="BW264" t="s">
        <v>257</v>
      </c>
      <c r="BX264">
        <v>0</v>
      </c>
      <c r="BY264" t="s">
        <v>980</v>
      </c>
      <c r="BZ264" t="s">
        <v>257</v>
      </c>
      <c r="CA264">
        <v>0</v>
      </c>
      <c r="CB264">
        <v>0</v>
      </c>
      <c r="CC264" t="s">
        <v>1207</v>
      </c>
      <c r="CD264">
        <v>0</v>
      </c>
      <c r="CE264">
        <v>0</v>
      </c>
      <c r="CF264">
        <v>0</v>
      </c>
      <c r="CG264">
        <v>0</v>
      </c>
      <c r="CH264">
        <v>0</v>
      </c>
      <c r="CI264" t="s">
        <v>983</v>
      </c>
      <c r="CJ264" t="s">
        <v>972</v>
      </c>
      <c r="CK264" t="s">
        <v>986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 t="s">
        <v>987</v>
      </c>
      <c r="CV264">
        <v>400008267</v>
      </c>
      <c r="CW264" t="s">
        <v>987</v>
      </c>
      <c r="CX264" t="s">
        <v>2846</v>
      </c>
      <c r="CY264" t="s">
        <v>989</v>
      </c>
    </row>
    <row r="265" spans="1:103" hidden="1" x14ac:dyDescent="0.25">
      <c r="A265">
        <v>410000268</v>
      </c>
      <c r="B265" t="s">
        <v>2847</v>
      </c>
      <c r="C265" t="s">
        <v>2848</v>
      </c>
      <c r="D265">
        <v>401100000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1</v>
      </c>
      <c r="Y265" t="s">
        <v>972</v>
      </c>
      <c r="Z265" t="s">
        <v>987</v>
      </c>
      <c r="AA265" t="s">
        <v>2849</v>
      </c>
      <c r="AB265" t="s">
        <v>975</v>
      </c>
      <c r="AC265">
        <v>5310</v>
      </c>
      <c r="AD265" t="s">
        <v>2850</v>
      </c>
      <c r="AE265" t="s">
        <v>2851</v>
      </c>
      <c r="AF265" t="s">
        <v>2852</v>
      </c>
      <c r="AG265" t="s">
        <v>977</v>
      </c>
      <c r="AH265" t="s">
        <v>977</v>
      </c>
      <c r="AI265" t="s">
        <v>977</v>
      </c>
      <c r="AJ265" t="s">
        <v>978</v>
      </c>
      <c r="AK265" t="s">
        <v>978</v>
      </c>
      <c r="AL265" t="s">
        <v>978</v>
      </c>
      <c r="AM265" t="s">
        <v>979</v>
      </c>
      <c r="AN265">
        <v>0</v>
      </c>
      <c r="AO265" t="s">
        <v>257</v>
      </c>
      <c r="AP265">
        <v>0</v>
      </c>
      <c r="AQ265">
        <v>1</v>
      </c>
      <c r="AR265">
        <v>43</v>
      </c>
      <c r="AS265">
        <v>1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1</v>
      </c>
      <c r="AZ265" t="s">
        <v>257</v>
      </c>
      <c r="BA265" t="s">
        <v>980</v>
      </c>
      <c r="BB265" t="s">
        <v>981</v>
      </c>
      <c r="BC265" t="s">
        <v>257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 t="s">
        <v>998</v>
      </c>
      <c r="BK265" t="s">
        <v>981</v>
      </c>
      <c r="BL265" t="s">
        <v>2847</v>
      </c>
      <c r="BM265">
        <v>20150803</v>
      </c>
      <c r="BN265">
        <v>20241119</v>
      </c>
      <c r="BO265">
        <v>0</v>
      </c>
      <c r="BP265" t="s">
        <v>257</v>
      </c>
      <c r="BQ265" t="s">
        <v>983</v>
      </c>
      <c r="BR265" t="s">
        <v>978</v>
      </c>
      <c r="BS265" t="s">
        <v>979</v>
      </c>
      <c r="BT265">
        <v>0</v>
      </c>
      <c r="BU265">
        <v>0</v>
      </c>
      <c r="BV265" t="s">
        <v>984</v>
      </c>
      <c r="BW265" t="s">
        <v>257</v>
      </c>
      <c r="BX265">
        <v>0</v>
      </c>
      <c r="BY265" t="s">
        <v>980</v>
      </c>
      <c r="BZ265" t="s">
        <v>257</v>
      </c>
      <c r="CA265">
        <v>0</v>
      </c>
      <c r="CB265">
        <v>0</v>
      </c>
      <c r="CC265" t="s">
        <v>2301</v>
      </c>
      <c r="CD265">
        <v>0</v>
      </c>
      <c r="CE265">
        <v>0</v>
      </c>
      <c r="CF265">
        <v>0</v>
      </c>
      <c r="CG265">
        <v>0</v>
      </c>
      <c r="CH265">
        <v>0</v>
      </c>
      <c r="CI265" t="s">
        <v>983</v>
      </c>
      <c r="CJ265" t="s">
        <v>972</v>
      </c>
      <c r="CK265" t="s">
        <v>986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 t="s">
        <v>987</v>
      </c>
      <c r="CV265">
        <v>400008268</v>
      </c>
      <c r="CW265" t="s">
        <v>987</v>
      </c>
      <c r="CX265" t="s">
        <v>2853</v>
      </c>
      <c r="CY265" t="s">
        <v>989</v>
      </c>
    </row>
    <row r="266" spans="1:103" hidden="1" x14ac:dyDescent="0.25">
      <c r="A266">
        <v>410000269</v>
      </c>
      <c r="B266" t="s">
        <v>2854</v>
      </c>
      <c r="C266" t="s">
        <v>2855</v>
      </c>
      <c r="D266">
        <v>401100000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1</v>
      </c>
      <c r="Y266" t="s">
        <v>972</v>
      </c>
      <c r="Z266" t="s">
        <v>2856</v>
      </c>
      <c r="AA266" t="s">
        <v>2857</v>
      </c>
      <c r="AB266" t="s">
        <v>975</v>
      </c>
      <c r="AC266">
        <v>4020</v>
      </c>
      <c r="AD266" t="s">
        <v>2858</v>
      </c>
      <c r="AE266">
        <v>43432886</v>
      </c>
      <c r="AF266">
        <v>4342861</v>
      </c>
      <c r="AG266" t="s">
        <v>977</v>
      </c>
      <c r="AH266" t="s">
        <v>977</v>
      </c>
      <c r="AI266" t="s">
        <v>977</v>
      </c>
      <c r="AJ266" t="s">
        <v>978</v>
      </c>
      <c r="AK266" t="s">
        <v>978</v>
      </c>
      <c r="AL266" t="s">
        <v>978</v>
      </c>
      <c r="AM266" t="s">
        <v>979</v>
      </c>
      <c r="AN266">
        <v>0</v>
      </c>
      <c r="AO266" t="s">
        <v>257</v>
      </c>
      <c r="AP266">
        <v>0</v>
      </c>
      <c r="AQ266">
        <v>1</v>
      </c>
      <c r="AR266">
        <v>43</v>
      </c>
      <c r="AS266">
        <v>1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1</v>
      </c>
      <c r="AZ266" t="s">
        <v>257</v>
      </c>
      <c r="BA266" t="s">
        <v>980</v>
      </c>
      <c r="BB266" t="s">
        <v>981</v>
      </c>
      <c r="BC266" t="s">
        <v>257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 t="s">
        <v>998</v>
      </c>
      <c r="BK266" t="s">
        <v>981</v>
      </c>
      <c r="BL266" t="s">
        <v>2854</v>
      </c>
      <c r="BM266">
        <v>20150805</v>
      </c>
      <c r="BN266">
        <v>20181119</v>
      </c>
      <c r="BO266">
        <v>0</v>
      </c>
      <c r="BP266" t="s">
        <v>257</v>
      </c>
      <c r="BQ266" t="s">
        <v>983</v>
      </c>
      <c r="BR266" t="s">
        <v>978</v>
      </c>
      <c r="BS266" t="s">
        <v>979</v>
      </c>
      <c r="BT266">
        <v>0</v>
      </c>
      <c r="BU266">
        <v>0</v>
      </c>
      <c r="BV266" t="s">
        <v>1013</v>
      </c>
      <c r="BW266" t="s">
        <v>257</v>
      </c>
      <c r="BX266">
        <v>0</v>
      </c>
      <c r="BY266" t="s">
        <v>980</v>
      </c>
      <c r="BZ266" t="s">
        <v>257</v>
      </c>
      <c r="CA266">
        <v>0</v>
      </c>
      <c r="CB266">
        <v>0</v>
      </c>
      <c r="CC266" t="s">
        <v>1119</v>
      </c>
      <c r="CD266">
        <v>0</v>
      </c>
      <c r="CE266">
        <v>0</v>
      </c>
      <c r="CF266">
        <v>0</v>
      </c>
      <c r="CG266">
        <v>0</v>
      </c>
      <c r="CH266">
        <v>0</v>
      </c>
      <c r="CI266" t="s">
        <v>983</v>
      </c>
      <c r="CJ266" t="s">
        <v>972</v>
      </c>
      <c r="CK266" t="s">
        <v>986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 t="s">
        <v>987</v>
      </c>
      <c r="CV266">
        <v>400008269</v>
      </c>
      <c r="CW266" t="s">
        <v>987</v>
      </c>
      <c r="CX266" t="s">
        <v>2859</v>
      </c>
      <c r="CY266" t="s">
        <v>989</v>
      </c>
    </row>
    <row r="267" spans="1:103" hidden="1" x14ac:dyDescent="0.25">
      <c r="A267">
        <v>410000270</v>
      </c>
      <c r="B267" t="s">
        <v>2860</v>
      </c>
      <c r="C267" t="s">
        <v>1242</v>
      </c>
      <c r="D267">
        <v>401100000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1</v>
      </c>
      <c r="X267">
        <v>1</v>
      </c>
      <c r="Y267" t="s">
        <v>972</v>
      </c>
      <c r="Z267" t="s">
        <v>987</v>
      </c>
      <c r="AA267" t="s">
        <v>1244</v>
      </c>
      <c r="AB267" t="s">
        <v>975</v>
      </c>
      <c r="AC267">
        <v>5030</v>
      </c>
      <c r="AD267" t="s">
        <v>1245</v>
      </c>
      <c r="AE267" t="s">
        <v>1246</v>
      </c>
      <c r="AF267" t="s">
        <v>2861</v>
      </c>
      <c r="AG267" t="s">
        <v>977</v>
      </c>
      <c r="AH267" t="s">
        <v>977</v>
      </c>
      <c r="AI267" t="s">
        <v>977</v>
      </c>
      <c r="AJ267" t="s">
        <v>2862</v>
      </c>
      <c r="AK267" t="s">
        <v>2863</v>
      </c>
      <c r="AL267" t="s">
        <v>978</v>
      </c>
      <c r="AM267" t="s">
        <v>979</v>
      </c>
      <c r="AN267">
        <v>0</v>
      </c>
      <c r="AO267" t="s">
        <v>257</v>
      </c>
      <c r="AP267">
        <v>0</v>
      </c>
      <c r="AQ267">
        <v>1</v>
      </c>
      <c r="AR267">
        <v>10</v>
      </c>
      <c r="AS267">
        <v>1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1</v>
      </c>
      <c r="AZ267" t="s">
        <v>257</v>
      </c>
      <c r="BA267" t="s">
        <v>980</v>
      </c>
      <c r="BB267" t="s">
        <v>981</v>
      </c>
      <c r="BC267" t="s">
        <v>257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410000264</v>
      </c>
      <c r="BJ267" t="s">
        <v>998</v>
      </c>
      <c r="BK267" t="s">
        <v>981</v>
      </c>
      <c r="BL267" t="s">
        <v>2860</v>
      </c>
      <c r="BM267">
        <v>20150806</v>
      </c>
      <c r="BN267">
        <v>20181119</v>
      </c>
      <c r="BO267">
        <v>0</v>
      </c>
      <c r="BP267" t="s">
        <v>257</v>
      </c>
      <c r="BQ267" t="s">
        <v>983</v>
      </c>
      <c r="BR267" t="s">
        <v>978</v>
      </c>
      <c r="BS267" t="s">
        <v>979</v>
      </c>
      <c r="BT267">
        <v>0</v>
      </c>
      <c r="BU267">
        <v>0</v>
      </c>
      <c r="BV267" t="s">
        <v>1013</v>
      </c>
      <c r="BW267" t="s">
        <v>257</v>
      </c>
      <c r="BX267">
        <v>0</v>
      </c>
      <c r="BY267" t="s">
        <v>980</v>
      </c>
      <c r="BZ267" t="s">
        <v>257</v>
      </c>
      <c r="CA267">
        <v>0</v>
      </c>
      <c r="CB267">
        <v>0</v>
      </c>
      <c r="CC267" t="s">
        <v>1250</v>
      </c>
      <c r="CD267">
        <v>0</v>
      </c>
      <c r="CE267">
        <v>0</v>
      </c>
      <c r="CF267">
        <v>0</v>
      </c>
      <c r="CG267">
        <v>0</v>
      </c>
      <c r="CH267">
        <v>0</v>
      </c>
      <c r="CI267" t="s">
        <v>983</v>
      </c>
      <c r="CJ267" t="s">
        <v>972</v>
      </c>
      <c r="CK267" t="s">
        <v>986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 t="s">
        <v>987</v>
      </c>
      <c r="CV267">
        <v>400008270</v>
      </c>
      <c r="CW267" t="s">
        <v>987</v>
      </c>
      <c r="CX267" t="s">
        <v>1081</v>
      </c>
      <c r="CY267" t="s">
        <v>989</v>
      </c>
    </row>
    <row r="268" spans="1:103" hidden="1" x14ac:dyDescent="0.25">
      <c r="A268">
        <v>410000271</v>
      </c>
      <c r="B268" t="s">
        <v>2864</v>
      </c>
      <c r="C268" t="s">
        <v>2865</v>
      </c>
      <c r="D268">
        <v>401100000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1</v>
      </c>
      <c r="Y268" t="s">
        <v>972</v>
      </c>
      <c r="Z268" t="s">
        <v>987</v>
      </c>
      <c r="AA268" t="s">
        <v>2866</v>
      </c>
      <c r="AB268" t="s">
        <v>975</v>
      </c>
      <c r="AC268">
        <v>1000</v>
      </c>
      <c r="AD268" t="s">
        <v>1066</v>
      </c>
      <c r="AE268" t="s">
        <v>979</v>
      </c>
      <c r="AF268" t="s">
        <v>979</v>
      </c>
      <c r="AG268" t="s">
        <v>977</v>
      </c>
      <c r="AH268" t="s">
        <v>977</v>
      </c>
      <c r="AI268" t="s">
        <v>977</v>
      </c>
      <c r="AJ268" t="s">
        <v>978</v>
      </c>
      <c r="AK268" t="s">
        <v>978</v>
      </c>
      <c r="AL268" t="s">
        <v>978</v>
      </c>
      <c r="AM268" t="s">
        <v>979</v>
      </c>
      <c r="AN268">
        <v>0</v>
      </c>
      <c r="AO268" t="s">
        <v>257</v>
      </c>
      <c r="AP268">
        <v>0</v>
      </c>
      <c r="AQ268">
        <v>1</v>
      </c>
      <c r="AR268">
        <v>43</v>
      </c>
      <c r="AS268">
        <v>1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1</v>
      </c>
      <c r="AZ268" t="s">
        <v>257</v>
      </c>
      <c r="BA268" t="s">
        <v>980</v>
      </c>
      <c r="BB268" t="s">
        <v>981</v>
      </c>
      <c r="BC268" t="s">
        <v>257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 t="s">
        <v>998</v>
      </c>
      <c r="BK268" t="s">
        <v>981</v>
      </c>
      <c r="BL268" t="s">
        <v>2864</v>
      </c>
      <c r="BM268">
        <v>20150813</v>
      </c>
      <c r="BN268">
        <v>20181119</v>
      </c>
      <c r="BO268">
        <v>0</v>
      </c>
      <c r="BP268" t="s">
        <v>257</v>
      </c>
      <c r="BQ268" t="s">
        <v>983</v>
      </c>
      <c r="BR268" t="s">
        <v>978</v>
      </c>
      <c r="BS268" t="s">
        <v>979</v>
      </c>
      <c r="BT268">
        <v>0</v>
      </c>
      <c r="BU268">
        <v>0</v>
      </c>
      <c r="BV268" t="s">
        <v>1013</v>
      </c>
      <c r="BW268" t="s">
        <v>257</v>
      </c>
      <c r="BX268">
        <v>0</v>
      </c>
      <c r="BY268" t="s">
        <v>980</v>
      </c>
      <c r="BZ268" t="s">
        <v>257</v>
      </c>
      <c r="CA268">
        <v>0</v>
      </c>
      <c r="CB268">
        <v>0</v>
      </c>
      <c r="CC268" t="s">
        <v>1165</v>
      </c>
      <c r="CD268">
        <v>0</v>
      </c>
      <c r="CE268">
        <v>0</v>
      </c>
      <c r="CF268">
        <v>0</v>
      </c>
      <c r="CG268">
        <v>0</v>
      </c>
      <c r="CH268">
        <v>0</v>
      </c>
      <c r="CI268" t="s">
        <v>983</v>
      </c>
      <c r="CJ268" t="s">
        <v>972</v>
      </c>
      <c r="CK268" t="s">
        <v>986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 t="s">
        <v>987</v>
      </c>
      <c r="CV268">
        <v>400008271</v>
      </c>
      <c r="CW268" t="s">
        <v>987</v>
      </c>
      <c r="CX268" t="s">
        <v>1081</v>
      </c>
      <c r="CY268" t="s">
        <v>989</v>
      </c>
    </row>
    <row r="269" spans="1:103" hidden="1" x14ac:dyDescent="0.25">
      <c r="A269">
        <v>410000272</v>
      </c>
      <c r="B269" t="s">
        <v>2867</v>
      </c>
      <c r="C269" t="s">
        <v>2868</v>
      </c>
      <c r="D269">
        <v>401100000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1</v>
      </c>
      <c r="Y269" t="s">
        <v>972</v>
      </c>
      <c r="Z269" t="s">
        <v>2869</v>
      </c>
      <c r="AA269" t="s">
        <v>2870</v>
      </c>
      <c r="AB269" t="s">
        <v>975</v>
      </c>
      <c r="AC269">
        <v>1170</v>
      </c>
      <c r="AD269" t="s">
        <v>2871</v>
      </c>
      <c r="AE269">
        <v>23470126</v>
      </c>
      <c r="AF269" t="s">
        <v>979</v>
      </c>
      <c r="AG269" t="s">
        <v>977</v>
      </c>
      <c r="AH269" t="s">
        <v>977</v>
      </c>
      <c r="AI269" t="s">
        <v>977</v>
      </c>
      <c r="AJ269" t="s">
        <v>2872</v>
      </c>
      <c r="AK269" t="s">
        <v>2873</v>
      </c>
      <c r="AL269" t="s">
        <v>978</v>
      </c>
      <c r="AM269" t="s">
        <v>979</v>
      </c>
      <c r="AN269">
        <v>0</v>
      </c>
      <c r="AO269" t="s">
        <v>257</v>
      </c>
      <c r="AP269">
        <v>0</v>
      </c>
      <c r="AQ269">
        <v>1</v>
      </c>
      <c r="AR269">
        <v>43</v>
      </c>
      <c r="AS269">
        <v>1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1</v>
      </c>
      <c r="AZ269" t="s">
        <v>257</v>
      </c>
      <c r="BA269" t="s">
        <v>980</v>
      </c>
      <c r="BB269" t="s">
        <v>981</v>
      </c>
      <c r="BC269" t="s">
        <v>257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 t="s">
        <v>998</v>
      </c>
      <c r="BK269" t="s">
        <v>981</v>
      </c>
      <c r="BL269" t="s">
        <v>2867</v>
      </c>
      <c r="BM269">
        <v>20150821</v>
      </c>
      <c r="BN269">
        <v>20181119</v>
      </c>
      <c r="BO269">
        <v>0</v>
      </c>
      <c r="BP269" t="s">
        <v>257</v>
      </c>
      <c r="BQ269" t="s">
        <v>983</v>
      </c>
      <c r="BR269" t="s">
        <v>978</v>
      </c>
      <c r="BS269" t="s">
        <v>979</v>
      </c>
      <c r="BT269">
        <v>0</v>
      </c>
      <c r="BU269">
        <v>0</v>
      </c>
      <c r="BV269" t="s">
        <v>1013</v>
      </c>
      <c r="BW269" t="s">
        <v>257</v>
      </c>
      <c r="BX269">
        <v>0</v>
      </c>
      <c r="BY269" t="s">
        <v>980</v>
      </c>
      <c r="BZ269" t="s">
        <v>257</v>
      </c>
      <c r="CA269">
        <v>0</v>
      </c>
      <c r="CB269">
        <v>0</v>
      </c>
      <c r="CC269" t="s">
        <v>2874</v>
      </c>
      <c r="CD269">
        <v>0</v>
      </c>
      <c r="CE269">
        <v>0</v>
      </c>
      <c r="CF269">
        <v>0</v>
      </c>
      <c r="CG269">
        <v>0</v>
      </c>
      <c r="CH269">
        <v>0</v>
      </c>
      <c r="CI269" t="s">
        <v>983</v>
      </c>
      <c r="CJ269" t="s">
        <v>972</v>
      </c>
      <c r="CK269" t="s">
        <v>986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 t="s">
        <v>987</v>
      </c>
      <c r="CV269">
        <v>400008272</v>
      </c>
      <c r="CW269" t="s">
        <v>987</v>
      </c>
      <c r="CX269" t="s">
        <v>2875</v>
      </c>
      <c r="CY269" t="s">
        <v>989</v>
      </c>
    </row>
    <row r="270" spans="1:103" hidden="1" x14ac:dyDescent="0.25">
      <c r="A270">
        <v>410000273</v>
      </c>
      <c r="B270" t="s">
        <v>2876</v>
      </c>
      <c r="C270" t="s">
        <v>978</v>
      </c>
      <c r="D270">
        <v>401100000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1</v>
      </c>
      <c r="X270">
        <v>1</v>
      </c>
      <c r="Y270" t="s">
        <v>972</v>
      </c>
      <c r="Z270" t="s">
        <v>987</v>
      </c>
      <c r="AA270" t="s">
        <v>2877</v>
      </c>
      <c r="AB270" t="s">
        <v>975</v>
      </c>
      <c r="AC270">
        <v>4683</v>
      </c>
      <c r="AD270" t="s">
        <v>1037</v>
      </c>
      <c r="AE270">
        <v>491881623</v>
      </c>
      <c r="AF270" t="s">
        <v>979</v>
      </c>
      <c r="AG270" t="s">
        <v>977</v>
      </c>
      <c r="AH270" t="s">
        <v>1558</v>
      </c>
      <c r="AI270" t="s">
        <v>977</v>
      </c>
      <c r="AJ270" t="s">
        <v>978</v>
      </c>
      <c r="AK270" t="s">
        <v>978</v>
      </c>
      <c r="AL270" t="s">
        <v>978</v>
      </c>
      <c r="AM270" t="s">
        <v>979</v>
      </c>
      <c r="AN270">
        <v>0</v>
      </c>
      <c r="AO270" t="s">
        <v>257</v>
      </c>
      <c r="AP270">
        <v>0</v>
      </c>
      <c r="AQ270">
        <v>1</v>
      </c>
      <c r="AR270">
        <v>43</v>
      </c>
      <c r="AS270">
        <v>1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1</v>
      </c>
      <c r="AZ270" t="s">
        <v>257</v>
      </c>
      <c r="BA270" t="s">
        <v>980</v>
      </c>
      <c r="BB270" t="s">
        <v>981</v>
      </c>
      <c r="BC270" t="s">
        <v>257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 t="s">
        <v>998</v>
      </c>
      <c r="BK270" t="s">
        <v>981</v>
      </c>
      <c r="BL270" t="s">
        <v>2876</v>
      </c>
      <c r="BM270">
        <v>20150824</v>
      </c>
      <c r="BN270">
        <v>20210624</v>
      </c>
      <c r="BO270">
        <v>0</v>
      </c>
      <c r="BP270" t="s">
        <v>257</v>
      </c>
      <c r="BQ270" t="s">
        <v>983</v>
      </c>
      <c r="BR270" t="s">
        <v>978</v>
      </c>
      <c r="BS270">
        <v>491881623</v>
      </c>
      <c r="BT270">
        <v>0</v>
      </c>
      <c r="BU270">
        <v>0</v>
      </c>
      <c r="BV270" t="s">
        <v>1013</v>
      </c>
      <c r="BW270" t="s">
        <v>257</v>
      </c>
      <c r="BX270">
        <v>0</v>
      </c>
      <c r="BY270" t="s">
        <v>980</v>
      </c>
      <c r="BZ270" t="s">
        <v>257</v>
      </c>
      <c r="CA270">
        <v>0</v>
      </c>
      <c r="CB270">
        <v>0</v>
      </c>
      <c r="CC270" t="s">
        <v>2342</v>
      </c>
      <c r="CD270">
        <v>0</v>
      </c>
      <c r="CE270">
        <v>0</v>
      </c>
      <c r="CF270">
        <v>0</v>
      </c>
      <c r="CG270">
        <v>0</v>
      </c>
      <c r="CH270">
        <v>0</v>
      </c>
      <c r="CI270" t="s">
        <v>983</v>
      </c>
      <c r="CJ270" t="s">
        <v>972</v>
      </c>
      <c r="CK270" t="s">
        <v>986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 t="s">
        <v>987</v>
      </c>
      <c r="CV270">
        <v>400008273</v>
      </c>
      <c r="CW270" t="s">
        <v>987</v>
      </c>
      <c r="CX270" t="s">
        <v>2878</v>
      </c>
      <c r="CY270" t="s">
        <v>989</v>
      </c>
    </row>
    <row r="271" spans="1:103" hidden="1" x14ac:dyDescent="0.25">
      <c r="A271">
        <v>410000274</v>
      </c>
      <c r="B271" t="s">
        <v>2879</v>
      </c>
      <c r="C271" t="s">
        <v>2880</v>
      </c>
      <c r="D271">
        <v>401100000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1</v>
      </c>
      <c r="Y271" t="s">
        <v>972</v>
      </c>
      <c r="Z271" t="s">
        <v>2881</v>
      </c>
      <c r="AA271" t="s">
        <v>2882</v>
      </c>
      <c r="AB271" t="s">
        <v>975</v>
      </c>
      <c r="AC271">
        <v>4840</v>
      </c>
      <c r="AD271" t="s">
        <v>2284</v>
      </c>
      <c r="AE271">
        <v>87898484</v>
      </c>
      <c r="AF271" t="s">
        <v>979</v>
      </c>
      <c r="AG271" t="s">
        <v>977</v>
      </c>
      <c r="AH271" t="s">
        <v>977</v>
      </c>
      <c r="AI271" t="s">
        <v>977</v>
      </c>
      <c r="AJ271" t="s">
        <v>978</v>
      </c>
      <c r="AK271" t="s">
        <v>978</v>
      </c>
      <c r="AL271" t="s">
        <v>978</v>
      </c>
      <c r="AM271" t="s">
        <v>979</v>
      </c>
      <c r="AN271">
        <v>0</v>
      </c>
      <c r="AO271" t="s">
        <v>257</v>
      </c>
      <c r="AP271">
        <v>0</v>
      </c>
      <c r="AQ271">
        <v>1</v>
      </c>
      <c r="AR271">
        <v>43</v>
      </c>
      <c r="AS271">
        <v>1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1</v>
      </c>
      <c r="AZ271" t="s">
        <v>257</v>
      </c>
      <c r="BA271" t="s">
        <v>980</v>
      </c>
      <c r="BB271" t="s">
        <v>981</v>
      </c>
      <c r="BC271" t="s">
        <v>257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 t="s">
        <v>998</v>
      </c>
      <c r="BK271" t="s">
        <v>981</v>
      </c>
      <c r="BL271" t="s">
        <v>2879</v>
      </c>
      <c r="BM271">
        <v>20150825</v>
      </c>
      <c r="BN271">
        <v>20181119</v>
      </c>
      <c r="BO271">
        <v>0</v>
      </c>
      <c r="BP271" t="s">
        <v>257</v>
      </c>
      <c r="BQ271" t="s">
        <v>983</v>
      </c>
      <c r="BR271" t="s">
        <v>978</v>
      </c>
      <c r="BS271" t="s">
        <v>979</v>
      </c>
      <c r="BT271">
        <v>0</v>
      </c>
      <c r="BU271">
        <v>0</v>
      </c>
      <c r="BV271" t="s">
        <v>1013</v>
      </c>
      <c r="BW271" t="s">
        <v>257</v>
      </c>
      <c r="BX271">
        <v>0</v>
      </c>
      <c r="BY271" t="s">
        <v>980</v>
      </c>
      <c r="BZ271" t="s">
        <v>257</v>
      </c>
      <c r="CA271">
        <v>0</v>
      </c>
      <c r="CB271">
        <v>0</v>
      </c>
      <c r="CC271" t="s">
        <v>2356</v>
      </c>
      <c r="CD271">
        <v>0</v>
      </c>
      <c r="CE271">
        <v>0</v>
      </c>
      <c r="CF271">
        <v>0</v>
      </c>
      <c r="CG271">
        <v>0</v>
      </c>
      <c r="CH271">
        <v>0</v>
      </c>
      <c r="CI271" t="s">
        <v>983</v>
      </c>
      <c r="CJ271" t="s">
        <v>972</v>
      </c>
      <c r="CK271" t="s">
        <v>986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 t="s">
        <v>987</v>
      </c>
      <c r="CV271">
        <v>400008274</v>
      </c>
      <c r="CW271" t="s">
        <v>987</v>
      </c>
      <c r="CX271" t="s">
        <v>2883</v>
      </c>
      <c r="CY271" t="s">
        <v>989</v>
      </c>
    </row>
    <row r="272" spans="1:103" hidden="1" x14ac:dyDescent="0.25">
      <c r="A272">
        <v>410000275</v>
      </c>
      <c r="B272" t="s">
        <v>2884</v>
      </c>
      <c r="C272" t="s">
        <v>2885</v>
      </c>
      <c r="D272">
        <v>401100000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1</v>
      </c>
      <c r="Y272" t="s">
        <v>972</v>
      </c>
      <c r="Z272" t="s">
        <v>2886</v>
      </c>
      <c r="AA272" t="s">
        <v>2887</v>
      </c>
      <c r="AB272" t="s">
        <v>975</v>
      </c>
      <c r="AC272">
        <v>4030</v>
      </c>
      <c r="AD272" t="s">
        <v>2522</v>
      </c>
      <c r="AE272" t="s">
        <v>979</v>
      </c>
      <c r="AF272" t="s">
        <v>979</v>
      </c>
      <c r="AG272" t="s">
        <v>977</v>
      </c>
      <c r="AH272" t="s">
        <v>977</v>
      </c>
      <c r="AI272" t="s">
        <v>977</v>
      </c>
      <c r="AJ272" t="s">
        <v>978</v>
      </c>
      <c r="AK272" t="s">
        <v>978</v>
      </c>
      <c r="AL272" t="s">
        <v>978</v>
      </c>
      <c r="AM272" t="s">
        <v>979</v>
      </c>
      <c r="AN272">
        <v>0</v>
      </c>
      <c r="AO272" t="s">
        <v>257</v>
      </c>
      <c r="AP272">
        <v>0</v>
      </c>
      <c r="AQ272">
        <v>1</v>
      </c>
      <c r="AR272">
        <v>43</v>
      </c>
      <c r="AS272">
        <v>1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1</v>
      </c>
      <c r="AZ272" t="s">
        <v>257</v>
      </c>
      <c r="BA272" t="s">
        <v>980</v>
      </c>
      <c r="BB272" t="s">
        <v>981</v>
      </c>
      <c r="BC272" t="s">
        <v>257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 t="s">
        <v>998</v>
      </c>
      <c r="BK272" t="s">
        <v>981</v>
      </c>
      <c r="BL272" t="s">
        <v>2884</v>
      </c>
      <c r="BM272">
        <v>20150831</v>
      </c>
      <c r="BN272">
        <v>20211021</v>
      </c>
      <c r="BO272">
        <v>0</v>
      </c>
      <c r="BP272" t="s">
        <v>257</v>
      </c>
      <c r="BQ272" t="s">
        <v>983</v>
      </c>
      <c r="BR272" t="s">
        <v>978</v>
      </c>
      <c r="BS272" t="s">
        <v>979</v>
      </c>
      <c r="BT272">
        <v>0</v>
      </c>
      <c r="BU272">
        <v>0</v>
      </c>
      <c r="BV272" t="s">
        <v>1013</v>
      </c>
      <c r="BW272" t="s">
        <v>257</v>
      </c>
      <c r="BX272">
        <v>0</v>
      </c>
      <c r="BY272" t="s">
        <v>980</v>
      </c>
      <c r="BZ272" t="s">
        <v>257</v>
      </c>
      <c r="CA272">
        <v>0</v>
      </c>
      <c r="CB272">
        <v>0</v>
      </c>
      <c r="CC272" t="s">
        <v>1848</v>
      </c>
      <c r="CD272">
        <v>0</v>
      </c>
      <c r="CE272">
        <v>0</v>
      </c>
      <c r="CF272">
        <v>0</v>
      </c>
      <c r="CG272">
        <v>0</v>
      </c>
      <c r="CH272">
        <v>0</v>
      </c>
      <c r="CI272" t="s">
        <v>983</v>
      </c>
      <c r="CJ272" t="s">
        <v>972</v>
      </c>
      <c r="CK272" t="s">
        <v>986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 t="s">
        <v>987</v>
      </c>
      <c r="CV272">
        <v>400008275</v>
      </c>
      <c r="CW272" t="s">
        <v>987</v>
      </c>
      <c r="CX272" t="s">
        <v>1081</v>
      </c>
      <c r="CY272" t="s">
        <v>989</v>
      </c>
    </row>
    <row r="273" spans="1:103" hidden="1" x14ac:dyDescent="0.25">
      <c r="A273">
        <v>410000276</v>
      </c>
      <c r="B273" t="s">
        <v>7986</v>
      </c>
      <c r="C273" t="s">
        <v>2888</v>
      </c>
      <c r="D273">
        <v>401100000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</v>
      </c>
      <c r="Y273" t="s">
        <v>2889</v>
      </c>
      <c r="Z273" t="s">
        <v>2890</v>
      </c>
      <c r="AA273" t="s">
        <v>2891</v>
      </c>
      <c r="AB273" t="s">
        <v>975</v>
      </c>
      <c r="AC273">
        <v>4460</v>
      </c>
      <c r="AD273" t="s">
        <v>1269</v>
      </c>
      <c r="AE273" t="s">
        <v>979</v>
      </c>
      <c r="AF273" t="s">
        <v>979</v>
      </c>
      <c r="AG273" t="s">
        <v>977</v>
      </c>
      <c r="AH273" t="s">
        <v>977</v>
      </c>
      <c r="AI273">
        <v>52290</v>
      </c>
      <c r="AJ273" t="s">
        <v>2892</v>
      </c>
      <c r="AK273" t="s">
        <v>978</v>
      </c>
      <c r="AL273" t="s">
        <v>978</v>
      </c>
      <c r="AM273" t="s">
        <v>979</v>
      </c>
      <c r="AN273">
        <v>0</v>
      </c>
      <c r="AO273" t="s">
        <v>257</v>
      </c>
      <c r="AP273">
        <v>0</v>
      </c>
      <c r="AQ273">
        <v>1</v>
      </c>
      <c r="AR273">
        <v>43</v>
      </c>
      <c r="AS273">
        <v>1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1</v>
      </c>
      <c r="AZ273" t="s">
        <v>257</v>
      </c>
      <c r="BA273" t="s">
        <v>980</v>
      </c>
      <c r="BB273" t="s">
        <v>981</v>
      </c>
      <c r="BC273" t="s">
        <v>257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 t="s">
        <v>998</v>
      </c>
      <c r="BK273" t="s">
        <v>981</v>
      </c>
      <c r="BL273" t="s">
        <v>7986</v>
      </c>
      <c r="BM273">
        <v>20150907</v>
      </c>
      <c r="BN273">
        <v>20220201</v>
      </c>
      <c r="BO273">
        <v>0</v>
      </c>
      <c r="BP273" t="s">
        <v>257</v>
      </c>
      <c r="BQ273" t="s">
        <v>983</v>
      </c>
      <c r="BR273" t="s">
        <v>978</v>
      </c>
      <c r="BS273" t="s">
        <v>979</v>
      </c>
      <c r="BT273">
        <v>0</v>
      </c>
      <c r="BU273">
        <v>0</v>
      </c>
      <c r="BV273" t="s">
        <v>1013</v>
      </c>
      <c r="BW273" t="s">
        <v>257</v>
      </c>
      <c r="BX273">
        <v>0</v>
      </c>
      <c r="BY273" t="s">
        <v>980</v>
      </c>
      <c r="BZ273" t="s">
        <v>257</v>
      </c>
      <c r="CA273">
        <v>0</v>
      </c>
      <c r="CB273">
        <v>0</v>
      </c>
      <c r="CC273" t="s">
        <v>1080</v>
      </c>
      <c r="CD273">
        <v>0</v>
      </c>
      <c r="CE273">
        <v>0</v>
      </c>
      <c r="CF273">
        <v>0</v>
      </c>
      <c r="CG273">
        <v>0</v>
      </c>
      <c r="CH273">
        <v>0</v>
      </c>
      <c r="CI273" t="s">
        <v>983</v>
      </c>
      <c r="CJ273" t="s">
        <v>972</v>
      </c>
      <c r="CK273" t="s">
        <v>986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 t="s">
        <v>987</v>
      </c>
      <c r="CV273">
        <v>400008276</v>
      </c>
      <c r="CW273" t="s">
        <v>987</v>
      </c>
      <c r="CX273" t="s">
        <v>2893</v>
      </c>
      <c r="CY273" t="s">
        <v>989</v>
      </c>
    </row>
    <row r="274" spans="1:103" hidden="1" x14ac:dyDescent="0.25">
      <c r="A274">
        <v>410000277</v>
      </c>
      <c r="B274" t="s">
        <v>2894</v>
      </c>
      <c r="C274" t="s">
        <v>1186</v>
      </c>
      <c r="D274">
        <v>401100000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1</v>
      </c>
      <c r="Y274" t="s">
        <v>972</v>
      </c>
      <c r="Z274" t="s">
        <v>987</v>
      </c>
      <c r="AA274" t="s">
        <v>2895</v>
      </c>
      <c r="AB274" t="s">
        <v>975</v>
      </c>
      <c r="AC274">
        <v>4800</v>
      </c>
      <c r="AD274" t="s">
        <v>1124</v>
      </c>
      <c r="AE274" t="s">
        <v>2896</v>
      </c>
      <c r="AF274" t="s">
        <v>979</v>
      </c>
      <c r="AG274" t="s">
        <v>977</v>
      </c>
      <c r="AH274" t="s">
        <v>1031</v>
      </c>
      <c r="AI274">
        <v>81210</v>
      </c>
      <c r="AJ274" t="s">
        <v>978</v>
      </c>
      <c r="AK274" t="s">
        <v>978</v>
      </c>
      <c r="AL274" t="s">
        <v>978</v>
      </c>
      <c r="AM274" t="s">
        <v>979</v>
      </c>
      <c r="AN274">
        <v>0</v>
      </c>
      <c r="AO274" t="s">
        <v>257</v>
      </c>
      <c r="AP274">
        <v>0</v>
      </c>
      <c r="AQ274">
        <v>1</v>
      </c>
      <c r="AR274">
        <v>43</v>
      </c>
      <c r="AS274">
        <v>1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1</v>
      </c>
      <c r="AZ274" t="s">
        <v>257</v>
      </c>
      <c r="BA274" t="s">
        <v>980</v>
      </c>
      <c r="BB274" t="s">
        <v>981</v>
      </c>
      <c r="BC274" t="s">
        <v>257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 t="s">
        <v>998</v>
      </c>
      <c r="BK274" t="s">
        <v>981</v>
      </c>
      <c r="BL274" t="s">
        <v>2894</v>
      </c>
      <c r="BM274">
        <v>20150909</v>
      </c>
      <c r="BN274">
        <v>20240731</v>
      </c>
      <c r="BO274">
        <v>0</v>
      </c>
      <c r="BP274" t="s">
        <v>257</v>
      </c>
      <c r="BQ274" t="s">
        <v>983</v>
      </c>
      <c r="BR274" t="s">
        <v>978</v>
      </c>
      <c r="BS274" t="s">
        <v>2897</v>
      </c>
      <c r="BT274">
        <v>0</v>
      </c>
      <c r="BU274">
        <v>0</v>
      </c>
      <c r="BV274" t="s">
        <v>984</v>
      </c>
      <c r="BW274" t="s">
        <v>257</v>
      </c>
      <c r="BX274">
        <v>0</v>
      </c>
      <c r="BY274" t="s">
        <v>980</v>
      </c>
      <c r="BZ274" t="s">
        <v>257</v>
      </c>
      <c r="CA274">
        <v>0</v>
      </c>
      <c r="CB274">
        <v>0</v>
      </c>
      <c r="CC274" t="s">
        <v>2898</v>
      </c>
      <c r="CD274">
        <v>0</v>
      </c>
      <c r="CE274">
        <v>0</v>
      </c>
      <c r="CF274">
        <v>0</v>
      </c>
      <c r="CG274">
        <v>0</v>
      </c>
      <c r="CH274">
        <v>0</v>
      </c>
      <c r="CI274" t="s">
        <v>983</v>
      </c>
      <c r="CJ274" t="s">
        <v>972</v>
      </c>
      <c r="CK274" t="s">
        <v>986</v>
      </c>
      <c r="CL274">
        <v>0</v>
      </c>
      <c r="CM274">
        <v>1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 t="s">
        <v>987</v>
      </c>
      <c r="CV274">
        <v>400008277</v>
      </c>
      <c r="CW274" t="s">
        <v>987</v>
      </c>
      <c r="CX274" t="s">
        <v>2899</v>
      </c>
      <c r="CY274" t="s">
        <v>989</v>
      </c>
    </row>
    <row r="275" spans="1:103" hidden="1" x14ac:dyDescent="0.25">
      <c r="A275">
        <v>410000278</v>
      </c>
      <c r="B275" t="s">
        <v>2900</v>
      </c>
      <c r="C275" t="s">
        <v>2901</v>
      </c>
      <c r="D275">
        <v>401100000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1</v>
      </c>
      <c r="Y275" t="s">
        <v>972</v>
      </c>
      <c r="Z275" t="s">
        <v>2902</v>
      </c>
      <c r="AA275" t="s">
        <v>987</v>
      </c>
      <c r="AB275" t="s">
        <v>975</v>
      </c>
      <c r="AC275">
        <v>4607</v>
      </c>
      <c r="AD275" t="s">
        <v>2903</v>
      </c>
      <c r="AE275" t="s">
        <v>2904</v>
      </c>
      <c r="AF275" t="s">
        <v>2905</v>
      </c>
      <c r="AG275" t="s">
        <v>1325</v>
      </c>
      <c r="AH275" t="s">
        <v>977</v>
      </c>
      <c r="AI275" t="s">
        <v>977</v>
      </c>
      <c r="AJ275" t="s">
        <v>2906</v>
      </c>
      <c r="AK275" t="s">
        <v>2907</v>
      </c>
      <c r="AL275" t="s">
        <v>978</v>
      </c>
      <c r="AM275" t="s">
        <v>979</v>
      </c>
      <c r="AN275">
        <v>0</v>
      </c>
      <c r="AO275" t="s">
        <v>257</v>
      </c>
      <c r="AP275">
        <v>0</v>
      </c>
      <c r="AQ275">
        <v>1</v>
      </c>
      <c r="AR275">
        <v>43</v>
      </c>
      <c r="AS275">
        <v>1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1</v>
      </c>
      <c r="AZ275" t="s">
        <v>257</v>
      </c>
      <c r="BA275" t="s">
        <v>980</v>
      </c>
      <c r="BB275" t="s">
        <v>981</v>
      </c>
      <c r="BC275" t="s">
        <v>257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 t="s">
        <v>998</v>
      </c>
      <c r="BK275" t="s">
        <v>981</v>
      </c>
      <c r="BL275" t="s">
        <v>2900</v>
      </c>
      <c r="BM275">
        <v>20150917</v>
      </c>
      <c r="BN275">
        <v>20190204</v>
      </c>
      <c r="BO275">
        <v>0</v>
      </c>
      <c r="BP275" t="s">
        <v>257</v>
      </c>
      <c r="BQ275" t="s">
        <v>983</v>
      </c>
      <c r="BR275" t="s">
        <v>978</v>
      </c>
      <c r="BS275" t="s">
        <v>979</v>
      </c>
      <c r="BT275">
        <v>0</v>
      </c>
      <c r="BU275">
        <v>0</v>
      </c>
      <c r="BV275" t="s">
        <v>984</v>
      </c>
      <c r="BW275" t="s">
        <v>257</v>
      </c>
      <c r="BX275">
        <v>0</v>
      </c>
      <c r="BY275" t="s">
        <v>980</v>
      </c>
      <c r="BZ275" t="s">
        <v>257</v>
      </c>
      <c r="CA275">
        <v>0</v>
      </c>
      <c r="CB275">
        <v>0</v>
      </c>
      <c r="CC275" t="s">
        <v>1572</v>
      </c>
      <c r="CD275">
        <v>0</v>
      </c>
      <c r="CE275">
        <v>0</v>
      </c>
      <c r="CF275">
        <v>0</v>
      </c>
      <c r="CG275">
        <v>0</v>
      </c>
      <c r="CH275">
        <v>0</v>
      </c>
      <c r="CI275" t="s">
        <v>983</v>
      </c>
      <c r="CJ275" t="s">
        <v>972</v>
      </c>
      <c r="CK275" t="s">
        <v>986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 t="s">
        <v>987</v>
      </c>
      <c r="CV275">
        <v>400008278</v>
      </c>
      <c r="CW275" t="s">
        <v>987</v>
      </c>
      <c r="CX275" t="s">
        <v>2908</v>
      </c>
      <c r="CY275" t="s">
        <v>989</v>
      </c>
    </row>
    <row r="276" spans="1:103" hidden="1" x14ac:dyDescent="0.25">
      <c r="A276">
        <v>410000279</v>
      </c>
      <c r="B276" t="s">
        <v>2909</v>
      </c>
      <c r="C276" t="s">
        <v>2910</v>
      </c>
      <c r="D276">
        <v>401100000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1</v>
      </c>
      <c r="Y276" t="s">
        <v>972</v>
      </c>
      <c r="Z276" t="s">
        <v>987</v>
      </c>
      <c r="AA276" t="s">
        <v>2911</v>
      </c>
      <c r="AB276" t="s">
        <v>975</v>
      </c>
      <c r="AC276">
        <v>4610</v>
      </c>
      <c r="AD276" t="s">
        <v>2912</v>
      </c>
      <c r="AE276" t="s">
        <v>979</v>
      </c>
      <c r="AF276" t="s">
        <v>979</v>
      </c>
      <c r="AG276" t="s">
        <v>977</v>
      </c>
      <c r="AH276" t="s">
        <v>977</v>
      </c>
      <c r="AI276" t="s">
        <v>977</v>
      </c>
      <c r="AJ276" t="s">
        <v>978</v>
      </c>
      <c r="AK276" t="s">
        <v>978</v>
      </c>
      <c r="AL276" t="s">
        <v>978</v>
      </c>
      <c r="AM276" t="s">
        <v>979</v>
      </c>
      <c r="AN276">
        <v>0</v>
      </c>
      <c r="AO276" t="s">
        <v>257</v>
      </c>
      <c r="AP276">
        <v>0</v>
      </c>
      <c r="AQ276">
        <v>1</v>
      </c>
      <c r="AR276">
        <v>43</v>
      </c>
      <c r="AS276">
        <v>1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1</v>
      </c>
      <c r="AZ276" t="s">
        <v>257</v>
      </c>
      <c r="BA276" t="s">
        <v>980</v>
      </c>
      <c r="BB276" t="s">
        <v>981</v>
      </c>
      <c r="BC276" t="s">
        <v>257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 t="s">
        <v>998</v>
      </c>
      <c r="BK276" t="s">
        <v>981</v>
      </c>
      <c r="BL276" t="s">
        <v>2909</v>
      </c>
      <c r="BM276">
        <v>20150918</v>
      </c>
      <c r="BN276">
        <v>20181119</v>
      </c>
      <c r="BO276">
        <v>0</v>
      </c>
      <c r="BP276" t="s">
        <v>257</v>
      </c>
      <c r="BQ276" t="s">
        <v>983</v>
      </c>
      <c r="BR276" t="s">
        <v>978</v>
      </c>
      <c r="BS276" t="s">
        <v>979</v>
      </c>
      <c r="BT276">
        <v>0</v>
      </c>
      <c r="BU276">
        <v>0</v>
      </c>
      <c r="BV276" t="s">
        <v>1013</v>
      </c>
      <c r="BW276" t="s">
        <v>257</v>
      </c>
      <c r="BX276">
        <v>0</v>
      </c>
      <c r="BY276" t="s">
        <v>980</v>
      </c>
      <c r="BZ276" t="s">
        <v>257</v>
      </c>
      <c r="CA276">
        <v>0</v>
      </c>
      <c r="CB276">
        <v>0</v>
      </c>
      <c r="CC276" t="s">
        <v>1371</v>
      </c>
      <c r="CD276">
        <v>0</v>
      </c>
      <c r="CE276">
        <v>0</v>
      </c>
      <c r="CF276">
        <v>0</v>
      </c>
      <c r="CG276">
        <v>0</v>
      </c>
      <c r="CH276">
        <v>0</v>
      </c>
      <c r="CI276" t="s">
        <v>983</v>
      </c>
      <c r="CJ276" t="s">
        <v>972</v>
      </c>
      <c r="CK276" t="s">
        <v>986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 t="s">
        <v>987</v>
      </c>
      <c r="CV276">
        <v>400008279</v>
      </c>
      <c r="CW276" t="s">
        <v>987</v>
      </c>
      <c r="CX276" t="s">
        <v>1081</v>
      </c>
      <c r="CY276" t="s">
        <v>989</v>
      </c>
    </row>
    <row r="277" spans="1:103" hidden="1" x14ac:dyDescent="0.25">
      <c r="A277">
        <v>410000280</v>
      </c>
      <c r="B277" t="s">
        <v>2913</v>
      </c>
      <c r="C277" t="s">
        <v>2914</v>
      </c>
      <c r="D277">
        <v>401100000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1</v>
      </c>
      <c r="Y277" t="s">
        <v>972</v>
      </c>
      <c r="Z277" t="s">
        <v>2915</v>
      </c>
      <c r="AA277" t="s">
        <v>2916</v>
      </c>
      <c r="AB277" t="s">
        <v>975</v>
      </c>
      <c r="AC277">
        <v>3550</v>
      </c>
      <c r="AD277" t="s">
        <v>2917</v>
      </c>
      <c r="AE277" t="s">
        <v>2918</v>
      </c>
      <c r="AF277" t="s">
        <v>2919</v>
      </c>
      <c r="AG277" t="s">
        <v>977</v>
      </c>
      <c r="AH277" t="s">
        <v>977</v>
      </c>
      <c r="AI277">
        <v>66210</v>
      </c>
      <c r="AJ277" t="s">
        <v>2920</v>
      </c>
      <c r="AK277" t="s">
        <v>978</v>
      </c>
      <c r="AL277" t="s">
        <v>978</v>
      </c>
      <c r="AM277" t="s">
        <v>979</v>
      </c>
      <c r="AN277">
        <v>0</v>
      </c>
      <c r="AO277" t="s">
        <v>257</v>
      </c>
      <c r="AP277">
        <v>0</v>
      </c>
      <c r="AQ277">
        <v>1</v>
      </c>
      <c r="AR277">
        <v>43</v>
      </c>
      <c r="AS277">
        <v>1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1</v>
      </c>
      <c r="AZ277" t="s">
        <v>257</v>
      </c>
      <c r="BA277" t="s">
        <v>980</v>
      </c>
      <c r="BB277" t="s">
        <v>981</v>
      </c>
      <c r="BC277" t="s">
        <v>257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 t="s">
        <v>998</v>
      </c>
      <c r="BK277" t="s">
        <v>981</v>
      </c>
      <c r="BL277" t="s">
        <v>2913</v>
      </c>
      <c r="BM277">
        <v>20150929</v>
      </c>
      <c r="BN277">
        <v>20220201</v>
      </c>
      <c r="BO277">
        <v>0</v>
      </c>
      <c r="BP277" t="s">
        <v>257</v>
      </c>
      <c r="BQ277" t="s">
        <v>983</v>
      </c>
      <c r="BR277" t="s">
        <v>978</v>
      </c>
      <c r="BS277" t="s">
        <v>979</v>
      </c>
      <c r="BT277">
        <v>0</v>
      </c>
      <c r="BU277">
        <v>0</v>
      </c>
      <c r="BV277" t="s">
        <v>984</v>
      </c>
      <c r="BW277" t="s">
        <v>257</v>
      </c>
      <c r="BX277">
        <v>0</v>
      </c>
      <c r="BY277" t="s">
        <v>980</v>
      </c>
      <c r="BZ277" t="s">
        <v>257</v>
      </c>
      <c r="CA277">
        <v>0</v>
      </c>
      <c r="CB277">
        <v>0</v>
      </c>
      <c r="CC277" t="s">
        <v>2921</v>
      </c>
      <c r="CD277">
        <v>0</v>
      </c>
      <c r="CE277">
        <v>0</v>
      </c>
      <c r="CF277">
        <v>0</v>
      </c>
      <c r="CG277">
        <v>0</v>
      </c>
      <c r="CH277">
        <v>0</v>
      </c>
      <c r="CI277" t="s">
        <v>983</v>
      </c>
      <c r="CJ277" t="s">
        <v>972</v>
      </c>
      <c r="CK277" t="s">
        <v>986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 t="s">
        <v>987</v>
      </c>
      <c r="CV277">
        <v>400008280</v>
      </c>
      <c r="CW277" t="s">
        <v>987</v>
      </c>
      <c r="CX277" t="s">
        <v>2922</v>
      </c>
      <c r="CY277" t="s">
        <v>989</v>
      </c>
    </row>
    <row r="278" spans="1:103" hidden="1" x14ac:dyDescent="0.25">
      <c r="A278">
        <v>410000281</v>
      </c>
      <c r="B278" t="s">
        <v>2923</v>
      </c>
      <c r="C278" t="s">
        <v>2924</v>
      </c>
      <c r="D278">
        <v>401100000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1</v>
      </c>
      <c r="Y278" t="s">
        <v>972</v>
      </c>
      <c r="Z278" t="s">
        <v>2925</v>
      </c>
      <c r="AA278" t="s">
        <v>2926</v>
      </c>
      <c r="AB278" t="s">
        <v>975</v>
      </c>
      <c r="AC278">
        <v>4520</v>
      </c>
      <c r="AD278" t="s">
        <v>1132</v>
      </c>
      <c r="AE278" t="s">
        <v>2927</v>
      </c>
      <c r="AF278" t="s">
        <v>979</v>
      </c>
      <c r="AG278" t="s">
        <v>977</v>
      </c>
      <c r="AH278" t="s">
        <v>977</v>
      </c>
      <c r="AI278">
        <v>81300</v>
      </c>
      <c r="AJ278" t="s">
        <v>978</v>
      </c>
      <c r="AK278" t="s">
        <v>978</v>
      </c>
      <c r="AL278" t="s">
        <v>978</v>
      </c>
      <c r="AM278" t="s">
        <v>979</v>
      </c>
      <c r="AN278">
        <v>0</v>
      </c>
      <c r="AO278" t="s">
        <v>257</v>
      </c>
      <c r="AP278">
        <v>0</v>
      </c>
      <c r="AQ278">
        <v>1</v>
      </c>
      <c r="AR278">
        <v>43</v>
      </c>
      <c r="AS278">
        <v>1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1</v>
      </c>
      <c r="AZ278" t="s">
        <v>257</v>
      </c>
      <c r="BA278" t="s">
        <v>980</v>
      </c>
      <c r="BB278" t="s">
        <v>981</v>
      </c>
      <c r="BC278" t="s">
        <v>257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 t="s">
        <v>998</v>
      </c>
      <c r="BK278" t="s">
        <v>981</v>
      </c>
      <c r="BL278" t="s">
        <v>2923</v>
      </c>
      <c r="BM278">
        <v>20151001</v>
      </c>
      <c r="BN278">
        <v>20230417</v>
      </c>
      <c r="BO278">
        <v>0</v>
      </c>
      <c r="BP278" t="s">
        <v>257</v>
      </c>
      <c r="BQ278" t="s">
        <v>983</v>
      </c>
      <c r="BR278" t="s">
        <v>978</v>
      </c>
      <c r="BS278" t="s">
        <v>979</v>
      </c>
      <c r="BT278">
        <v>0</v>
      </c>
      <c r="BU278">
        <v>0</v>
      </c>
      <c r="BV278" t="s">
        <v>984</v>
      </c>
      <c r="BW278" t="s">
        <v>257</v>
      </c>
      <c r="BX278">
        <v>0</v>
      </c>
      <c r="BY278" t="s">
        <v>980</v>
      </c>
      <c r="BZ278" t="s">
        <v>257</v>
      </c>
      <c r="CA278">
        <v>0</v>
      </c>
      <c r="CB278">
        <v>0</v>
      </c>
      <c r="CC278" t="s">
        <v>1430</v>
      </c>
      <c r="CD278">
        <v>0</v>
      </c>
      <c r="CE278">
        <v>0</v>
      </c>
      <c r="CF278">
        <v>0</v>
      </c>
      <c r="CG278">
        <v>0</v>
      </c>
      <c r="CH278">
        <v>0</v>
      </c>
      <c r="CI278" t="s">
        <v>983</v>
      </c>
      <c r="CJ278" t="s">
        <v>972</v>
      </c>
      <c r="CK278" t="s">
        <v>986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 t="s">
        <v>987</v>
      </c>
      <c r="CV278">
        <v>400008281</v>
      </c>
      <c r="CW278" t="s">
        <v>987</v>
      </c>
      <c r="CX278" t="s">
        <v>2928</v>
      </c>
      <c r="CY278" t="s">
        <v>989</v>
      </c>
    </row>
    <row r="279" spans="1:103" hidden="1" x14ac:dyDescent="0.25">
      <c r="A279">
        <v>410000282</v>
      </c>
      <c r="B279" t="s">
        <v>2929</v>
      </c>
      <c r="C279" t="s">
        <v>2930</v>
      </c>
      <c r="D279">
        <v>401100000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1</v>
      </c>
      <c r="Y279" t="s">
        <v>972</v>
      </c>
      <c r="Z279" t="s">
        <v>987</v>
      </c>
      <c r="AA279" t="s">
        <v>2931</v>
      </c>
      <c r="AB279" t="s">
        <v>975</v>
      </c>
      <c r="AC279">
        <v>4460</v>
      </c>
      <c r="AD279" t="s">
        <v>1946</v>
      </c>
      <c r="AE279" t="s">
        <v>2932</v>
      </c>
      <c r="AF279" t="s">
        <v>2933</v>
      </c>
      <c r="AG279" t="s">
        <v>2934</v>
      </c>
      <c r="AH279" t="s">
        <v>977</v>
      </c>
      <c r="AI279" t="s">
        <v>977</v>
      </c>
      <c r="AJ279" t="s">
        <v>978</v>
      </c>
      <c r="AK279" t="s">
        <v>2935</v>
      </c>
      <c r="AL279" t="s">
        <v>978</v>
      </c>
      <c r="AM279" t="s">
        <v>979</v>
      </c>
      <c r="AN279">
        <v>0</v>
      </c>
      <c r="AO279" t="s">
        <v>980</v>
      </c>
      <c r="AP279">
        <v>30</v>
      </c>
      <c r="AQ279">
        <v>1</v>
      </c>
      <c r="AR279">
        <v>43</v>
      </c>
      <c r="AS279">
        <v>1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1</v>
      </c>
      <c r="AZ279" t="s">
        <v>257</v>
      </c>
      <c r="BA279" t="s">
        <v>980</v>
      </c>
      <c r="BB279" t="s">
        <v>981</v>
      </c>
      <c r="BC279" t="s">
        <v>257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 t="s">
        <v>998</v>
      </c>
      <c r="BK279" t="s">
        <v>981</v>
      </c>
      <c r="BL279" t="s">
        <v>2929</v>
      </c>
      <c r="BM279">
        <v>20151005</v>
      </c>
      <c r="BN279">
        <v>20190204</v>
      </c>
      <c r="BO279">
        <v>0</v>
      </c>
      <c r="BP279" t="s">
        <v>257</v>
      </c>
      <c r="BQ279" t="s">
        <v>983</v>
      </c>
      <c r="BR279" t="s">
        <v>978</v>
      </c>
      <c r="BS279" t="s">
        <v>979</v>
      </c>
      <c r="BT279">
        <v>0</v>
      </c>
      <c r="BU279">
        <v>0</v>
      </c>
      <c r="BV279" t="s">
        <v>984</v>
      </c>
      <c r="BW279" t="s">
        <v>257</v>
      </c>
      <c r="BX279">
        <v>0</v>
      </c>
      <c r="BY279" t="s">
        <v>980</v>
      </c>
      <c r="BZ279" t="s">
        <v>257</v>
      </c>
      <c r="CA279">
        <v>0</v>
      </c>
      <c r="CB279">
        <v>0</v>
      </c>
      <c r="CC279" t="s">
        <v>1113</v>
      </c>
      <c r="CD279">
        <v>0</v>
      </c>
      <c r="CE279">
        <v>0</v>
      </c>
      <c r="CF279">
        <v>0</v>
      </c>
      <c r="CG279">
        <v>0</v>
      </c>
      <c r="CH279">
        <v>0</v>
      </c>
      <c r="CI279" t="s">
        <v>983</v>
      </c>
      <c r="CJ279" t="s">
        <v>972</v>
      </c>
      <c r="CK279" t="s">
        <v>986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 t="s">
        <v>987</v>
      </c>
      <c r="CV279">
        <v>400008282</v>
      </c>
      <c r="CW279" t="s">
        <v>987</v>
      </c>
      <c r="CX279" t="s">
        <v>2936</v>
      </c>
      <c r="CY279" t="s">
        <v>989</v>
      </c>
    </row>
    <row r="280" spans="1:103" hidden="1" x14ac:dyDescent="0.25">
      <c r="A280">
        <v>410000283</v>
      </c>
      <c r="B280" t="s">
        <v>2937</v>
      </c>
      <c r="C280" t="s">
        <v>2938</v>
      </c>
      <c r="D280">
        <v>401100000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 t="e" cm="1">
        <f t="array" ref="Y280">- NATURAE</f>
        <v>#NAME?</v>
      </c>
      <c r="Z280" t="s">
        <v>2939</v>
      </c>
      <c r="AA280" t="s">
        <v>2940</v>
      </c>
      <c r="AB280" t="s">
        <v>975</v>
      </c>
      <c r="AC280">
        <v>4600</v>
      </c>
      <c r="AD280" t="s">
        <v>1813</v>
      </c>
      <c r="AE280" t="s">
        <v>979</v>
      </c>
      <c r="AF280" t="s">
        <v>979</v>
      </c>
      <c r="AG280" t="s">
        <v>977</v>
      </c>
      <c r="AH280" t="s">
        <v>977</v>
      </c>
      <c r="AI280" t="s">
        <v>977</v>
      </c>
      <c r="AJ280" t="s">
        <v>2941</v>
      </c>
      <c r="AK280" t="s">
        <v>2942</v>
      </c>
      <c r="AL280" t="s">
        <v>978</v>
      </c>
      <c r="AM280" t="s">
        <v>979</v>
      </c>
      <c r="AN280">
        <v>0</v>
      </c>
      <c r="AO280" t="s">
        <v>257</v>
      </c>
      <c r="AP280">
        <v>0</v>
      </c>
      <c r="AQ280">
        <v>1</v>
      </c>
      <c r="AR280">
        <v>43</v>
      </c>
      <c r="AS280">
        <v>1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1</v>
      </c>
      <c r="AZ280" t="s">
        <v>257</v>
      </c>
      <c r="BA280" t="s">
        <v>980</v>
      </c>
      <c r="BB280" t="s">
        <v>981</v>
      </c>
      <c r="BC280" t="s">
        <v>257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 t="s">
        <v>998</v>
      </c>
      <c r="BK280" t="s">
        <v>981</v>
      </c>
      <c r="BL280" t="s">
        <v>2937</v>
      </c>
      <c r="BM280">
        <v>20151008</v>
      </c>
      <c r="BN280">
        <v>20181119</v>
      </c>
      <c r="BO280">
        <v>0</v>
      </c>
      <c r="BP280" t="s">
        <v>257</v>
      </c>
      <c r="BQ280" t="s">
        <v>983</v>
      </c>
      <c r="BR280" t="s">
        <v>978</v>
      </c>
      <c r="BS280" t="s">
        <v>2943</v>
      </c>
      <c r="BT280">
        <v>0</v>
      </c>
      <c r="BU280">
        <v>0</v>
      </c>
      <c r="BV280" t="s">
        <v>1013</v>
      </c>
      <c r="BW280" t="s">
        <v>257</v>
      </c>
      <c r="BX280">
        <v>0</v>
      </c>
      <c r="BY280" t="s">
        <v>980</v>
      </c>
      <c r="BZ280" t="s">
        <v>257</v>
      </c>
      <c r="CA280">
        <v>0</v>
      </c>
      <c r="CB280">
        <v>0</v>
      </c>
      <c r="CC280" t="s">
        <v>1250</v>
      </c>
      <c r="CD280">
        <v>0</v>
      </c>
      <c r="CE280">
        <v>0</v>
      </c>
      <c r="CF280">
        <v>0</v>
      </c>
      <c r="CG280">
        <v>0</v>
      </c>
      <c r="CH280">
        <v>0</v>
      </c>
      <c r="CI280" t="s">
        <v>983</v>
      </c>
      <c r="CJ280" t="s">
        <v>972</v>
      </c>
      <c r="CK280" t="s">
        <v>986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 t="s">
        <v>987</v>
      </c>
      <c r="CV280">
        <v>400008283</v>
      </c>
      <c r="CW280" t="s">
        <v>987</v>
      </c>
      <c r="CX280" t="s">
        <v>2944</v>
      </c>
      <c r="CY280" t="s">
        <v>989</v>
      </c>
    </row>
    <row r="281" spans="1:103" hidden="1" x14ac:dyDescent="0.25">
      <c r="A281">
        <v>410000284</v>
      </c>
      <c r="B281" t="s">
        <v>2945</v>
      </c>
      <c r="C281" t="s">
        <v>2946</v>
      </c>
      <c r="D281">
        <v>401100000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1</v>
      </c>
      <c r="Y281" t="s">
        <v>972</v>
      </c>
      <c r="Z281" t="s">
        <v>2947</v>
      </c>
      <c r="AA281" t="s">
        <v>2948</v>
      </c>
      <c r="AB281" t="s">
        <v>975</v>
      </c>
      <c r="AC281">
        <v>4040</v>
      </c>
      <c r="AD281" t="s">
        <v>976</v>
      </c>
      <c r="AE281" t="s">
        <v>979</v>
      </c>
      <c r="AF281" t="s">
        <v>979</v>
      </c>
      <c r="AG281" t="s">
        <v>2949</v>
      </c>
      <c r="AH281" t="s">
        <v>977</v>
      </c>
      <c r="AI281">
        <v>69202</v>
      </c>
      <c r="AJ281" t="s">
        <v>2950</v>
      </c>
      <c r="AK281" t="s">
        <v>2951</v>
      </c>
      <c r="AL281" t="s">
        <v>978</v>
      </c>
      <c r="AM281" t="s">
        <v>979</v>
      </c>
      <c r="AN281">
        <v>0</v>
      </c>
      <c r="AO281" t="s">
        <v>257</v>
      </c>
      <c r="AP281">
        <v>0</v>
      </c>
      <c r="AQ281">
        <v>1</v>
      </c>
      <c r="AR281">
        <v>43</v>
      </c>
      <c r="AS281">
        <v>1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1</v>
      </c>
      <c r="AZ281" t="s">
        <v>257</v>
      </c>
      <c r="BA281" t="s">
        <v>980</v>
      </c>
      <c r="BB281" t="s">
        <v>981</v>
      </c>
      <c r="BC281" t="s">
        <v>257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410000324</v>
      </c>
      <c r="BJ281" t="s">
        <v>998</v>
      </c>
      <c r="BK281" t="s">
        <v>981</v>
      </c>
      <c r="BL281" t="s">
        <v>2945</v>
      </c>
      <c r="BM281">
        <v>20151012</v>
      </c>
      <c r="BN281">
        <v>20220201</v>
      </c>
      <c r="BO281">
        <v>0</v>
      </c>
      <c r="BP281" t="s">
        <v>257</v>
      </c>
      <c r="BQ281" t="s">
        <v>983</v>
      </c>
      <c r="BR281" t="s">
        <v>978</v>
      </c>
      <c r="BS281" t="s">
        <v>2952</v>
      </c>
      <c r="BT281">
        <v>0</v>
      </c>
      <c r="BU281">
        <v>0</v>
      </c>
      <c r="BV281" t="s">
        <v>1013</v>
      </c>
      <c r="BW281" t="s">
        <v>257</v>
      </c>
      <c r="BX281">
        <v>0</v>
      </c>
      <c r="BY281" t="s">
        <v>980</v>
      </c>
      <c r="BZ281" t="s">
        <v>257</v>
      </c>
      <c r="CA281">
        <v>0</v>
      </c>
      <c r="CB281">
        <v>0</v>
      </c>
      <c r="CC281" t="s">
        <v>985</v>
      </c>
      <c r="CD281">
        <v>0</v>
      </c>
      <c r="CE281">
        <v>0</v>
      </c>
      <c r="CF281">
        <v>0</v>
      </c>
      <c r="CG281">
        <v>0</v>
      </c>
      <c r="CH281">
        <v>0</v>
      </c>
      <c r="CI281" t="s">
        <v>983</v>
      </c>
      <c r="CJ281" t="s">
        <v>972</v>
      </c>
      <c r="CK281" t="s">
        <v>986</v>
      </c>
      <c r="CL281">
        <v>0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 t="s">
        <v>987</v>
      </c>
      <c r="CV281">
        <v>400008284</v>
      </c>
      <c r="CW281" t="s">
        <v>987</v>
      </c>
      <c r="CX281" t="s">
        <v>1081</v>
      </c>
      <c r="CY281" t="s">
        <v>989</v>
      </c>
    </row>
    <row r="282" spans="1:103" hidden="1" x14ac:dyDescent="0.25">
      <c r="A282">
        <v>410000285</v>
      </c>
      <c r="B282" t="s">
        <v>2953</v>
      </c>
      <c r="C282" t="s">
        <v>2954</v>
      </c>
      <c r="D282">
        <v>401100000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1</v>
      </c>
      <c r="Y282" t="s">
        <v>972</v>
      </c>
      <c r="Z282" t="s">
        <v>2955</v>
      </c>
      <c r="AA282" t="s">
        <v>2956</v>
      </c>
      <c r="AB282" t="s">
        <v>975</v>
      </c>
      <c r="AC282">
        <v>4040</v>
      </c>
      <c r="AD282" t="s">
        <v>976</v>
      </c>
      <c r="AE282" t="s">
        <v>2957</v>
      </c>
      <c r="AF282" t="s">
        <v>979</v>
      </c>
      <c r="AG282" t="s">
        <v>977</v>
      </c>
      <c r="AH282" t="s">
        <v>977</v>
      </c>
      <c r="AI282" t="s">
        <v>977</v>
      </c>
      <c r="AJ282" t="s">
        <v>978</v>
      </c>
      <c r="AK282" t="s">
        <v>978</v>
      </c>
      <c r="AL282" t="s">
        <v>978</v>
      </c>
      <c r="AM282" t="s">
        <v>979</v>
      </c>
      <c r="AN282">
        <v>0</v>
      </c>
      <c r="AO282" t="s">
        <v>257</v>
      </c>
      <c r="AP282">
        <v>0</v>
      </c>
      <c r="AQ282">
        <v>1</v>
      </c>
      <c r="AR282">
        <v>43</v>
      </c>
      <c r="AS282">
        <v>1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1</v>
      </c>
      <c r="AZ282" t="s">
        <v>257</v>
      </c>
      <c r="BA282" t="s">
        <v>980</v>
      </c>
      <c r="BB282" t="s">
        <v>981</v>
      </c>
      <c r="BC282" t="s">
        <v>257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 t="s">
        <v>998</v>
      </c>
      <c r="BK282" t="s">
        <v>981</v>
      </c>
      <c r="BL282" t="s">
        <v>2953</v>
      </c>
      <c r="BM282">
        <v>20151012</v>
      </c>
      <c r="BN282">
        <v>20181119</v>
      </c>
      <c r="BO282">
        <v>0</v>
      </c>
      <c r="BP282" t="s">
        <v>257</v>
      </c>
      <c r="BQ282" t="s">
        <v>983</v>
      </c>
      <c r="BR282" t="s">
        <v>978</v>
      </c>
      <c r="BS282" t="s">
        <v>979</v>
      </c>
      <c r="BT282">
        <v>0</v>
      </c>
      <c r="BU282">
        <v>0</v>
      </c>
      <c r="BV282" t="s">
        <v>1013</v>
      </c>
      <c r="BW282" t="s">
        <v>257</v>
      </c>
      <c r="BX282">
        <v>0</v>
      </c>
      <c r="BY282" t="s">
        <v>980</v>
      </c>
      <c r="BZ282" t="s">
        <v>257</v>
      </c>
      <c r="CA282">
        <v>0</v>
      </c>
      <c r="CB282">
        <v>0</v>
      </c>
      <c r="CC282" t="s">
        <v>985</v>
      </c>
      <c r="CD282">
        <v>0</v>
      </c>
      <c r="CE282">
        <v>0</v>
      </c>
      <c r="CF282">
        <v>0</v>
      </c>
      <c r="CG282">
        <v>0</v>
      </c>
      <c r="CH282">
        <v>0</v>
      </c>
      <c r="CI282" t="s">
        <v>983</v>
      </c>
      <c r="CJ282" t="s">
        <v>972</v>
      </c>
      <c r="CK282" t="s">
        <v>986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 t="s">
        <v>987</v>
      </c>
      <c r="CV282">
        <v>400008285</v>
      </c>
      <c r="CW282" t="s">
        <v>987</v>
      </c>
      <c r="CX282" t="s">
        <v>2958</v>
      </c>
      <c r="CY282" t="s">
        <v>989</v>
      </c>
    </row>
    <row r="283" spans="1:103" hidden="1" x14ac:dyDescent="0.25">
      <c r="A283">
        <v>410000286</v>
      </c>
      <c r="B283" t="s">
        <v>2959</v>
      </c>
      <c r="C283" t="s">
        <v>2960</v>
      </c>
      <c r="D283">
        <v>401100000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1</v>
      </c>
      <c r="Y283" t="s">
        <v>972</v>
      </c>
      <c r="Z283" t="s">
        <v>2961</v>
      </c>
      <c r="AA283" t="s">
        <v>2962</v>
      </c>
      <c r="AB283" t="s">
        <v>975</v>
      </c>
      <c r="AC283">
        <v>4000</v>
      </c>
      <c r="AD283" t="s">
        <v>1019</v>
      </c>
      <c r="AE283" t="s">
        <v>2963</v>
      </c>
      <c r="AF283" t="s">
        <v>979</v>
      </c>
      <c r="AG283" t="s">
        <v>977</v>
      </c>
      <c r="AH283" t="s">
        <v>977</v>
      </c>
      <c r="AI283">
        <v>70220</v>
      </c>
      <c r="AJ283" t="s">
        <v>978</v>
      </c>
      <c r="AK283" t="s">
        <v>978</v>
      </c>
      <c r="AL283" t="s">
        <v>978</v>
      </c>
      <c r="AM283" t="s">
        <v>979</v>
      </c>
      <c r="AN283">
        <v>0</v>
      </c>
      <c r="AO283" t="s">
        <v>257</v>
      </c>
      <c r="AP283">
        <v>0</v>
      </c>
      <c r="AQ283">
        <v>1</v>
      </c>
      <c r="AR283">
        <v>43</v>
      </c>
      <c r="AS283">
        <v>1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1</v>
      </c>
      <c r="AZ283" t="s">
        <v>257</v>
      </c>
      <c r="BA283" t="s">
        <v>980</v>
      </c>
      <c r="BB283" t="s">
        <v>981</v>
      </c>
      <c r="BC283" t="s">
        <v>257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 t="s">
        <v>998</v>
      </c>
      <c r="BK283" t="s">
        <v>981</v>
      </c>
      <c r="BL283" t="s">
        <v>2959</v>
      </c>
      <c r="BM283">
        <v>20151013</v>
      </c>
      <c r="BN283">
        <v>20220201</v>
      </c>
      <c r="BO283">
        <v>0</v>
      </c>
      <c r="BP283" t="s">
        <v>257</v>
      </c>
      <c r="BQ283" t="s">
        <v>983</v>
      </c>
      <c r="BR283" t="s">
        <v>978</v>
      </c>
      <c r="BS283" t="s">
        <v>2964</v>
      </c>
      <c r="BT283">
        <v>0</v>
      </c>
      <c r="BU283">
        <v>0</v>
      </c>
      <c r="BV283" t="s">
        <v>984</v>
      </c>
      <c r="BW283" t="s">
        <v>257</v>
      </c>
      <c r="BX283">
        <v>0</v>
      </c>
      <c r="BY283" t="s">
        <v>980</v>
      </c>
      <c r="BZ283" t="s">
        <v>257</v>
      </c>
      <c r="CA283">
        <v>0</v>
      </c>
      <c r="CB283">
        <v>0</v>
      </c>
      <c r="CC283" t="s">
        <v>1848</v>
      </c>
      <c r="CD283">
        <v>0</v>
      </c>
      <c r="CE283">
        <v>0</v>
      </c>
      <c r="CF283">
        <v>0</v>
      </c>
      <c r="CG283">
        <v>0</v>
      </c>
      <c r="CH283">
        <v>0</v>
      </c>
      <c r="CI283" t="s">
        <v>983</v>
      </c>
      <c r="CJ283" t="s">
        <v>972</v>
      </c>
      <c r="CK283" t="s">
        <v>986</v>
      </c>
      <c r="CL283">
        <v>0</v>
      </c>
      <c r="CM283">
        <v>1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 t="s">
        <v>987</v>
      </c>
      <c r="CV283">
        <v>400008286</v>
      </c>
      <c r="CW283" t="s">
        <v>987</v>
      </c>
      <c r="CX283" t="s">
        <v>2965</v>
      </c>
      <c r="CY283" t="s">
        <v>989</v>
      </c>
    </row>
    <row r="284" spans="1:103" hidden="1" x14ac:dyDescent="0.25">
      <c r="A284">
        <v>410000287</v>
      </c>
      <c r="B284" t="s">
        <v>2966</v>
      </c>
      <c r="C284" t="s">
        <v>2967</v>
      </c>
      <c r="D284">
        <v>401100000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1</v>
      </c>
      <c r="Y284" t="s">
        <v>2968</v>
      </c>
      <c r="Z284" t="s">
        <v>2969</v>
      </c>
      <c r="AA284" t="s">
        <v>2970</v>
      </c>
      <c r="AB284" t="s">
        <v>975</v>
      </c>
      <c r="AC284">
        <v>5030</v>
      </c>
      <c r="AD284" t="s">
        <v>1245</v>
      </c>
      <c r="AE284">
        <v>81625230</v>
      </c>
      <c r="AF284" t="s">
        <v>979</v>
      </c>
      <c r="AG284" t="s">
        <v>977</v>
      </c>
      <c r="AH284" t="s">
        <v>977</v>
      </c>
      <c r="AI284" t="s">
        <v>977</v>
      </c>
      <c r="AJ284" t="s">
        <v>978</v>
      </c>
      <c r="AK284" t="s">
        <v>978</v>
      </c>
      <c r="AL284" t="s">
        <v>978</v>
      </c>
      <c r="AM284" t="s">
        <v>979</v>
      </c>
      <c r="AN284">
        <v>0</v>
      </c>
      <c r="AO284" t="s">
        <v>257</v>
      </c>
      <c r="AP284">
        <v>0</v>
      </c>
      <c r="AQ284">
        <v>1</v>
      </c>
      <c r="AR284">
        <v>43</v>
      </c>
      <c r="AS284">
        <v>1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1</v>
      </c>
      <c r="AZ284" t="s">
        <v>257</v>
      </c>
      <c r="BA284" t="s">
        <v>980</v>
      </c>
      <c r="BB284" t="s">
        <v>981</v>
      </c>
      <c r="BC284" t="s">
        <v>257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 t="s">
        <v>998</v>
      </c>
      <c r="BK284" t="s">
        <v>981</v>
      </c>
      <c r="BL284" t="s">
        <v>2966</v>
      </c>
      <c r="BM284">
        <v>20151014</v>
      </c>
      <c r="BN284">
        <v>20181119</v>
      </c>
      <c r="BO284">
        <v>0</v>
      </c>
      <c r="BP284" t="s">
        <v>257</v>
      </c>
      <c r="BQ284" t="s">
        <v>983</v>
      </c>
      <c r="BR284" t="s">
        <v>978</v>
      </c>
      <c r="BS284" t="s">
        <v>979</v>
      </c>
      <c r="BT284">
        <v>0</v>
      </c>
      <c r="BU284">
        <v>0</v>
      </c>
      <c r="BV284" t="s">
        <v>1013</v>
      </c>
      <c r="BW284" t="s">
        <v>257</v>
      </c>
      <c r="BX284">
        <v>0</v>
      </c>
      <c r="BY284" t="s">
        <v>980</v>
      </c>
      <c r="BZ284" t="s">
        <v>257</v>
      </c>
      <c r="CA284">
        <v>0</v>
      </c>
      <c r="CB284">
        <v>0</v>
      </c>
      <c r="CC284" t="s">
        <v>2971</v>
      </c>
      <c r="CD284">
        <v>0</v>
      </c>
      <c r="CE284">
        <v>0</v>
      </c>
      <c r="CF284">
        <v>0</v>
      </c>
      <c r="CG284">
        <v>0</v>
      </c>
      <c r="CH284">
        <v>0</v>
      </c>
      <c r="CI284" t="s">
        <v>983</v>
      </c>
      <c r="CJ284" t="s">
        <v>972</v>
      </c>
      <c r="CK284" t="s">
        <v>986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 t="s">
        <v>987</v>
      </c>
      <c r="CV284">
        <v>400008287</v>
      </c>
      <c r="CW284" t="s">
        <v>987</v>
      </c>
      <c r="CX284" t="s">
        <v>1081</v>
      </c>
      <c r="CY284" t="s">
        <v>989</v>
      </c>
    </row>
    <row r="285" spans="1:103" hidden="1" x14ac:dyDescent="0.25">
      <c r="A285">
        <v>410000288</v>
      </c>
      <c r="B285" t="s">
        <v>2972</v>
      </c>
      <c r="C285" t="s">
        <v>2973</v>
      </c>
      <c r="D285">
        <v>401100000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 t="s">
        <v>972</v>
      </c>
      <c r="Z285" t="s">
        <v>2974</v>
      </c>
      <c r="AA285" t="s">
        <v>2975</v>
      </c>
      <c r="AB285" t="s">
        <v>975</v>
      </c>
      <c r="AC285">
        <v>4000</v>
      </c>
      <c r="AD285" t="s">
        <v>1019</v>
      </c>
      <c r="AE285" t="s">
        <v>2976</v>
      </c>
      <c r="AF285" t="s">
        <v>979</v>
      </c>
      <c r="AG285" t="s">
        <v>977</v>
      </c>
      <c r="AH285" t="s">
        <v>977</v>
      </c>
      <c r="AI285" t="s">
        <v>977</v>
      </c>
      <c r="AJ285" t="s">
        <v>978</v>
      </c>
      <c r="AK285" t="s">
        <v>978</v>
      </c>
      <c r="AL285" t="s">
        <v>978</v>
      </c>
      <c r="AM285" t="s">
        <v>979</v>
      </c>
      <c r="AN285">
        <v>0</v>
      </c>
      <c r="AO285" t="s">
        <v>257</v>
      </c>
      <c r="AP285">
        <v>0</v>
      </c>
      <c r="AQ285">
        <v>1</v>
      </c>
      <c r="AR285">
        <v>43</v>
      </c>
      <c r="AS285">
        <v>1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1</v>
      </c>
      <c r="AZ285" t="s">
        <v>257</v>
      </c>
      <c r="BA285" t="s">
        <v>980</v>
      </c>
      <c r="BB285" t="s">
        <v>981</v>
      </c>
      <c r="BC285" t="s">
        <v>257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 t="s">
        <v>998</v>
      </c>
      <c r="BK285" t="s">
        <v>981</v>
      </c>
      <c r="BL285" t="s">
        <v>2972</v>
      </c>
      <c r="BM285">
        <v>20151015</v>
      </c>
      <c r="BN285">
        <v>20181119</v>
      </c>
      <c r="BO285">
        <v>0</v>
      </c>
      <c r="BP285" t="s">
        <v>257</v>
      </c>
      <c r="BQ285" t="s">
        <v>983</v>
      </c>
      <c r="BR285" t="s">
        <v>978</v>
      </c>
      <c r="BS285" t="s">
        <v>979</v>
      </c>
      <c r="BT285">
        <v>0</v>
      </c>
      <c r="BU285">
        <v>0</v>
      </c>
      <c r="BV285" t="s">
        <v>1013</v>
      </c>
      <c r="BW285" t="s">
        <v>257</v>
      </c>
      <c r="BX285">
        <v>0</v>
      </c>
      <c r="BY285" t="s">
        <v>980</v>
      </c>
      <c r="BZ285" t="s">
        <v>257</v>
      </c>
      <c r="CA285">
        <v>0</v>
      </c>
      <c r="CB285">
        <v>0</v>
      </c>
      <c r="CC285" t="s">
        <v>1391</v>
      </c>
      <c r="CD285">
        <v>0</v>
      </c>
      <c r="CE285">
        <v>0</v>
      </c>
      <c r="CF285">
        <v>0</v>
      </c>
      <c r="CG285">
        <v>0</v>
      </c>
      <c r="CH285">
        <v>0</v>
      </c>
      <c r="CI285" t="s">
        <v>983</v>
      </c>
      <c r="CJ285" t="s">
        <v>972</v>
      </c>
      <c r="CK285" t="s">
        <v>986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 t="s">
        <v>987</v>
      </c>
      <c r="CV285">
        <v>400008288</v>
      </c>
      <c r="CW285" t="s">
        <v>987</v>
      </c>
      <c r="CX285" t="s">
        <v>2977</v>
      </c>
      <c r="CY285" t="s">
        <v>989</v>
      </c>
    </row>
    <row r="286" spans="1:103" hidden="1" x14ac:dyDescent="0.25">
      <c r="A286">
        <v>410000289</v>
      </c>
      <c r="B286" t="s">
        <v>2978</v>
      </c>
      <c r="C286" t="s">
        <v>2979</v>
      </c>
      <c r="D286">
        <v>401100000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1</v>
      </c>
      <c r="Y286" t="s">
        <v>972</v>
      </c>
      <c r="Z286" t="s">
        <v>2980</v>
      </c>
      <c r="AA286" t="s">
        <v>2981</v>
      </c>
      <c r="AB286" t="s">
        <v>975</v>
      </c>
      <c r="AC286">
        <v>4000</v>
      </c>
      <c r="AD286" t="s">
        <v>1019</v>
      </c>
      <c r="AE286" t="s">
        <v>2982</v>
      </c>
      <c r="AF286" t="s">
        <v>979</v>
      </c>
      <c r="AG286" t="s">
        <v>977</v>
      </c>
      <c r="AH286" t="s">
        <v>977</v>
      </c>
      <c r="AI286" t="s">
        <v>977</v>
      </c>
      <c r="AJ286" t="s">
        <v>978</v>
      </c>
      <c r="AK286" t="s">
        <v>978</v>
      </c>
      <c r="AL286" t="s">
        <v>978</v>
      </c>
      <c r="AM286" t="s">
        <v>979</v>
      </c>
      <c r="AN286">
        <v>0</v>
      </c>
      <c r="AO286" t="s">
        <v>257</v>
      </c>
      <c r="AP286">
        <v>0</v>
      </c>
      <c r="AQ286">
        <v>1</v>
      </c>
      <c r="AR286">
        <v>43</v>
      </c>
      <c r="AS286">
        <v>1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1</v>
      </c>
      <c r="AZ286" t="s">
        <v>257</v>
      </c>
      <c r="BA286" t="s">
        <v>980</v>
      </c>
      <c r="BB286" t="s">
        <v>981</v>
      </c>
      <c r="BC286" t="s">
        <v>257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 t="s">
        <v>998</v>
      </c>
      <c r="BK286" t="s">
        <v>981</v>
      </c>
      <c r="BL286" t="s">
        <v>2978</v>
      </c>
      <c r="BM286">
        <v>20151015</v>
      </c>
      <c r="BN286">
        <v>20181119</v>
      </c>
      <c r="BO286">
        <v>0</v>
      </c>
      <c r="BP286" t="s">
        <v>257</v>
      </c>
      <c r="BQ286" t="s">
        <v>983</v>
      </c>
      <c r="BR286" t="s">
        <v>978</v>
      </c>
      <c r="BS286" t="s">
        <v>979</v>
      </c>
      <c r="BT286">
        <v>0</v>
      </c>
      <c r="BU286">
        <v>0</v>
      </c>
      <c r="BV286" t="s">
        <v>1013</v>
      </c>
      <c r="BW286" t="s">
        <v>257</v>
      </c>
      <c r="BX286">
        <v>0</v>
      </c>
      <c r="BY286" t="s">
        <v>980</v>
      </c>
      <c r="BZ286" t="s">
        <v>257</v>
      </c>
      <c r="CA286">
        <v>0</v>
      </c>
      <c r="CB286">
        <v>0</v>
      </c>
      <c r="CC286" t="s">
        <v>1391</v>
      </c>
      <c r="CD286">
        <v>0</v>
      </c>
      <c r="CE286">
        <v>0</v>
      </c>
      <c r="CF286">
        <v>0</v>
      </c>
      <c r="CG286">
        <v>0</v>
      </c>
      <c r="CH286">
        <v>0</v>
      </c>
      <c r="CI286" t="s">
        <v>983</v>
      </c>
      <c r="CJ286" t="s">
        <v>972</v>
      </c>
      <c r="CK286" t="s">
        <v>986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 t="s">
        <v>987</v>
      </c>
      <c r="CV286">
        <v>400008289</v>
      </c>
      <c r="CW286" t="s">
        <v>987</v>
      </c>
      <c r="CX286" t="s">
        <v>2983</v>
      </c>
      <c r="CY286" t="s">
        <v>989</v>
      </c>
    </row>
    <row r="287" spans="1:103" hidden="1" x14ac:dyDescent="0.25">
      <c r="A287">
        <v>410000290</v>
      </c>
      <c r="B287" t="s">
        <v>2984</v>
      </c>
      <c r="C287" t="s">
        <v>2985</v>
      </c>
      <c r="D287">
        <v>401100000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Y287" t="s">
        <v>972</v>
      </c>
      <c r="Z287" t="s">
        <v>2986</v>
      </c>
      <c r="AA287" t="s">
        <v>2987</v>
      </c>
      <c r="AB287" t="s">
        <v>975</v>
      </c>
      <c r="AC287">
        <v>4890</v>
      </c>
      <c r="AD287" t="s">
        <v>2988</v>
      </c>
      <c r="AE287" t="s">
        <v>2989</v>
      </c>
      <c r="AF287" t="s">
        <v>2990</v>
      </c>
      <c r="AG287" t="s">
        <v>977</v>
      </c>
      <c r="AH287" t="s">
        <v>977</v>
      </c>
      <c r="AI287" t="s">
        <v>977</v>
      </c>
      <c r="AJ287" t="s">
        <v>978</v>
      </c>
      <c r="AK287" t="s">
        <v>978</v>
      </c>
      <c r="AL287" t="s">
        <v>978</v>
      </c>
      <c r="AM287" t="s">
        <v>979</v>
      </c>
      <c r="AN287">
        <v>0</v>
      </c>
      <c r="AO287" t="s">
        <v>257</v>
      </c>
      <c r="AP287">
        <v>30</v>
      </c>
      <c r="AQ287">
        <v>1</v>
      </c>
      <c r="AR287">
        <v>43</v>
      </c>
      <c r="AS287">
        <v>1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1</v>
      </c>
      <c r="AZ287" t="s">
        <v>257</v>
      </c>
      <c r="BA287" t="s">
        <v>980</v>
      </c>
      <c r="BB287" t="s">
        <v>981</v>
      </c>
      <c r="BC287" t="s">
        <v>257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 t="s">
        <v>998</v>
      </c>
      <c r="BK287" t="s">
        <v>981</v>
      </c>
      <c r="BL287" t="s">
        <v>2984</v>
      </c>
      <c r="BM287">
        <v>20151027</v>
      </c>
      <c r="BN287">
        <v>20250926</v>
      </c>
      <c r="BO287">
        <v>0</v>
      </c>
      <c r="BP287" t="s">
        <v>257</v>
      </c>
      <c r="BQ287" t="s">
        <v>983</v>
      </c>
      <c r="BR287" t="s">
        <v>978</v>
      </c>
      <c r="BS287" t="s">
        <v>979</v>
      </c>
      <c r="BT287">
        <v>0</v>
      </c>
      <c r="BU287">
        <v>0</v>
      </c>
      <c r="BV287" t="s">
        <v>984</v>
      </c>
      <c r="BW287" t="s">
        <v>257</v>
      </c>
      <c r="BX287">
        <v>0</v>
      </c>
      <c r="BY287" t="s">
        <v>980</v>
      </c>
      <c r="BZ287" t="s">
        <v>257</v>
      </c>
      <c r="CA287">
        <v>0</v>
      </c>
      <c r="CB287">
        <v>0</v>
      </c>
      <c r="CC287" t="s">
        <v>1559</v>
      </c>
      <c r="CD287">
        <v>0</v>
      </c>
      <c r="CE287">
        <v>0</v>
      </c>
      <c r="CF287">
        <v>0</v>
      </c>
      <c r="CG287">
        <v>0</v>
      </c>
      <c r="CH287">
        <v>0</v>
      </c>
      <c r="CI287" t="s">
        <v>983</v>
      </c>
      <c r="CJ287" t="s">
        <v>972</v>
      </c>
      <c r="CK287" t="s">
        <v>986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 t="s">
        <v>987</v>
      </c>
      <c r="CV287">
        <v>400008290</v>
      </c>
      <c r="CW287" t="s">
        <v>987</v>
      </c>
      <c r="CX287" t="s">
        <v>2991</v>
      </c>
      <c r="CY287" t="s">
        <v>989</v>
      </c>
    </row>
    <row r="288" spans="1:103" hidden="1" x14ac:dyDescent="0.25">
      <c r="A288">
        <v>410000291</v>
      </c>
      <c r="B288" t="s">
        <v>2992</v>
      </c>
      <c r="C288" t="s">
        <v>2993</v>
      </c>
      <c r="D288">
        <v>401100000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1</v>
      </c>
      <c r="Y288" t="s">
        <v>972</v>
      </c>
      <c r="Z288" t="s">
        <v>2994</v>
      </c>
      <c r="AA288" t="s">
        <v>2995</v>
      </c>
      <c r="AB288" t="s">
        <v>975</v>
      </c>
      <c r="AC288">
        <v>4020</v>
      </c>
      <c r="AD288" t="s">
        <v>1149</v>
      </c>
      <c r="AE288" t="s">
        <v>2996</v>
      </c>
      <c r="AF288" t="s">
        <v>2997</v>
      </c>
      <c r="AG288" t="s">
        <v>977</v>
      </c>
      <c r="AH288" t="s">
        <v>977</v>
      </c>
      <c r="AI288">
        <v>85531</v>
      </c>
      <c r="AJ288" t="s">
        <v>978</v>
      </c>
      <c r="AK288" t="s">
        <v>978</v>
      </c>
      <c r="AL288" t="s">
        <v>978</v>
      </c>
      <c r="AM288" t="s">
        <v>979</v>
      </c>
      <c r="AN288">
        <v>0</v>
      </c>
      <c r="AO288" t="s">
        <v>257</v>
      </c>
      <c r="AP288">
        <v>0</v>
      </c>
      <c r="AQ288">
        <v>1</v>
      </c>
      <c r="AR288">
        <v>69</v>
      </c>
      <c r="AS288">
        <v>1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1</v>
      </c>
      <c r="AZ288" t="s">
        <v>257</v>
      </c>
      <c r="BA288" t="s">
        <v>980</v>
      </c>
      <c r="BB288" t="s">
        <v>981</v>
      </c>
      <c r="BC288" t="s">
        <v>257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 t="s">
        <v>998</v>
      </c>
      <c r="BK288" t="s">
        <v>981</v>
      </c>
      <c r="BL288" t="s">
        <v>2992</v>
      </c>
      <c r="BM288">
        <v>20151027</v>
      </c>
      <c r="BN288">
        <v>20240910</v>
      </c>
      <c r="BO288">
        <v>0</v>
      </c>
      <c r="BP288" t="s">
        <v>257</v>
      </c>
      <c r="BQ288" t="s">
        <v>983</v>
      </c>
      <c r="BR288" t="s">
        <v>978</v>
      </c>
      <c r="BS288" t="s">
        <v>979</v>
      </c>
      <c r="BT288">
        <v>0</v>
      </c>
      <c r="BU288">
        <v>0</v>
      </c>
      <c r="BV288" t="s">
        <v>984</v>
      </c>
      <c r="BW288" t="s">
        <v>257</v>
      </c>
      <c r="BX288">
        <v>0</v>
      </c>
      <c r="BY288" t="s">
        <v>980</v>
      </c>
      <c r="BZ288" t="s">
        <v>257</v>
      </c>
      <c r="CA288">
        <v>0</v>
      </c>
      <c r="CB288">
        <v>0</v>
      </c>
      <c r="CC288" t="s">
        <v>2998</v>
      </c>
      <c r="CD288">
        <v>0</v>
      </c>
      <c r="CE288">
        <v>0</v>
      </c>
      <c r="CF288">
        <v>0</v>
      </c>
      <c r="CG288">
        <v>0</v>
      </c>
      <c r="CH288">
        <v>0</v>
      </c>
      <c r="CI288" t="s">
        <v>983</v>
      </c>
      <c r="CJ288" t="s">
        <v>972</v>
      </c>
      <c r="CK288" t="s">
        <v>986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 t="s">
        <v>987</v>
      </c>
      <c r="CV288">
        <v>400008291</v>
      </c>
      <c r="CW288" t="s">
        <v>987</v>
      </c>
      <c r="CX288" t="s">
        <v>2999</v>
      </c>
      <c r="CY288" t="s">
        <v>989</v>
      </c>
    </row>
    <row r="289" spans="1:103" hidden="1" x14ac:dyDescent="0.25">
      <c r="A289">
        <v>410000292</v>
      </c>
      <c r="B289" t="s">
        <v>3000</v>
      </c>
      <c r="C289" t="s">
        <v>3001</v>
      </c>
      <c r="D289">
        <v>401100000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1</v>
      </c>
      <c r="Y289" t="s">
        <v>972</v>
      </c>
      <c r="Z289" t="s">
        <v>3002</v>
      </c>
      <c r="AA289" t="s">
        <v>3003</v>
      </c>
      <c r="AB289" t="s">
        <v>975</v>
      </c>
      <c r="AC289">
        <v>4801</v>
      </c>
      <c r="AD289" t="s">
        <v>1124</v>
      </c>
      <c r="AE289" t="s">
        <v>3004</v>
      </c>
      <c r="AF289" t="s">
        <v>979</v>
      </c>
      <c r="AG289" t="s">
        <v>977</v>
      </c>
      <c r="AH289" t="s">
        <v>977</v>
      </c>
      <c r="AI289" t="s">
        <v>977</v>
      </c>
      <c r="AJ289" t="s">
        <v>978</v>
      </c>
      <c r="AK289" t="s">
        <v>978</v>
      </c>
      <c r="AL289" t="s">
        <v>978</v>
      </c>
      <c r="AM289" t="s">
        <v>979</v>
      </c>
      <c r="AN289">
        <v>0</v>
      </c>
      <c r="AO289" t="s">
        <v>257</v>
      </c>
      <c r="AP289">
        <v>0</v>
      </c>
      <c r="AQ289">
        <v>1</v>
      </c>
      <c r="AR289">
        <v>43</v>
      </c>
      <c r="AS289">
        <v>1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1</v>
      </c>
      <c r="AZ289" t="s">
        <v>257</v>
      </c>
      <c r="BA289" t="s">
        <v>980</v>
      </c>
      <c r="BB289" t="s">
        <v>981</v>
      </c>
      <c r="BC289" t="s">
        <v>257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 t="s">
        <v>998</v>
      </c>
      <c r="BK289" t="s">
        <v>981</v>
      </c>
      <c r="BL289" t="s">
        <v>3000</v>
      </c>
      <c r="BM289">
        <v>20151027</v>
      </c>
      <c r="BN289">
        <v>20251118</v>
      </c>
      <c r="BO289">
        <v>0</v>
      </c>
      <c r="BP289" t="s">
        <v>257</v>
      </c>
      <c r="BQ289" t="s">
        <v>983</v>
      </c>
      <c r="BR289" t="s">
        <v>978</v>
      </c>
      <c r="BS289" t="s">
        <v>3005</v>
      </c>
      <c r="BT289">
        <v>0</v>
      </c>
      <c r="BU289">
        <v>0</v>
      </c>
      <c r="BV289" t="s">
        <v>984</v>
      </c>
      <c r="BW289" t="s">
        <v>257</v>
      </c>
      <c r="BX289">
        <v>0</v>
      </c>
      <c r="BY289" t="s">
        <v>980</v>
      </c>
      <c r="BZ289" t="s">
        <v>257</v>
      </c>
      <c r="CA289">
        <v>0</v>
      </c>
      <c r="CB289">
        <v>0</v>
      </c>
      <c r="CC289" t="s">
        <v>2144</v>
      </c>
      <c r="CD289">
        <v>0</v>
      </c>
      <c r="CE289">
        <v>0</v>
      </c>
      <c r="CF289">
        <v>0</v>
      </c>
      <c r="CG289">
        <v>0</v>
      </c>
      <c r="CH289">
        <v>0</v>
      </c>
      <c r="CI289" t="s">
        <v>983</v>
      </c>
      <c r="CJ289" t="s">
        <v>972</v>
      </c>
      <c r="CK289" t="s">
        <v>986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 t="s">
        <v>987</v>
      </c>
      <c r="CV289">
        <v>400008292</v>
      </c>
      <c r="CW289" t="s">
        <v>987</v>
      </c>
      <c r="CX289" t="s">
        <v>7609</v>
      </c>
      <c r="CY289" t="s">
        <v>989</v>
      </c>
    </row>
    <row r="290" spans="1:103" hidden="1" x14ac:dyDescent="0.25">
      <c r="A290">
        <v>410000293</v>
      </c>
      <c r="B290" t="s">
        <v>3006</v>
      </c>
      <c r="C290" t="s">
        <v>3007</v>
      </c>
      <c r="D290">
        <v>401100000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1</v>
      </c>
      <c r="Y290" t="s">
        <v>972</v>
      </c>
      <c r="Z290" t="s">
        <v>987</v>
      </c>
      <c r="AA290" t="s">
        <v>3008</v>
      </c>
      <c r="AB290" t="s">
        <v>975</v>
      </c>
      <c r="AC290">
        <v>4801</v>
      </c>
      <c r="AD290" t="s">
        <v>1180</v>
      </c>
      <c r="AE290" t="s">
        <v>3004</v>
      </c>
      <c r="AF290" t="s">
        <v>979</v>
      </c>
      <c r="AG290" t="s">
        <v>977</v>
      </c>
      <c r="AH290" t="s">
        <v>977</v>
      </c>
      <c r="AI290" t="s">
        <v>977</v>
      </c>
      <c r="AJ290" t="s">
        <v>3009</v>
      </c>
      <c r="AK290" t="s">
        <v>3010</v>
      </c>
      <c r="AL290" t="s">
        <v>978</v>
      </c>
      <c r="AM290" t="s">
        <v>979</v>
      </c>
      <c r="AN290">
        <v>0</v>
      </c>
      <c r="AO290" t="s">
        <v>257</v>
      </c>
      <c r="AP290">
        <v>0</v>
      </c>
      <c r="AQ290">
        <v>1</v>
      </c>
      <c r="AR290">
        <v>43</v>
      </c>
      <c r="AS290">
        <v>1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1</v>
      </c>
      <c r="AZ290" t="s">
        <v>257</v>
      </c>
      <c r="BA290" t="s">
        <v>980</v>
      </c>
      <c r="BB290" t="s">
        <v>981</v>
      </c>
      <c r="BC290" t="s">
        <v>257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 t="s">
        <v>998</v>
      </c>
      <c r="BK290" t="s">
        <v>981</v>
      </c>
      <c r="BL290" t="s">
        <v>3006</v>
      </c>
      <c r="BM290">
        <v>20151027</v>
      </c>
      <c r="BN290">
        <v>20181119</v>
      </c>
      <c r="BO290">
        <v>0</v>
      </c>
      <c r="BP290" t="s">
        <v>257</v>
      </c>
      <c r="BQ290" t="s">
        <v>983</v>
      </c>
      <c r="BR290" t="s">
        <v>978</v>
      </c>
      <c r="BS290" t="s">
        <v>979</v>
      </c>
      <c r="BT290">
        <v>0</v>
      </c>
      <c r="BU290">
        <v>0</v>
      </c>
      <c r="BV290" t="s">
        <v>1013</v>
      </c>
      <c r="BW290" t="s">
        <v>257</v>
      </c>
      <c r="BX290">
        <v>0</v>
      </c>
      <c r="BY290" t="s">
        <v>980</v>
      </c>
      <c r="BZ290" t="s">
        <v>257</v>
      </c>
      <c r="CA290">
        <v>0</v>
      </c>
      <c r="CB290">
        <v>0</v>
      </c>
      <c r="CC290" t="s">
        <v>1871</v>
      </c>
      <c r="CD290">
        <v>0</v>
      </c>
      <c r="CE290">
        <v>0</v>
      </c>
      <c r="CF290">
        <v>0</v>
      </c>
      <c r="CG290">
        <v>0</v>
      </c>
      <c r="CH290">
        <v>0</v>
      </c>
      <c r="CI290" t="s">
        <v>983</v>
      </c>
      <c r="CJ290" t="s">
        <v>972</v>
      </c>
      <c r="CK290" t="s">
        <v>986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 t="s">
        <v>987</v>
      </c>
      <c r="CV290">
        <v>400008293</v>
      </c>
      <c r="CW290" t="s">
        <v>987</v>
      </c>
      <c r="CX290" t="s">
        <v>1081</v>
      </c>
      <c r="CY290" t="s">
        <v>989</v>
      </c>
    </row>
    <row r="291" spans="1:103" hidden="1" x14ac:dyDescent="0.25">
      <c r="A291">
        <v>410000294</v>
      </c>
      <c r="B291" t="s">
        <v>3011</v>
      </c>
      <c r="C291" t="s">
        <v>3012</v>
      </c>
      <c r="D291">
        <v>401100000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1</v>
      </c>
      <c r="Y291" t="s">
        <v>972</v>
      </c>
      <c r="Z291" t="s">
        <v>987</v>
      </c>
      <c r="AA291" t="s">
        <v>3013</v>
      </c>
      <c r="AB291" t="s">
        <v>975</v>
      </c>
      <c r="AC291">
        <v>4690</v>
      </c>
      <c r="AD291" t="s">
        <v>1420</v>
      </c>
      <c r="AE291" t="s">
        <v>3014</v>
      </c>
      <c r="AF291" t="s">
        <v>979</v>
      </c>
      <c r="AG291" t="s">
        <v>977</v>
      </c>
      <c r="AH291" t="s">
        <v>977</v>
      </c>
      <c r="AI291">
        <v>46216</v>
      </c>
      <c r="AJ291" t="s">
        <v>978</v>
      </c>
      <c r="AK291" t="s">
        <v>978</v>
      </c>
      <c r="AL291" t="s">
        <v>978</v>
      </c>
      <c r="AM291" t="s">
        <v>979</v>
      </c>
      <c r="AN291">
        <v>0</v>
      </c>
      <c r="AO291" t="s">
        <v>257</v>
      </c>
      <c r="AP291">
        <v>0</v>
      </c>
      <c r="AQ291">
        <v>1</v>
      </c>
      <c r="AR291">
        <v>43</v>
      </c>
      <c r="AS291">
        <v>1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1</v>
      </c>
      <c r="AZ291" t="s">
        <v>257</v>
      </c>
      <c r="BA291" t="s">
        <v>980</v>
      </c>
      <c r="BB291" t="s">
        <v>981</v>
      </c>
      <c r="BC291" t="s">
        <v>257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 t="s">
        <v>998</v>
      </c>
      <c r="BK291" t="s">
        <v>981</v>
      </c>
      <c r="BL291" t="s">
        <v>3011</v>
      </c>
      <c r="BM291">
        <v>20151102</v>
      </c>
      <c r="BN291">
        <v>20200915</v>
      </c>
      <c r="BO291">
        <v>0</v>
      </c>
      <c r="BP291" t="s">
        <v>257</v>
      </c>
      <c r="BQ291" t="s">
        <v>983</v>
      </c>
      <c r="BR291" t="s">
        <v>978</v>
      </c>
      <c r="BS291" t="s">
        <v>979</v>
      </c>
      <c r="BT291">
        <v>0</v>
      </c>
      <c r="BU291">
        <v>0</v>
      </c>
      <c r="BV291" t="s">
        <v>1013</v>
      </c>
      <c r="BW291" t="s">
        <v>257</v>
      </c>
      <c r="BX291">
        <v>0</v>
      </c>
      <c r="BY291" t="s">
        <v>980</v>
      </c>
      <c r="BZ291" t="s">
        <v>257</v>
      </c>
      <c r="CA291">
        <v>0</v>
      </c>
      <c r="CB291">
        <v>0</v>
      </c>
      <c r="CC291" t="s">
        <v>2000</v>
      </c>
      <c r="CD291">
        <v>0</v>
      </c>
      <c r="CE291">
        <v>0</v>
      </c>
      <c r="CF291">
        <v>0</v>
      </c>
      <c r="CG291">
        <v>0</v>
      </c>
      <c r="CH291">
        <v>0</v>
      </c>
      <c r="CI291" t="s">
        <v>983</v>
      </c>
      <c r="CJ291" t="s">
        <v>972</v>
      </c>
      <c r="CK291" t="s">
        <v>986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 t="s">
        <v>987</v>
      </c>
      <c r="CV291">
        <v>400008294</v>
      </c>
      <c r="CW291" t="s">
        <v>987</v>
      </c>
      <c r="CX291" t="s">
        <v>3015</v>
      </c>
      <c r="CY291" t="s">
        <v>989</v>
      </c>
    </row>
    <row r="292" spans="1:103" hidden="1" x14ac:dyDescent="0.25">
      <c r="A292">
        <v>410000295</v>
      </c>
      <c r="B292" t="s">
        <v>3016</v>
      </c>
      <c r="C292" t="s">
        <v>3017</v>
      </c>
      <c r="D292">
        <v>401100000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1</v>
      </c>
      <c r="Y292" t="s">
        <v>972</v>
      </c>
      <c r="Z292" t="s">
        <v>3018</v>
      </c>
      <c r="AA292" t="s">
        <v>3019</v>
      </c>
      <c r="AB292" t="s">
        <v>975</v>
      </c>
      <c r="AC292">
        <v>4350</v>
      </c>
      <c r="AD292" t="s">
        <v>3020</v>
      </c>
      <c r="AE292" t="s">
        <v>979</v>
      </c>
      <c r="AF292" t="s">
        <v>979</v>
      </c>
      <c r="AG292" t="s">
        <v>977</v>
      </c>
      <c r="AH292" t="s">
        <v>977</v>
      </c>
      <c r="AI292" t="s">
        <v>977</v>
      </c>
      <c r="AJ292" t="s">
        <v>3021</v>
      </c>
      <c r="AK292" t="s">
        <v>978</v>
      </c>
      <c r="AL292" t="s">
        <v>978</v>
      </c>
      <c r="AM292" t="s">
        <v>979</v>
      </c>
      <c r="AN292">
        <v>0</v>
      </c>
      <c r="AO292" t="s">
        <v>257</v>
      </c>
      <c r="AP292">
        <v>0</v>
      </c>
      <c r="AQ292">
        <v>1</v>
      </c>
      <c r="AR292">
        <v>43</v>
      </c>
      <c r="AS292">
        <v>1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1</v>
      </c>
      <c r="AZ292" t="s">
        <v>257</v>
      </c>
      <c r="BA292" t="s">
        <v>980</v>
      </c>
      <c r="BB292" t="s">
        <v>981</v>
      </c>
      <c r="BC292" t="s">
        <v>257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 t="s">
        <v>998</v>
      </c>
      <c r="BK292" t="s">
        <v>981</v>
      </c>
      <c r="BL292" t="s">
        <v>3016</v>
      </c>
      <c r="BM292">
        <v>20151104</v>
      </c>
      <c r="BN292">
        <v>20181119</v>
      </c>
      <c r="BO292">
        <v>0</v>
      </c>
      <c r="BP292" t="s">
        <v>257</v>
      </c>
      <c r="BQ292" t="s">
        <v>983</v>
      </c>
      <c r="BR292" t="s">
        <v>978</v>
      </c>
      <c r="BS292" t="s">
        <v>979</v>
      </c>
      <c r="BT292">
        <v>0</v>
      </c>
      <c r="BU292">
        <v>0</v>
      </c>
      <c r="BV292" t="s">
        <v>1013</v>
      </c>
      <c r="BW292" t="s">
        <v>257</v>
      </c>
      <c r="BX292">
        <v>0</v>
      </c>
      <c r="BY292" t="s">
        <v>980</v>
      </c>
      <c r="BZ292" t="s">
        <v>257</v>
      </c>
      <c r="CA292">
        <v>0</v>
      </c>
      <c r="CB292">
        <v>0</v>
      </c>
      <c r="CC292" t="s">
        <v>1934</v>
      </c>
      <c r="CD292">
        <v>0</v>
      </c>
      <c r="CE292">
        <v>0</v>
      </c>
      <c r="CF292">
        <v>0</v>
      </c>
      <c r="CG292">
        <v>0</v>
      </c>
      <c r="CH292">
        <v>0</v>
      </c>
      <c r="CI292" t="s">
        <v>983</v>
      </c>
      <c r="CJ292" t="s">
        <v>972</v>
      </c>
      <c r="CK292" t="s">
        <v>986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 t="s">
        <v>987</v>
      </c>
      <c r="CV292">
        <v>400008295</v>
      </c>
      <c r="CW292" t="s">
        <v>987</v>
      </c>
      <c r="CX292" t="s">
        <v>1081</v>
      </c>
      <c r="CY292" t="s">
        <v>989</v>
      </c>
    </row>
    <row r="293" spans="1:103" hidden="1" x14ac:dyDescent="0.25">
      <c r="A293">
        <v>410000296</v>
      </c>
      <c r="B293" t="s">
        <v>3022</v>
      </c>
      <c r="C293" t="s">
        <v>3023</v>
      </c>
      <c r="D293">
        <v>401100000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1</v>
      </c>
      <c r="Y293" t="s">
        <v>972</v>
      </c>
      <c r="Z293" t="s">
        <v>3024</v>
      </c>
      <c r="AA293" t="s">
        <v>3025</v>
      </c>
      <c r="AB293" t="s">
        <v>975</v>
      </c>
      <c r="AC293">
        <v>4040</v>
      </c>
      <c r="AD293" t="s">
        <v>976</v>
      </c>
      <c r="AE293">
        <v>42400525</v>
      </c>
      <c r="AF293">
        <v>42400607</v>
      </c>
      <c r="AG293" t="s">
        <v>977</v>
      </c>
      <c r="AH293" t="s">
        <v>977</v>
      </c>
      <c r="AI293" t="s">
        <v>977</v>
      </c>
      <c r="AJ293" t="s">
        <v>978</v>
      </c>
      <c r="AK293" t="s">
        <v>978</v>
      </c>
      <c r="AL293" t="s">
        <v>978</v>
      </c>
      <c r="AM293" t="s">
        <v>979</v>
      </c>
      <c r="AN293">
        <v>0</v>
      </c>
      <c r="AO293" t="s">
        <v>257</v>
      </c>
      <c r="AP293">
        <v>0</v>
      </c>
      <c r="AQ293">
        <v>1</v>
      </c>
      <c r="AR293">
        <v>43</v>
      </c>
      <c r="AS293">
        <v>1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1</v>
      </c>
      <c r="AZ293" t="s">
        <v>257</v>
      </c>
      <c r="BA293" t="s">
        <v>980</v>
      </c>
      <c r="BB293" t="s">
        <v>981</v>
      </c>
      <c r="BC293" t="s">
        <v>257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 t="s">
        <v>998</v>
      </c>
      <c r="BK293" t="s">
        <v>981</v>
      </c>
      <c r="BL293" t="s">
        <v>3022</v>
      </c>
      <c r="BM293">
        <v>20151104</v>
      </c>
      <c r="BN293">
        <v>20181119</v>
      </c>
      <c r="BO293">
        <v>0</v>
      </c>
      <c r="BP293" t="s">
        <v>257</v>
      </c>
      <c r="BQ293" t="s">
        <v>983</v>
      </c>
      <c r="BR293" t="s">
        <v>978</v>
      </c>
      <c r="BS293" t="s">
        <v>979</v>
      </c>
      <c r="BT293">
        <v>0</v>
      </c>
      <c r="BU293">
        <v>0</v>
      </c>
      <c r="BV293" t="s">
        <v>1013</v>
      </c>
      <c r="BW293" t="s">
        <v>257</v>
      </c>
      <c r="BX293">
        <v>0</v>
      </c>
      <c r="BY293" t="s">
        <v>980</v>
      </c>
      <c r="BZ293" t="s">
        <v>257</v>
      </c>
      <c r="CA293">
        <v>0</v>
      </c>
      <c r="CB293">
        <v>0</v>
      </c>
      <c r="CC293" t="s">
        <v>985</v>
      </c>
      <c r="CD293">
        <v>0</v>
      </c>
      <c r="CE293">
        <v>0</v>
      </c>
      <c r="CF293">
        <v>0</v>
      </c>
      <c r="CG293">
        <v>0</v>
      </c>
      <c r="CH293">
        <v>0</v>
      </c>
      <c r="CI293" t="s">
        <v>983</v>
      </c>
      <c r="CJ293" t="s">
        <v>972</v>
      </c>
      <c r="CK293" t="s">
        <v>986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 t="s">
        <v>987</v>
      </c>
      <c r="CV293">
        <v>400008296</v>
      </c>
      <c r="CW293" t="s">
        <v>987</v>
      </c>
      <c r="CX293" t="s">
        <v>3026</v>
      </c>
      <c r="CY293" t="s">
        <v>989</v>
      </c>
    </row>
    <row r="294" spans="1:103" hidden="1" x14ac:dyDescent="0.25">
      <c r="A294">
        <v>410000297</v>
      </c>
      <c r="B294" t="s">
        <v>3027</v>
      </c>
      <c r="C294" t="s">
        <v>3028</v>
      </c>
      <c r="D294">
        <v>401100000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1</v>
      </c>
      <c r="Y294" t="s">
        <v>972</v>
      </c>
      <c r="Z294" t="s">
        <v>3029</v>
      </c>
      <c r="AA294" t="s">
        <v>3030</v>
      </c>
      <c r="AB294" t="s">
        <v>975</v>
      </c>
      <c r="AC294">
        <v>4432</v>
      </c>
      <c r="AD294" t="s">
        <v>1313</v>
      </c>
      <c r="AE294" t="s">
        <v>3031</v>
      </c>
      <c r="AF294" t="s">
        <v>3032</v>
      </c>
      <c r="AG294" t="s">
        <v>977</v>
      </c>
      <c r="AH294" t="s">
        <v>977</v>
      </c>
      <c r="AI294" t="s">
        <v>977</v>
      </c>
      <c r="AJ294" t="s">
        <v>978</v>
      </c>
      <c r="AK294" t="s">
        <v>978</v>
      </c>
      <c r="AL294" t="s">
        <v>978</v>
      </c>
      <c r="AM294" t="s">
        <v>979</v>
      </c>
      <c r="AN294">
        <v>0</v>
      </c>
      <c r="AO294" t="s">
        <v>257</v>
      </c>
      <c r="AP294">
        <v>0</v>
      </c>
      <c r="AQ294">
        <v>1</v>
      </c>
      <c r="AR294">
        <v>43</v>
      </c>
      <c r="AS294">
        <v>1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1</v>
      </c>
      <c r="AZ294" t="s">
        <v>257</v>
      </c>
      <c r="BA294" t="s">
        <v>980</v>
      </c>
      <c r="BB294" t="s">
        <v>981</v>
      </c>
      <c r="BC294" t="s">
        <v>257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 t="s">
        <v>998</v>
      </c>
      <c r="BK294" t="s">
        <v>981</v>
      </c>
      <c r="BL294" t="s">
        <v>3027</v>
      </c>
      <c r="BM294">
        <v>20151105</v>
      </c>
      <c r="BN294">
        <v>20181119</v>
      </c>
      <c r="BO294">
        <v>0</v>
      </c>
      <c r="BP294" t="s">
        <v>257</v>
      </c>
      <c r="BQ294" t="s">
        <v>983</v>
      </c>
      <c r="BR294" t="s">
        <v>978</v>
      </c>
      <c r="BS294" t="s">
        <v>3033</v>
      </c>
      <c r="BT294">
        <v>0</v>
      </c>
      <c r="BU294">
        <v>0</v>
      </c>
      <c r="BV294" t="s">
        <v>1013</v>
      </c>
      <c r="BW294" t="s">
        <v>257</v>
      </c>
      <c r="BX294">
        <v>0</v>
      </c>
      <c r="BY294" t="s">
        <v>980</v>
      </c>
      <c r="BZ294" t="s">
        <v>257</v>
      </c>
      <c r="CA294">
        <v>0</v>
      </c>
      <c r="CB294">
        <v>0</v>
      </c>
      <c r="CC294" t="s">
        <v>1317</v>
      </c>
      <c r="CD294">
        <v>0</v>
      </c>
      <c r="CE294">
        <v>0</v>
      </c>
      <c r="CF294">
        <v>0</v>
      </c>
      <c r="CG294">
        <v>0</v>
      </c>
      <c r="CH294">
        <v>0</v>
      </c>
      <c r="CI294" t="s">
        <v>983</v>
      </c>
      <c r="CJ294" t="s">
        <v>972</v>
      </c>
      <c r="CK294" t="s">
        <v>986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 t="s">
        <v>987</v>
      </c>
      <c r="CV294">
        <v>400008297</v>
      </c>
      <c r="CW294" t="s">
        <v>987</v>
      </c>
      <c r="CX294" t="s">
        <v>3034</v>
      </c>
      <c r="CY294" t="s">
        <v>989</v>
      </c>
    </row>
    <row r="295" spans="1:103" hidden="1" x14ac:dyDescent="0.25">
      <c r="A295">
        <v>410000298</v>
      </c>
      <c r="B295" t="s">
        <v>3035</v>
      </c>
      <c r="C295" t="s">
        <v>3036</v>
      </c>
      <c r="D295">
        <v>401100000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1</v>
      </c>
      <c r="Y295" t="s">
        <v>972</v>
      </c>
      <c r="Z295" t="s">
        <v>3037</v>
      </c>
      <c r="AA295" t="s">
        <v>3038</v>
      </c>
      <c r="AB295" t="s">
        <v>975</v>
      </c>
      <c r="AC295">
        <v>4140</v>
      </c>
      <c r="AD295" t="s">
        <v>2353</v>
      </c>
      <c r="AE295" t="s">
        <v>3039</v>
      </c>
      <c r="AF295" t="s">
        <v>3040</v>
      </c>
      <c r="AG295" t="s">
        <v>977</v>
      </c>
      <c r="AH295" t="s">
        <v>977</v>
      </c>
      <c r="AI295">
        <v>81210</v>
      </c>
      <c r="AJ295" t="s">
        <v>978</v>
      </c>
      <c r="AK295" t="s">
        <v>978</v>
      </c>
      <c r="AL295" t="s">
        <v>978</v>
      </c>
      <c r="AM295" t="s">
        <v>979</v>
      </c>
      <c r="AN295">
        <v>0</v>
      </c>
      <c r="AO295" t="s">
        <v>257</v>
      </c>
      <c r="AP295">
        <v>0</v>
      </c>
      <c r="AQ295">
        <v>1</v>
      </c>
      <c r="AR295">
        <v>43</v>
      </c>
      <c r="AS295">
        <v>1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1</v>
      </c>
      <c r="AZ295" t="s">
        <v>257</v>
      </c>
      <c r="BA295" t="s">
        <v>980</v>
      </c>
      <c r="BB295" t="s">
        <v>981</v>
      </c>
      <c r="BC295" t="s">
        <v>257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 t="s">
        <v>998</v>
      </c>
      <c r="BK295" t="s">
        <v>981</v>
      </c>
      <c r="BL295" t="s">
        <v>3035</v>
      </c>
      <c r="BM295">
        <v>20151109</v>
      </c>
      <c r="BN295">
        <v>20210624</v>
      </c>
      <c r="BO295">
        <v>0</v>
      </c>
      <c r="BP295" t="s">
        <v>257</v>
      </c>
      <c r="BQ295" t="s">
        <v>983</v>
      </c>
      <c r="BR295" t="s">
        <v>978</v>
      </c>
      <c r="BS295" t="s">
        <v>979</v>
      </c>
      <c r="BT295">
        <v>0</v>
      </c>
      <c r="BU295">
        <v>0</v>
      </c>
      <c r="BV295" t="s">
        <v>1013</v>
      </c>
      <c r="BW295" t="s">
        <v>257</v>
      </c>
      <c r="BX295">
        <v>0</v>
      </c>
      <c r="BY295" t="s">
        <v>980</v>
      </c>
      <c r="BZ295" t="s">
        <v>257</v>
      </c>
      <c r="CA295">
        <v>0</v>
      </c>
      <c r="CB295">
        <v>0</v>
      </c>
      <c r="CC295" t="s">
        <v>1304</v>
      </c>
      <c r="CD295">
        <v>0</v>
      </c>
      <c r="CE295">
        <v>0</v>
      </c>
      <c r="CF295">
        <v>0</v>
      </c>
      <c r="CG295">
        <v>0</v>
      </c>
      <c r="CH295">
        <v>0</v>
      </c>
      <c r="CI295" t="s">
        <v>983</v>
      </c>
      <c r="CJ295" t="s">
        <v>972</v>
      </c>
      <c r="CK295" t="s">
        <v>986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 t="s">
        <v>987</v>
      </c>
      <c r="CV295">
        <v>400008298</v>
      </c>
      <c r="CW295" t="s">
        <v>987</v>
      </c>
      <c r="CX295" t="s">
        <v>3041</v>
      </c>
      <c r="CY295" t="s">
        <v>989</v>
      </c>
    </row>
    <row r="296" spans="1:103" hidden="1" x14ac:dyDescent="0.25">
      <c r="A296">
        <v>410000299</v>
      </c>
      <c r="B296" t="s">
        <v>3042</v>
      </c>
      <c r="C296" t="s">
        <v>3043</v>
      </c>
      <c r="D296">
        <v>401100000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1</v>
      </c>
      <c r="Y296" t="s">
        <v>3044</v>
      </c>
      <c r="Z296" t="s">
        <v>3045</v>
      </c>
      <c r="AA296" t="s">
        <v>3046</v>
      </c>
      <c r="AB296" t="s">
        <v>975</v>
      </c>
      <c r="AC296">
        <v>7090</v>
      </c>
      <c r="AD296" t="s">
        <v>3047</v>
      </c>
      <c r="AE296" t="s">
        <v>3048</v>
      </c>
      <c r="AF296" t="s">
        <v>3049</v>
      </c>
      <c r="AG296" t="s">
        <v>977</v>
      </c>
      <c r="AH296" t="s">
        <v>977</v>
      </c>
      <c r="AI296" t="s">
        <v>977</v>
      </c>
      <c r="AJ296" t="s">
        <v>978</v>
      </c>
      <c r="AK296" t="s">
        <v>978</v>
      </c>
      <c r="AL296" t="s">
        <v>978</v>
      </c>
      <c r="AM296" t="s">
        <v>979</v>
      </c>
      <c r="AN296">
        <v>0</v>
      </c>
      <c r="AO296" t="s">
        <v>257</v>
      </c>
      <c r="AP296">
        <v>0</v>
      </c>
      <c r="AQ296">
        <v>1</v>
      </c>
      <c r="AR296">
        <v>43</v>
      </c>
      <c r="AS296">
        <v>1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1</v>
      </c>
      <c r="AZ296" t="s">
        <v>257</v>
      </c>
      <c r="BA296" t="s">
        <v>980</v>
      </c>
      <c r="BB296" t="s">
        <v>981</v>
      </c>
      <c r="BC296" t="s">
        <v>257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 t="s">
        <v>998</v>
      </c>
      <c r="BK296" t="s">
        <v>981</v>
      </c>
      <c r="BL296" t="s">
        <v>3042</v>
      </c>
      <c r="BM296">
        <v>20151110</v>
      </c>
      <c r="BN296">
        <v>20200519</v>
      </c>
      <c r="BO296">
        <v>0</v>
      </c>
      <c r="BP296" t="s">
        <v>257</v>
      </c>
      <c r="BQ296" t="s">
        <v>983</v>
      </c>
      <c r="BR296" t="s">
        <v>978</v>
      </c>
      <c r="BS296" t="s">
        <v>3050</v>
      </c>
      <c r="BT296">
        <v>0</v>
      </c>
      <c r="BU296">
        <v>0</v>
      </c>
      <c r="BV296" t="s">
        <v>984</v>
      </c>
      <c r="BW296" t="s">
        <v>257</v>
      </c>
      <c r="BX296">
        <v>0</v>
      </c>
      <c r="BY296" t="s">
        <v>980</v>
      </c>
      <c r="BZ296" t="s">
        <v>257</v>
      </c>
      <c r="CA296">
        <v>0</v>
      </c>
      <c r="CB296">
        <v>0</v>
      </c>
      <c r="CC296" t="s">
        <v>1033</v>
      </c>
      <c r="CD296">
        <v>0</v>
      </c>
      <c r="CE296">
        <v>0</v>
      </c>
      <c r="CF296">
        <v>0</v>
      </c>
      <c r="CG296">
        <v>0</v>
      </c>
      <c r="CH296">
        <v>0</v>
      </c>
      <c r="CI296" t="s">
        <v>983</v>
      </c>
      <c r="CJ296" t="s">
        <v>972</v>
      </c>
      <c r="CK296" t="s">
        <v>986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 t="s">
        <v>987</v>
      </c>
      <c r="CV296">
        <v>400008299</v>
      </c>
      <c r="CW296" t="s">
        <v>987</v>
      </c>
      <c r="CX296" t="s">
        <v>3051</v>
      </c>
      <c r="CY296" t="s">
        <v>989</v>
      </c>
    </row>
    <row r="297" spans="1:103" hidden="1" x14ac:dyDescent="0.25">
      <c r="A297">
        <v>410000300</v>
      </c>
      <c r="B297" t="s">
        <v>3052</v>
      </c>
      <c r="C297" t="s">
        <v>3053</v>
      </c>
      <c r="D297">
        <v>401100000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1</v>
      </c>
      <c r="Y297" t="s">
        <v>972</v>
      </c>
      <c r="Z297" t="s">
        <v>987</v>
      </c>
      <c r="AA297" t="s">
        <v>3054</v>
      </c>
      <c r="AB297" t="s">
        <v>975</v>
      </c>
      <c r="AC297">
        <v>4347</v>
      </c>
      <c r="AD297" t="s">
        <v>1342</v>
      </c>
      <c r="AE297" t="s">
        <v>3055</v>
      </c>
      <c r="AF297" t="s">
        <v>3056</v>
      </c>
      <c r="AG297" t="s">
        <v>977</v>
      </c>
      <c r="AH297" t="s">
        <v>977</v>
      </c>
      <c r="AI297" t="s">
        <v>977</v>
      </c>
      <c r="AJ297" t="s">
        <v>978</v>
      </c>
      <c r="AK297" t="s">
        <v>978</v>
      </c>
      <c r="AL297" t="s">
        <v>978</v>
      </c>
      <c r="AM297" t="s">
        <v>979</v>
      </c>
      <c r="AN297">
        <v>0</v>
      </c>
      <c r="AO297" t="s">
        <v>257</v>
      </c>
      <c r="AP297">
        <v>0</v>
      </c>
      <c r="AQ297">
        <v>1</v>
      </c>
      <c r="AR297">
        <v>69</v>
      </c>
      <c r="AS297">
        <v>1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1</v>
      </c>
      <c r="AZ297" t="s">
        <v>257</v>
      </c>
      <c r="BA297" t="s">
        <v>980</v>
      </c>
      <c r="BB297" t="s">
        <v>981</v>
      </c>
      <c r="BC297" t="s">
        <v>257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 t="s">
        <v>998</v>
      </c>
      <c r="BK297" t="s">
        <v>981</v>
      </c>
      <c r="BL297" t="s">
        <v>3052</v>
      </c>
      <c r="BM297">
        <v>20151112</v>
      </c>
      <c r="BN297">
        <v>20240910</v>
      </c>
      <c r="BO297">
        <v>0</v>
      </c>
      <c r="BP297" t="s">
        <v>257</v>
      </c>
      <c r="BQ297" t="s">
        <v>983</v>
      </c>
      <c r="BR297" t="s">
        <v>978</v>
      </c>
      <c r="BS297" t="s">
        <v>979</v>
      </c>
      <c r="BT297">
        <v>0</v>
      </c>
      <c r="BU297">
        <v>0</v>
      </c>
      <c r="BV297" t="s">
        <v>984</v>
      </c>
      <c r="BW297" t="s">
        <v>257</v>
      </c>
      <c r="BX297">
        <v>0</v>
      </c>
      <c r="BY297" t="s">
        <v>980</v>
      </c>
      <c r="BZ297" t="s">
        <v>257</v>
      </c>
      <c r="CA297">
        <v>0</v>
      </c>
      <c r="CB297">
        <v>0</v>
      </c>
      <c r="CC297" t="s">
        <v>1220</v>
      </c>
      <c r="CD297">
        <v>0</v>
      </c>
      <c r="CE297">
        <v>0</v>
      </c>
      <c r="CF297">
        <v>0</v>
      </c>
      <c r="CG297">
        <v>0</v>
      </c>
      <c r="CH297">
        <v>0</v>
      </c>
      <c r="CI297" t="s">
        <v>983</v>
      </c>
      <c r="CJ297" t="s">
        <v>972</v>
      </c>
      <c r="CK297" t="s">
        <v>986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 t="s">
        <v>987</v>
      </c>
      <c r="CV297">
        <v>400008300</v>
      </c>
      <c r="CW297" t="s">
        <v>987</v>
      </c>
      <c r="CX297" t="s">
        <v>3057</v>
      </c>
      <c r="CY297" t="s">
        <v>989</v>
      </c>
    </row>
    <row r="298" spans="1:103" hidden="1" x14ac:dyDescent="0.25">
      <c r="A298">
        <v>410000301</v>
      </c>
      <c r="B298" t="s">
        <v>3058</v>
      </c>
      <c r="C298" t="s">
        <v>3059</v>
      </c>
      <c r="D298">
        <v>401100000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1</v>
      </c>
      <c r="Y298" t="s">
        <v>972</v>
      </c>
      <c r="Z298" t="s">
        <v>987</v>
      </c>
      <c r="AA298" t="s">
        <v>3060</v>
      </c>
      <c r="AB298" t="s">
        <v>975</v>
      </c>
      <c r="AC298">
        <v>5660</v>
      </c>
      <c r="AD298" t="s">
        <v>3061</v>
      </c>
      <c r="AE298" t="s">
        <v>3062</v>
      </c>
      <c r="AF298" t="s">
        <v>3063</v>
      </c>
      <c r="AG298" t="s">
        <v>977</v>
      </c>
      <c r="AH298" t="s">
        <v>977</v>
      </c>
      <c r="AI298" t="s">
        <v>977</v>
      </c>
      <c r="AJ298" t="s">
        <v>3064</v>
      </c>
      <c r="AK298" t="s">
        <v>978</v>
      </c>
      <c r="AL298" t="s">
        <v>978</v>
      </c>
      <c r="AM298" t="s">
        <v>979</v>
      </c>
      <c r="AN298">
        <v>0</v>
      </c>
      <c r="AO298" t="s">
        <v>257</v>
      </c>
      <c r="AP298">
        <v>0</v>
      </c>
      <c r="AQ298">
        <v>1</v>
      </c>
      <c r="AR298">
        <v>43</v>
      </c>
      <c r="AS298">
        <v>1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1</v>
      </c>
      <c r="AZ298" t="s">
        <v>257</v>
      </c>
      <c r="BA298" t="s">
        <v>980</v>
      </c>
      <c r="BB298" t="s">
        <v>981</v>
      </c>
      <c r="BC298" t="s">
        <v>257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 t="s">
        <v>998</v>
      </c>
      <c r="BK298" t="s">
        <v>981</v>
      </c>
      <c r="BL298" t="s">
        <v>3058</v>
      </c>
      <c r="BM298">
        <v>20151117</v>
      </c>
      <c r="BN298">
        <v>20181106</v>
      </c>
      <c r="BO298">
        <v>0</v>
      </c>
      <c r="BP298" t="s">
        <v>257</v>
      </c>
      <c r="BQ298" t="s">
        <v>983</v>
      </c>
      <c r="BR298" t="s">
        <v>978</v>
      </c>
      <c r="BS298" t="s">
        <v>979</v>
      </c>
      <c r="BT298">
        <v>0</v>
      </c>
      <c r="BU298">
        <v>0</v>
      </c>
      <c r="BV298" t="s">
        <v>1013</v>
      </c>
      <c r="BW298" t="s">
        <v>257</v>
      </c>
      <c r="BX298">
        <v>0</v>
      </c>
      <c r="BY298" t="s">
        <v>980</v>
      </c>
      <c r="BZ298" t="s">
        <v>257</v>
      </c>
      <c r="CA298">
        <v>0</v>
      </c>
      <c r="CB298">
        <v>0</v>
      </c>
      <c r="CC298" t="s">
        <v>985</v>
      </c>
      <c r="CD298">
        <v>0</v>
      </c>
      <c r="CE298">
        <v>0</v>
      </c>
      <c r="CF298">
        <v>0</v>
      </c>
      <c r="CG298">
        <v>0</v>
      </c>
      <c r="CH298">
        <v>0</v>
      </c>
      <c r="CI298" t="s">
        <v>983</v>
      </c>
      <c r="CJ298" t="s">
        <v>972</v>
      </c>
      <c r="CK298" t="s">
        <v>986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 t="s">
        <v>987</v>
      </c>
      <c r="CV298">
        <v>400008301</v>
      </c>
      <c r="CW298" t="s">
        <v>987</v>
      </c>
      <c r="CX298" t="s">
        <v>3065</v>
      </c>
      <c r="CY298" t="s">
        <v>989</v>
      </c>
    </row>
    <row r="299" spans="1:103" hidden="1" x14ac:dyDescent="0.25">
      <c r="A299">
        <v>410000302</v>
      </c>
      <c r="B299" t="s">
        <v>3066</v>
      </c>
      <c r="C299" t="s">
        <v>3067</v>
      </c>
      <c r="D299">
        <v>401100000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1</v>
      </c>
      <c r="Y299" t="s">
        <v>972</v>
      </c>
      <c r="Z299" t="s">
        <v>987</v>
      </c>
      <c r="AA299" t="s">
        <v>3068</v>
      </c>
      <c r="AB299" t="s">
        <v>975</v>
      </c>
      <c r="AC299">
        <v>4537</v>
      </c>
      <c r="AD299" t="s">
        <v>3069</v>
      </c>
      <c r="AE299" t="s">
        <v>3070</v>
      </c>
      <c r="AF299" t="s">
        <v>3071</v>
      </c>
      <c r="AG299" t="s">
        <v>977</v>
      </c>
      <c r="AH299" t="s">
        <v>977</v>
      </c>
      <c r="AI299" t="s">
        <v>977</v>
      </c>
      <c r="AJ299" t="s">
        <v>978</v>
      </c>
      <c r="AK299" t="s">
        <v>978</v>
      </c>
      <c r="AL299" t="s">
        <v>978</v>
      </c>
      <c r="AM299" t="s">
        <v>979</v>
      </c>
      <c r="AN299">
        <v>0</v>
      </c>
      <c r="AO299" t="s">
        <v>257</v>
      </c>
      <c r="AP299">
        <v>0</v>
      </c>
      <c r="AQ299">
        <v>1</v>
      </c>
      <c r="AR299">
        <v>43</v>
      </c>
      <c r="AS299">
        <v>1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1</v>
      </c>
      <c r="AZ299" t="s">
        <v>257</v>
      </c>
      <c r="BA299" t="s">
        <v>980</v>
      </c>
      <c r="BB299" t="s">
        <v>981</v>
      </c>
      <c r="BC299" t="s">
        <v>257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 t="s">
        <v>998</v>
      </c>
      <c r="BK299" t="s">
        <v>981</v>
      </c>
      <c r="BL299" t="s">
        <v>3066</v>
      </c>
      <c r="BM299">
        <v>20151117</v>
      </c>
      <c r="BN299">
        <v>20181106</v>
      </c>
      <c r="BO299">
        <v>0</v>
      </c>
      <c r="BP299" t="s">
        <v>257</v>
      </c>
      <c r="BQ299" t="s">
        <v>983</v>
      </c>
      <c r="BR299" t="s">
        <v>978</v>
      </c>
      <c r="BS299" t="s">
        <v>3072</v>
      </c>
      <c r="BT299">
        <v>0</v>
      </c>
      <c r="BU299">
        <v>0</v>
      </c>
      <c r="BV299" t="s">
        <v>1013</v>
      </c>
      <c r="BW299" t="s">
        <v>257</v>
      </c>
      <c r="BX299">
        <v>0</v>
      </c>
      <c r="BY299" t="s">
        <v>980</v>
      </c>
      <c r="BZ299" t="s">
        <v>257</v>
      </c>
      <c r="CA299">
        <v>0</v>
      </c>
      <c r="CB299">
        <v>0</v>
      </c>
      <c r="CC299" t="s">
        <v>1916</v>
      </c>
      <c r="CD299">
        <v>0</v>
      </c>
      <c r="CE299">
        <v>0</v>
      </c>
      <c r="CF299">
        <v>0</v>
      </c>
      <c r="CG299">
        <v>0</v>
      </c>
      <c r="CH299">
        <v>0</v>
      </c>
      <c r="CI299" t="s">
        <v>983</v>
      </c>
      <c r="CJ299" t="s">
        <v>972</v>
      </c>
      <c r="CK299" t="s">
        <v>986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 t="s">
        <v>987</v>
      </c>
      <c r="CV299">
        <v>400008302</v>
      </c>
      <c r="CW299" t="s">
        <v>987</v>
      </c>
      <c r="CX299" t="s">
        <v>3073</v>
      </c>
      <c r="CY299" t="s">
        <v>989</v>
      </c>
    </row>
    <row r="300" spans="1:103" hidden="1" x14ac:dyDescent="0.25">
      <c r="A300">
        <v>410000303</v>
      </c>
      <c r="B300" t="s">
        <v>3074</v>
      </c>
      <c r="C300" t="s">
        <v>3075</v>
      </c>
      <c r="D300">
        <v>401100000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1</v>
      </c>
      <c r="Y300" t="s">
        <v>972</v>
      </c>
      <c r="Z300" t="s">
        <v>987</v>
      </c>
      <c r="AA300" t="s">
        <v>3076</v>
      </c>
      <c r="AB300" t="s">
        <v>975</v>
      </c>
      <c r="AC300">
        <v>4040</v>
      </c>
      <c r="AD300" t="s">
        <v>976</v>
      </c>
      <c r="AE300" t="s">
        <v>3077</v>
      </c>
      <c r="AF300" t="s">
        <v>3078</v>
      </c>
      <c r="AG300" t="s">
        <v>977</v>
      </c>
      <c r="AH300" t="s">
        <v>977</v>
      </c>
      <c r="AI300" t="s">
        <v>977</v>
      </c>
      <c r="AJ300" t="s">
        <v>978</v>
      </c>
      <c r="AK300" t="s">
        <v>978</v>
      </c>
      <c r="AL300" t="s">
        <v>978</v>
      </c>
      <c r="AM300" t="s">
        <v>979</v>
      </c>
      <c r="AN300">
        <v>0</v>
      </c>
      <c r="AO300" t="s">
        <v>257</v>
      </c>
      <c r="AP300">
        <v>0</v>
      </c>
      <c r="AQ300">
        <v>1</v>
      </c>
      <c r="AR300">
        <v>43</v>
      </c>
      <c r="AS300">
        <v>1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1</v>
      </c>
      <c r="AZ300" t="s">
        <v>257</v>
      </c>
      <c r="BA300" t="s">
        <v>980</v>
      </c>
      <c r="BB300" t="s">
        <v>981</v>
      </c>
      <c r="BC300" t="s">
        <v>257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 t="s">
        <v>998</v>
      </c>
      <c r="BK300" t="s">
        <v>981</v>
      </c>
      <c r="BL300" t="s">
        <v>3074</v>
      </c>
      <c r="BM300">
        <v>20151117</v>
      </c>
      <c r="BN300">
        <v>20181106</v>
      </c>
      <c r="BO300">
        <v>0</v>
      </c>
      <c r="BP300" t="s">
        <v>257</v>
      </c>
      <c r="BQ300" t="s">
        <v>983</v>
      </c>
      <c r="BR300" t="s">
        <v>978</v>
      </c>
      <c r="BS300" t="s">
        <v>979</v>
      </c>
      <c r="BT300">
        <v>0</v>
      </c>
      <c r="BU300">
        <v>0</v>
      </c>
      <c r="BV300" t="s">
        <v>1013</v>
      </c>
      <c r="BW300" t="s">
        <v>257</v>
      </c>
      <c r="BX300">
        <v>0</v>
      </c>
      <c r="BY300" t="s">
        <v>980</v>
      </c>
      <c r="BZ300" t="s">
        <v>257</v>
      </c>
      <c r="CA300">
        <v>0</v>
      </c>
      <c r="CB300">
        <v>0</v>
      </c>
      <c r="CC300" t="s">
        <v>985</v>
      </c>
      <c r="CD300">
        <v>0</v>
      </c>
      <c r="CE300">
        <v>0</v>
      </c>
      <c r="CF300">
        <v>0</v>
      </c>
      <c r="CG300">
        <v>0</v>
      </c>
      <c r="CH300">
        <v>0</v>
      </c>
      <c r="CI300" t="s">
        <v>983</v>
      </c>
      <c r="CJ300" t="s">
        <v>972</v>
      </c>
      <c r="CK300" t="s">
        <v>986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 t="s">
        <v>987</v>
      </c>
      <c r="CV300">
        <v>400008303</v>
      </c>
      <c r="CW300" t="s">
        <v>987</v>
      </c>
      <c r="CX300" t="s">
        <v>1081</v>
      </c>
      <c r="CY300" t="s">
        <v>989</v>
      </c>
    </row>
    <row r="301" spans="1:103" hidden="1" x14ac:dyDescent="0.25">
      <c r="A301">
        <v>410000304</v>
      </c>
      <c r="B301" t="s">
        <v>3079</v>
      </c>
      <c r="C301" t="s">
        <v>3080</v>
      </c>
      <c r="D301">
        <v>401100000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 t="s">
        <v>972</v>
      </c>
      <c r="Z301" t="s">
        <v>987</v>
      </c>
      <c r="AA301" t="s">
        <v>3081</v>
      </c>
      <c r="AB301" t="s">
        <v>975</v>
      </c>
      <c r="AC301">
        <v>5380</v>
      </c>
      <c r="AD301" t="s">
        <v>1967</v>
      </c>
      <c r="AE301" t="s">
        <v>3082</v>
      </c>
      <c r="AF301" t="s">
        <v>979</v>
      </c>
      <c r="AG301" t="s">
        <v>977</v>
      </c>
      <c r="AH301" t="s">
        <v>977</v>
      </c>
      <c r="AI301" t="s">
        <v>977</v>
      </c>
      <c r="AJ301" t="s">
        <v>978</v>
      </c>
      <c r="AK301" t="s">
        <v>978</v>
      </c>
      <c r="AL301" t="s">
        <v>978</v>
      </c>
      <c r="AM301" t="s">
        <v>979</v>
      </c>
      <c r="AN301">
        <v>0</v>
      </c>
      <c r="AO301" t="s">
        <v>257</v>
      </c>
      <c r="AP301">
        <v>0</v>
      </c>
      <c r="AQ301">
        <v>1</v>
      </c>
      <c r="AR301">
        <v>43</v>
      </c>
      <c r="AS301">
        <v>1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1</v>
      </c>
      <c r="AZ301" t="s">
        <v>257</v>
      </c>
      <c r="BA301" t="s">
        <v>980</v>
      </c>
      <c r="BB301" t="s">
        <v>981</v>
      </c>
      <c r="BC301" t="s">
        <v>257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 t="s">
        <v>998</v>
      </c>
      <c r="BK301" t="s">
        <v>981</v>
      </c>
      <c r="BL301" t="s">
        <v>3079</v>
      </c>
      <c r="BM301">
        <v>20151119</v>
      </c>
      <c r="BN301">
        <v>20181106</v>
      </c>
      <c r="BO301">
        <v>0</v>
      </c>
      <c r="BP301" t="s">
        <v>257</v>
      </c>
      <c r="BQ301" t="s">
        <v>983</v>
      </c>
      <c r="BR301" t="s">
        <v>978</v>
      </c>
      <c r="BS301" t="s">
        <v>3083</v>
      </c>
      <c r="BT301">
        <v>0</v>
      </c>
      <c r="BU301">
        <v>0</v>
      </c>
      <c r="BV301" t="s">
        <v>1013</v>
      </c>
      <c r="BW301" t="s">
        <v>257</v>
      </c>
      <c r="BX301">
        <v>0</v>
      </c>
      <c r="BY301" t="s">
        <v>980</v>
      </c>
      <c r="BZ301" t="s">
        <v>257</v>
      </c>
      <c r="CA301">
        <v>0</v>
      </c>
      <c r="CB301">
        <v>0</v>
      </c>
      <c r="CC301" t="s">
        <v>1808</v>
      </c>
      <c r="CD301">
        <v>0</v>
      </c>
      <c r="CE301">
        <v>0</v>
      </c>
      <c r="CF301">
        <v>0</v>
      </c>
      <c r="CG301">
        <v>0</v>
      </c>
      <c r="CH301">
        <v>0</v>
      </c>
      <c r="CI301" t="s">
        <v>983</v>
      </c>
      <c r="CJ301" t="s">
        <v>972</v>
      </c>
      <c r="CK301" t="s">
        <v>986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 t="s">
        <v>987</v>
      </c>
      <c r="CV301">
        <v>400008304</v>
      </c>
      <c r="CW301" t="s">
        <v>987</v>
      </c>
      <c r="CX301" t="s">
        <v>1081</v>
      </c>
      <c r="CY301" t="s">
        <v>989</v>
      </c>
    </row>
    <row r="302" spans="1:103" hidden="1" x14ac:dyDescent="0.25">
      <c r="A302">
        <v>410000305</v>
      </c>
      <c r="B302" t="s">
        <v>3084</v>
      </c>
      <c r="C302" t="s">
        <v>3085</v>
      </c>
      <c r="D302">
        <v>401100000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1</v>
      </c>
      <c r="Y302" t="s">
        <v>3086</v>
      </c>
      <c r="Z302" t="s">
        <v>3087</v>
      </c>
      <c r="AA302" t="s">
        <v>3088</v>
      </c>
      <c r="AB302" t="s">
        <v>975</v>
      </c>
      <c r="AC302">
        <v>4651</v>
      </c>
      <c r="AD302" t="s">
        <v>1093</v>
      </c>
      <c r="AE302" t="s">
        <v>979</v>
      </c>
      <c r="AF302" t="s">
        <v>3089</v>
      </c>
      <c r="AG302" t="s">
        <v>977</v>
      </c>
      <c r="AH302" t="s">
        <v>977</v>
      </c>
      <c r="AI302" t="s">
        <v>977</v>
      </c>
      <c r="AJ302" t="s">
        <v>978</v>
      </c>
      <c r="AK302" t="s">
        <v>978</v>
      </c>
      <c r="AL302" t="s">
        <v>978</v>
      </c>
      <c r="AM302" t="s">
        <v>979</v>
      </c>
      <c r="AN302">
        <v>0</v>
      </c>
      <c r="AO302" t="s">
        <v>257</v>
      </c>
      <c r="AP302">
        <v>0</v>
      </c>
      <c r="AQ302">
        <v>1</v>
      </c>
      <c r="AR302">
        <v>43</v>
      </c>
      <c r="AS302">
        <v>1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1</v>
      </c>
      <c r="AZ302" t="s">
        <v>257</v>
      </c>
      <c r="BA302" t="s">
        <v>980</v>
      </c>
      <c r="BB302" t="s">
        <v>981</v>
      </c>
      <c r="BC302" t="s">
        <v>257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 t="s">
        <v>998</v>
      </c>
      <c r="BK302" t="s">
        <v>981</v>
      </c>
      <c r="BL302" t="s">
        <v>3084</v>
      </c>
      <c r="BM302">
        <v>20151203</v>
      </c>
      <c r="BN302">
        <v>20181119</v>
      </c>
      <c r="BO302">
        <v>0</v>
      </c>
      <c r="BP302" t="s">
        <v>257</v>
      </c>
      <c r="BQ302" t="s">
        <v>983</v>
      </c>
      <c r="BR302" t="s">
        <v>978</v>
      </c>
      <c r="BS302" t="s">
        <v>979</v>
      </c>
      <c r="BT302">
        <v>0</v>
      </c>
      <c r="BU302">
        <v>0</v>
      </c>
      <c r="BV302" t="s">
        <v>1013</v>
      </c>
      <c r="BW302" t="s">
        <v>257</v>
      </c>
      <c r="BX302">
        <v>0</v>
      </c>
      <c r="BY302" t="s">
        <v>980</v>
      </c>
      <c r="BZ302" t="s">
        <v>257</v>
      </c>
      <c r="CA302">
        <v>0</v>
      </c>
      <c r="CB302">
        <v>0</v>
      </c>
      <c r="CC302" t="s">
        <v>1220</v>
      </c>
      <c r="CD302">
        <v>0</v>
      </c>
      <c r="CE302">
        <v>0</v>
      </c>
      <c r="CF302">
        <v>0</v>
      </c>
      <c r="CG302">
        <v>0</v>
      </c>
      <c r="CH302">
        <v>0</v>
      </c>
      <c r="CI302" t="s">
        <v>983</v>
      </c>
      <c r="CJ302" t="s">
        <v>972</v>
      </c>
      <c r="CK302" t="s">
        <v>986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 t="s">
        <v>987</v>
      </c>
      <c r="CV302">
        <v>400008305</v>
      </c>
      <c r="CW302" t="s">
        <v>987</v>
      </c>
      <c r="CX302" t="s">
        <v>3090</v>
      </c>
      <c r="CY302" t="s">
        <v>989</v>
      </c>
    </row>
    <row r="303" spans="1:103" hidden="1" x14ac:dyDescent="0.25">
      <c r="A303">
        <v>410000306</v>
      </c>
      <c r="B303" t="s">
        <v>3091</v>
      </c>
      <c r="C303" t="s">
        <v>3092</v>
      </c>
      <c r="D303">
        <v>401100000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1</v>
      </c>
      <c r="Y303" t="s">
        <v>972</v>
      </c>
      <c r="Z303" t="s">
        <v>3093</v>
      </c>
      <c r="AA303" t="s">
        <v>3094</v>
      </c>
      <c r="AB303" t="s">
        <v>975</v>
      </c>
      <c r="AC303">
        <v>4680</v>
      </c>
      <c r="AD303" t="s">
        <v>3095</v>
      </c>
      <c r="AE303" t="s">
        <v>3096</v>
      </c>
      <c r="AF303" t="s">
        <v>3097</v>
      </c>
      <c r="AG303" t="s">
        <v>977</v>
      </c>
      <c r="AH303" t="s">
        <v>977</v>
      </c>
      <c r="AI303" t="s">
        <v>977</v>
      </c>
      <c r="AJ303" t="s">
        <v>978</v>
      </c>
      <c r="AK303" t="s">
        <v>978</v>
      </c>
      <c r="AL303" t="s">
        <v>978</v>
      </c>
      <c r="AM303" t="s">
        <v>979</v>
      </c>
      <c r="AN303">
        <v>0</v>
      </c>
      <c r="AO303" t="s">
        <v>257</v>
      </c>
      <c r="AP303">
        <v>0</v>
      </c>
      <c r="AQ303">
        <v>1</v>
      </c>
      <c r="AR303">
        <v>43</v>
      </c>
      <c r="AS303">
        <v>1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1</v>
      </c>
      <c r="AZ303" t="s">
        <v>257</v>
      </c>
      <c r="BA303" t="s">
        <v>980</v>
      </c>
      <c r="BB303" t="s">
        <v>981</v>
      </c>
      <c r="BC303" t="s">
        <v>257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 t="s">
        <v>998</v>
      </c>
      <c r="BK303" t="s">
        <v>981</v>
      </c>
      <c r="BL303" t="s">
        <v>3091</v>
      </c>
      <c r="BM303">
        <v>20151204</v>
      </c>
      <c r="BN303">
        <v>20181119</v>
      </c>
      <c r="BO303">
        <v>0</v>
      </c>
      <c r="BP303" t="s">
        <v>257</v>
      </c>
      <c r="BQ303" t="s">
        <v>983</v>
      </c>
      <c r="BR303" t="s">
        <v>978</v>
      </c>
      <c r="BS303" t="s">
        <v>979</v>
      </c>
      <c r="BT303">
        <v>0</v>
      </c>
      <c r="BU303">
        <v>0</v>
      </c>
      <c r="BV303" t="s">
        <v>1013</v>
      </c>
      <c r="BW303" t="s">
        <v>257</v>
      </c>
      <c r="BX303">
        <v>0</v>
      </c>
      <c r="BY303" t="s">
        <v>980</v>
      </c>
      <c r="BZ303" t="s">
        <v>257</v>
      </c>
      <c r="CA303">
        <v>0</v>
      </c>
      <c r="CB303">
        <v>0</v>
      </c>
      <c r="CC303" t="s">
        <v>1885</v>
      </c>
      <c r="CD303">
        <v>0</v>
      </c>
      <c r="CE303">
        <v>0</v>
      </c>
      <c r="CF303">
        <v>0</v>
      </c>
      <c r="CG303">
        <v>0</v>
      </c>
      <c r="CH303">
        <v>0</v>
      </c>
      <c r="CI303" t="s">
        <v>983</v>
      </c>
      <c r="CJ303" t="s">
        <v>972</v>
      </c>
      <c r="CK303" t="s">
        <v>986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 t="s">
        <v>987</v>
      </c>
      <c r="CV303">
        <v>400008306</v>
      </c>
      <c r="CW303" t="s">
        <v>987</v>
      </c>
      <c r="CX303" t="s">
        <v>1081</v>
      </c>
      <c r="CY303" t="s">
        <v>989</v>
      </c>
    </row>
    <row r="304" spans="1:103" hidden="1" x14ac:dyDescent="0.25">
      <c r="A304">
        <v>410000307</v>
      </c>
      <c r="B304" t="s">
        <v>3098</v>
      </c>
      <c r="C304" t="s">
        <v>3099</v>
      </c>
      <c r="D304">
        <v>401100000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1</v>
      </c>
      <c r="Y304" t="s">
        <v>972</v>
      </c>
      <c r="Z304" t="s">
        <v>3100</v>
      </c>
      <c r="AA304" t="s">
        <v>3101</v>
      </c>
      <c r="AB304" t="s">
        <v>975</v>
      </c>
      <c r="AC304">
        <v>4280</v>
      </c>
      <c r="AD304" t="s">
        <v>1743</v>
      </c>
      <c r="AE304" t="s">
        <v>3102</v>
      </c>
      <c r="AF304" t="s">
        <v>979</v>
      </c>
      <c r="AG304" t="s">
        <v>977</v>
      </c>
      <c r="AH304" t="s">
        <v>977</v>
      </c>
      <c r="AI304" t="s">
        <v>977</v>
      </c>
      <c r="AJ304" t="s">
        <v>978</v>
      </c>
      <c r="AK304" t="s">
        <v>978</v>
      </c>
      <c r="AL304" t="s">
        <v>978</v>
      </c>
      <c r="AM304" t="s">
        <v>979</v>
      </c>
      <c r="AN304">
        <v>0</v>
      </c>
      <c r="AO304" t="s">
        <v>257</v>
      </c>
      <c r="AP304">
        <v>0</v>
      </c>
      <c r="AQ304">
        <v>1</v>
      </c>
      <c r="AR304">
        <v>43</v>
      </c>
      <c r="AS304">
        <v>1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1</v>
      </c>
      <c r="AZ304" t="s">
        <v>257</v>
      </c>
      <c r="BA304" t="s">
        <v>980</v>
      </c>
      <c r="BB304" t="s">
        <v>981</v>
      </c>
      <c r="BC304" t="s">
        <v>257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 t="s">
        <v>998</v>
      </c>
      <c r="BK304" t="s">
        <v>981</v>
      </c>
      <c r="BL304" t="s">
        <v>3098</v>
      </c>
      <c r="BM304">
        <v>20151204</v>
      </c>
      <c r="BN304">
        <v>20181119</v>
      </c>
      <c r="BO304">
        <v>0</v>
      </c>
      <c r="BP304" t="s">
        <v>257</v>
      </c>
      <c r="BQ304" t="s">
        <v>983</v>
      </c>
      <c r="BR304" t="s">
        <v>978</v>
      </c>
      <c r="BS304" t="s">
        <v>3103</v>
      </c>
      <c r="BT304">
        <v>0</v>
      </c>
      <c r="BU304">
        <v>0</v>
      </c>
      <c r="BV304" t="s">
        <v>1013</v>
      </c>
      <c r="BW304" t="s">
        <v>257</v>
      </c>
      <c r="BX304">
        <v>0</v>
      </c>
      <c r="BY304" t="s">
        <v>980</v>
      </c>
      <c r="BZ304" t="s">
        <v>257</v>
      </c>
      <c r="CA304">
        <v>0</v>
      </c>
      <c r="CB304">
        <v>0</v>
      </c>
      <c r="CC304" t="s">
        <v>3104</v>
      </c>
      <c r="CD304">
        <v>0</v>
      </c>
      <c r="CE304">
        <v>0</v>
      </c>
      <c r="CF304">
        <v>0</v>
      </c>
      <c r="CG304">
        <v>0</v>
      </c>
      <c r="CH304">
        <v>0</v>
      </c>
      <c r="CI304" t="s">
        <v>983</v>
      </c>
      <c r="CJ304" t="s">
        <v>972</v>
      </c>
      <c r="CK304" t="s">
        <v>986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 t="s">
        <v>987</v>
      </c>
      <c r="CV304">
        <v>400008307</v>
      </c>
      <c r="CW304" t="s">
        <v>987</v>
      </c>
      <c r="CX304" t="s">
        <v>3105</v>
      </c>
      <c r="CY304" t="s">
        <v>989</v>
      </c>
    </row>
    <row r="305" spans="1:103" hidden="1" x14ac:dyDescent="0.25">
      <c r="A305">
        <v>410000308</v>
      </c>
      <c r="B305" t="s">
        <v>3106</v>
      </c>
      <c r="C305" t="s">
        <v>3107</v>
      </c>
      <c r="D305">
        <v>401100000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1</v>
      </c>
      <c r="Y305" t="s">
        <v>972</v>
      </c>
      <c r="Z305" t="s">
        <v>987</v>
      </c>
      <c r="AA305" t="s">
        <v>7140</v>
      </c>
      <c r="AB305" t="s">
        <v>975</v>
      </c>
      <c r="AC305">
        <v>4651</v>
      </c>
      <c r="AD305" t="s">
        <v>1093</v>
      </c>
      <c r="AE305" t="s">
        <v>7026</v>
      </c>
      <c r="AF305" t="s">
        <v>979</v>
      </c>
      <c r="AG305" t="s">
        <v>7027</v>
      </c>
      <c r="AH305" t="s">
        <v>977</v>
      </c>
      <c r="AI305" t="s">
        <v>977</v>
      </c>
      <c r="AJ305" t="s">
        <v>978</v>
      </c>
      <c r="AK305" t="s">
        <v>978</v>
      </c>
      <c r="AL305" t="s">
        <v>978</v>
      </c>
      <c r="AM305" t="s">
        <v>979</v>
      </c>
      <c r="AN305">
        <v>0</v>
      </c>
      <c r="AO305" t="s">
        <v>257</v>
      </c>
      <c r="AP305">
        <v>0</v>
      </c>
      <c r="AQ305">
        <v>1</v>
      </c>
      <c r="AR305">
        <v>43</v>
      </c>
      <c r="AS305">
        <v>1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1</v>
      </c>
      <c r="AZ305" t="s">
        <v>257</v>
      </c>
      <c r="BA305" t="s">
        <v>980</v>
      </c>
      <c r="BB305" t="s">
        <v>981</v>
      </c>
      <c r="BC305" t="s">
        <v>257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 t="s">
        <v>998</v>
      </c>
      <c r="BK305" t="s">
        <v>981</v>
      </c>
      <c r="BL305" t="s">
        <v>3106</v>
      </c>
      <c r="BM305">
        <v>20151208</v>
      </c>
      <c r="BN305">
        <v>20250715</v>
      </c>
      <c r="BO305">
        <v>0</v>
      </c>
      <c r="BP305" t="s">
        <v>257</v>
      </c>
      <c r="BQ305" t="s">
        <v>983</v>
      </c>
      <c r="BR305" t="s">
        <v>978</v>
      </c>
      <c r="BS305" t="s">
        <v>979</v>
      </c>
      <c r="BT305">
        <v>0</v>
      </c>
      <c r="BU305">
        <v>0</v>
      </c>
      <c r="BV305" t="s">
        <v>984</v>
      </c>
      <c r="BW305" t="s">
        <v>257</v>
      </c>
      <c r="BX305">
        <v>0</v>
      </c>
      <c r="BY305" t="s">
        <v>980</v>
      </c>
      <c r="BZ305" t="s">
        <v>257</v>
      </c>
      <c r="CA305">
        <v>0</v>
      </c>
      <c r="CB305">
        <v>0</v>
      </c>
      <c r="CC305" t="s">
        <v>1113</v>
      </c>
      <c r="CD305">
        <v>0</v>
      </c>
      <c r="CE305">
        <v>0</v>
      </c>
      <c r="CF305">
        <v>0</v>
      </c>
      <c r="CG305">
        <v>0</v>
      </c>
      <c r="CH305">
        <v>0</v>
      </c>
      <c r="CI305" t="s">
        <v>983</v>
      </c>
      <c r="CJ305" t="s">
        <v>972</v>
      </c>
      <c r="CK305" t="s">
        <v>986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 t="s">
        <v>987</v>
      </c>
      <c r="CV305">
        <v>400008308</v>
      </c>
      <c r="CW305" t="s">
        <v>987</v>
      </c>
      <c r="CX305" t="s">
        <v>7028</v>
      </c>
      <c r="CY305" t="s">
        <v>989</v>
      </c>
    </row>
    <row r="306" spans="1:103" hidden="1" x14ac:dyDescent="0.25">
      <c r="A306">
        <v>410000309</v>
      </c>
      <c r="B306" t="s">
        <v>3109</v>
      </c>
      <c r="C306" t="s">
        <v>3110</v>
      </c>
      <c r="D306">
        <v>401100000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1</v>
      </c>
      <c r="Y306" t="s">
        <v>972</v>
      </c>
      <c r="Z306" t="s">
        <v>3111</v>
      </c>
      <c r="AA306" t="s">
        <v>3112</v>
      </c>
      <c r="AB306" t="s">
        <v>975</v>
      </c>
      <c r="AC306">
        <v>5032</v>
      </c>
      <c r="AD306" t="s">
        <v>1245</v>
      </c>
      <c r="AE306" t="s">
        <v>3113</v>
      </c>
      <c r="AF306" t="s">
        <v>979</v>
      </c>
      <c r="AG306" t="s">
        <v>977</v>
      </c>
      <c r="AH306" t="s">
        <v>977</v>
      </c>
      <c r="AI306" t="s">
        <v>977</v>
      </c>
      <c r="AJ306" t="s">
        <v>978</v>
      </c>
      <c r="AK306" t="s">
        <v>978</v>
      </c>
      <c r="AL306" t="s">
        <v>978</v>
      </c>
      <c r="AM306" t="s">
        <v>979</v>
      </c>
      <c r="AN306">
        <v>0</v>
      </c>
      <c r="AO306" t="s">
        <v>257</v>
      </c>
      <c r="AP306">
        <v>0</v>
      </c>
      <c r="AQ306">
        <v>1</v>
      </c>
      <c r="AR306">
        <v>43</v>
      </c>
      <c r="AS306">
        <v>1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1</v>
      </c>
      <c r="AZ306" t="s">
        <v>257</v>
      </c>
      <c r="BA306" t="s">
        <v>980</v>
      </c>
      <c r="BB306" t="s">
        <v>981</v>
      </c>
      <c r="BC306" t="s">
        <v>257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 t="s">
        <v>998</v>
      </c>
      <c r="BK306" t="s">
        <v>981</v>
      </c>
      <c r="BL306" t="s">
        <v>3109</v>
      </c>
      <c r="BM306">
        <v>20151208</v>
      </c>
      <c r="BN306">
        <v>20181119</v>
      </c>
      <c r="BO306">
        <v>0</v>
      </c>
      <c r="BP306" t="s">
        <v>257</v>
      </c>
      <c r="BQ306" t="s">
        <v>983</v>
      </c>
      <c r="BR306" t="s">
        <v>978</v>
      </c>
      <c r="BS306" t="s">
        <v>979</v>
      </c>
      <c r="BT306">
        <v>0</v>
      </c>
      <c r="BU306">
        <v>0</v>
      </c>
      <c r="BV306" t="s">
        <v>1013</v>
      </c>
      <c r="BW306" t="s">
        <v>257</v>
      </c>
      <c r="BX306">
        <v>0</v>
      </c>
      <c r="BY306" t="s">
        <v>980</v>
      </c>
      <c r="BZ306" t="s">
        <v>257</v>
      </c>
      <c r="CA306">
        <v>0</v>
      </c>
      <c r="CB306">
        <v>0</v>
      </c>
      <c r="CC306" t="s">
        <v>2971</v>
      </c>
      <c r="CD306">
        <v>0</v>
      </c>
      <c r="CE306">
        <v>0</v>
      </c>
      <c r="CF306">
        <v>0</v>
      </c>
      <c r="CG306">
        <v>0</v>
      </c>
      <c r="CH306">
        <v>0</v>
      </c>
      <c r="CI306" t="s">
        <v>983</v>
      </c>
      <c r="CJ306" t="s">
        <v>972</v>
      </c>
      <c r="CK306" t="s">
        <v>986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 t="s">
        <v>987</v>
      </c>
      <c r="CV306">
        <v>400008309</v>
      </c>
      <c r="CW306" t="s">
        <v>987</v>
      </c>
      <c r="CX306" t="s">
        <v>1081</v>
      </c>
      <c r="CY306" t="s">
        <v>989</v>
      </c>
    </row>
    <row r="307" spans="1:103" hidden="1" x14ac:dyDescent="0.25">
      <c r="A307">
        <v>410000310</v>
      </c>
      <c r="B307" t="s">
        <v>3114</v>
      </c>
      <c r="C307" t="s">
        <v>3115</v>
      </c>
      <c r="D307">
        <v>401100000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1</v>
      </c>
      <c r="Y307" t="s">
        <v>972</v>
      </c>
      <c r="Z307" t="s">
        <v>3116</v>
      </c>
      <c r="AA307" t="s">
        <v>3117</v>
      </c>
      <c r="AB307" t="s">
        <v>975</v>
      </c>
      <c r="AC307">
        <v>4960</v>
      </c>
      <c r="AD307" t="s">
        <v>1548</v>
      </c>
      <c r="AE307">
        <v>80548878</v>
      </c>
      <c r="AF307">
        <v>80785778</v>
      </c>
      <c r="AG307" t="s">
        <v>977</v>
      </c>
      <c r="AH307" t="s">
        <v>977</v>
      </c>
      <c r="AI307" t="s">
        <v>977</v>
      </c>
      <c r="AJ307" t="s">
        <v>978</v>
      </c>
      <c r="AK307" t="s">
        <v>978</v>
      </c>
      <c r="AL307" t="s">
        <v>978</v>
      </c>
      <c r="AM307" t="s">
        <v>979</v>
      </c>
      <c r="AN307">
        <v>0</v>
      </c>
      <c r="AO307" t="s">
        <v>257</v>
      </c>
      <c r="AP307">
        <v>0</v>
      </c>
      <c r="AQ307">
        <v>1</v>
      </c>
      <c r="AR307">
        <v>43</v>
      </c>
      <c r="AS307">
        <v>1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1</v>
      </c>
      <c r="AZ307" t="s">
        <v>257</v>
      </c>
      <c r="BA307" t="s">
        <v>980</v>
      </c>
      <c r="BB307" t="s">
        <v>981</v>
      </c>
      <c r="BC307" t="s">
        <v>257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 t="s">
        <v>998</v>
      </c>
      <c r="BK307" t="s">
        <v>981</v>
      </c>
      <c r="BL307" t="s">
        <v>3118</v>
      </c>
      <c r="BM307">
        <v>20151216</v>
      </c>
      <c r="BN307">
        <v>20181119</v>
      </c>
      <c r="BO307">
        <v>0</v>
      </c>
      <c r="BP307" t="s">
        <v>257</v>
      </c>
      <c r="BQ307" t="s">
        <v>983</v>
      </c>
      <c r="BR307" t="s">
        <v>978</v>
      </c>
      <c r="BS307" t="s">
        <v>979</v>
      </c>
      <c r="BT307">
        <v>0</v>
      </c>
      <c r="BU307">
        <v>0</v>
      </c>
      <c r="BV307" t="s">
        <v>1013</v>
      </c>
      <c r="BW307" t="s">
        <v>257</v>
      </c>
      <c r="BX307">
        <v>0</v>
      </c>
      <c r="BY307" t="s">
        <v>980</v>
      </c>
      <c r="BZ307" t="s">
        <v>257</v>
      </c>
      <c r="CA307">
        <v>0</v>
      </c>
      <c r="CB307">
        <v>0</v>
      </c>
      <c r="CC307" t="s">
        <v>3119</v>
      </c>
      <c r="CD307">
        <v>0</v>
      </c>
      <c r="CE307">
        <v>0</v>
      </c>
      <c r="CF307">
        <v>0</v>
      </c>
      <c r="CG307">
        <v>0</v>
      </c>
      <c r="CH307">
        <v>0</v>
      </c>
      <c r="CI307" t="s">
        <v>983</v>
      </c>
      <c r="CJ307" t="s">
        <v>972</v>
      </c>
      <c r="CK307" t="s">
        <v>986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 t="s">
        <v>987</v>
      </c>
      <c r="CV307">
        <v>400008310</v>
      </c>
      <c r="CW307" t="s">
        <v>987</v>
      </c>
      <c r="CX307" t="s">
        <v>3120</v>
      </c>
      <c r="CY307" t="s">
        <v>989</v>
      </c>
    </row>
    <row r="308" spans="1:103" hidden="1" x14ac:dyDescent="0.25">
      <c r="A308">
        <v>410000311</v>
      </c>
      <c r="B308" t="s">
        <v>3121</v>
      </c>
      <c r="C308" t="s">
        <v>3122</v>
      </c>
      <c r="D308">
        <v>401100000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1</v>
      </c>
      <c r="X308">
        <v>1</v>
      </c>
      <c r="Y308" t="s">
        <v>972</v>
      </c>
      <c r="Z308" t="s">
        <v>987</v>
      </c>
      <c r="AA308" t="s">
        <v>3123</v>
      </c>
      <c r="AB308" t="s">
        <v>975</v>
      </c>
      <c r="AC308">
        <v>4100</v>
      </c>
      <c r="AD308" t="s">
        <v>1655</v>
      </c>
      <c r="AE308" t="s">
        <v>3124</v>
      </c>
      <c r="AF308" t="s">
        <v>979</v>
      </c>
      <c r="AG308" t="s">
        <v>977</v>
      </c>
      <c r="AH308" t="s">
        <v>977</v>
      </c>
      <c r="AI308">
        <v>23130</v>
      </c>
      <c r="AJ308" t="s">
        <v>978</v>
      </c>
      <c r="AK308" t="s">
        <v>978</v>
      </c>
      <c r="AL308" t="s">
        <v>978</v>
      </c>
      <c r="AM308" t="s">
        <v>979</v>
      </c>
      <c r="AN308">
        <v>0</v>
      </c>
      <c r="AO308" t="s">
        <v>257</v>
      </c>
      <c r="AP308">
        <v>0</v>
      </c>
      <c r="AQ308">
        <v>1</v>
      </c>
      <c r="AR308">
        <v>43</v>
      </c>
      <c r="AS308">
        <v>1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1</v>
      </c>
      <c r="AZ308" t="s">
        <v>257</v>
      </c>
      <c r="BA308" t="s">
        <v>980</v>
      </c>
      <c r="BB308" t="s">
        <v>981</v>
      </c>
      <c r="BC308" t="s">
        <v>257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 t="s">
        <v>998</v>
      </c>
      <c r="BK308" t="s">
        <v>981</v>
      </c>
      <c r="BL308" t="s">
        <v>3121</v>
      </c>
      <c r="BM308">
        <v>20151217</v>
      </c>
      <c r="BN308">
        <v>20220201</v>
      </c>
      <c r="BO308">
        <v>0</v>
      </c>
      <c r="BP308" t="s">
        <v>257</v>
      </c>
      <c r="BQ308" t="s">
        <v>983</v>
      </c>
      <c r="BR308" t="s">
        <v>978</v>
      </c>
      <c r="BS308">
        <v>32473966405</v>
      </c>
      <c r="BT308">
        <v>0</v>
      </c>
      <c r="BU308">
        <v>0</v>
      </c>
      <c r="BV308" t="s">
        <v>984</v>
      </c>
      <c r="BW308" t="s">
        <v>257</v>
      </c>
      <c r="BX308">
        <v>0</v>
      </c>
      <c r="BY308" t="s">
        <v>980</v>
      </c>
      <c r="BZ308" t="s">
        <v>257</v>
      </c>
      <c r="CA308">
        <v>0</v>
      </c>
      <c r="CB308">
        <v>0</v>
      </c>
      <c r="CC308" t="s">
        <v>1469</v>
      </c>
      <c r="CD308">
        <v>0</v>
      </c>
      <c r="CE308">
        <v>0</v>
      </c>
      <c r="CF308">
        <v>0</v>
      </c>
      <c r="CG308">
        <v>0</v>
      </c>
      <c r="CH308">
        <v>0</v>
      </c>
      <c r="CI308" t="s">
        <v>983</v>
      </c>
      <c r="CJ308" t="s">
        <v>972</v>
      </c>
      <c r="CK308" t="s">
        <v>986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 t="s">
        <v>987</v>
      </c>
      <c r="CV308">
        <v>400008311</v>
      </c>
      <c r="CW308" t="s">
        <v>987</v>
      </c>
      <c r="CX308" t="s">
        <v>3125</v>
      </c>
      <c r="CY308" t="s">
        <v>989</v>
      </c>
    </row>
    <row r="309" spans="1:103" hidden="1" x14ac:dyDescent="0.25">
      <c r="A309">
        <v>410000312</v>
      </c>
      <c r="B309" t="s">
        <v>3126</v>
      </c>
      <c r="C309" t="s">
        <v>3127</v>
      </c>
      <c r="D309">
        <v>401100000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1</v>
      </c>
      <c r="Y309" t="s">
        <v>972</v>
      </c>
      <c r="Z309" t="s">
        <v>987</v>
      </c>
      <c r="AA309" t="s">
        <v>3128</v>
      </c>
      <c r="AB309" t="s">
        <v>975</v>
      </c>
      <c r="AC309">
        <v>4000</v>
      </c>
      <c r="AD309" t="s">
        <v>1698</v>
      </c>
      <c r="AE309" t="s">
        <v>979</v>
      </c>
      <c r="AF309" t="s">
        <v>979</v>
      </c>
      <c r="AG309" t="s">
        <v>977</v>
      </c>
      <c r="AH309" t="s">
        <v>977</v>
      </c>
      <c r="AI309" t="s">
        <v>977</v>
      </c>
      <c r="AJ309" t="s">
        <v>978</v>
      </c>
      <c r="AK309" t="s">
        <v>978</v>
      </c>
      <c r="AL309" t="s">
        <v>978</v>
      </c>
      <c r="AM309" t="s">
        <v>979</v>
      </c>
      <c r="AN309">
        <v>0</v>
      </c>
      <c r="AO309" t="s">
        <v>257</v>
      </c>
      <c r="AP309">
        <v>0</v>
      </c>
      <c r="AQ309">
        <v>1</v>
      </c>
      <c r="AR309">
        <v>43</v>
      </c>
      <c r="AS309">
        <v>1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1</v>
      </c>
      <c r="AZ309" t="s">
        <v>257</v>
      </c>
      <c r="BA309" t="s">
        <v>980</v>
      </c>
      <c r="BB309" t="s">
        <v>981</v>
      </c>
      <c r="BC309" t="s">
        <v>257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 t="s">
        <v>998</v>
      </c>
      <c r="BK309" t="s">
        <v>981</v>
      </c>
      <c r="BL309" t="s">
        <v>3126</v>
      </c>
      <c r="BM309">
        <v>20151222</v>
      </c>
      <c r="BN309">
        <v>20181119</v>
      </c>
      <c r="BO309">
        <v>0</v>
      </c>
      <c r="BP309" t="s">
        <v>257</v>
      </c>
      <c r="BQ309" t="s">
        <v>983</v>
      </c>
      <c r="BR309" t="s">
        <v>978</v>
      </c>
      <c r="BS309" t="s">
        <v>3129</v>
      </c>
      <c r="BT309">
        <v>0</v>
      </c>
      <c r="BU309">
        <v>0</v>
      </c>
      <c r="BV309" t="s">
        <v>1013</v>
      </c>
      <c r="BW309" t="s">
        <v>257</v>
      </c>
      <c r="BX309">
        <v>0</v>
      </c>
      <c r="BY309" t="s">
        <v>980</v>
      </c>
      <c r="BZ309" t="s">
        <v>257</v>
      </c>
      <c r="CA309">
        <v>0</v>
      </c>
      <c r="CB309">
        <v>0</v>
      </c>
      <c r="CC309" t="s">
        <v>1391</v>
      </c>
      <c r="CD309">
        <v>0</v>
      </c>
      <c r="CE309">
        <v>0</v>
      </c>
      <c r="CF309">
        <v>0</v>
      </c>
      <c r="CG309">
        <v>0</v>
      </c>
      <c r="CH309">
        <v>0</v>
      </c>
      <c r="CI309" t="s">
        <v>983</v>
      </c>
      <c r="CJ309" t="s">
        <v>972</v>
      </c>
      <c r="CK309" t="s">
        <v>986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 t="s">
        <v>987</v>
      </c>
      <c r="CV309">
        <v>400008312</v>
      </c>
      <c r="CW309" t="s">
        <v>987</v>
      </c>
      <c r="CX309" t="s">
        <v>3130</v>
      </c>
      <c r="CY309" t="s">
        <v>989</v>
      </c>
    </row>
    <row r="310" spans="1:103" hidden="1" x14ac:dyDescent="0.25">
      <c r="A310">
        <v>410000313</v>
      </c>
      <c r="B310" t="s">
        <v>3131</v>
      </c>
      <c r="C310" t="s">
        <v>1596</v>
      </c>
      <c r="D310">
        <v>401100000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1</v>
      </c>
      <c r="Y310" t="s">
        <v>972</v>
      </c>
      <c r="Z310" t="s">
        <v>3132</v>
      </c>
      <c r="AA310" t="s">
        <v>3133</v>
      </c>
      <c r="AB310" t="s">
        <v>975</v>
      </c>
      <c r="AC310">
        <v>4671</v>
      </c>
      <c r="AD310" t="s">
        <v>3134</v>
      </c>
      <c r="AE310" t="s">
        <v>979</v>
      </c>
      <c r="AF310" t="s">
        <v>979</v>
      </c>
      <c r="AG310" t="s">
        <v>977</v>
      </c>
      <c r="AH310" t="s">
        <v>977</v>
      </c>
      <c r="AI310">
        <v>47620</v>
      </c>
      <c r="AJ310" t="s">
        <v>3135</v>
      </c>
      <c r="AK310" t="s">
        <v>3136</v>
      </c>
      <c r="AL310" t="s">
        <v>978</v>
      </c>
      <c r="AM310" t="s">
        <v>979</v>
      </c>
      <c r="AN310">
        <v>0</v>
      </c>
      <c r="AO310" t="s">
        <v>257</v>
      </c>
      <c r="AP310">
        <v>0</v>
      </c>
      <c r="AQ310">
        <v>1</v>
      </c>
      <c r="AR310">
        <v>43</v>
      </c>
      <c r="AS310">
        <v>1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1</v>
      </c>
      <c r="AZ310" t="s">
        <v>257</v>
      </c>
      <c r="BA310" t="s">
        <v>980</v>
      </c>
      <c r="BB310" t="s">
        <v>1010</v>
      </c>
      <c r="BC310" t="s">
        <v>257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410000079</v>
      </c>
      <c r="BJ310" t="s">
        <v>998</v>
      </c>
      <c r="BK310" t="s">
        <v>981</v>
      </c>
      <c r="BL310" t="s">
        <v>3131</v>
      </c>
      <c r="BM310">
        <v>20151222</v>
      </c>
      <c r="BN310">
        <v>20220201</v>
      </c>
      <c r="BO310">
        <v>20211004</v>
      </c>
      <c r="BP310" t="s">
        <v>257</v>
      </c>
      <c r="BQ310" t="s">
        <v>983</v>
      </c>
      <c r="BR310" t="s">
        <v>978</v>
      </c>
      <c r="BS310" t="s">
        <v>3137</v>
      </c>
      <c r="BT310">
        <v>0</v>
      </c>
      <c r="BU310">
        <v>0</v>
      </c>
      <c r="BV310" t="s">
        <v>984</v>
      </c>
      <c r="BW310" t="s">
        <v>257</v>
      </c>
      <c r="BX310">
        <v>0</v>
      </c>
      <c r="BY310" t="s">
        <v>980</v>
      </c>
      <c r="BZ310" t="s">
        <v>257</v>
      </c>
      <c r="CA310">
        <v>0</v>
      </c>
      <c r="CB310">
        <v>0</v>
      </c>
      <c r="CC310" t="s">
        <v>1815</v>
      </c>
      <c r="CD310">
        <v>0</v>
      </c>
      <c r="CE310">
        <v>0</v>
      </c>
      <c r="CF310">
        <v>0</v>
      </c>
      <c r="CG310">
        <v>0</v>
      </c>
      <c r="CH310">
        <v>0</v>
      </c>
      <c r="CI310" t="s">
        <v>983</v>
      </c>
      <c r="CJ310" t="s">
        <v>972</v>
      </c>
      <c r="CK310" t="s">
        <v>986</v>
      </c>
      <c r="CL310">
        <v>0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 t="s">
        <v>987</v>
      </c>
      <c r="CV310">
        <v>400008313</v>
      </c>
      <c r="CW310" t="s">
        <v>987</v>
      </c>
      <c r="CX310" t="s">
        <v>1605</v>
      </c>
      <c r="CY310" t="s">
        <v>989</v>
      </c>
    </row>
    <row r="311" spans="1:103" hidden="1" x14ac:dyDescent="0.25">
      <c r="A311">
        <v>410000314</v>
      </c>
      <c r="B311" t="s">
        <v>3138</v>
      </c>
      <c r="C311" t="s">
        <v>3139</v>
      </c>
      <c r="D311">
        <v>401100000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1</v>
      </c>
      <c r="Y311" t="s">
        <v>1091</v>
      </c>
      <c r="Z311" t="s">
        <v>3140</v>
      </c>
      <c r="AA311" t="s">
        <v>3141</v>
      </c>
      <c r="AB311" t="s">
        <v>975</v>
      </c>
      <c r="AC311">
        <v>4950</v>
      </c>
      <c r="AD311" t="s">
        <v>2051</v>
      </c>
      <c r="AE311">
        <v>80672141</v>
      </c>
      <c r="AF311">
        <v>80672151</v>
      </c>
      <c r="AG311" t="s">
        <v>977</v>
      </c>
      <c r="AH311" t="s">
        <v>977</v>
      </c>
      <c r="AI311" t="s">
        <v>977</v>
      </c>
      <c r="AJ311" t="s">
        <v>978</v>
      </c>
      <c r="AK311" t="s">
        <v>978</v>
      </c>
      <c r="AL311" t="s">
        <v>978</v>
      </c>
      <c r="AM311" t="s">
        <v>979</v>
      </c>
      <c r="AN311">
        <v>0</v>
      </c>
      <c r="AO311" t="s">
        <v>257</v>
      </c>
      <c r="AP311">
        <v>0</v>
      </c>
      <c r="AQ311">
        <v>1</v>
      </c>
      <c r="AR311">
        <v>43</v>
      </c>
      <c r="AS311">
        <v>1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1</v>
      </c>
      <c r="AZ311" t="s">
        <v>257</v>
      </c>
      <c r="BA311" t="s">
        <v>980</v>
      </c>
      <c r="BB311" t="s">
        <v>981</v>
      </c>
      <c r="BC311" t="s">
        <v>257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 t="s">
        <v>998</v>
      </c>
      <c r="BK311" t="s">
        <v>981</v>
      </c>
      <c r="BL311" t="s">
        <v>3138</v>
      </c>
      <c r="BM311">
        <v>20151223</v>
      </c>
      <c r="BN311">
        <v>20181119</v>
      </c>
      <c r="BO311">
        <v>0</v>
      </c>
      <c r="BP311" t="s">
        <v>257</v>
      </c>
      <c r="BQ311" t="s">
        <v>983</v>
      </c>
      <c r="BR311" t="s">
        <v>978</v>
      </c>
      <c r="BS311" t="s">
        <v>979</v>
      </c>
      <c r="BT311">
        <v>0</v>
      </c>
      <c r="BU311">
        <v>0</v>
      </c>
      <c r="BV311" t="s">
        <v>1013</v>
      </c>
      <c r="BW311" t="s">
        <v>257</v>
      </c>
      <c r="BX311">
        <v>0</v>
      </c>
      <c r="BY311" t="s">
        <v>980</v>
      </c>
      <c r="BZ311" t="s">
        <v>257</v>
      </c>
      <c r="CA311">
        <v>0</v>
      </c>
      <c r="CB311">
        <v>0</v>
      </c>
      <c r="CC311" t="s">
        <v>1670</v>
      </c>
      <c r="CD311">
        <v>0</v>
      </c>
      <c r="CE311">
        <v>0</v>
      </c>
      <c r="CF311">
        <v>0</v>
      </c>
      <c r="CG311">
        <v>0</v>
      </c>
      <c r="CH311">
        <v>0</v>
      </c>
      <c r="CI311" t="s">
        <v>983</v>
      </c>
      <c r="CJ311" t="s">
        <v>972</v>
      </c>
      <c r="CK311" t="s">
        <v>986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 t="s">
        <v>987</v>
      </c>
      <c r="CV311">
        <v>400008314</v>
      </c>
      <c r="CW311" t="s">
        <v>987</v>
      </c>
      <c r="CX311" t="s">
        <v>3142</v>
      </c>
      <c r="CY311" t="s">
        <v>989</v>
      </c>
    </row>
    <row r="312" spans="1:103" hidden="1" x14ac:dyDescent="0.25">
      <c r="A312">
        <v>410000315</v>
      </c>
      <c r="B312" t="s">
        <v>3143</v>
      </c>
      <c r="C312" t="s">
        <v>3144</v>
      </c>
      <c r="D312">
        <v>401100000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1</v>
      </c>
      <c r="Y312" t="s">
        <v>972</v>
      </c>
      <c r="Z312" t="s">
        <v>3145</v>
      </c>
      <c r="AA312" t="s">
        <v>3146</v>
      </c>
      <c r="AB312" t="s">
        <v>975</v>
      </c>
      <c r="AC312">
        <v>4621</v>
      </c>
      <c r="AD312" t="s">
        <v>1368</v>
      </c>
      <c r="AE312">
        <v>43551614</v>
      </c>
      <c r="AF312" t="s">
        <v>979</v>
      </c>
      <c r="AG312" t="s">
        <v>977</v>
      </c>
      <c r="AH312" t="s">
        <v>977</v>
      </c>
      <c r="AI312" t="s">
        <v>977</v>
      </c>
      <c r="AJ312" t="s">
        <v>978</v>
      </c>
      <c r="AK312" t="s">
        <v>978</v>
      </c>
      <c r="AL312" t="s">
        <v>978</v>
      </c>
      <c r="AM312" t="s">
        <v>979</v>
      </c>
      <c r="AN312">
        <v>0</v>
      </c>
      <c r="AO312" t="s">
        <v>257</v>
      </c>
      <c r="AP312">
        <v>0</v>
      </c>
      <c r="AQ312">
        <v>1</v>
      </c>
      <c r="AR312">
        <v>43</v>
      </c>
      <c r="AS312">
        <v>1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1</v>
      </c>
      <c r="AZ312" t="s">
        <v>257</v>
      </c>
      <c r="BA312" t="s">
        <v>980</v>
      </c>
      <c r="BB312" t="s">
        <v>981</v>
      </c>
      <c r="BC312" t="s">
        <v>257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 t="s">
        <v>998</v>
      </c>
      <c r="BK312" t="s">
        <v>981</v>
      </c>
      <c r="BL312" t="s">
        <v>3143</v>
      </c>
      <c r="BM312">
        <v>20151223</v>
      </c>
      <c r="BN312">
        <v>20181119</v>
      </c>
      <c r="BO312">
        <v>0</v>
      </c>
      <c r="BP312" t="s">
        <v>257</v>
      </c>
      <c r="BQ312" t="s">
        <v>983</v>
      </c>
      <c r="BR312" t="s">
        <v>978</v>
      </c>
      <c r="BS312">
        <v>497276149</v>
      </c>
      <c r="BT312">
        <v>0</v>
      </c>
      <c r="BU312">
        <v>0</v>
      </c>
      <c r="BV312" t="s">
        <v>1013</v>
      </c>
      <c r="BW312" t="s">
        <v>257</v>
      </c>
      <c r="BX312">
        <v>0</v>
      </c>
      <c r="BY312" t="s">
        <v>980</v>
      </c>
      <c r="BZ312" t="s">
        <v>257</v>
      </c>
      <c r="CA312">
        <v>0</v>
      </c>
      <c r="CB312">
        <v>0</v>
      </c>
      <c r="CC312" t="s">
        <v>1391</v>
      </c>
      <c r="CD312">
        <v>0</v>
      </c>
      <c r="CE312">
        <v>0</v>
      </c>
      <c r="CF312">
        <v>0</v>
      </c>
      <c r="CG312">
        <v>0</v>
      </c>
      <c r="CH312">
        <v>0</v>
      </c>
      <c r="CI312" t="s">
        <v>983</v>
      </c>
      <c r="CJ312" t="s">
        <v>972</v>
      </c>
      <c r="CK312" t="s">
        <v>986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 t="s">
        <v>987</v>
      </c>
      <c r="CV312">
        <v>400008315</v>
      </c>
      <c r="CW312" t="s">
        <v>987</v>
      </c>
      <c r="CX312" t="s">
        <v>1081</v>
      </c>
      <c r="CY312" t="s">
        <v>989</v>
      </c>
    </row>
    <row r="313" spans="1:103" hidden="1" x14ac:dyDescent="0.25">
      <c r="A313">
        <v>410000316</v>
      </c>
      <c r="B313" t="s">
        <v>3147</v>
      </c>
      <c r="C313" t="s">
        <v>3148</v>
      </c>
      <c r="D313">
        <v>401100000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1</v>
      </c>
      <c r="Y313" t="s">
        <v>972</v>
      </c>
      <c r="Z313" t="s">
        <v>3149</v>
      </c>
      <c r="AA313" t="s">
        <v>3150</v>
      </c>
      <c r="AB313" t="s">
        <v>975</v>
      </c>
      <c r="AC313">
        <v>4121</v>
      </c>
      <c r="AD313" t="s">
        <v>3151</v>
      </c>
      <c r="AE313" t="s">
        <v>979</v>
      </c>
      <c r="AF313" t="s">
        <v>979</v>
      </c>
      <c r="AG313" t="s">
        <v>977</v>
      </c>
      <c r="AH313" t="s">
        <v>977</v>
      </c>
      <c r="AI313" t="s">
        <v>977</v>
      </c>
      <c r="AJ313" t="s">
        <v>978</v>
      </c>
      <c r="AK313" t="s">
        <v>978</v>
      </c>
      <c r="AL313" t="s">
        <v>978</v>
      </c>
      <c r="AM313" t="s">
        <v>979</v>
      </c>
      <c r="AN313">
        <v>0</v>
      </c>
      <c r="AO313" t="s">
        <v>257</v>
      </c>
      <c r="AP313">
        <v>0</v>
      </c>
      <c r="AQ313">
        <v>1</v>
      </c>
      <c r="AR313">
        <v>43</v>
      </c>
      <c r="AS313">
        <v>1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1</v>
      </c>
      <c r="AZ313" t="s">
        <v>257</v>
      </c>
      <c r="BA313" t="s">
        <v>980</v>
      </c>
      <c r="BB313" t="s">
        <v>981</v>
      </c>
      <c r="BC313" t="s">
        <v>257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 t="s">
        <v>998</v>
      </c>
      <c r="BK313" t="s">
        <v>981</v>
      </c>
      <c r="BL313" t="s">
        <v>3147</v>
      </c>
      <c r="BM313">
        <v>20151223</v>
      </c>
      <c r="BN313">
        <v>20181119</v>
      </c>
      <c r="BO313">
        <v>0</v>
      </c>
      <c r="BP313" t="s">
        <v>257</v>
      </c>
      <c r="BQ313" t="s">
        <v>983</v>
      </c>
      <c r="BR313" t="s">
        <v>978</v>
      </c>
      <c r="BS313">
        <v>496554859</v>
      </c>
      <c r="BT313">
        <v>0</v>
      </c>
      <c r="BU313">
        <v>0</v>
      </c>
      <c r="BV313" t="s">
        <v>1013</v>
      </c>
      <c r="BW313" t="s">
        <v>257</v>
      </c>
      <c r="BX313">
        <v>0</v>
      </c>
      <c r="BY313" t="s">
        <v>980</v>
      </c>
      <c r="BZ313" t="s">
        <v>257</v>
      </c>
      <c r="CA313">
        <v>0</v>
      </c>
      <c r="CB313">
        <v>0</v>
      </c>
      <c r="CC313" t="s">
        <v>2356</v>
      </c>
      <c r="CD313">
        <v>0</v>
      </c>
      <c r="CE313">
        <v>0</v>
      </c>
      <c r="CF313">
        <v>0</v>
      </c>
      <c r="CG313">
        <v>0</v>
      </c>
      <c r="CH313">
        <v>0</v>
      </c>
      <c r="CI313" t="s">
        <v>983</v>
      </c>
      <c r="CJ313" t="s">
        <v>972</v>
      </c>
      <c r="CK313" t="s">
        <v>986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 t="s">
        <v>987</v>
      </c>
      <c r="CV313">
        <v>400008316</v>
      </c>
      <c r="CW313" t="s">
        <v>987</v>
      </c>
      <c r="CX313" t="s">
        <v>1081</v>
      </c>
      <c r="CY313" t="s">
        <v>989</v>
      </c>
    </row>
    <row r="314" spans="1:103" hidden="1" x14ac:dyDescent="0.25">
      <c r="A314">
        <v>410000317</v>
      </c>
      <c r="B314" t="s">
        <v>3152</v>
      </c>
      <c r="C314" t="s">
        <v>2338</v>
      </c>
      <c r="D314">
        <v>401100000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</v>
      </c>
      <c r="Y314" t="s">
        <v>3153</v>
      </c>
      <c r="Z314" t="s">
        <v>987</v>
      </c>
      <c r="AA314" t="s">
        <v>3154</v>
      </c>
      <c r="AB314" t="s">
        <v>975</v>
      </c>
      <c r="AC314">
        <v>4684</v>
      </c>
      <c r="AD314" t="s">
        <v>1882</v>
      </c>
      <c r="AE314" t="s">
        <v>3155</v>
      </c>
      <c r="AF314" t="s">
        <v>979</v>
      </c>
      <c r="AG314" t="s">
        <v>977</v>
      </c>
      <c r="AH314" t="s">
        <v>977</v>
      </c>
      <c r="AI314" t="s">
        <v>977</v>
      </c>
      <c r="AJ314" t="s">
        <v>978</v>
      </c>
      <c r="AK314" t="s">
        <v>978</v>
      </c>
      <c r="AL314" t="s">
        <v>978</v>
      </c>
      <c r="AM314" t="s">
        <v>979</v>
      </c>
      <c r="AN314">
        <v>0</v>
      </c>
      <c r="AO314" t="s">
        <v>257</v>
      </c>
      <c r="AP314">
        <v>0</v>
      </c>
      <c r="AQ314">
        <v>1</v>
      </c>
      <c r="AR314">
        <v>43</v>
      </c>
      <c r="AS314">
        <v>1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1</v>
      </c>
      <c r="AZ314" t="s">
        <v>257</v>
      </c>
      <c r="BA314" t="s">
        <v>980</v>
      </c>
      <c r="BB314" t="s">
        <v>981</v>
      </c>
      <c r="BC314" t="s">
        <v>257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 t="s">
        <v>998</v>
      </c>
      <c r="BK314" t="s">
        <v>981</v>
      </c>
      <c r="BL314" t="s">
        <v>2337</v>
      </c>
      <c r="BM314">
        <v>20160105</v>
      </c>
      <c r="BN314">
        <v>20181119</v>
      </c>
      <c r="BO314">
        <v>0</v>
      </c>
      <c r="BP314" t="s">
        <v>257</v>
      </c>
      <c r="BQ314" t="s">
        <v>983</v>
      </c>
      <c r="BR314" t="s">
        <v>978</v>
      </c>
      <c r="BS314" t="s">
        <v>979</v>
      </c>
      <c r="BT314">
        <v>0</v>
      </c>
      <c r="BU314">
        <v>0</v>
      </c>
      <c r="BV314" t="s">
        <v>1013</v>
      </c>
      <c r="BW314" t="s">
        <v>257</v>
      </c>
      <c r="BX314">
        <v>0</v>
      </c>
      <c r="BY314" t="s">
        <v>980</v>
      </c>
      <c r="BZ314" t="s">
        <v>257</v>
      </c>
      <c r="CA314">
        <v>0</v>
      </c>
      <c r="CB314">
        <v>0</v>
      </c>
      <c r="CC314" t="s">
        <v>1885</v>
      </c>
      <c r="CD314">
        <v>0</v>
      </c>
      <c r="CE314">
        <v>0</v>
      </c>
      <c r="CF314">
        <v>0</v>
      </c>
      <c r="CG314">
        <v>0</v>
      </c>
      <c r="CH314">
        <v>0</v>
      </c>
      <c r="CI314" t="s">
        <v>983</v>
      </c>
      <c r="CJ314" t="s">
        <v>972</v>
      </c>
      <c r="CK314" t="s">
        <v>986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 t="s">
        <v>987</v>
      </c>
      <c r="CV314">
        <v>400008317</v>
      </c>
      <c r="CW314" t="s">
        <v>987</v>
      </c>
      <c r="CX314" t="s">
        <v>1081</v>
      </c>
      <c r="CY314" t="s">
        <v>989</v>
      </c>
    </row>
    <row r="315" spans="1:103" hidden="1" x14ac:dyDescent="0.25">
      <c r="A315">
        <v>410000318</v>
      </c>
      <c r="B315" t="s">
        <v>3156</v>
      </c>
      <c r="C315" t="s">
        <v>3157</v>
      </c>
      <c r="D315">
        <v>401100000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1</v>
      </c>
      <c r="Y315" t="s">
        <v>3158</v>
      </c>
      <c r="Z315" t="s">
        <v>987</v>
      </c>
      <c r="AA315" t="s">
        <v>3159</v>
      </c>
      <c r="AB315" t="s">
        <v>975</v>
      </c>
      <c r="AC315">
        <v>4000</v>
      </c>
      <c r="AD315" t="s">
        <v>1019</v>
      </c>
      <c r="AE315" t="s">
        <v>3160</v>
      </c>
      <c r="AF315" t="s">
        <v>3161</v>
      </c>
      <c r="AG315" t="s">
        <v>977</v>
      </c>
      <c r="AH315" t="s">
        <v>977</v>
      </c>
      <c r="AI315" t="s">
        <v>977</v>
      </c>
      <c r="AJ315" t="s">
        <v>978</v>
      </c>
      <c r="AK315" t="s">
        <v>978</v>
      </c>
      <c r="AL315" t="s">
        <v>978</v>
      </c>
      <c r="AM315" t="s">
        <v>979</v>
      </c>
      <c r="AN315">
        <v>0</v>
      </c>
      <c r="AO315" t="s">
        <v>257</v>
      </c>
      <c r="AP315">
        <v>15</v>
      </c>
      <c r="AQ315">
        <v>1</v>
      </c>
      <c r="AR315">
        <v>43</v>
      </c>
      <c r="AS315">
        <v>1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1</v>
      </c>
      <c r="AZ315" t="s">
        <v>257</v>
      </c>
      <c r="BA315" t="s">
        <v>980</v>
      </c>
      <c r="BB315" t="s">
        <v>981</v>
      </c>
      <c r="BC315" t="s">
        <v>257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 t="s">
        <v>998</v>
      </c>
      <c r="BK315" t="s">
        <v>981</v>
      </c>
      <c r="BL315" t="s">
        <v>3156</v>
      </c>
      <c r="BM315">
        <v>20160112</v>
      </c>
      <c r="BN315">
        <v>20181119</v>
      </c>
      <c r="BO315">
        <v>0</v>
      </c>
      <c r="BP315" t="s">
        <v>257</v>
      </c>
      <c r="BQ315" t="s">
        <v>983</v>
      </c>
      <c r="BR315" t="s">
        <v>978</v>
      </c>
      <c r="BS315" t="s">
        <v>979</v>
      </c>
      <c r="BT315">
        <v>0</v>
      </c>
      <c r="BU315">
        <v>0</v>
      </c>
      <c r="BV315" t="s">
        <v>1013</v>
      </c>
      <c r="BW315" t="s">
        <v>257</v>
      </c>
      <c r="BX315">
        <v>0</v>
      </c>
      <c r="BY315" t="s">
        <v>980</v>
      </c>
      <c r="BZ315" t="s">
        <v>257</v>
      </c>
      <c r="CA315">
        <v>0</v>
      </c>
      <c r="CB315">
        <v>0</v>
      </c>
      <c r="CC315" t="s">
        <v>1391</v>
      </c>
      <c r="CD315">
        <v>0</v>
      </c>
      <c r="CE315">
        <v>0</v>
      </c>
      <c r="CF315">
        <v>0</v>
      </c>
      <c r="CG315">
        <v>0</v>
      </c>
      <c r="CH315">
        <v>0</v>
      </c>
      <c r="CI315" t="s">
        <v>983</v>
      </c>
      <c r="CJ315" t="s">
        <v>972</v>
      </c>
      <c r="CK315" t="s">
        <v>986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 t="s">
        <v>987</v>
      </c>
      <c r="CV315">
        <v>400008318</v>
      </c>
      <c r="CW315" t="s">
        <v>987</v>
      </c>
      <c r="CX315" t="s">
        <v>3162</v>
      </c>
      <c r="CY315" t="s">
        <v>989</v>
      </c>
    </row>
    <row r="316" spans="1:103" hidden="1" x14ac:dyDescent="0.25">
      <c r="A316">
        <v>410000319</v>
      </c>
      <c r="B316" t="s">
        <v>3163</v>
      </c>
      <c r="C316" t="s">
        <v>3164</v>
      </c>
      <c r="D316">
        <v>401100000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1</v>
      </c>
      <c r="Y316" t="s">
        <v>972</v>
      </c>
      <c r="Z316" t="s">
        <v>3165</v>
      </c>
      <c r="AA316" t="s">
        <v>3166</v>
      </c>
      <c r="AB316" t="s">
        <v>975</v>
      </c>
      <c r="AC316">
        <v>4400</v>
      </c>
      <c r="AD316" t="s">
        <v>1237</v>
      </c>
      <c r="AE316">
        <v>85253224</v>
      </c>
      <c r="AF316">
        <v>85311048</v>
      </c>
      <c r="AG316" t="s">
        <v>977</v>
      </c>
      <c r="AH316" t="s">
        <v>977</v>
      </c>
      <c r="AI316" t="s">
        <v>977</v>
      </c>
      <c r="AJ316" t="s">
        <v>978</v>
      </c>
      <c r="AK316" t="s">
        <v>978</v>
      </c>
      <c r="AL316" t="s">
        <v>978</v>
      </c>
      <c r="AM316" t="s">
        <v>979</v>
      </c>
      <c r="AN316">
        <v>0</v>
      </c>
      <c r="AO316" t="s">
        <v>257</v>
      </c>
      <c r="AP316">
        <v>0</v>
      </c>
      <c r="AQ316">
        <v>1</v>
      </c>
      <c r="AR316">
        <v>43</v>
      </c>
      <c r="AS316">
        <v>1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1</v>
      </c>
      <c r="AZ316" t="s">
        <v>257</v>
      </c>
      <c r="BA316" t="s">
        <v>980</v>
      </c>
      <c r="BB316" t="s">
        <v>981</v>
      </c>
      <c r="BC316" t="s">
        <v>257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 t="s">
        <v>998</v>
      </c>
      <c r="BK316" t="s">
        <v>981</v>
      </c>
      <c r="BL316" t="s">
        <v>3163</v>
      </c>
      <c r="BM316">
        <v>20160113</v>
      </c>
      <c r="BN316">
        <v>20181119</v>
      </c>
      <c r="BO316">
        <v>0</v>
      </c>
      <c r="BP316" t="s">
        <v>257</v>
      </c>
      <c r="BQ316" t="s">
        <v>983</v>
      </c>
      <c r="BR316" t="s">
        <v>978</v>
      </c>
      <c r="BS316" t="s">
        <v>979</v>
      </c>
      <c r="BT316">
        <v>0</v>
      </c>
      <c r="BU316">
        <v>0</v>
      </c>
      <c r="BV316" t="s">
        <v>1013</v>
      </c>
      <c r="BW316" t="s">
        <v>257</v>
      </c>
      <c r="BX316">
        <v>0</v>
      </c>
      <c r="BY316" t="s">
        <v>980</v>
      </c>
      <c r="BZ316" t="s">
        <v>257</v>
      </c>
      <c r="CA316">
        <v>0</v>
      </c>
      <c r="CB316">
        <v>0</v>
      </c>
      <c r="CC316" t="s">
        <v>3167</v>
      </c>
      <c r="CD316">
        <v>0</v>
      </c>
      <c r="CE316">
        <v>0</v>
      </c>
      <c r="CF316">
        <v>0</v>
      </c>
      <c r="CG316">
        <v>0</v>
      </c>
      <c r="CH316">
        <v>0</v>
      </c>
      <c r="CI316" t="s">
        <v>983</v>
      </c>
      <c r="CJ316" t="s">
        <v>972</v>
      </c>
      <c r="CK316" t="s">
        <v>986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 t="s">
        <v>987</v>
      </c>
      <c r="CV316">
        <v>400008319</v>
      </c>
      <c r="CW316" t="s">
        <v>987</v>
      </c>
      <c r="CX316" t="s">
        <v>1081</v>
      </c>
      <c r="CY316" t="s">
        <v>989</v>
      </c>
    </row>
    <row r="317" spans="1:103" hidden="1" x14ac:dyDescent="0.25">
      <c r="A317">
        <v>410000320</v>
      </c>
      <c r="B317" t="s">
        <v>3168</v>
      </c>
      <c r="C317" t="s">
        <v>3169</v>
      </c>
      <c r="D317">
        <v>401100000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1</v>
      </c>
      <c r="Y317" t="s">
        <v>972</v>
      </c>
      <c r="Z317" t="s">
        <v>3170</v>
      </c>
      <c r="AA317" t="s">
        <v>3171</v>
      </c>
      <c r="AB317" t="s">
        <v>975</v>
      </c>
      <c r="AC317">
        <v>4651</v>
      </c>
      <c r="AD317" t="s">
        <v>1204</v>
      </c>
      <c r="AE317">
        <v>495545127</v>
      </c>
      <c r="AF317" t="s">
        <v>979</v>
      </c>
      <c r="AG317" t="s">
        <v>977</v>
      </c>
      <c r="AH317" t="s">
        <v>977</v>
      </c>
      <c r="AI317" t="s">
        <v>977</v>
      </c>
      <c r="AJ317" t="s">
        <v>978</v>
      </c>
      <c r="AK317" t="s">
        <v>978</v>
      </c>
      <c r="AL317" t="s">
        <v>978</v>
      </c>
      <c r="AM317" t="s">
        <v>979</v>
      </c>
      <c r="AN317">
        <v>0</v>
      </c>
      <c r="AO317" t="s">
        <v>257</v>
      </c>
      <c r="AP317">
        <v>0</v>
      </c>
      <c r="AQ317">
        <v>1</v>
      </c>
      <c r="AR317">
        <v>43</v>
      </c>
      <c r="AS317">
        <v>1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1</v>
      </c>
      <c r="AZ317" t="s">
        <v>257</v>
      </c>
      <c r="BA317" t="s">
        <v>980</v>
      </c>
      <c r="BB317" t="s">
        <v>981</v>
      </c>
      <c r="BC317" t="s">
        <v>257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 t="s">
        <v>998</v>
      </c>
      <c r="BK317" t="s">
        <v>981</v>
      </c>
      <c r="BL317" t="s">
        <v>3168</v>
      </c>
      <c r="BM317">
        <v>20160113</v>
      </c>
      <c r="BN317">
        <v>20181119</v>
      </c>
      <c r="BO317">
        <v>0</v>
      </c>
      <c r="BP317" t="s">
        <v>257</v>
      </c>
      <c r="BQ317" t="s">
        <v>983</v>
      </c>
      <c r="BR317" t="s">
        <v>978</v>
      </c>
      <c r="BS317">
        <v>495545127</v>
      </c>
      <c r="BT317">
        <v>0</v>
      </c>
      <c r="BU317">
        <v>0</v>
      </c>
      <c r="BV317" t="s">
        <v>1013</v>
      </c>
      <c r="BW317" t="s">
        <v>257</v>
      </c>
      <c r="BX317">
        <v>0</v>
      </c>
      <c r="BY317" t="s">
        <v>980</v>
      </c>
      <c r="BZ317" t="s">
        <v>257</v>
      </c>
      <c r="CA317">
        <v>0</v>
      </c>
      <c r="CB317">
        <v>0</v>
      </c>
      <c r="CC317" t="s">
        <v>1220</v>
      </c>
      <c r="CD317">
        <v>0</v>
      </c>
      <c r="CE317">
        <v>0</v>
      </c>
      <c r="CF317">
        <v>0</v>
      </c>
      <c r="CG317">
        <v>0</v>
      </c>
      <c r="CH317">
        <v>0</v>
      </c>
      <c r="CI317" t="s">
        <v>983</v>
      </c>
      <c r="CJ317" t="s">
        <v>972</v>
      </c>
      <c r="CK317" t="s">
        <v>986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 t="s">
        <v>987</v>
      </c>
      <c r="CV317">
        <v>400008320</v>
      </c>
      <c r="CW317" t="s">
        <v>987</v>
      </c>
      <c r="CX317" t="s">
        <v>3172</v>
      </c>
      <c r="CY317" t="s">
        <v>989</v>
      </c>
    </row>
    <row r="318" spans="1:103" hidden="1" x14ac:dyDescent="0.25">
      <c r="A318">
        <v>410000321</v>
      </c>
      <c r="B318" t="s">
        <v>3173</v>
      </c>
      <c r="C318" t="s">
        <v>3174</v>
      </c>
      <c r="D318">
        <v>401100000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1</v>
      </c>
      <c r="Y318" t="s">
        <v>972</v>
      </c>
      <c r="Z318" t="s">
        <v>987</v>
      </c>
      <c r="AA318" t="s">
        <v>3175</v>
      </c>
      <c r="AB318" t="s">
        <v>975</v>
      </c>
      <c r="AC318">
        <v>4400</v>
      </c>
      <c r="AD318" t="s">
        <v>1237</v>
      </c>
      <c r="AE318">
        <v>43301740</v>
      </c>
      <c r="AF318" t="s">
        <v>979</v>
      </c>
      <c r="AG318" t="s">
        <v>977</v>
      </c>
      <c r="AH318" t="s">
        <v>977</v>
      </c>
      <c r="AI318" t="s">
        <v>977</v>
      </c>
      <c r="AJ318" t="s">
        <v>978</v>
      </c>
      <c r="AK318" t="s">
        <v>978</v>
      </c>
      <c r="AL318" t="s">
        <v>978</v>
      </c>
      <c r="AM318" t="s">
        <v>979</v>
      </c>
      <c r="AN318">
        <v>0</v>
      </c>
      <c r="AO318" t="s">
        <v>257</v>
      </c>
      <c r="AP318">
        <v>0</v>
      </c>
      <c r="AQ318">
        <v>1</v>
      </c>
      <c r="AR318">
        <v>43</v>
      </c>
      <c r="AS318">
        <v>1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1</v>
      </c>
      <c r="AZ318" t="s">
        <v>257</v>
      </c>
      <c r="BA318" t="s">
        <v>980</v>
      </c>
      <c r="BB318" t="s">
        <v>981</v>
      </c>
      <c r="BC318" t="s">
        <v>257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 t="s">
        <v>998</v>
      </c>
      <c r="BK318" t="s">
        <v>981</v>
      </c>
      <c r="BL318" t="s">
        <v>3173</v>
      </c>
      <c r="BM318">
        <v>20160114</v>
      </c>
      <c r="BN318">
        <v>20201019</v>
      </c>
      <c r="BO318">
        <v>0</v>
      </c>
      <c r="BP318" t="s">
        <v>257</v>
      </c>
      <c r="BQ318" t="s">
        <v>983</v>
      </c>
      <c r="BR318" t="s">
        <v>978</v>
      </c>
      <c r="BS318" t="s">
        <v>979</v>
      </c>
      <c r="BT318">
        <v>0</v>
      </c>
      <c r="BU318">
        <v>0</v>
      </c>
      <c r="BV318" t="s">
        <v>984</v>
      </c>
      <c r="BW318" t="s">
        <v>257</v>
      </c>
      <c r="BX318">
        <v>0</v>
      </c>
      <c r="BY318" t="s">
        <v>980</v>
      </c>
      <c r="BZ318" t="s">
        <v>257</v>
      </c>
      <c r="CA318">
        <v>0</v>
      </c>
      <c r="CB318">
        <v>0</v>
      </c>
      <c r="CC318" t="s">
        <v>1491</v>
      </c>
      <c r="CD318">
        <v>0</v>
      </c>
      <c r="CE318">
        <v>0</v>
      </c>
      <c r="CF318">
        <v>0</v>
      </c>
      <c r="CG318">
        <v>0</v>
      </c>
      <c r="CH318">
        <v>0</v>
      </c>
      <c r="CI318" t="s">
        <v>983</v>
      </c>
      <c r="CJ318" t="s">
        <v>972</v>
      </c>
      <c r="CK318" t="s">
        <v>986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 t="s">
        <v>987</v>
      </c>
      <c r="CV318">
        <v>400008321</v>
      </c>
      <c r="CW318" t="s">
        <v>987</v>
      </c>
      <c r="CX318" t="s">
        <v>3176</v>
      </c>
      <c r="CY318" t="s">
        <v>989</v>
      </c>
    </row>
    <row r="319" spans="1:103" hidden="1" x14ac:dyDescent="0.25">
      <c r="A319">
        <v>410000322</v>
      </c>
      <c r="B319" t="s">
        <v>3177</v>
      </c>
      <c r="C319" t="s">
        <v>3178</v>
      </c>
      <c r="D319">
        <v>401100000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1</v>
      </c>
      <c r="Y319" t="s">
        <v>972</v>
      </c>
      <c r="Z319" t="s">
        <v>987</v>
      </c>
      <c r="AA319" t="s">
        <v>3179</v>
      </c>
      <c r="AB319" t="s">
        <v>975</v>
      </c>
      <c r="AC319">
        <v>4600</v>
      </c>
      <c r="AD319" t="s">
        <v>1813</v>
      </c>
      <c r="AE319" t="s">
        <v>979</v>
      </c>
      <c r="AF319" t="s">
        <v>979</v>
      </c>
      <c r="AG319" t="s">
        <v>977</v>
      </c>
      <c r="AH319" t="s">
        <v>977</v>
      </c>
      <c r="AI319" t="s">
        <v>977</v>
      </c>
      <c r="AJ319" t="s">
        <v>978</v>
      </c>
      <c r="AK319" t="s">
        <v>978</v>
      </c>
      <c r="AL319" t="s">
        <v>978</v>
      </c>
      <c r="AM319" t="s">
        <v>979</v>
      </c>
      <c r="AN319">
        <v>0</v>
      </c>
      <c r="AO319" t="s">
        <v>257</v>
      </c>
      <c r="AP319">
        <v>0</v>
      </c>
      <c r="AQ319">
        <v>1</v>
      </c>
      <c r="AR319">
        <v>43</v>
      </c>
      <c r="AS319">
        <v>1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1</v>
      </c>
      <c r="AZ319" t="s">
        <v>257</v>
      </c>
      <c r="BA319" t="s">
        <v>980</v>
      </c>
      <c r="BB319" t="s">
        <v>981</v>
      </c>
      <c r="BC319" t="s">
        <v>257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 t="s">
        <v>998</v>
      </c>
      <c r="BK319" t="s">
        <v>981</v>
      </c>
      <c r="BL319" t="s">
        <v>3177</v>
      </c>
      <c r="BM319">
        <v>20160118</v>
      </c>
      <c r="BN319">
        <v>20211021</v>
      </c>
      <c r="BO319">
        <v>0</v>
      </c>
      <c r="BP319" t="s">
        <v>257</v>
      </c>
      <c r="BQ319" t="s">
        <v>983</v>
      </c>
      <c r="BR319" t="s">
        <v>978</v>
      </c>
      <c r="BS319" t="s">
        <v>979</v>
      </c>
      <c r="BT319">
        <v>0</v>
      </c>
      <c r="BU319">
        <v>0</v>
      </c>
      <c r="BV319" t="s">
        <v>1013</v>
      </c>
      <c r="BW319" t="s">
        <v>257</v>
      </c>
      <c r="BX319">
        <v>0</v>
      </c>
      <c r="BY319" t="s">
        <v>980</v>
      </c>
      <c r="BZ319" t="s">
        <v>257</v>
      </c>
      <c r="CA319">
        <v>0</v>
      </c>
      <c r="CB319">
        <v>0</v>
      </c>
      <c r="CC319" t="s">
        <v>2448</v>
      </c>
      <c r="CD319">
        <v>0</v>
      </c>
      <c r="CE319">
        <v>0</v>
      </c>
      <c r="CF319">
        <v>0</v>
      </c>
      <c r="CG319">
        <v>0</v>
      </c>
      <c r="CH319">
        <v>0</v>
      </c>
      <c r="CI319" t="s">
        <v>983</v>
      </c>
      <c r="CJ319" t="s">
        <v>972</v>
      </c>
      <c r="CK319" t="s">
        <v>986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 t="s">
        <v>987</v>
      </c>
      <c r="CV319">
        <v>400008322</v>
      </c>
      <c r="CW319" t="s">
        <v>987</v>
      </c>
      <c r="CX319" t="s">
        <v>3180</v>
      </c>
      <c r="CY319" t="s">
        <v>989</v>
      </c>
    </row>
    <row r="320" spans="1:103" hidden="1" x14ac:dyDescent="0.25">
      <c r="A320">
        <v>410000323</v>
      </c>
      <c r="B320" t="s">
        <v>3181</v>
      </c>
      <c r="C320" t="s">
        <v>3182</v>
      </c>
      <c r="D320">
        <v>401100000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1</v>
      </c>
      <c r="Y320" t="s">
        <v>972</v>
      </c>
      <c r="Z320" t="s">
        <v>3183</v>
      </c>
      <c r="AA320" t="s">
        <v>3184</v>
      </c>
      <c r="AB320" t="s">
        <v>975</v>
      </c>
      <c r="AC320">
        <v>4000</v>
      </c>
      <c r="AD320" t="s">
        <v>1019</v>
      </c>
      <c r="AE320" t="s">
        <v>3185</v>
      </c>
      <c r="AF320" t="s">
        <v>979</v>
      </c>
      <c r="AG320" t="s">
        <v>977</v>
      </c>
      <c r="AH320" t="s">
        <v>977</v>
      </c>
      <c r="AI320" t="s">
        <v>977</v>
      </c>
      <c r="AJ320" t="s">
        <v>978</v>
      </c>
      <c r="AK320" t="s">
        <v>978</v>
      </c>
      <c r="AL320" t="s">
        <v>978</v>
      </c>
      <c r="AM320" t="s">
        <v>979</v>
      </c>
      <c r="AN320">
        <v>0</v>
      </c>
      <c r="AO320" t="s">
        <v>257</v>
      </c>
      <c r="AP320">
        <v>0</v>
      </c>
      <c r="AQ320">
        <v>1</v>
      </c>
      <c r="AR320">
        <v>43</v>
      </c>
      <c r="AS320">
        <v>1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1</v>
      </c>
      <c r="AZ320" t="s">
        <v>257</v>
      </c>
      <c r="BA320" t="s">
        <v>980</v>
      </c>
      <c r="BB320" t="s">
        <v>981</v>
      </c>
      <c r="BC320" t="s">
        <v>257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 t="s">
        <v>998</v>
      </c>
      <c r="BK320" t="s">
        <v>981</v>
      </c>
      <c r="BL320" t="s">
        <v>3181</v>
      </c>
      <c r="BM320">
        <v>20160118</v>
      </c>
      <c r="BN320">
        <v>20181119</v>
      </c>
      <c r="BO320">
        <v>0</v>
      </c>
      <c r="BP320" t="s">
        <v>257</v>
      </c>
      <c r="BQ320" t="s">
        <v>983</v>
      </c>
      <c r="BR320" t="s">
        <v>978</v>
      </c>
      <c r="BS320" t="s">
        <v>979</v>
      </c>
      <c r="BT320">
        <v>0</v>
      </c>
      <c r="BU320">
        <v>0</v>
      </c>
      <c r="BV320" t="s">
        <v>1013</v>
      </c>
      <c r="BW320" t="s">
        <v>257</v>
      </c>
      <c r="BX320">
        <v>0</v>
      </c>
      <c r="BY320" t="s">
        <v>980</v>
      </c>
      <c r="BZ320" t="s">
        <v>257</v>
      </c>
      <c r="CA320">
        <v>0</v>
      </c>
      <c r="CB320">
        <v>0</v>
      </c>
      <c r="CC320" t="s">
        <v>1499</v>
      </c>
      <c r="CD320">
        <v>0</v>
      </c>
      <c r="CE320">
        <v>0</v>
      </c>
      <c r="CF320">
        <v>0</v>
      </c>
      <c r="CG320">
        <v>0</v>
      </c>
      <c r="CH320">
        <v>0</v>
      </c>
      <c r="CI320" t="s">
        <v>983</v>
      </c>
      <c r="CJ320" t="s">
        <v>972</v>
      </c>
      <c r="CK320" t="s">
        <v>986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 t="s">
        <v>987</v>
      </c>
      <c r="CV320">
        <v>400008323</v>
      </c>
      <c r="CW320" t="s">
        <v>987</v>
      </c>
      <c r="CX320" t="s">
        <v>1081</v>
      </c>
      <c r="CY320" t="s">
        <v>989</v>
      </c>
    </row>
    <row r="321" spans="1:103" hidden="1" x14ac:dyDescent="0.25">
      <c r="A321">
        <v>410000324</v>
      </c>
      <c r="B321" t="s">
        <v>3186</v>
      </c>
      <c r="C321" t="s">
        <v>2946</v>
      </c>
      <c r="D321">
        <v>401100000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1</v>
      </c>
      <c r="Y321" t="s">
        <v>972</v>
      </c>
      <c r="Z321" t="s">
        <v>3187</v>
      </c>
      <c r="AA321" t="s">
        <v>3188</v>
      </c>
      <c r="AB321" t="s">
        <v>975</v>
      </c>
      <c r="AC321">
        <v>4682</v>
      </c>
      <c r="AD321" t="s">
        <v>3189</v>
      </c>
      <c r="AE321" t="s">
        <v>3190</v>
      </c>
      <c r="AF321" t="s">
        <v>3191</v>
      </c>
      <c r="AG321" t="s">
        <v>977</v>
      </c>
      <c r="AH321" t="s">
        <v>977</v>
      </c>
      <c r="AI321" t="s">
        <v>977</v>
      </c>
      <c r="AJ321" t="s">
        <v>3192</v>
      </c>
      <c r="AK321" t="s">
        <v>3193</v>
      </c>
      <c r="AL321" t="s">
        <v>978</v>
      </c>
      <c r="AM321" t="s">
        <v>979</v>
      </c>
      <c r="AN321">
        <v>0</v>
      </c>
      <c r="AO321" t="s">
        <v>257</v>
      </c>
      <c r="AP321">
        <v>0</v>
      </c>
      <c r="AQ321">
        <v>1</v>
      </c>
      <c r="AR321">
        <v>43</v>
      </c>
      <c r="AS321">
        <v>1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1</v>
      </c>
      <c r="AZ321" t="s">
        <v>257</v>
      </c>
      <c r="BA321" t="s">
        <v>980</v>
      </c>
      <c r="BB321" t="s">
        <v>981</v>
      </c>
      <c r="BC321" t="s">
        <v>257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 t="s">
        <v>998</v>
      </c>
      <c r="BK321" t="s">
        <v>981</v>
      </c>
      <c r="BL321" t="s">
        <v>3186</v>
      </c>
      <c r="BM321">
        <v>20160121</v>
      </c>
      <c r="BN321">
        <v>20240129</v>
      </c>
      <c r="BO321">
        <v>0</v>
      </c>
      <c r="BP321" t="s">
        <v>257</v>
      </c>
      <c r="BQ321" t="s">
        <v>983</v>
      </c>
      <c r="BR321" t="s">
        <v>978</v>
      </c>
      <c r="BS321" t="s">
        <v>2952</v>
      </c>
      <c r="BT321">
        <v>0</v>
      </c>
      <c r="BU321">
        <v>0</v>
      </c>
      <c r="BV321" t="s">
        <v>984</v>
      </c>
      <c r="BW321" t="s">
        <v>257</v>
      </c>
      <c r="BX321">
        <v>0</v>
      </c>
      <c r="BY321" t="s">
        <v>980</v>
      </c>
      <c r="BZ321" t="s">
        <v>257</v>
      </c>
      <c r="CA321">
        <v>0</v>
      </c>
      <c r="CB321">
        <v>0</v>
      </c>
      <c r="CC321" t="s">
        <v>985</v>
      </c>
      <c r="CD321">
        <v>0</v>
      </c>
      <c r="CE321">
        <v>0</v>
      </c>
      <c r="CF321">
        <v>0</v>
      </c>
      <c r="CG321">
        <v>0</v>
      </c>
      <c r="CH321">
        <v>0</v>
      </c>
      <c r="CI321" t="s">
        <v>983</v>
      </c>
      <c r="CJ321" t="s">
        <v>972</v>
      </c>
      <c r="CK321" t="s">
        <v>986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 t="s">
        <v>987</v>
      </c>
      <c r="CV321">
        <v>400008324</v>
      </c>
      <c r="CW321" t="s">
        <v>987</v>
      </c>
      <c r="CX321" t="s">
        <v>3194</v>
      </c>
      <c r="CY321" t="s">
        <v>989</v>
      </c>
    </row>
    <row r="322" spans="1:103" hidden="1" x14ac:dyDescent="0.25">
      <c r="A322">
        <v>410000325</v>
      </c>
      <c r="B322" t="s">
        <v>3195</v>
      </c>
      <c r="C322" t="s">
        <v>3196</v>
      </c>
      <c r="D322">
        <v>401100000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1</v>
      </c>
      <c r="Y322" t="s">
        <v>972</v>
      </c>
      <c r="Z322" t="s">
        <v>3197</v>
      </c>
      <c r="AA322" t="s">
        <v>3198</v>
      </c>
      <c r="AB322" t="s">
        <v>975</v>
      </c>
      <c r="AC322">
        <v>4400</v>
      </c>
      <c r="AD322" t="s">
        <v>1237</v>
      </c>
      <c r="AE322" t="s">
        <v>3199</v>
      </c>
      <c r="AF322" t="s">
        <v>979</v>
      </c>
      <c r="AG322" t="s">
        <v>977</v>
      </c>
      <c r="AH322" t="s">
        <v>977</v>
      </c>
      <c r="AI322" t="s">
        <v>977</v>
      </c>
      <c r="AJ322" t="s">
        <v>3200</v>
      </c>
      <c r="AK322" t="s">
        <v>978</v>
      </c>
      <c r="AL322" t="s">
        <v>978</v>
      </c>
      <c r="AM322" t="s">
        <v>979</v>
      </c>
      <c r="AN322">
        <v>0</v>
      </c>
      <c r="AO322" t="s">
        <v>257</v>
      </c>
      <c r="AP322">
        <v>0</v>
      </c>
      <c r="AQ322">
        <v>1</v>
      </c>
      <c r="AR322">
        <v>43</v>
      </c>
      <c r="AS322">
        <v>1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1</v>
      </c>
      <c r="AZ322" t="s">
        <v>257</v>
      </c>
      <c r="BA322" t="s">
        <v>980</v>
      </c>
      <c r="BB322" t="s">
        <v>981</v>
      </c>
      <c r="BC322" t="s">
        <v>257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 t="s">
        <v>998</v>
      </c>
      <c r="BK322" t="s">
        <v>981</v>
      </c>
      <c r="BL322" t="s">
        <v>3195</v>
      </c>
      <c r="BM322">
        <v>20160125</v>
      </c>
      <c r="BN322">
        <v>20181119</v>
      </c>
      <c r="BO322">
        <v>0</v>
      </c>
      <c r="BP322" t="s">
        <v>257</v>
      </c>
      <c r="BQ322" t="s">
        <v>983</v>
      </c>
      <c r="BR322" t="s">
        <v>978</v>
      </c>
      <c r="BS322" t="s">
        <v>979</v>
      </c>
      <c r="BT322">
        <v>0</v>
      </c>
      <c r="BU322">
        <v>0</v>
      </c>
      <c r="BV322" t="s">
        <v>1013</v>
      </c>
      <c r="BW322" t="s">
        <v>257</v>
      </c>
      <c r="BX322">
        <v>0</v>
      </c>
      <c r="BY322" t="s">
        <v>980</v>
      </c>
      <c r="BZ322" t="s">
        <v>257</v>
      </c>
      <c r="CA322">
        <v>0</v>
      </c>
      <c r="CB322">
        <v>0</v>
      </c>
      <c r="CC322" t="s">
        <v>1491</v>
      </c>
      <c r="CD322">
        <v>0</v>
      </c>
      <c r="CE322">
        <v>0</v>
      </c>
      <c r="CF322">
        <v>0</v>
      </c>
      <c r="CG322">
        <v>0</v>
      </c>
      <c r="CH322">
        <v>0</v>
      </c>
      <c r="CI322" t="s">
        <v>983</v>
      </c>
      <c r="CJ322" t="s">
        <v>972</v>
      </c>
      <c r="CK322" t="s">
        <v>986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 t="s">
        <v>987</v>
      </c>
      <c r="CV322">
        <v>400008325</v>
      </c>
      <c r="CW322" t="s">
        <v>987</v>
      </c>
      <c r="CX322" t="s">
        <v>1081</v>
      </c>
      <c r="CY322" t="s">
        <v>989</v>
      </c>
    </row>
    <row r="323" spans="1:103" hidden="1" x14ac:dyDescent="0.25">
      <c r="A323">
        <v>410000326</v>
      </c>
      <c r="B323" t="s">
        <v>3201</v>
      </c>
      <c r="C323" t="s">
        <v>3202</v>
      </c>
      <c r="D323">
        <v>401100000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1</v>
      </c>
      <c r="Y323" t="s">
        <v>972</v>
      </c>
      <c r="Z323" t="s">
        <v>987</v>
      </c>
      <c r="AA323" t="s">
        <v>7194</v>
      </c>
      <c r="AB323" t="s">
        <v>975</v>
      </c>
      <c r="AC323">
        <v>4802</v>
      </c>
      <c r="AD323" t="s">
        <v>1378</v>
      </c>
      <c r="AE323">
        <v>32087221573</v>
      </c>
      <c r="AF323" t="s">
        <v>979</v>
      </c>
      <c r="AG323" t="s">
        <v>977</v>
      </c>
      <c r="AH323" t="s">
        <v>977</v>
      </c>
      <c r="AI323" t="s">
        <v>977</v>
      </c>
      <c r="AJ323" t="s">
        <v>978</v>
      </c>
      <c r="AK323" t="s">
        <v>978</v>
      </c>
      <c r="AL323" t="s">
        <v>978</v>
      </c>
      <c r="AM323" t="s">
        <v>979</v>
      </c>
      <c r="AN323">
        <v>0</v>
      </c>
      <c r="AO323" t="s">
        <v>257</v>
      </c>
      <c r="AP323">
        <v>0</v>
      </c>
      <c r="AQ323">
        <v>1</v>
      </c>
      <c r="AR323">
        <v>43</v>
      </c>
      <c r="AS323">
        <v>1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1</v>
      </c>
      <c r="AZ323" t="s">
        <v>257</v>
      </c>
      <c r="BA323" t="s">
        <v>980</v>
      </c>
      <c r="BB323" t="s">
        <v>981</v>
      </c>
      <c r="BC323" t="s">
        <v>257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 t="s">
        <v>998</v>
      </c>
      <c r="BK323" t="s">
        <v>981</v>
      </c>
      <c r="BL323" t="s">
        <v>3201</v>
      </c>
      <c r="BM323">
        <v>20160126</v>
      </c>
      <c r="BN323">
        <v>20250819</v>
      </c>
      <c r="BO323">
        <v>0</v>
      </c>
      <c r="BP323" t="s">
        <v>257</v>
      </c>
      <c r="BQ323" t="s">
        <v>983</v>
      </c>
      <c r="BR323" t="s">
        <v>978</v>
      </c>
      <c r="BS323" t="s">
        <v>979</v>
      </c>
      <c r="BT323">
        <v>0</v>
      </c>
      <c r="BU323">
        <v>0</v>
      </c>
      <c r="BV323" t="s">
        <v>984</v>
      </c>
      <c r="BW323" t="s">
        <v>257</v>
      </c>
      <c r="BX323">
        <v>0</v>
      </c>
      <c r="BY323" t="s">
        <v>980</v>
      </c>
      <c r="BZ323" t="s">
        <v>257</v>
      </c>
      <c r="CA323">
        <v>0</v>
      </c>
      <c r="CB323">
        <v>0</v>
      </c>
      <c r="CC323" t="s">
        <v>2144</v>
      </c>
      <c r="CD323">
        <v>0</v>
      </c>
      <c r="CE323">
        <v>0</v>
      </c>
      <c r="CF323">
        <v>0</v>
      </c>
      <c r="CG323">
        <v>0</v>
      </c>
      <c r="CH323">
        <v>0</v>
      </c>
      <c r="CI323" t="s">
        <v>983</v>
      </c>
      <c r="CJ323" t="s">
        <v>972</v>
      </c>
      <c r="CK323" t="s">
        <v>986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 t="s">
        <v>987</v>
      </c>
      <c r="CV323">
        <v>400008326</v>
      </c>
      <c r="CW323" t="s">
        <v>987</v>
      </c>
      <c r="CX323" t="s">
        <v>3203</v>
      </c>
      <c r="CY323" t="s">
        <v>989</v>
      </c>
    </row>
    <row r="324" spans="1:103" hidden="1" x14ac:dyDescent="0.25">
      <c r="A324">
        <v>410000327</v>
      </c>
      <c r="B324" t="s">
        <v>3204</v>
      </c>
      <c r="C324" t="s">
        <v>3205</v>
      </c>
      <c r="D324">
        <v>401100000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</v>
      </c>
      <c r="W324">
        <v>1</v>
      </c>
      <c r="X324">
        <v>1</v>
      </c>
      <c r="Y324" t="s">
        <v>972</v>
      </c>
      <c r="Z324" t="s">
        <v>3206</v>
      </c>
      <c r="AA324" t="s">
        <v>3207</v>
      </c>
      <c r="AB324" t="s">
        <v>975</v>
      </c>
      <c r="AC324">
        <v>4670</v>
      </c>
      <c r="AD324" t="s">
        <v>3208</v>
      </c>
      <c r="AE324" t="s">
        <v>3209</v>
      </c>
      <c r="AF324" t="s">
        <v>979</v>
      </c>
      <c r="AG324" t="s">
        <v>977</v>
      </c>
      <c r="AH324" t="s">
        <v>977</v>
      </c>
      <c r="AI324" t="s">
        <v>977</v>
      </c>
      <c r="AJ324" t="s">
        <v>978</v>
      </c>
      <c r="AK324" t="s">
        <v>978</v>
      </c>
      <c r="AL324" t="s">
        <v>978</v>
      </c>
      <c r="AM324" t="s">
        <v>979</v>
      </c>
      <c r="AN324">
        <v>0</v>
      </c>
      <c r="AO324" t="s">
        <v>257</v>
      </c>
      <c r="AP324">
        <v>15</v>
      </c>
      <c r="AQ324">
        <v>1</v>
      </c>
      <c r="AR324">
        <v>43</v>
      </c>
      <c r="AS324">
        <v>1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1</v>
      </c>
      <c r="AZ324" t="s">
        <v>257</v>
      </c>
      <c r="BA324" t="s">
        <v>980</v>
      </c>
      <c r="BB324" t="s">
        <v>981</v>
      </c>
      <c r="BC324" t="s">
        <v>257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 t="s">
        <v>998</v>
      </c>
      <c r="BK324" t="s">
        <v>981</v>
      </c>
      <c r="BL324" t="s">
        <v>3204</v>
      </c>
      <c r="BM324">
        <v>20160210</v>
      </c>
      <c r="BN324">
        <v>20181119</v>
      </c>
      <c r="BO324">
        <v>0</v>
      </c>
      <c r="BP324" t="s">
        <v>257</v>
      </c>
      <c r="BQ324" t="s">
        <v>983</v>
      </c>
      <c r="BR324" t="s">
        <v>978</v>
      </c>
      <c r="BS324" t="s">
        <v>979</v>
      </c>
      <c r="BT324">
        <v>0</v>
      </c>
      <c r="BU324">
        <v>0</v>
      </c>
      <c r="BV324" t="s">
        <v>1013</v>
      </c>
      <c r="BW324" t="s">
        <v>257</v>
      </c>
      <c r="BX324">
        <v>0</v>
      </c>
      <c r="BY324" t="s">
        <v>980</v>
      </c>
      <c r="BZ324" t="s">
        <v>257</v>
      </c>
      <c r="CA324">
        <v>0</v>
      </c>
      <c r="CB324">
        <v>0</v>
      </c>
      <c r="CC324" t="s">
        <v>1317</v>
      </c>
      <c r="CD324">
        <v>0</v>
      </c>
      <c r="CE324">
        <v>0</v>
      </c>
      <c r="CF324">
        <v>0</v>
      </c>
      <c r="CG324">
        <v>0</v>
      </c>
      <c r="CH324">
        <v>0</v>
      </c>
      <c r="CI324" t="s">
        <v>983</v>
      </c>
      <c r="CJ324" t="s">
        <v>972</v>
      </c>
      <c r="CK324" t="s">
        <v>986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 t="s">
        <v>987</v>
      </c>
      <c r="CV324">
        <v>400008327</v>
      </c>
      <c r="CW324" t="s">
        <v>987</v>
      </c>
      <c r="CX324" t="s">
        <v>3210</v>
      </c>
      <c r="CY324" t="s">
        <v>989</v>
      </c>
    </row>
    <row r="325" spans="1:103" hidden="1" x14ac:dyDescent="0.25">
      <c r="A325">
        <v>410000328</v>
      </c>
      <c r="B325" t="s">
        <v>3211</v>
      </c>
      <c r="C325" t="s">
        <v>3212</v>
      </c>
      <c r="D325">
        <v>401100000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1</v>
      </c>
      <c r="Y325" t="s">
        <v>972</v>
      </c>
      <c r="Z325" t="s">
        <v>987</v>
      </c>
      <c r="AA325" t="s">
        <v>3213</v>
      </c>
      <c r="AB325" t="s">
        <v>975</v>
      </c>
      <c r="AC325">
        <v>4430</v>
      </c>
      <c r="AD325" t="s">
        <v>1474</v>
      </c>
      <c r="AE325" t="s">
        <v>3214</v>
      </c>
      <c r="AF325" t="s">
        <v>979</v>
      </c>
      <c r="AG325" t="s">
        <v>977</v>
      </c>
      <c r="AH325" t="s">
        <v>977</v>
      </c>
      <c r="AI325" t="s">
        <v>977</v>
      </c>
      <c r="AJ325" t="s">
        <v>3215</v>
      </c>
      <c r="AK325" t="s">
        <v>3216</v>
      </c>
      <c r="AL325" t="s">
        <v>978</v>
      </c>
      <c r="AM325" t="s">
        <v>979</v>
      </c>
      <c r="AN325">
        <v>0</v>
      </c>
      <c r="AO325" t="s">
        <v>257</v>
      </c>
      <c r="AP325">
        <v>0</v>
      </c>
      <c r="AQ325">
        <v>1</v>
      </c>
      <c r="AR325">
        <v>43</v>
      </c>
      <c r="AS325">
        <v>1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1</v>
      </c>
      <c r="AZ325" t="s">
        <v>257</v>
      </c>
      <c r="BA325" t="s">
        <v>980</v>
      </c>
      <c r="BB325" t="s">
        <v>981</v>
      </c>
      <c r="BC325" t="s">
        <v>257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 t="s">
        <v>998</v>
      </c>
      <c r="BK325" t="s">
        <v>981</v>
      </c>
      <c r="BL325" t="s">
        <v>3211</v>
      </c>
      <c r="BM325">
        <v>20160210</v>
      </c>
      <c r="BN325">
        <v>20181119</v>
      </c>
      <c r="BO325">
        <v>0</v>
      </c>
      <c r="BP325" t="s">
        <v>257</v>
      </c>
      <c r="BQ325" t="s">
        <v>983</v>
      </c>
      <c r="BR325" t="s">
        <v>978</v>
      </c>
      <c r="BS325" t="s">
        <v>3217</v>
      </c>
      <c r="BT325">
        <v>0</v>
      </c>
      <c r="BU325">
        <v>0</v>
      </c>
      <c r="BV325" t="s">
        <v>1013</v>
      </c>
      <c r="BW325" t="s">
        <v>257</v>
      </c>
      <c r="BX325">
        <v>0</v>
      </c>
      <c r="BY325" t="s">
        <v>980</v>
      </c>
      <c r="BZ325" t="s">
        <v>257</v>
      </c>
      <c r="CA325">
        <v>0</v>
      </c>
      <c r="CB325">
        <v>0</v>
      </c>
      <c r="CC325" t="s">
        <v>1119</v>
      </c>
      <c r="CD325">
        <v>0</v>
      </c>
      <c r="CE325">
        <v>0</v>
      </c>
      <c r="CF325">
        <v>0</v>
      </c>
      <c r="CG325">
        <v>0</v>
      </c>
      <c r="CH325">
        <v>0</v>
      </c>
      <c r="CI325" t="s">
        <v>983</v>
      </c>
      <c r="CJ325" t="s">
        <v>972</v>
      </c>
      <c r="CK325" t="s">
        <v>986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 t="s">
        <v>987</v>
      </c>
      <c r="CV325">
        <v>400008328</v>
      </c>
      <c r="CW325" t="s">
        <v>987</v>
      </c>
      <c r="CX325" t="s">
        <v>3218</v>
      </c>
      <c r="CY325" t="s">
        <v>989</v>
      </c>
    </row>
    <row r="326" spans="1:103" hidden="1" x14ac:dyDescent="0.25">
      <c r="A326">
        <v>410000329</v>
      </c>
      <c r="B326" t="s">
        <v>3219</v>
      </c>
      <c r="C326" t="s">
        <v>3220</v>
      </c>
      <c r="D326">
        <v>401100000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 t="s">
        <v>972</v>
      </c>
      <c r="Z326" t="s">
        <v>3221</v>
      </c>
      <c r="AA326" t="s">
        <v>3222</v>
      </c>
      <c r="AB326" t="s">
        <v>975</v>
      </c>
      <c r="AC326">
        <v>4040</v>
      </c>
      <c r="AD326" t="s">
        <v>976</v>
      </c>
      <c r="AE326" t="s">
        <v>3223</v>
      </c>
      <c r="AF326" t="s">
        <v>3224</v>
      </c>
      <c r="AG326" t="s">
        <v>977</v>
      </c>
      <c r="AH326" t="s">
        <v>977</v>
      </c>
      <c r="AI326" t="s">
        <v>977</v>
      </c>
      <c r="AJ326" t="s">
        <v>978</v>
      </c>
      <c r="AK326" t="s">
        <v>978</v>
      </c>
      <c r="AL326" t="s">
        <v>978</v>
      </c>
      <c r="AM326" t="s">
        <v>979</v>
      </c>
      <c r="AN326">
        <v>0</v>
      </c>
      <c r="AO326" t="s">
        <v>257</v>
      </c>
      <c r="AP326">
        <v>0</v>
      </c>
      <c r="AQ326">
        <v>1</v>
      </c>
      <c r="AR326">
        <v>43</v>
      </c>
      <c r="AS326">
        <v>1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1</v>
      </c>
      <c r="AZ326" t="s">
        <v>257</v>
      </c>
      <c r="BA326" t="s">
        <v>980</v>
      </c>
      <c r="BB326" t="s">
        <v>981</v>
      </c>
      <c r="BC326" t="s">
        <v>257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 t="s">
        <v>998</v>
      </c>
      <c r="BK326" t="s">
        <v>981</v>
      </c>
      <c r="BL326" t="s">
        <v>3219</v>
      </c>
      <c r="BM326">
        <v>20160210</v>
      </c>
      <c r="BN326">
        <v>20181119</v>
      </c>
      <c r="BO326">
        <v>0</v>
      </c>
      <c r="BP326" t="s">
        <v>257</v>
      </c>
      <c r="BQ326" t="s">
        <v>983</v>
      </c>
      <c r="BR326" t="s">
        <v>978</v>
      </c>
      <c r="BS326" t="s">
        <v>979</v>
      </c>
      <c r="BT326">
        <v>0</v>
      </c>
      <c r="BU326">
        <v>0</v>
      </c>
      <c r="BV326" t="s">
        <v>1013</v>
      </c>
      <c r="BW326" t="s">
        <v>257</v>
      </c>
      <c r="BX326">
        <v>0</v>
      </c>
      <c r="BY326" t="s">
        <v>980</v>
      </c>
      <c r="BZ326" t="s">
        <v>257</v>
      </c>
      <c r="CA326">
        <v>0</v>
      </c>
      <c r="CB326">
        <v>0</v>
      </c>
      <c r="CC326" t="s">
        <v>985</v>
      </c>
      <c r="CD326">
        <v>0</v>
      </c>
      <c r="CE326">
        <v>0</v>
      </c>
      <c r="CF326">
        <v>0</v>
      </c>
      <c r="CG326">
        <v>0</v>
      </c>
      <c r="CH326">
        <v>0</v>
      </c>
      <c r="CI326" t="s">
        <v>983</v>
      </c>
      <c r="CJ326" t="s">
        <v>972</v>
      </c>
      <c r="CK326" t="s">
        <v>986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 t="s">
        <v>987</v>
      </c>
      <c r="CV326">
        <v>400008329</v>
      </c>
      <c r="CW326" t="s">
        <v>987</v>
      </c>
      <c r="CX326" t="s">
        <v>1081</v>
      </c>
      <c r="CY326" t="s">
        <v>989</v>
      </c>
    </row>
    <row r="327" spans="1:103" hidden="1" x14ac:dyDescent="0.25">
      <c r="A327">
        <v>410000330</v>
      </c>
      <c r="B327" t="s">
        <v>3225</v>
      </c>
      <c r="C327" t="s">
        <v>3226</v>
      </c>
      <c r="D327">
        <v>401100000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1</v>
      </c>
      <c r="Y327" t="s">
        <v>972</v>
      </c>
      <c r="Z327" t="s">
        <v>3227</v>
      </c>
      <c r="AA327" t="s">
        <v>3228</v>
      </c>
      <c r="AB327" t="s">
        <v>975</v>
      </c>
      <c r="AC327">
        <v>4040</v>
      </c>
      <c r="AD327" t="s">
        <v>976</v>
      </c>
      <c r="AE327">
        <v>3242640030</v>
      </c>
      <c r="AF327">
        <v>3242641718</v>
      </c>
      <c r="AG327" t="s">
        <v>977</v>
      </c>
      <c r="AH327" t="s">
        <v>977</v>
      </c>
      <c r="AI327" t="s">
        <v>977</v>
      </c>
      <c r="AJ327" t="s">
        <v>978</v>
      </c>
      <c r="AK327" t="s">
        <v>978</v>
      </c>
      <c r="AL327" t="s">
        <v>978</v>
      </c>
      <c r="AM327" t="s">
        <v>979</v>
      </c>
      <c r="AN327">
        <v>0</v>
      </c>
      <c r="AO327" t="s">
        <v>257</v>
      </c>
      <c r="AP327">
        <v>0</v>
      </c>
      <c r="AQ327">
        <v>1</v>
      </c>
      <c r="AR327">
        <v>43</v>
      </c>
      <c r="AS327">
        <v>1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1</v>
      </c>
      <c r="AZ327" t="s">
        <v>257</v>
      </c>
      <c r="BA327" t="s">
        <v>980</v>
      </c>
      <c r="BB327" t="s">
        <v>981</v>
      </c>
      <c r="BC327" t="s">
        <v>257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 t="s">
        <v>998</v>
      </c>
      <c r="BK327" t="s">
        <v>981</v>
      </c>
      <c r="BL327" t="s">
        <v>3225</v>
      </c>
      <c r="BM327">
        <v>20160217</v>
      </c>
      <c r="BN327">
        <v>20181119</v>
      </c>
      <c r="BO327">
        <v>0</v>
      </c>
      <c r="BP327" t="s">
        <v>257</v>
      </c>
      <c r="BQ327" t="s">
        <v>983</v>
      </c>
      <c r="BR327" t="s">
        <v>978</v>
      </c>
      <c r="BS327" t="s">
        <v>979</v>
      </c>
      <c r="BT327">
        <v>0</v>
      </c>
      <c r="BU327">
        <v>0</v>
      </c>
      <c r="BV327" t="s">
        <v>1013</v>
      </c>
      <c r="BW327" t="s">
        <v>257</v>
      </c>
      <c r="BX327">
        <v>0</v>
      </c>
      <c r="BY327" t="s">
        <v>980</v>
      </c>
      <c r="BZ327" t="s">
        <v>257</v>
      </c>
      <c r="CA327">
        <v>0</v>
      </c>
      <c r="CB327">
        <v>0</v>
      </c>
      <c r="CC327" t="s">
        <v>985</v>
      </c>
      <c r="CD327">
        <v>0</v>
      </c>
      <c r="CE327">
        <v>0</v>
      </c>
      <c r="CF327">
        <v>0</v>
      </c>
      <c r="CG327">
        <v>0</v>
      </c>
      <c r="CH327">
        <v>0</v>
      </c>
      <c r="CI327" t="s">
        <v>983</v>
      </c>
      <c r="CJ327" t="s">
        <v>972</v>
      </c>
      <c r="CK327" t="s">
        <v>986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 t="s">
        <v>987</v>
      </c>
      <c r="CV327">
        <v>400008330</v>
      </c>
      <c r="CW327" t="s">
        <v>987</v>
      </c>
      <c r="CX327" t="s">
        <v>3229</v>
      </c>
      <c r="CY327" t="s">
        <v>989</v>
      </c>
    </row>
    <row r="328" spans="1:103" hidden="1" x14ac:dyDescent="0.25">
      <c r="A328">
        <v>410000331</v>
      </c>
      <c r="B328" t="s">
        <v>3230</v>
      </c>
      <c r="C328" t="s">
        <v>3231</v>
      </c>
      <c r="D328">
        <v>401100000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1</v>
      </c>
      <c r="Y328" t="s">
        <v>972</v>
      </c>
      <c r="Z328" t="s">
        <v>987</v>
      </c>
      <c r="AA328" t="s">
        <v>3232</v>
      </c>
      <c r="AB328" t="s">
        <v>975</v>
      </c>
      <c r="AC328">
        <v>4141</v>
      </c>
      <c r="AD328" t="s">
        <v>3233</v>
      </c>
      <c r="AE328" t="s">
        <v>3234</v>
      </c>
      <c r="AF328" t="s">
        <v>3235</v>
      </c>
      <c r="AG328" t="s">
        <v>977</v>
      </c>
      <c r="AH328" t="s">
        <v>977</v>
      </c>
      <c r="AI328" t="s">
        <v>977</v>
      </c>
      <c r="AJ328" t="s">
        <v>978</v>
      </c>
      <c r="AK328" t="s">
        <v>978</v>
      </c>
      <c r="AL328" t="s">
        <v>978</v>
      </c>
      <c r="AM328" t="s">
        <v>979</v>
      </c>
      <c r="AN328">
        <v>0</v>
      </c>
      <c r="AO328" t="s">
        <v>257</v>
      </c>
      <c r="AP328">
        <v>0</v>
      </c>
      <c r="AQ328">
        <v>1</v>
      </c>
      <c r="AR328">
        <v>43</v>
      </c>
      <c r="AS328">
        <v>1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1</v>
      </c>
      <c r="AZ328" t="s">
        <v>257</v>
      </c>
      <c r="BA328" t="s">
        <v>980</v>
      </c>
      <c r="BB328" t="s">
        <v>981</v>
      </c>
      <c r="BC328" t="s">
        <v>257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 t="s">
        <v>998</v>
      </c>
      <c r="BK328" t="s">
        <v>981</v>
      </c>
      <c r="BL328" t="s">
        <v>3230</v>
      </c>
      <c r="BM328">
        <v>20160223</v>
      </c>
      <c r="BN328">
        <v>20181119</v>
      </c>
      <c r="BO328">
        <v>0</v>
      </c>
      <c r="BP328" t="s">
        <v>257</v>
      </c>
      <c r="BQ328" t="s">
        <v>983</v>
      </c>
      <c r="BR328" t="s">
        <v>978</v>
      </c>
      <c r="BS328" t="s">
        <v>979</v>
      </c>
      <c r="BT328">
        <v>0</v>
      </c>
      <c r="BU328">
        <v>0</v>
      </c>
      <c r="BV328" t="s">
        <v>1013</v>
      </c>
      <c r="BW328" t="s">
        <v>257</v>
      </c>
      <c r="BX328">
        <v>0</v>
      </c>
      <c r="BY328" t="s">
        <v>980</v>
      </c>
      <c r="BZ328" t="s">
        <v>257</v>
      </c>
      <c r="CA328">
        <v>0</v>
      </c>
      <c r="CB328">
        <v>0</v>
      </c>
      <c r="CC328" t="s">
        <v>2113</v>
      </c>
      <c r="CD328">
        <v>0</v>
      </c>
      <c r="CE328">
        <v>0</v>
      </c>
      <c r="CF328">
        <v>0</v>
      </c>
      <c r="CG328">
        <v>0</v>
      </c>
      <c r="CH328">
        <v>0</v>
      </c>
      <c r="CI328" t="s">
        <v>983</v>
      </c>
      <c r="CJ328" t="s">
        <v>972</v>
      </c>
      <c r="CK328" t="s">
        <v>986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 t="s">
        <v>987</v>
      </c>
      <c r="CV328">
        <v>400008331</v>
      </c>
      <c r="CW328" t="s">
        <v>987</v>
      </c>
      <c r="CX328" t="s">
        <v>3236</v>
      </c>
      <c r="CY328" t="s">
        <v>989</v>
      </c>
    </row>
    <row r="329" spans="1:103" hidden="1" x14ac:dyDescent="0.25">
      <c r="A329">
        <v>410000332</v>
      </c>
      <c r="B329" t="s">
        <v>3237</v>
      </c>
      <c r="C329" t="s">
        <v>3238</v>
      </c>
      <c r="D329">
        <v>401100000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</v>
      </c>
      <c r="Y329" t="s">
        <v>972</v>
      </c>
      <c r="Z329" t="s">
        <v>987</v>
      </c>
      <c r="AA329" t="s">
        <v>3239</v>
      </c>
      <c r="AB329" t="s">
        <v>975</v>
      </c>
      <c r="AC329">
        <v>4432</v>
      </c>
      <c r="AD329" t="s">
        <v>1313</v>
      </c>
      <c r="AE329" t="s">
        <v>3240</v>
      </c>
      <c r="AF329" t="s">
        <v>3240</v>
      </c>
      <c r="AG329" t="s">
        <v>977</v>
      </c>
      <c r="AH329" t="s">
        <v>977</v>
      </c>
      <c r="AI329" t="s">
        <v>977</v>
      </c>
      <c r="AJ329" t="s">
        <v>978</v>
      </c>
      <c r="AK329" t="s">
        <v>978</v>
      </c>
      <c r="AL329" t="s">
        <v>978</v>
      </c>
      <c r="AM329" t="s">
        <v>979</v>
      </c>
      <c r="AN329">
        <v>0</v>
      </c>
      <c r="AO329" t="s">
        <v>257</v>
      </c>
      <c r="AP329">
        <v>0</v>
      </c>
      <c r="AQ329">
        <v>1</v>
      </c>
      <c r="AR329">
        <v>43</v>
      </c>
      <c r="AS329">
        <v>1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1</v>
      </c>
      <c r="AZ329" t="s">
        <v>257</v>
      </c>
      <c r="BA329" t="s">
        <v>980</v>
      </c>
      <c r="BB329" t="s">
        <v>981</v>
      </c>
      <c r="BC329" t="s">
        <v>257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 t="s">
        <v>998</v>
      </c>
      <c r="BK329" t="s">
        <v>981</v>
      </c>
      <c r="BL329" t="s">
        <v>3237</v>
      </c>
      <c r="BM329">
        <v>20160223</v>
      </c>
      <c r="BN329">
        <v>20181119</v>
      </c>
      <c r="BO329">
        <v>0</v>
      </c>
      <c r="BP329" t="s">
        <v>257</v>
      </c>
      <c r="BQ329" t="s">
        <v>983</v>
      </c>
      <c r="BR329" t="s">
        <v>978</v>
      </c>
      <c r="BS329" t="s">
        <v>979</v>
      </c>
      <c r="BT329">
        <v>0</v>
      </c>
      <c r="BU329">
        <v>0</v>
      </c>
      <c r="BV329" t="s">
        <v>1013</v>
      </c>
      <c r="BW329" t="s">
        <v>257</v>
      </c>
      <c r="BX329">
        <v>0</v>
      </c>
      <c r="BY329" t="s">
        <v>980</v>
      </c>
      <c r="BZ329" t="s">
        <v>257</v>
      </c>
      <c r="CA329">
        <v>0</v>
      </c>
      <c r="CB329">
        <v>0</v>
      </c>
      <c r="CC329" t="s">
        <v>1317</v>
      </c>
      <c r="CD329">
        <v>0</v>
      </c>
      <c r="CE329">
        <v>0</v>
      </c>
      <c r="CF329">
        <v>0</v>
      </c>
      <c r="CG329">
        <v>0</v>
      </c>
      <c r="CH329">
        <v>0</v>
      </c>
      <c r="CI329" t="s">
        <v>983</v>
      </c>
      <c r="CJ329" t="s">
        <v>972</v>
      </c>
      <c r="CK329" t="s">
        <v>986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 t="s">
        <v>987</v>
      </c>
      <c r="CV329">
        <v>400008332</v>
      </c>
      <c r="CW329" t="s">
        <v>987</v>
      </c>
      <c r="CX329" t="s">
        <v>3241</v>
      </c>
      <c r="CY329" t="s">
        <v>989</v>
      </c>
    </row>
    <row r="330" spans="1:103" hidden="1" x14ac:dyDescent="0.25">
      <c r="A330">
        <v>410000333</v>
      </c>
      <c r="B330" t="s">
        <v>3242</v>
      </c>
      <c r="C330" t="s">
        <v>3243</v>
      </c>
      <c r="D330">
        <v>401100000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1</v>
      </c>
      <c r="Y330" t="s">
        <v>972</v>
      </c>
      <c r="Z330" t="s">
        <v>3244</v>
      </c>
      <c r="AA330" t="s">
        <v>3245</v>
      </c>
      <c r="AB330" t="s">
        <v>975</v>
      </c>
      <c r="AC330">
        <v>4140</v>
      </c>
      <c r="AD330" t="s">
        <v>2353</v>
      </c>
      <c r="AE330" t="s">
        <v>3246</v>
      </c>
      <c r="AF330" t="s">
        <v>3247</v>
      </c>
      <c r="AG330" t="s">
        <v>977</v>
      </c>
      <c r="AH330" t="s">
        <v>977</v>
      </c>
      <c r="AI330" t="s">
        <v>977</v>
      </c>
      <c r="AJ330" t="s">
        <v>978</v>
      </c>
      <c r="AK330" t="s">
        <v>978</v>
      </c>
      <c r="AL330" t="s">
        <v>978</v>
      </c>
      <c r="AM330" t="s">
        <v>979</v>
      </c>
      <c r="AN330">
        <v>0</v>
      </c>
      <c r="AO330" t="s">
        <v>257</v>
      </c>
      <c r="AP330">
        <v>0</v>
      </c>
      <c r="AQ330">
        <v>1</v>
      </c>
      <c r="AR330">
        <v>43</v>
      </c>
      <c r="AS330">
        <v>1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1</v>
      </c>
      <c r="AZ330" t="s">
        <v>257</v>
      </c>
      <c r="BA330" t="s">
        <v>980</v>
      </c>
      <c r="BB330" t="s">
        <v>981</v>
      </c>
      <c r="BC330" t="s">
        <v>257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 t="s">
        <v>998</v>
      </c>
      <c r="BK330" t="s">
        <v>981</v>
      </c>
      <c r="BL330" t="s">
        <v>3242</v>
      </c>
      <c r="BM330">
        <v>20160229</v>
      </c>
      <c r="BN330">
        <v>20181119</v>
      </c>
      <c r="BO330">
        <v>0</v>
      </c>
      <c r="BP330" t="s">
        <v>257</v>
      </c>
      <c r="BQ330" t="s">
        <v>983</v>
      </c>
      <c r="BR330" t="s">
        <v>978</v>
      </c>
      <c r="BS330" t="s">
        <v>979</v>
      </c>
      <c r="BT330">
        <v>0</v>
      </c>
      <c r="BU330">
        <v>0</v>
      </c>
      <c r="BV330" t="s">
        <v>1013</v>
      </c>
      <c r="BW330" t="s">
        <v>257</v>
      </c>
      <c r="BX330">
        <v>0</v>
      </c>
      <c r="BY330" t="s">
        <v>980</v>
      </c>
      <c r="BZ330" t="s">
        <v>257</v>
      </c>
      <c r="CA330">
        <v>0</v>
      </c>
      <c r="CB330">
        <v>0</v>
      </c>
      <c r="CC330" t="s">
        <v>1304</v>
      </c>
      <c r="CD330">
        <v>0</v>
      </c>
      <c r="CE330">
        <v>0</v>
      </c>
      <c r="CF330">
        <v>0</v>
      </c>
      <c r="CG330">
        <v>0</v>
      </c>
      <c r="CH330">
        <v>0</v>
      </c>
      <c r="CI330" t="s">
        <v>983</v>
      </c>
      <c r="CJ330" t="s">
        <v>972</v>
      </c>
      <c r="CK330" t="s">
        <v>986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 t="s">
        <v>987</v>
      </c>
      <c r="CV330">
        <v>400008333</v>
      </c>
      <c r="CW330" t="s">
        <v>987</v>
      </c>
      <c r="CX330" t="s">
        <v>1081</v>
      </c>
      <c r="CY330" t="s">
        <v>989</v>
      </c>
    </row>
    <row r="331" spans="1:103" hidden="1" x14ac:dyDescent="0.25">
      <c r="A331">
        <v>410000334</v>
      </c>
      <c r="B331" t="s">
        <v>3248</v>
      </c>
      <c r="C331" t="s">
        <v>3249</v>
      </c>
      <c r="D331">
        <v>401100000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1</v>
      </c>
      <c r="Y331" t="s">
        <v>972</v>
      </c>
      <c r="Z331" t="s">
        <v>3244</v>
      </c>
      <c r="AA331" t="s">
        <v>987</v>
      </c>
      <c r="AB331" t="s">
        <v>975</v>
      </c>
      <c r="AC331">
        <v>4141</v>
      </c>
      <c r="AD331" t="s">
        <v>2353</v>
      </c>
      <c r="AE331" t="s">
        <v>979</v>
      </c>
      <c r="AF331" t="s">
        <v>979</v>
      </c>
      <c r="AG331" t="s">
        <v>977</v>
      </c>
      <c r="AH331" t="s">
        <v>977</v>
      </c>
      <c r="AI331" t="s">
        <v>977</v>
      </c>
      <c r="AJ331" t="s">
        <v>978</v>
      </c>
      <c r="AK331" t="s">
        <v>978</v>
      </c>
      <c r="AL331" t="s">
        <v>978</v>
      </c>
      <c r="AM331" t="s">
        <v>979</v>
      </c>
      <c r="AN331">
        <v>0</v>
      </c>
      <c r="AO331" t="s">
        <v>257</v>
      </c>
      <c r="AP331">
        <v>0</v>
      </c>
      <c r="AQ331">
        <v>1</v>
      </c>
      <c r="AR331">
        <v>43</v>
      </c>
      <c r="AS331">
        <v>1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1</v>
      </c>
      <c r="AZ331" t="s">
        <v>257</v>
      </c>
      <c r="BA331" t="s">
        <v>980</v>
      </c>
      <c r="BB331" t="s">
        <v>981</v>
      </c>
      <c r="BC331" t="s">
        <v>257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 t="s">
        <v>998</v>
      </c>
      <c r="BK331" t="s">
        <v>981</v>
      </c>
      <c r="BL331" t="s">
        <v>3248</v>
      </c>
      <c r="BM331">
        <v>20160229</v>
      </c>
      <c r="BN331">
        <v>20181119</v>
      </c>
      <c r="BO331">
        <v>0</v>
      </c>
      <c r="BP331" t="s">
        <v>257</v>
      </c>
      <c r="BQ331" t="s">
        <v>983</v>
      </c>
      <c r="BR331" t="s">
        <v>978</v>
      </c>
      <c r="BS331" t="s">
        <v>979</v>
      </c>
      <c r="BT331">
        <v>0</v>
      </c>
      <c r="BU331">
        <v>0</v>
      </c>
      <c r="BV331" t="s">
        <v>1013</v>
      </c>
      <c r="BW331" t="s">
        <v>257</v>
      </c>
      <c r="BX331">
        <v>0</v>
      </c>
      <c r="BY331" t="s">
        <v>980</v>
      </c>
      <c r="BZ331" t="s">
        <v>257</v>
      </c>
      <c r="CA331">
        <v>0</v>
      </c>
      <c r="CB331">
        <v>0</v>
      </c>
      <c r="CC331" t="s">
        <v>1304</v>
      </c>
      <c r="CD331">
        <v>0</v>
      </c>
      <c r="CE331">
        <v>0</v>
      </c>
      <c r="CF331">
        <v>0</v>
      </c>
      <c r="CG331">
        <v>0</v>
      </c>
      <c r="CH331">
        <v>0</v>
      </c>
      <c r="CI331" t="s">
        <v>983</v>
      </c>
      <c r="CJ331" t="s">
        <v>972</v>
      </c>
      <c r="CK331" t="s">
        <v>986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 t="s">
        <v>987</v>
      </c>
      <c r="CV331">
        <v>400008334</v>
      </c>
      <c r="CW331" t="s">
        <v>987</v>
      </c>
      <c r="CX331" t="s">
        <v>1081</v>
      </c>
      <c r="CY331" t="s">
        <v>989</v>
      </c>
    </row>
    <row r="332" spans="1:103" hidden="1" x14ac:dyDescent="0.25">
      <c r="A332">
        <v>410000335</v>
      </c>
      <c r="B332" t="s">
        <v>3250</v>
      </c>
      <c r="C332" t="s">
        <v>1528</v>
      </c>
      <c r="D332">
        <v>401100000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1</v>
      </c>
      <c r="Y332" t="s">
        <v>3251</v>
      </c>
      <c r="Z332" t="s">
        <v>1529</v>
      </c>
      <c r="AA332" t="s">
        <v>1530</v>
      </c>
      <c r="AB332" t="s">
        <v>975</v>
      </c>
      <c r="AC332">
        <v>4841</v>
      </c>
      <c r="AD332" t="s">
        <v>1531</v>
      </c>
      <c r="AE332" t="s">
        <v>1532</v>
      </c>
      <c r="AF332" t="s">
        <v>1533</v>
      </c>
      <c r="AG332" t="s">
        <v>977</v>
      </c>
      <c r="AH332" t="s">
        <v>977</v>
      </c>
      <c r="AI332" t="s">
        <v>977</v>
      </c>
      <c r="AJ332" t="s">
        <v>1534</v>
      </c>
      <c r="AK332" t="s">
        <v>978</v>
      </c>
      <c r="AL332" t="s">
        <v>978</v>
      </c>
      <c r="AM332" t="s">
        <v>979</v>
      </c>
      <c r="AN332">
        <v>0</v>
      </c>
      <c r="AO332" t="s">
        <v>257</v>
      </c>
      <c r="AP332">
        <v>0</v>
      </c>
      <c r="AQ332">
        <v>1</v>
      </c>
      <c r="AR332">
        <v>43</v>
      </c>
      <c r="AS332">
        <v>1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1</v>
      </c>
      <c r="AZ332" t="s">
        <v>257</v>
      </c>
      <c r="BA332" t="s">
        <v>257</v>
      </c>
      <c r="BB332" t="s">
        <v>981</v>
      </c>
      <c r="BC332" t="s">
        <v>257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410000070</v>
      </c>
      <c r="BJ332" t="s">
        <v>998</v>
      </c>
      <c r="BK332" t="s">
        <v>981</v>
      </c>
      <c r="BL332" t="s">
        <v>3250</v>
      </c>
      <c r="BM332">
        <v>20160229</v>
      </c>
      <c r="BN332">
        <v>20260107</v>
      </c>
      <c r="BO332">
        <v>0</v>
      </c>
      <c r="BP332" t="s">
        <v>257</v>
      </c>
      <c r="BQ332" t="s">
        <v>983</v>
      </c>
      <c r="BR332" t="s">
        <v>978</v>
      </c>
      <c r="BS332" t="s">
        <v>1535</v>
      </c>
      <c r="BT332">
        <v>0</v>
      </c>
      <c r="BU332">
        <v>0</v>
      </c>
      <c r="BV332" t="s">
        <v>7697</v>
      </c>
      <c r="BW332" t="s">
        <v>257</v>
      </c>
      <c r="BX332">
        <v>0</v>
      </c>
      <c r="BY332" t="s">
        <v>980</v>
      </c>
      <c r="BZ332" t="s">
        <v>257</v>
      </c>
      <c r="CA332">
        <v>0</v>
      </c>
      <c r="CB332">
        <v>0</v>
      </c>
      <c r="CC332" t="s">
        <v>1391</v>
      </c>
      <c r="CD332">
        <v>0</v>
      </c>
      <c r="CE332">
        <v>0</v>
      </c>
      <c r="CF332">
        <v>0</v>
      </c>
      <c r="CG332">
        <v>0</v>
      </c>
      <c r="CH332">
        <v>0</v>
      </c>
      <c r="CI332" t="s">
        <v>983</v>
      </c>
      <c r="CJ332" t="s">
        <v>972</v>
      </c>
      <c r="CK332" t="s">
        <v>986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 t="s">
        <v>987</v>
      </c>
      <c r="CV332">
        <v>400008335</v>
      </c>
      <c r="CW332" t="s">
        <v>987</v>
      </c>
      <c r="CX332" t="s">
        <v>3252</v>
      </c>
      <c r="CY332" t="s">
        <v>989</v>
      </c>
    </row>
    <row r="333" spans="1:103" hidden="1" x14ac:dyDescent="0.25">
      <c r="A333">
        <v>410000336</v>
      </c>
      <c r="B333" t="s">
        <v>3253</v>
      </c>
      <c r="C333" t="s">
        <v>1528</v>
      </c>
      <c r="D333">
        <v>401100000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1</v>
      </c>
      <c r="Y333" t="s">
        <v>3254</v>
      </c>
      <c r="Z333" t="s">
        <v>1529</v>
      </c>
      <c r="AA333" t="s">
        <v>1530</v>
      </c>
      <c r="AB333" t="s">
        <v>975</v>
      </c>
      <c r="AC333">
        <v>4841</v>
      </c>
      <c r="AD333" t="s">
        <v>1531</v>
      </c>
      <c r="AE333" t="s">
        <v>1532</v>
      </c>
      <c r="AF333" t="s">
        <v>1533</v>
      </c>
      <c r="AG333" t="s">
        <v>977</v>
      </c>
      <c r="AH333" t="s">
        <v>977</v>
      </c>
      <c r="AI333" t="s">
        <v>977</v>
      </c>
      <c r="AJ333" t="s">
        <v>1534</v>
      </c>
      <c r="AK333" t="s">
        <v>978</v>
      </c>
      <c r="AL333" t="s">
        <v>978</v>
      </c>
      <c r="AM333" t="s">
        <v>979</v>
      </c>
      <c r="AN333">
        <v>0</v>
      </c>
      <c r="AO333" t="s">
        <v>257</v>
      </c>
      <c r="AP333">
        <v>0</v>
      </c>
      <c r="AQ333">
        <v>1</v>
      </c>
      <c r="AR333">
        <v>43</v>
      </c>
      <c r="AS333">
        <v>1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1</v>
      </c>
      <c r="AZ333" t="s">
        <v>257</v>
      </c>
      <c r="BA333" t="s">
        <v>257</v>
      </c>
      <c r="BB333" t="s">
        <v>981</v>
      </c>
      <c r="BC333" t="s">
        <v>257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410000070</v>
      </c>
      <c r="BJ333" t="s">
        <v>998</v>
      </c>
      <c r="BK333" t="s">
        <v>981</v>
      </c>
      <c r="BL333" t="s">
        <v>3253</v>
      </c>
      <c r="BM333">
        <v>20160229</v>
      </c>
      <c r="BN333">
        <v>20260107</v>
      </c>
      <c r="BO333">
        <v>0</v>
      </c>
      <c r="BP333" t="s">
        <v>257</v>
      </c>
      <c r="BQ333" t="s">
        <v>983</v>
      </c>
      <c r="BR333" t="s">
        <v>978</v>
      </c>
      <c r="BS333" t="s">
        <v>1535</v>
      </c>
      <c r="BT333">
        <v>0</v>
      </c>
      <c r="BU333">
        <v>0</v>
      </c>
      <c r="BV333" t="s">
        <v>7697</v>
      </c>
      <c r="BW333" t="s">
        <v>257</v>
      </c>
      <c r="BX333">
        <v>0</v>
      </c>
      <c r="BY333" t="s">
        <v>980</v>
      </c>
      <c r="BZ333" t="s">
        <v>257</v>
      </c>
      <c r="CA333">
        <v>0</v>
      </c>
      <c r="CB333">
        <v>0</v>
      </c>
      <c r="CC333" t="s">
        <v>1391</v>
      </c>
      <c r="CD333">
        <v>0</v>
      </c>
      <c r="CE333">
        <v>0</v>
      </c>
      <c r="CF333">
        <v>0</v>
      </c>
      <c r="CG333">
        <v>0</v>
      </c>
      <c r="CH333">
        <v>0</v>
      </c>
      <c r="CI333" t="s">
        <v>983</v>
      </c>
      <c r="CJ333" t="s">
        <v>972</v>
      </c>
      <c r="CK333" t="s">
        <v>986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 t="s">
        <v>987</v>
      </c>
      <c r="CV333">
        <v>400008336</v>
      </c>
      <c r="CW333" t="s">
        <v>987</v>
      </c>
      <c r="CX333" t="s">
        <v>3252</v>
      </c>
      <c r="CY333" t="s">
        <v>989</v>
      </c>
    </row>
    <row r="334" spans="1:103" hidden="1" x14ac:dyDescent="0.25">
      <c r="A334">
        <v>410000337</v>
      </c>
      <c r="B334" t="s">
        <v>3255</v>
      </c>
      <c r="C334" t="s">
        <v>1528</v>
      </c>
      <c r="D334">
        <v>401100000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1</v>
      </c>
      <c r="Y334" t="s">
        <v>972</v>
      </c>
      <c r="Z334" t="s">
        <v>1529</v>
      </c>
      <c r="AA334" t="s">
        <v>1530</v>
      </c>
      <c r="AB334" t="s">
        <v>975</v>
      </c>
      <c r="AC334">
        <v>4841</v>
      </c>
      <c r="AD334" t="s">
        <v>1531</v>
      </c>
      <c r="AE334" t="s">
        <v>1532</v>
      </c>
      <c r="AF334" t="s">
        <v>1533</v>
      </c>
      <c r="AG334" t="s">
        <v>977</v>
      </c>
      <c r="AH334" t="s">
        <v>977</v>
      </c>
      <c r="AI334" t="s">
        <v>977</v>
      </c>
      <c r="AJ334" t="s">
        <v>1534</v>
      </c>
      <c r="AK334" t="s">
        <v>978</v>
      </c>
      <c r="AL334" t="s">
        <v>978</v>
      </c>
      <c r="AM334" t="s">
        <v>979</v>
      </c>
      <c r="AN334">
        <v>0</v>
      </c>
      <c r="AO334" t="s">
        <v>257</v>
      </c>
      <c r="AP334">
        <v>0</v>
      </c>
      <c r="AQ334">
        <v>1</v>
      </c>
      <c r="AR334">
        <v>43</v>
      </c>
      <c r="AS334">
        <v>1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1</v>
      </c>
      <c r="AZ334" t="s">
        <v>257</v>
      </c>
      <c r="BA334" t="s">
        <v>257</v>
      </c>
      <c r="BB334" t="s">
        <v>981</v>
      </c>
      <c r="BC334" t="s">
        <v>257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410000070</v>
      </c>
      <c r="BJ334" t="s">
        <v>998</v>
      </c>
      <c r="BK334" t="s">
        <v>981</v>
      </c>
      <c r="BL334" t="s">
        <v>3255</v>
      </c>
      <c r="BM334">
        <v>20160229</v>
      </c>
      <c r="BN334">
        <v>20260107</v>
      </c>
      <c r="BO334">
        <v>0</v>
      </c>
      <c r="BP334" t="s">
        <v>257</v>
      </c>
      <c r="BQ334" t="s">
        <v>983</v>
      </c>
      <c r="BR334" t="s">
        <v>978</v>
      </c>
      <c r="BS334" t="s">
        <v>1535</v>
      </c>
      <c r="BT334">
        <v>0</v>
      </c>
      <c r="BU334">
        <v>0</v>
      </c>
      <c r="BV334" t="s">
        <v>7697</v>
      </c>
      <c r="BW334" t="s">
        <v>257</v>
      </c>
      <c r="BX334">
        <v>0</v>
      </c>
      <c r="BY334" t="s">
        <v>980</v>
      </c>
      <c r="BZ334" t="s">
        <v>257</v>
      </c>
      <c r="CA334">
        <v>0</v>
      </c>
      <c r="CB334">
        <v>0</v>
      </c>
      <c r="CC334" t="s">
        <v>1391</v>
      </c>
      <c r="CD334">
        <v>0</v>
      </c>
      <c r="CE334">
        <v>0</v>
      </c>
      <c r="CF334">
        <v>0</v>
      </c>
      <c r="CG334">
        <v>0</v>
      </c>
      <c r="CH334">
        <v>0</v>
      </c>
      <c r="CI334" t="s">
        <v>983</v>
      </c>
      <c r="CJ334" t="s">
        <v>972</v>
      </c>
      <c r="CK334" t="s">
        <v>986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 t="s">
        <v>987</v>
      </c>
      <c r="CV334">
        <v>400008337</v>
      </c>
      <c r="CW334" t="s">
        <v>987</v>
      </c>
      <c r="CX334" t="s">
        <v>3252</v>
      </c>
      <c r="CY334" t="s">
        <v>989</v>
      </c>
    </row>
    <row r="335" spans="1:103" hidden="1" x14ac:dyDescent="0.25">
      <c r="A335">
        <v>410000338</v>
      </c>
      <c r="B335" t="s">
        <v>3256</v>
      </c>
      <c r="C335" t="s">
        <v>1528</v>
      </c>
      <c r="D335">
        <v>401100000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1</v>
      </c>
      <c r="Y335" t="s">
        <v>972</v>
      </c>
      <c r="Z335" t="s">
        <v>1529</v>
      </c>
      <c r="AA335" t="s">
        <v>1530</v>
      </c>
      <c r="AB335" t="s">
        <v>975</v>
      </c>
      <c r="AC335">
        <v>4841</v>
      </c>
      <c r="AD335" t="s">
        <v>1531</v>
      </c>
      <c r="AE335" t="s">
        <v>1532</v>
      </c>
      <c r="AF335" t="s">
        <v>1533</v>
      </c>
      <c r="AG335" t="s">
        <v>977</v>
      </c>
      <c r="AH335" t="s">
        <v>977</v>
      </c>
      <c r="AI335" t="s">
        <v>977</v>
      </c>
      <c r="AJ335" t="s">
        <v>1534</v>
      </c>
      <c r="AK335" t="s">
        <v>978</v>
      </c>
      <c r="AL335" t="s">
        <v>978</v>
      </c>
      <c r="AM335" t="s">
        <v>979</v>
      </c>
      <c r="AN335">
        <v>0</v>
      </c>
      <c r="AO335" t="s">
        <v>257</v>
      </c>
      <c r="AP335">
        <v>0</v>
      </c>
      <c r="AQ335">
        <v>1</v>
      </c>
      <c r="AR335">
        <v>43</v>
      </c>
      <c r="AS335">
        <v>1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1</v>
      </c>
      <c r="AZ335" t="s">
        <v>257</v>
      </c>
      <c r="BA335" t="s">
        <v>257</v>
      </c>
      <c r="BB335" t="s">
        <v>981</v>
      </c>
      <c r="BC335" t="s">
        <v>257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410000070</v>
      </c>
      <c r="BJ335" t="s">
        <v>998</v>
      </c>
      <c r="BK335" t="s">
        <v>981</v>
      </c>
      <c r="BL335" t="s">
        <v>3256</v>
      </c>
      <c r="BM335">
        <v>20160229</v>
      </c>
      <c r="BN335">
        <v>20260107</v>
      </c>
      <c r="BO335">
        <v>0</v>
      </c>
      <c r="BP335" t="s">
        <v>257</v>
      </c>
      <c r="BQ335" t="s">
        <v>983</v>
      </c>
      <c r="BR335" t="s">
        <v>978</v>
      </c>
      <c r="BS335" t="s">
        <v>1535</v>
      </c>
      <c r="BT335">
        <v>0</v>
      </c>
      <c r="BU335">
        <v>0</v>
      </c>
      <c r="BV335" t="s">
        <v>7697</v>
      </c>
      <c r="BW335" t="s">
        <v>257</v>
      </c>
      <c r="BX335">
        <v>0</v>
      </c>
      <c r="BY335" t="s">
        <v>980</v>
      </c>
      <c r="BZ335" t="s">
        <v>257</v>
      </c>
      <c r="CA335">
        <v>0</v>
      </c>
      <c r="CB335">
        <v>0</v>
      </c>
      <c r="CC335" t="s">
        <v>1391</v>
      </c>
      <c r="CD335">
        <v>0</v>
      </c>
      <c r="CE335">
        <v>0</v>
      </c>
      <c r="CF335">
        <v>0</v>
      </c>
      <c r="CG335">
        <v>0</v>
      </c>
      <c r="CH335">
        <v>0</v>
      </c>
      <c r="CI335" t="s">
        <v>983</v>
      </c>
      <c r="CJ335" t="s">
        <v>972</v>
      </c>
      <c r="CK335" t="s">
        <v>986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 t="s">
        <v>987</v>
      </c>
      <c r="CV335">
        <v>400008338</v>
      </c>
      <c r="CW335" t="s">
        <v>987</v>
      </c>
      <c r="CX335" t="s">
        <v>3252</v>
      </c>
      <c r="CY335" t="s">
        <v>989</v>
      </c>
    </row>
    <row r="336" spans="1:103" hidden="1" x14ac:dyDescent="0.25">
      <c r="A336">
        <v>410000339</v>
      </c>
      <c r="B336" t="s">
        <v>3257</v>
      </c>
      <c r="C336" t="s">
        <v>3258</v>
      </c>
      <c r="D336">
        <v>401100000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1</v>
      </c>
      <c r="Y336" t="s">
        <v>972</v>
      </c>
      <c r="Z336" t="s">
        <v>3259</v>
      </c>
      <c r="AA336" t="s">
        <v>3260</v>
      </c>
      <c r="AB336" t="s">
        <v>975</v>
      </c>
      <c r="AC336">
        <v>4900</v>
      </c>
      <c r="AD336" t="s">
        <v>1386</v>
      </c>
      <c r="AE336" t="s">
        <v>979</v>
      </c>
      <c r="AF336" t="s">
        <v>979</v>
      </c>
      <c r="AG336" t="s">
        <v>977</v>
      </c>
      <c r="AH336" t="s">
        <v>977</v>
      </c>
      <c r="AI336" t="s">
        <v>977</v>
      </c>
      <c r="AJ336" t="s">
        <v>978</v>
      </c>
      <c r="AK336" t="s">
        <v>978</v>
      </c>
      <c r="AL336" t="s">
        <v>978</v>
      </c>
      <c r="AM336" t="s">
        <v>979</v>
      </c>
      <c r="AN336">
        <v>0</v>
      </c>
      <c r="AO336" t="s">
        <v>257</v>
      </c>
      <c r="AP336">
        <v>0</v>
      </c>
      <c r="AQ336">
        <v>1</v>
      </c>
      <c r="AR336">
        <v>43</v>
      </c>
      <c r="AS336">
        <v>1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1</v>
      </c>
      <c r="AZ336" t="s">
        <v>257</v>
      </c>
      <c r="BA336" t="s">
        <v>980</v>
      </c>
      <c r="BB336" t="s">
        <v>981</v>
      </c>
      <c r="BC336" t="s">
        <v>257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 t="s">
        <v>998</v>
      </c>
      <c r="BK336" t="s">
        <v>981</v>
      </c>
      <c r="BL336" t="s">
        <v>3257</v>
      </c>
      <c r="BM336">
        <v>20160229</v>
      </c>
      <c r="BN336">
        <v>20181119</v>
      </c>
      <c r="BO336">
        <v>0</v>
      </c>
      <c r="BP336" t="s">
        <v>257</v>
      </c>
      <c r="BQ336" t="s">
        <v>983</v>
      </c>
      <c r="BR336" t="s">
        <v>978</v>
      </c>
      <c r="BS336" t="s">
        <v>3261</v>
      </c>
      <c r="BT336">
        <v>0</v>
      </c>
      <c r="BU336">
        <v>0</v>
      </c>
      <c r="BV336" t="s">
        <v>1013</v>
      </c>
      <c r="BW336" t="s">
        <v>257</v>
      </c>
      <c r="BX336">
        <v>0</v>
      </c>
      <c r="BY336" t="s">
        <v>980</v>
      </c>
      <c r="BZ336" t="s">
        <v>257</v>
      </c>
      <c r="CA336">
        <v>0</v>
      </c>
      <c r="CB336">
        <v>0</v>
      </c>
      <c r="CC336" t="s">
        <v>1430</v>
      </c>
      <c r="CD336">
        <v>0</v>
      </c>
      <c r="CE336">
        <v>0</v>
      </c>
      <c r="CF336">
        <v>0</v>
      </c>
      <c r="CG336">
        <v>0</v>
      </c>
      <c r="CH336">
        <v>0</v>
      </c>
      <c r="CI336" t="s">
        <v>983</v>
      </c>
      <c r="CJ336" t="s">
        <v>972</v>
      </c>
      <c r="CK336" t="s">
        <v>986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 t="s">
        <v>987</v>
      </c>
      <c r="CV336">
        <v>400008339</v>
      </c>
      <c r="CW336" t="s">
        <v>987</v>
      </c>
      <c r="CX336" t="s">
        <v>1081</v>
      </c>
      <c r="CY336" t="s">
        <v>989</v>
      </c>
    </row>
    <row r="337" spans="1:103" hidden="1" x14ac:dyDescent="0.25">
      <c r="A337">
        <v>410000340</v>
      </c>
      <c r="B337" t="s">
        <v>3262</v>
      </c>
      <c r="C337" t="s">
        <v>3263</v>
      </c>
      <c r="D337">
        <v>401100000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 t="s">
        <v>972</v>
      </c>
      <c r="Z337" t="s">
        <v>987</v>
      </c>
      <c r="AA337" t="s">
        <v>3264</v>
      </c>
      <c r="AB337" t="s">
        <v>975</v>
      </c>
      <c r="AC337">
        <v>4140</v>
      </c>
      <c r="AD337" t="s">
        <v>3265</v>
      </c>
      <c r="AE337" t="s">
        <v>3266</v>
      </c>
      <c r="AF337" t="s">
        <v>3267</v>
      </c>
      <c r="AG337" t="s">
        <v>977</v>
      </c>
      <c r="AH337" t="s">
        <v>977</v>
      </c>
      <c r="AI337" t="s">
        <v>977</v>
      </c>
      <c r="AJ337" t="s">
        <v>978</v>
      </c>
      <c r="AK337" t="s">
        <v>978</v>
      </c>
      <c r="AL337" t="s">
        <v>978</v>
      </c>
      <c r="AM337" t="s">
        <v>979</v>
      </c>
      <c r="AN337">
        <v>0</v>
      </c>
      <c r="AO337" t="s">
        <v>257</v>
      </c>
      <c r="AP337">
        <v>0</v>
      </c>
      <c r="AQ337">
        <v>1</v>
      </c>
      <c r="AR337">
        <v>43</v>
      </c>
      <c r="AS337">
        <v>1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1</v>
      </c>
      <c r="AZ337" t="s">
        <v>257</v>
      </c>
      <c r="BA337" t="s">
        <v>980</v>
      </c>
      <c r="BB337" t="s">
        <v>981</v>
      </c>
      <c r="BC337" t="s">
        <v>257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 t="s">
        <v>998</v>
      </c>
      <c r="BK337" t="s">
        <v>981</v>
      </c>
      <c r="BL337" t="s">
        <v>3262</v>
      </c>
      <c r="BM337">
        <v>20160301</v>
      </c>
      <c r="BN337">
        <v>20190521</v>
      </c>
      <c r="BO337">
        <v>0</v>
      </c>
      <c r="BP337" t="s">
        <v>257</v>
      </c>
      <c r="BQ337" t="s">
        <v>983</v>
      </c>
      <c r="BR337" t="s">
        <v>978</v>
      </c>
      <c r="BS337" t="s">
        <v>979</v>
      </c>
      <c r="BT337">
        <v>0</v>
      </c>
      <c r="BU337">
        <v>0</v>
      </c>
      <c r="BV337" t="s">
        <v>984</v>
      </c>
      <c r="BW337" t="s">
        <v>257</v>
      </c>
      <c r="BX337">
        <v>0</v>
      </c>
      <c r="BY337" t="s">
        <v>980</v>
      </c>
      <c r="BZ337" t="s">
        <v>257</v>
      </c>
      <c r="CA337">
        <v>0</v>
      </c>
      <c r="CB337">
        <v>0</v>
      </c>
      <c r="CC337" t="s">
        <v>3268</v>
      </c>
      <c r="CD337">
        <v>0</v>
      </c>
      <c r="CE337">
        <v>0</v>
      </c>
      <c r="CF337">
        <v>0</v>
      </c>
      <c r="CG337">
        <v>0</v>
      </c>
      <c r="CH337">
        <v>0</v>
      </c>
      <c r="CI337" t="s">
        <v>983</v>
      </c>
      <c r="CJ337" t="s">
        <v>972</v>
      </c>
      <c r="CK337" t="s">
        <v>986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 t="s">
        <v>987</v>
      </c>
      <c r="CV337">
        <v>400008340</v>
      </c>
      <c r="CW337" t="s">
        <v>987</v>
      </c>
      <c r="CX337" t="s">
        <v>3269</v>
      </c>
      <c r="CY337" t="s">
        <v>989</v>
      </c>
    </row>
    <row r="338" spans="1:103" hidden="1" x14ac:dyDescent="0.25">
      <c r="A338">
        <v>410000341</v>
      </c>
      <c r="B338" t="s">
        <v>3270</v>
      </c>
      <c r="C338" t="s">
        <v>3271</v>
      </c>
      <c r="D338">
        <v>401100000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1</v>
      </c>
      <c r="Y338" t="s">
        <v>3272</v>
      </c>
      <c r="Z338" t="s">
        <v>2947</v>
      </c>
      <c r="AA338" t="s">
        <v>3273</v>
      </c>
      <c r="AB338" t="s">
        <v>975</v>
      </c>
      <c r="AC338">
        <v>4040</v>
      </c>
      <c r="AD338" t="s">
        <v>976</v>
      </c>
      <c r="AE338" t="s">
        <v>3274</v>
      </c>
      <c r="AF338" t="s">
        <v>979</v>
      </c>
      <c r="AG338" t="s">
        <v>3275</v>
      </c>
      <c r="AH338" t="s">
        <v>977</v>
      </c>
      <c r="AI338" t="s">
        <v>977</v>
      </c>
      <c r="AJ338" t="s">
        <v>978</v>
      </c>
      <c r="AK338" t="s">
        <v>3276</v>
      </c>
      <c r="AL338" t="s">
        <v>978</v>
      </c>
      <c r="AM338" t="s">
        <v>979</v>
      </c>
      <c r="AN338">
        <v>0</v>
      </c>
      <c r="AO338" t="s">
        <v>257</v>
      </c>
      <c r="AP338">
        <v>0</v>
      </c>
      <c r="AQ338">
        <v>1</v>
      </c>
      <c r="AR338">
        <v>43</v>
      </c>
      <c r="AS338">
        <v>1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1</v>
      </c>
      <c r="AZ338" t="s">
        <v>257</v>
      </c>
      <c r="BA338" t="s">
        <v>980</v>
      </c>
      <c r="BB338" t="s">
        <v>981</v>
      </c>
      <c r="BC338" t="s">
        <v>257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 t="s">
        <v>998</v>
      </c>
      <c r="BK338" t="s">
        <v>981</v>
      </c>
      <c r="BL338" t="s">
        <v>3270</v>
      </c>
      <c r="BM338">
        <v>20160307</v>
      </c>
      <c r="BN338">
        <v>20181119</v>
      </c>
      <c r="BO338">
        <v>0</v>
      </c>
      <c r="BP338" t="s">
        <v>257</v>
      </c>
      <c r="BQ338" t="s">
        <v>983</v>
      </c>
      <c r="BR338" t="s">
        <v>978</v>
      </c>
      <c r="BS338" t="s">
        <v>979</v>
      </c>
      <c r="BT338">
        <v>0</v>
      </c>
      <c r="BU338">
        <v>0</v>
      </c>
      <c r="BV338" t="s">
        <v>1013</v>
      </c>
      <c r="BW338" t="s">
        <v>257</v>
      </c>
      <c r="BX338">
        <v>0</v>
      </c>
      <c r="BY338" t="s">
        <v>980</v>
      </c>
      <c r="BZ338" t="s">
        <v>257</v>
      </c>
      <c r="CA338">
        <v>0</v>
      </c>
      <c r="CB338">
        <v>0</v>
      </c>
      <c r="CC338" t="s">
        <v>985</v>
      </c>
      <c r="CD338">
        <v>0</v>
      </c>
      <c r="CE338">
        <v>0</v>
      </c>
      <c r="CF338">
        <v>0</v>
      </c>
      <c r="CG338">
        <v>0</v>
      </c>
      <c r="CH338">
        <v>0</v>
      </c>
      <c r="CI338" t="s">
        <v>983</v>
      </c>
      <c r="CJ338" t="s">
        <v>972</v>
      </c>
      <c r="CK338" t="s">
        <v>986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 t="s">
        <v>987</v>
      </c>
      <c r="CV338">
        <v>400008341</v>
      </c>
      <c r="CW338" t="s">
        <v>987</v>
      </c>
      <c r="CX338" t="s">
        <v>3277</v>
      </c>
      <c r="CY338" t="s">
        <v>989</v>
      </c>
    </row>
    <row r="339" spans="1:103" hidden="1" x14ac:dyDescent="0.25">
      <c r="A339">
        <v>410000342</v>
      </c>
      <c r="B339" t="s">
        <v>3278</v>
      </c>
      <c r="C339" t="s">
        <v>3279</v>
      </c>
      <c r="D339">
        <v>401100000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1</v>
      </c>
      <c r="Y339" t="s">
        <v>972</v>
      </c>
      <c r="Z339" t="s">
        <v>3280</v>
      </c>
      <c r="AA339" t="s">
        <v>3281</v>
      </c>
      <c r="AB339" t="s">
        <v>975</v>
      </c>
      <c r="AC339">
        <v>4041</v>
      </c>
      <c r="AD339" t="s">
        <v>1730</v>
      </c>
      <c r="AE339">
        <v>3242779358</v>
      </c>
      <c r="AF339">
        <v>3242759177</v>
      </c>
      <c r="AG339" t="s">
        <v>977</v>
      </c>
      <c r="AH339" t="s">
        <v>977</v>
      </c>
      <c r="AI339" t="s">
        <v>977</v>
      </c>
      <c r="AJ339" t="s">
        <v>978</v>
      </c>
      <c r="AK339" t="s">
        <v>978</v>
      </c>
      <c r="AL339" t="s">
        <v>978</v>
      </c>
      <c r="AM339" t="s">
        <v>979</v>
      </c>
      <c r="AN339">
        <v>0</v>
      </c>
      <c r="AO339" t="s">
        <v>257</v>
      </c>
      <c r="AP339">
        <v>0</v>
      </c>
      <c r="AQ339">
        <v>1</v>
      </c>
      <c r="AR339">
        <v>43</v>
      </c>
      <c r="AS339">
        <v>1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1</v>
      </c>
      <c r="AZ339" t="s">
        <v>257</v>
      </c>
      <c r="BA339" t="s">
        <v>980</v>
      </c>
      <c r="BB339" t="s">
        <v>981</v>
      </c>
      <c r="BC339" t="s">
        <v>257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 t="s">
        <v>998</v>
      </c>
      <c r="BK339" t="s">
        <v>981</v>
      </c>
      <c r="BL339" t="s">
        <v>3278</v>
      </c>
      <c r="BM339">
        <v>20160309</v>
      </c>
      <c r="BN339">
        <v>20230417</v>
      </c>
      <c r="BO339">
        <v>0</v>
      </c>
      <c r="BP339" t="s">
        <v>257</v>
      </c>
      <c r="BQ339" t="s">
        <v>983</v>
      </c>
      <c r="BR339" t="s">
        <v>978</v>
      </c>
      <c r="BS339" t="s">
        <v>979</v>
      </c>
      <c r="BT339">
        <v>0</v>
      </c>
      <c r="BU339">
        <v>0</v>
      </c>
      <c r="BV339" t="s">
        <v>984</v>
      </c>
      <c r="BW339" t="s">
        <v>257</v>
      </c>
      <c r="BX339">
        <v>0</v>
      </c>
      <c r="BY339" t="s">
        <v>980</v>
      </c>
      <c r="BZ339" t="s">
        <v>257</v>
      </c>
      <c r="CA339">
        <v>0</v>
      </c>
      <c r="CB339">
        <v>0</v>
      </c>
      <c r="CC339" t="s">
        <v>985</v>
      </c>
      <c r="CD339">
        <v>0</v>
      </c>
      <c r="CE339">
        <v>0</v>
      </c>
      <c r="CF339">
        <v>0</v>
      </c>
      <c r="CG339">
        <v>0</v>
      </c>
      <c r="CH339">
        <v>0</v>
      </c>
      <c r="CI339" t="s">
        <v>983</v>
      </c>
      <c r="CJ339" t="s">
        <v>972</v>
      </c>
      <c r="CK339" t="s">
        <v>986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 t="s">
        <v>987</v>
      </c>
      <c r="CV339">
        <v>400008342</v>
      </c>
      <c r="CW339" t="s">
        <v>987</v>
      </c>
      <c r="CX339" t="s">
        <v>3282</v>
      </c>
      <c r="CY339" t="s">
        <v>989</v>
      </c>
    </row>
    <row r="340" spans="1:103" hidden="1" x14ac:dyDescent="0.25">
      <c r="A340">
        <v>410000343</v>
      </c>
      <c r="B340" t="s">
        <v>3283</v>
      </c>
      <c r="C340" t="s">
        <v>3284</v>
      </c>
      <c r="D340">
        <v>401100000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1</v>
      </c>
      <c r="Y340" t="s">
        <v>972</v>
      </c>
      <c r="Z340" t="s">
        <v>987</v>
      </c>
      <c r="AA340" t="s">
        <v>3285</v>
      </c>
      <c r="AB340" t="s">
        <v>975</v>
      </c>
      <c r="AC340">
        <v>4020</v>
      </c>
      <c r="AD340" t="s">
        <v>1019</v>
      </c>
      <c r="AE340" t="s">
        <v>3286</v>
      </c>
      <c r="AF340" t="s">
        <v>3287</v>
      </c>
      <c r="AG340" t="s">
        <v>977</v>
      </c>
      <c r="AH340" t="s">
        <v>977</v>
      </c>
      <c r="AI340" t="s">
        <v>977</v>
      </c>
      <c r="AJ340" t="s">
        <v>978</v>
      </c>
      <c r="AK340" t="s">
        <v>3288</v>
      </c>
      <c r="AL340" t="s">
        <v>978</v>
      </c>
      <c r="AM340" t="s">
        <v>979</v>
      </c>
      <c r="AN340">
        <v>0</v>
      </c>
      <c r="AO340" t="s">
        <v>257</v>
      </c>
      <c r="AP340">
        <v>0</v>
      </c>
      <c r="AQ340">
        <v>1</v>
      </c>
      <c r="AR340">
        <v>43</v>
      </c>
      <c r="AS340">
        <v>1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1</v>
      </c>
      <c r="AZ340" t="s">
        <v>257</v>
      </c>
      <c r="BA340" t="s">
        <v>980</v>
      </c>
      <c r="BB340" t="s">
        <v>1010</v>
      </c>
      <c r="BC340" t="s">
        <v>257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 t="s">
        <v>998</v>
      </c>
      <c r="BK340" t="s">
        <v>981</v>
      </c>
      <c r="BL340" t="s">
        <v>3283</v>
      </c>
      <c r="BM340">
        <v>20160321</v>
      </c>
      <c r="BN340">
        <v>20230411</v>
      </c>
      <c r="BO340">
        <v>20230411</v>
      </c>
      <c r="BP340" t="s">
        <v>257</v>
      </c>
      <c r="BQ340" t="s">
        <v>983</v>
      </c>
      <c r="BR340" t="s">
        <v>978</v>
      </c>
      <c r="BS340" t="s">
        <v>979</v>
      </c>
      <c r="BT340">
        <v>0</v>
      </c>
      <c r="BU340">
        <v>0</v>
      </c>
      <c r="BV340" t="s">
        <v>984</v>
      </c>
      <c r="BW340" t="s">
        <v>257</v>
      </c>
      <c r="BX340">
        <v>0</v>
      </c>
      <c r="BY340" t="s">
        <v>980</v>
      </c>
      <c r="BZ340" t="s">
        <v>257</v>
      </c>
      <c r="CA340">
        <v>0</v>
      </c>
      <c r="CB340">
        <v>0</v>
      </c>
      <c r="CC340" t="s">
        <v>1391</v>
      </c>
      <c r="CD340">
        <v>0</v>
      </c>
      <c r="CE340">
        <v>0</v>
      </c>
      <c r="CF340">
        <v>0</v>
      </c>
      <c r="CG340">
        <v>0</v>
      </c>
      <c r="CH340">
        <v>0</v>
      </c>
      <c r="CI340" t="s">
        <v>983</v>
      </c>
      <c r="CJ340" t="s">
        <v>972</v>
      </c>
      <c r="CK340" t="s">
        <v>986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 t="s">
        <v>987</v>
      </c>
      <c r="CV340">
        <v>400008343</v>
      </c>
      <c r="CW340" t="s">
        <v>987</v>
      </c>
      <c r="CX340" t="s">
        <v>3289</v>
      </c>
      <c r="CY340" t="s">
        <v>989</v>
      </c>
    </row>
    <row r="341" spans="1:103" hidden="1" x14ac:dyDescent="0.25">
      <c r="A341">
        <v>410000344</v>
      </c>
      <c r="B341" t="s">
        <v>3290</v>
      </c>
      <c r="C341" t="s">
        <v>3291</v>
      </c>
      <c r="D341">
        <v>401100000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 t="s">
        <v>972</v>
      </c>
      <c r="Z341" t="s">
        <v>987</v>
      </c>
      <c r="AA341" t="s">
        <v>3292</v>
      </c>
      <c r="AB341" t="s">
        <v>975</v>
      </c>
      <c r="AC341">
        <v>4020</v>
      </c>
      <c r="AD341" t="s">
        <v>1019</v>
      </c>
      <c r="AE341" t="s">
        <v>3293</v>
      </c>
      <c r="AF341" t="s">
        <v>3294</v>
      </c>
      <c r="AG341" t="s">
        <v>977</v>
      </c>
      <c r="AH341" t="s">
        <v>977</v>
      </c>
      <c r="AI341" t="s">
        <v>977</v>
      </c>
      <c r="AJ341" t="s">
        <v>3295</v>
      </c>
      <c r="AK341" t="s">
        <v>3296</v>
      </c>
      <c r="AL341" t="s">
        <v>978</v>
      </c>
      <c r="AM341" t="s">
        <v>979</v>
      </c>
      <c r="AN341">
        <v>0</v>
      </c>
      <c r="AO341" t="s">
        <v>257</v>
      </c>
      <c r="AP341">
        <v>0</v>
      </c>
      <c r="AQ341">
        <v>1</v>
      </c>
      <c r="AR341">
        <v>69</v>
      </c>
      <c r="AS341">
        <v>1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1</v>
      </c>
      <c r="AZ341" t="s">
        <v>257</v>
      </c>
      <c r="BA341" t="s">
        <v>980</v>
      </c>
      <c r="BB341" t="s">
        <v>981</v>
      </c>
      <c r="BC341" t="s">
        <v>257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 t="s">
        <v>998</v>
      </c>
      <c r="BK341" t="s">
        <v>981</v>
      </c>
      <c r="BL341" t="s">
        <v>3290</v>
      </c>
      <c r="BM341">
        <v>20160321</v>
      </c>
      <c r="BN341">
        <v>20240910</v>
      </c>
      <c r="BO341">
        <v>0</v>
      </c>
      <c r="BP341" t="s">
        <v>257</v>
      </c>
      <c r="BQ341" t="s">
        <v>983</v>
      </c>
      <c r="BR341" t="s">
        <v>978</v>
      </c>
      <c r="BS341" t="s">
        <v>979</v>
      </c>
      <c r="BT341">
        <v>0</v>
      </c>
      <c r="BU341">
        <v>0</v>
      </c>
      <c r="BV341" t="s">
        <v>984</v>
      </c>
      <c r="BW341" t="s">
        <v>257</v>
      </c>
      <c r="BX341">
        <v>0</v>
      </c>
      <c r="BY341" t="s">
        <v>980</v>
      </c>
      <c r="BZ341" t="s">
        <v>257</v>
      </c>
      <c r="CA341">
        <v>0</v>
      </c>
      <c r="CB341">
        <v>0</v>
      </c>
      <c r="CC341" t="s">
        <v>1499</v>
      </c>
      <c r="CD341">
        <v>0</v>
      </c>
      <c r="CE341">
        <v>0</v>
      </c>
      <c r="CF341">
        <v>0</v>
      </c>
      <c r="CG341">
        <v>0</v>
      </c>
      <c r="CH341">
        <v>0</v>
      </c>
      <c r="CI341" t="s">
        <v>983</v>
      </c>
      <c r="CJ341" t="s">
        <v>972</v>
      </c>
      <c r="CK341" t="s">
        <v>986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 t="s">
        <v>987</v>
      </c>
      <c r="CV341">
        <v>400008344</v>
      </c>
      <c r="CW341" t="s">
        <v>987</v>
      </c>
      <c r="CX341" t="s">
        <v>3297</v>
      </c>
      <c r="CY341" t="s">
        <v>989</v>
      </c>
    </row>
    <row r="342" spans="1:103" hidden="1" x14ac:dyDescent="0.25">
      <c r="A342">
        <v>410000345</v>
      </c>
      <c r="B342" t="s">
        <v>3298</v>
      </c>
      <c r="C342" t="s">
        <v>3299</v>
      </c>
      <c r="D342">
        <v>401100000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1</v>
      </c>
      <c r="Y342" t="s">
        <v>972</v>
      </c>
      <c r="Z342" t="s">
        <v>3300</v>
      </c>
      <c r="AA342" t="s">
        <v>2835</v>
      </c>
      <c r="AB342" t="s">
        <v>975</v>
      </c>
      <c r="AC342">
        <v>1380</v>
      </c>
      <c r="AD342" t="s">
        <v>2836</v>
      </c>
      <c r="AE342" t="s">
        <v>979</v>
      </c>
      <c r="AF342" t="s">
        <v>979</v>
      </c>
      <c r="AG342" t="s">
        <v>977</v>
      </c>
      <c r="AH342" t="s">
        <v>977</v>
      </c>
      <c r="AI342" t="s">
        <v>977</v>
      </c>
      <c r="AJ342" t="s">
        <v>3301</v>
      </c>
      <c r="AK342" t="s">
        <v>3302</v>
      </c>
      <c r="AL342" t="s">
        <v>978</v>
      </c>
      <c r="AM342" t="s">
        <v>979</v>
      </c>
      <c r="AN342">
        <v>0</v>
      </c>
      <c r="AO342" t="s">
        <v>257</v>
      </c>
      <c r="AP342">
        <v>0</v>
      </c>
      <c r="AQ342">
        <v>1</v>
      </c>
      <c r="AR342">
        <v>43</v>
      </c>
      <c r="AS342">
        <v>1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1</v>
      </c>
      <c r="AZ342" t="s">
        <v>257</v>
      </c>
      <c r="BA342" t="s">
        <v>980</v>
      </c>
      <c r="BB342" t="s">
        <v>981</v>
      </c>
      <c r="BC342" t="s">
        <v>257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 t="s">
        <v>998</v>
      </c>
      <c r="BK342" t="s">
        <v>981</v>
      </c>
      <c r="BL342" t="s">
        <v>3298</v>
      </c>
      <c r="BM342">
        <v>20160404</v>
      </c>
      <c r="BN342">
        <v>20181119</v>
      </c>
      <c r="BO342">
        <v>0</v>
      </c>
      <c r="BP342" t="s">
        <v>257</v>
      </c>
      <c r="BQ342" t="s">
        <v>983</v>
      </c>
      <c r="BR342" t="s">
        <v>978</v>
      </c>
      <c r="BS342" t="s">
        <v>3303</v>
      </c>
      <c r="BT342">
        <v>0</v>
      </c>
      <c r="BU342">
        <v>0</v>
      </c>
      <c r="BV342" t="s">
        <v>1013</v>
      </c>
      <c r="BW342" t="s">
        <v>257</v>
      </c>
      <c r="BX342">
        <v>0</v>
      </c>
      <c r="BY342" t="s">
        <v>980</v>
      </c>
      <c r="BZ342" t="s">
        <v>257</v>
      </c>
      <c r="CA342">
        <v>0</v>
      </c>
      <c r="CB342">
        <v>0</v>
      </c>
      <c r="CC342" t="s">
        <v>2840</v>
      </c>
      <c r="CD342">
        <v>0</v>
      </c>
      <c r="CE342">
        <v>0</v>
      </c>
      <c r="CF342">
        <v>0</v>
      </c>
      <c r="CG342">
        <v>0</v>
      </c>
      <c r="CH342">
        <v>0</v>
      </c>
      <c r="CI342" t="s">
        <v>983</v>
      </c>
      <c r="CJ342" t="s">
        <v>972</v>
      </c>
      <c r="CK342" t="s">
        <v>986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 t="s">
        <v>987</v>
      </c>
      <c r="CV342">
        <v>400008345</v>
      </c>
      <c r="CW342" t="s">
        <v>987</v>
      </c>
      <c r="CX342" t="s">
        <v>3304</v>
      </c>
      <c r="CY342" t="s">
        <v>989</v>
      </c>
    </row>
    <row r="343" spans="1:103" hidden="1" x14ac:dyDescent="0.25">
      <c r="A343">
        <v>410000346</v>
      </c>
      <c r="B343" t="s">
        <v>3305</v>
      </c>
      <c r="C343" t="s">
        <v>3306</v>
      </c>
      <c r="D343">
        <v>401100000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1</v>
      </c>
      <c r="Y343" t="s">
        <v>1091</v>
      </c>
      <c r="Z343" t="s">
        <v>3307</v>
      </c>
      <c r="AA343" t="s">
        <v>3308</v>
      </c>
      <c r="AB343" t="s">
        <v>975</v>
      </c>
      <c r="AC343">
        <v>1150</v>
      </c>
      <c r="AD343" t="s">
        <v>1006</v>
      </c>
      <c r="AE343" t="s">
        <v>979</v>
      </c>
      <c r="AF343" t="s">
        <v>979</v>
      </c>
      <c r="AG343" t="s">
        <v>977</v>
      </c>
      <c r="AH343" t="s">
        <v>977</v>
      </c>
      <c r="AI343" t="s">
        <v>977</v>
      </c>
      <c r="AJ343" t="s">
        <v>3309</v>
      </c>
      <c r="AK343" t="s">
        <v>978</v>
      </c>
      <c r="AL343" t="s">
        <v>978</v>
      </c>
      <c r="AM343" t="s">
        <v>979</v>
      </c>
      <c r="AN343">
        <v>0</v>
      </c>
      <c r="AO343" t="s">
        <v>257</v>
      </c>
      <c r="AP343">
        <v>0</v>
      </c>
      <c r="AQ343">
        <v>1</v>
      </c>
      <c r="AR343">
        <v>43</v>
      </c>
      <c r="AS343">
        <v>1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1</v>
      </c>
      <c r="AZ343" t="s">
        <v>257</v>
      </c>
      <c r="BA343" t="s">
        <v>980</v>
      </c>
      <c r="BB343" t="s">
        <v>981</v>
      </c>
      <c r="BC343" t="s">
        <v>257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 t="s">
        <v>998</v>
      </c>
      <c r="BK343" t="s">
        <v>981</v>
      </c>
      <c r="BL343" t="s">
        <v>3305</v>
      </c>
      <c r="BM343">
        <v>20160407</v>
      </c>
      <c r="BN343">
        <v>20181119</v>
      </c>
      <c r="BO343">
        <v>0</v>
      </c>
      <c r="BP343" t="s">
        <v>257</v>
      </c>
      <c r="BQ343" t="s">
        <v>983</v>
      </c>
      <c r="BR343" t="s">
        <v>978</v>
      </c>
      <c r="BS343" t="s">
        <v>3310</v>
      </c>
      <c r="BT343">
        <v>0</v>
      </c>
      <c r="BU343">
        <v>0</v>
      </c>
      <c r="BV343" t="s">
        <v>1013</v>
      </c>
      <c r="BW343" t="s">
        <v>257</v>
      </c>
      <c r="BX343">
        <v>0</v>
      </c>
      <c r="BY343" t="s">
        <v>980</v>
      </c>
      <c r="BZ343" t="s">
        <v>257</v>
      </c>
      <c r="CA343">
        <v>0</v>
      </c>
      <c r="CB343">
        <v>0</v>
      </c>
      <c r="CC343" t="s">
        <v>1033</v>
      </c>
      <c r="CD343">
        <v>0</v>
      </c>
      <c r="CE343">
        <v>0</v>
      </c>
      <c r="CF343">
        <v>0</v>
      </c>
      <c r="CG343">
        <v>0</v>
      </c>
      <c r="CH343">
        <v>0</v>
      </c>
      <c r="CI343" t="s">
        <v>983</v>
      </c>
      <c r="CJ343" t="s">
        <v>972</v>
      </c>
      <c r="CK343" t="s">
        <v>986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 t="s">
        <v>987</v>
      </c>
      <c r="CV343">
        <v>400008346</v>
      </c>
      <c r="CW343" t="s">
        <v>987</v>
      </c>
      <c r="CX343" t="s">
        <v>3311</v>
      </c>
      <c r="CY343" t="s">
        <v>989</v>
      </c>
    </row>
    <row r="344" spans="1:103" hidden="1" x14ac:dyDescent="0.25">
      <c r="A344">
        <v>410000347</v>
      </c>
      <c r="B344" t="s">
        <v>3312</v>
      </c>
      <c r="C344" t="s">
        <v>3313</v>
      </c>
      <c r="D344">
        <v>401100000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1</v>
      </c>
      <c r="X344">
        <v>1</v>
      </c>
      <c r="Y344" t="s">
        <v>972</v>
      </c>
      <c r="Z344" t="s">
        <v>3314</v>
      </c>
      <c r="AA344" t="s">
        <v>3315</v>
      </c>
      <c r="AB344" t="s">
        <v>975</v>
      </c>
      <c r="AC344">
        <v>4950</v>
      </c>
      <c r="AD344" t="s">
        <v>2051</v>
      </c>
      <c r="AE344" t="s">
        <v>3316</v>
      </c>
      <c r="AF344" t="s">
        <v>3317</v>
      </c>
      <c r="AG344" t="s">
        <v>977</v>
      </c>
      <c r="AH344" t="s">
        <v>977</v>
      </c>
      <c r="AI344" t="s">
        <v>977</v>
      </c>
      <c r="AJ344" t="s">
        <v>3318</v>
      </c>
      <c r="AK344" t="s">
        <v>978</v>
      </c>
      <c r="AL344" t="s">
        <v>978</v>
      </c>
      <c r="AM344" t="s">
        <v>979</v>
      </c>
      <c r="AN344">
        <v>0</v>
      </c>
      <c r="AO344" t="s">
        <v>257</v>
      </c>
      <c r="AP344">
        <v>0</v>
      </c>
      <c r="AQ344">
        <v>1</v>
      </c>
      <c r="AR344">
        <v>43</v>
      </c>
      <c r="AS344">
        <v>1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1</v>
      </c>
      <c r="AZ344" t="s">
        <v>257</v>
      </c>
      <c r="BA344" t="s">
        <v>980</v>
      </c>
      <c r="BB344" t="s">
        <v>981</v>
      </c>
      <c r="BC344" t="s">
        <v>257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 t="s">
        <v>998</v>
      </c>
      <c r="BK344" t="s">
        <v>981</v>
      </c>
      <c r="BL344" t="s">
        <v>3312</v>
      </c>
      <c r="BM344">
        <v>20160407</v>
      </c>
      <c r="BN344">
        <v>20181119</v>
      </c>
      <c r="BO344">
        <v>0</v>
      </c>
      <c r="BP344" t="s">
        <v>257</v>
      </c>
      <c r="BQ344" t="s">
        <v>983</v>
      </c>
      <c r="BR344" t="s">
        <v>978</v>
      </c>
      <c r="BS344" t="s">
        <v>979</v>
      </c>
      <c r="BT344">
        <v>0</v>
      </c>
      <c r="BU344">
        <v>0</v>
      </c>
      <c r="BV344" t="s">
        <v>1013</v>
      </c>
      <c r="BW344" t="s">
        <v>257</v>
      </c>
      <c r="BX344">
        <v>0</v>
      </c>
      <c r="BY344" t="s">
        <v>980</v>
      </c>
      <c r="BZ344" t="s">
        <v>257</v>
      </c>
      <c r="CA344">
        <v>0</v>
      </c>
      <c r="CB344">
        <v>0</v>
      </c>
      <c r="CC344" t="s">
        <v>1033</v>
      </c>
      <c r="CD344">
        <v>0</v>
      </c>
      <c r="CE344">
        <v>0</v>
      </c>
      <c r="CF344">
        <v>0</v>
      </c>
      <c r="CG344">
        <v>0</v>
      </c>
      <c r="CH344">
        <v>0</v>
      </c>
      <c r="CI344" t="s">
        <v>983</v>
      </c>
      <c r="CJ344" t="s">
        <v>972</v>
      </c>
      <c r="CK344" t="s">
        <v>986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 t="s">
        <v>987</v>
      </c>
      <c r="CV344">
        <v>400008347</v>
      </c>
      <c r="CW344" t="s">
        <v>987</v>
      </c>
      <c r="CX344" t="s">
        <v>1081</v>
      </c>
      <c r="CY344" t="s">
        <v>989</v>
      </c>
    </row>
    <row r="345" spans="1:103" hidden="1" x14ac:dyDescent="0.25">
      <c r="A345">
        <v>410000348</v>
      </c>
      <c r="B345" t="s">
        <v>3319</v>
      </c>
      <c r="C345" t="s">
        <v>3320</v>
      </c>
      <c r="D345">
        <v>401100000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1</v>
      </c>
      <c r="Y345" t="s">
        <v>972</v>
      </c>
      <c r="Z345" t="s">
        <v>3321</v>
      </c>
      <c r="AA345" t="s">
        <v>3322</v>
      </c>
      <c r="AB345" t="s">
        <v>975</v>
      </c>
      <c r="AC345">
        <v>4400</v>
      </c>
      <c r="AD345" t="s">
        <v>1237</v>
      </c>
      <c r="AE345" t="s">
        <v>3323</v>
      </c>
      <c r="AF345" t="s">
        <v>3324</v>
      </c>
      <c r="AG345" t="s">
        <v>977</v>
      </c>
      <c r="AH345" t="s">
        <v>977</v>
      </c>
      <c r="AI345" t="s">
        <v>977</v>
      </c>
      <c r="AJ345" t="s">
        <v>978</v>
      </c>
      <c r="AK345" t="s">
        <v>978</v>
      </c>
      <c r="AL345" t="s">
        <v>978</v>
      </c>
      <c r="AM345" t="s">
        <v>979</v>
      </c>
      <c r="AN345">
        <v>0</v>
      </c>
      <c r="AO345" t="s">
        <v>257</v>
      </c>
      <c r="AP345">
        <v>0</v>
      </c>
      <c r="AQ345">
        <v>1</v>
      </c>
      <c r="AR345">
        <v>43</v>
      </c>
      <c r="AS345">
        <v>1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1</v>
      </c>
      <c r="AZ345" t="s">
        <v>257</v>
      </c>
      <c r="BA345" t="s">
        <v>980</v>
      </c>
      <c r="BB345" t="s">
        <v>981</v>
      </c>
      <c r="BC345" t="s">
        <v>257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 t="s">
        <v>998</v>
      </c>
      <c r="BK345" t="s">
        <v>981</v>
      </c>
      <c r="BL345" t="s">
        <v>3319</v>
      </c>
      <c r="BM345">
        <v>20160407</v>
      </c>
      <c r="BN345">
        <v>20181119</v>
      </c>
      <c r="BO345">
        <v>0</v>
      </c>
      <c r="BP345" t="s">
        <v>257</v>
      </c>
      <c r="BQ345" t="s">
        <v>983</v>
      </c>
      <c r="BR345" t="s">
        <v>978</v>
      </c>
      <c r="BS345" t="s">
        <v>979</v>
      </c>
      <c r="BT345">
        <v>0</v>
      </c>
      <c r="BU345">
        <v>0</v>
      </c>
      <c r="BV345" t="s">
        <v>1013</v>
      </c>
      <c r="BW345" t="s">
        <v>257</v>
      </c>
      <c r="BX345">
        <v>0</v>
      </c>
      <c r="BY345" t="s">
        <v>980</v>
      </c>
      <c r="BZ345" t="s">
        <v>257</v>
      </c>
      <c r="CA345">
        <v>0</v>
      </c>
      <c r="CB345">
        <v>0</v>
      </c>
      <c r="CC345" t="s">
        <v>1491</v>
      </c>
      <c r="CD345">
        <v>0</v>
      </c>
      <c r="CE345">
        <v>0</v>
      </c>
      <c r="CF345">
        <v>0</v>
      </c>
      <c r="CG345">
        <v>0</v>
      </c>
      <c r="CH345">
        <v>0</v>
      </c>
      <c r="CI345" t="s">
        <v>983</v>
      </c>
      <c r="CJ345" t="s">
        <v>972</v>
      </c>
      <c r="CK345" t="s">
        <v>986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 t="s">
        <v>987</v>
      </c>
      <c r="CV345">
        <v>400008348</v>
      </c>
      <c r="CW345" t="s">
        <v>987</v>
      </c>
      <c r="CX345" t="s">
        <v>1081</v>
      </c>
      <c r="CY345" t="s">
        <v>989</v>
      </c>
    </row>
    <row r="346" spans="1:103" hidden="1" x14ac:dyDescent="0.25">
      <c r="A346">
        <v>410000349</v>
      </c>
      <c r="B346" t="s">
        <v>3325</v>
      </c>
      <c r="C346" t="s">
        <v>3326</v>
      </c>
      <c r="D346">
        <v>401100000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1</v>
      </c>
      <c r="Y346" t="s">
        <v>972</v>
      </c>
      <c r="Z346" t="s">
        <v>987</v>
      </c>
      <c r="AA346" t="s">
        <v>3327</v>
      </c>
      <c r="AB346" t="s">
        <v>975</v>
      </c>
      <c r="AC346">
        <v>4780</v>
      </c>
      <c r="AD346" t="s">
        <v>3328</v>
      </c>
      <c r="AE346" t="s">
        <v>3329</v>
      </c>
      <c r="AF346" t="s">
        <v>3330</v>
      </c>
      <c r="AG346" t="s">
        <v>977</v>
      </c>
      <c r="AH346" t="s">
        <v>977</v>
      </c>
      <c r="AI346" t="s">
        <v>977</v>
      </c>
      <c r="AJ346" t="s">
        <v>3331</v>
      </c>
      <c r="AK346" t="s">
        <v>978</v>
      </c>
      <c r="AL346" t="s">
        <v>978</v>
      </c>
      <c r="AM346" t="s">
        <v>979</v>
      </c>
      <c r="AN346">
        <v>0</v>
      </c>
      <c r="AO346" t="s">
        <v>257</v>
      </c>
      <c r="AP346">
        <v>0</v>
      </c>
      <c r="AQ346">
        <v>1</v>
      </c>
      <c r="AR346">
        <v>43</v>
      </c>
      <c r="AS346">
        <v>1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1</v>
      </c>
      <c r="AZ346" t="s">
        <v>257</v>
      </c>
      <c r="BA346" t="s">
        <v>980</v>
      </c>
      <c r="BB346" t="s">
        <v>981</v>
      </c>
      <c r="BC346" t="s">
        <v>257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 t="s">
        <v>998</v>
      </c>
      <c r="BK346" t="s">
        <v>981</v>
      </c>
      <c r="BL346" t="s">
        <v>3325</v>
      </c>
      <c r="BM346">
        <v>20160418</v>
      </c>
      <c r="BN346">
        <v>20181119</v>
      </c>
      <c r="BO346">
        <v>0</v>
      </c>
      <c r="BP346" t="s">
        <v>257</v>
      </c>
      <c r="BQ346" t="s">
        <v>983</v>
      </c>
      <c r="BR346" t="s">
        <v>978</v>
      </c>
      <c r="BS346" t="s">
        <v>979</v>
      </c>
      <c r="BT346">
        <v>0</v>
      </c>
      <c r="BU346">
        <v>0</v>
      </c>
      <c r="BV346" t="s">
        <v>1013</v>
      </c>
      <c r="BW346" t="s">
        <v>257</v>
      </c>
      <c r="BX346">
        <v>0</v>
      </c>
      <c r="BY346" t="s">
        <v>980</v>
      </c>
      <c r="BZ346" t="s">
        <v>257</v>
      </c>
      <c r="CA346">
        <v>0</v>
      </c>
      <c r="CB346">
        <v>0</v>
      </c>
      <c r="CC346" t="s">
        <v>1033</v>
      </c>
      <c r="CD346">
        <v>0</v>
      </c>
      <c r="CE346">
        <v>0</v>
      </c>
      <c r="CF346">
        <v>0</v>
      </c>
      <c r="CG346">
        <v>0</v>
      </c>
      <c r="CH346">
        <v>0</v>
      </c>
      <c r="CI346" t="s">
        <v>983</v>
      </c>
      <c r="CJ346" t="s">
        <v>972</v>
      </c>
      <c r="CK346" t="s">
        <v>986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 t="s">
        <v>987</v>
      </c>
      <c r="CV346">
        <v>400008349</v>
      </c>
      <c r="CW346" t="s">
        <v>987</v>
      </c>
      <c r="CX346" t="s">
        <v>3332</v>
      </c>
      <c r="CY346" t="s">
        <v>989</v>
      </c>
    </row>
    <row r="347" spans="1:103" hidden="1" x14ac:dyDescent="0.25">
      <c r="A347">
        <v>410000350</v>
      </c>
      <c r="B347" t="s">
        <v>3333</v>
      </c>
      <c r="C347" t="s">
        <v>3334</v>
      </c>
      <c r="D347">
        <v>401100000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1</v>
      </c>
      <c r="Y347" t="s">
        <v>972</v>
      </c>
      <c r="Z347" t="s">
        <v>987</v>
      </c>
      <c r="AA347" t="s">
        <v>3335</v>
      </c>
      <c r="AB347" t="s">
        <v>975</v>
      </c>
      <c r="AC347">
        <v>4600</v>
      </c>
      <c r="AD347" t="s">
        <v>1813</v>
      </c>
      <c r="AE347" t="s">
        <v>3336</v>
      </c>
      <c r="AF347" t="s">
        <v>3337</v>
      </c>
      <c r="AG347" t="s">
        <v>977</v>
      </c>
      <c r="AH347" t="s">
        <v>977</v>
      </c>
      <c r="AI347" t="s">
        <v>977</v>
      </c>
      <c r="AJ347" t="s">
        <v>978</v>
      </c>
      <c r="AK347" t="s">
        <v>978</v>
      </c>
      <c r="AL347" t="s">
        <v>978</v>
      </c>
      <c r="AM347" t="s">
        <v>979</v>
      </c>
      <c r="AN347">
        <v>0</v>
      </c>
      <c r="AO347" t="s">
        <v>257</v>
      </c>
      <c r="AP347">
        <v>0</v>
      </c>
      <c r="AQ347">
        <v>1</v>
      </c>
      <c r="AR347">
        <v>43</v>
      </c>
      <c r="AS347">
        <v>1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1</v>
      </c>
      <c r="AZ347" t="s">
        <v>257</v>
      </c>
      <c r="BA347" t="s">
        <v>980</v>
      </c>
      <c r="BB347" t="s">
        <v>981</v>
      </c>
      <c r="BC347" t="s">
        <v>257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 t="s">
        <v>998</v>
      </c>
      <c r="BK347" t="s">
        <v>981</v>
      </c>
      <c r="BL347" t="s">
        <v>3333</v>
      </c>
      <c r="BM347">
        <v>20160418</v>
      </c>
      <c r="BN347">
        <v>20181119</v>
      </c>
      <c r="BO347">
        <v>0</v>
      </c>
      <c r="BP347" t="s">
        <v>257</v>
      </c>
      <c r="BQ347" t="s">
        <v>983</v>
      </c>
      <c r="BR347" t="s">
        <v>978</v>
      </c>
      <c r="BS347" t="s">
        <v>979</v>
      </c>
      <c r="BT347">
        <v>0</v>
      </c>
      <c r="BU347">
        <v>0</v>
      </c>
      <c r="BV347" t="s">
        <v>1013</v>
      </c>
      <c r="BW347" t="s">
        <v>257</v>
      </c>
      <c r="BX347">
        <v>0</v>
      </c>
      <c r="BY347" t="s">
        <v>980</v>
      </c>
      <c r="BZ347" t="s">
        <v>257</v>
      </c>
      <c r="CA347">
        <v>0</v>
      </c>
      <c r="CB347">
        <v>0</v>
      </c>
      <c r="CC347" t="s">
        <v>1815</v>
      </c>
      <c r="CD347">
        <v>0</v>
      </c>
      <c r="CE347">
        <v>0</v>
      </c>
      <c r="CF347">
        <v>0</v>
      </c>
      <c r="CG347">
        <v>0</v>
      </c>
      <c r="CH347">
        <v>0</v>
      </c>
      <c r="CI347" t="s">
        <v>983</v>
      </c>
      <c r="CJ347" t="s">
        <v>972</v>
      </c>
      <c r="CK347" t="s">
        <v>986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 t="s">
        <v>987</v>
      </c>
      <c r="CV347">
        <v>400008350</v>
      </c>
      <c r="CW347" t="s">
        <v>987</v>
      </c>
      <c r="CX347" t="s">
        <v>3338</v>
      </c>
      <c r="CY347" t="s">
        <v>989</v>
      </c>
    </row>
    <row r="348" spans="1:103" hidden="1" x14ac:dyDescent="0.25">
      <c r="A348">
        <v>410000351</v>
      </c>
      <c r="B348" t="s">
        <v>3339</v>
      </c>
      <c r="C348" t="s">
        <v>3340</v>
      </c>
      <c r="D348">
        <v>401100000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1</v>
      </c>
      <c r="Y348" t="s">
        <v>1091</v>
      </c>
      <c r="Z348" t="s">
        <v>3341</v>
      </c>
      <c r="AA348" t="s">
        <v>3342</v>
      </c>
      <c r="AB348" t="s">
        <v>975</v>
      </c>
      <c r="AC348">
        <v>6120</v>
      </c>
      <c r="AD348" t="s">
        <v>3343</v>
      </c>
      <c r="AE348" t="s">
        <v>3344</v>
      </c>
      <c r="AF348" t="s">
        <v>3345</v>
      </c>
      <c r="AG348" t="s">
        <v>977</v>
      </c>
      <c r="AH348" t="s">
        <v>977</v>
      </c>
      <c r="AI348" t="s">
        <v>977</v>
      </c>
      <c r="AJ348" t="s">
        <v>3346</v>
      </c>
      <c r="AK348" t="s">
        <v>978</v>
      </c>
      <c r="AL348" t="s">
        <v>978</v>
      </c>
      <c r="AM348" t="s">
        <v>979</v>
      </c>
      <c r="AN348">
        <v>0</v>
      </c>
      <c r="AO348" t="s">
        <v>257</v>
      </c>
      <c r="AP348">
        <v>0</v>
      </c>
      <c r="AQ348">
        <v>1</v>
      </c>
      <c r="AR348">
        <v>43</v>
      </c>
      <c r="AS348">
        <v>1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1</v>
      </c>
      <c r="AZ348" t="s">
        <v>257</v>
      </c>
      <c r="BA348" t="s">
        <v>980</v>
      </c>
      <c r="BB348" t="s">
        <v>981</v>
      </c>
      <c r="BC348" t="s">
        <v>257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 t="s">
        <v>998</v>
      </c>
      <c r="BK348" t="s">
        <v>981</v>
      </c>
      <c r="BL348" t="s">
        <v>3339</v>
      </c>
      <c r="BM348">
        <v>20160426</v>
      </c>
      <c r="BN348">
        <v>20181119</v>
      </c>
      <c r="BO348">
        <v>0</v>
      </c>
      <c r="BP348" t="s">
        <v>257</v>
      </c>
      <c r="BQ348" t="s">
        <v>983</v>
      </c>
      <c r="BR348" t="s">
        <v>978</v>
      </c>
      <c r="BS348" t="s">
        <v>979</v>
      </c>
      <c r="BT348">
        <v>0</v>
      </c>
      <c r="BU348">
        <v>0</v>
      </c>
      <c r="BV348" t="s">
        <v>1013</v>
      </c>
      <c r="BW348" t="s">
        <v>257</v>
      </c>
      <c r="BX348">
        <v>0</v>
      </c>
      <c r="BY348" t="s">
        <v>980</v>
      </c>
      <c r="BZ348" t="s">
        <v>257</v>
      </c>
      <c r="CA348">
        <v>0</v>
      </c>
      <c r="CB348">
        <v>0</v>
      </c>
      <c r="CC348" t="s">
        <v>1033</v>
      </c>
      <c r="CD348">
        <v>0</v>
      </c>
      <c r="CE348">
        <v>0</v>
      </c>
      <c r="CF348">
        <v>0</v>
      </c>
      <c r="CG348">
        <v>0</v>
      </c>
      <c r="CH348">
        <v>0</v>
      </c>
      <c r="CI348" t="s">
        <v>983</v>
      </c>
      <c r="CJ348" t="s">
        <v>972</v>
      </c>
      <c r="CK348" t="s">
        <v>986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 t="s">
        <v>987</v>
      </c>
      <c r="CV348">
        <v>400008351</v>
      </c>
      <c r="CW348" t="s">
        <v>987</v>
      </c>
      <c r="CX348" t="s">
        <v>3347</v>
      </c>
      <c r="CY348" t="s">
        <v>989</v>
      </c>
    </row>
    <row r="349" spans="1:103" hidden="1" x14ac:dyDescent="0.25">
      <c r="A349">
        <v>410000352</v>
      </c>
      <c r="B349" t="s">
        <v>3348</v>
      </c>
      <c r="C349" t="s">
        <v>3349</v>
      </c>
      <c r="D349">
        <v>401100000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1</v>
      </c>
      <c r="Y349" t="s">
        <v>3350</v>
      </c>
      <c r="Z349" t="s">
        <v>987</v>
      </c>
      <c r="AA349" t="s">
        <v>3351</v>
      </c>
      <c r="AB349" t="s">
        <v>975</v>
      </c>
      <c r="AC349">
        <v>4890</v>
      </c>
      <c r="AD349" t="s">
        <v>3352</v>
      </c>
      <c r="AE349" t="s">
        <v>3353</v>
      </c>
      <c r="AF349" t="s">
        <v>3354</v>
      </c>
      <c r="AG349" t="s">
        <v>977</v>
      </c>
      <c r="AH349" t="s">
        <v>977</v>
      </c>
      <c r="AI349" t="s">
        <v>977</v>
      </c>
      <c r="AJ349" t="s">
        <v>978</v>
      </c>
      <c r="AK349" t="s">
        <v>978</v>
      </c>
      <c r="AL349" t="s">
        <v>978</v>
      </c>
      <c r="AM349" t="s">
        <v>979</v>
      </c>
      <c r="AN349">
        <v>0</v>
      </c>
      <c r="AO349" t="s">
        <v>257</v>
      </c>
      <c r="AP349">
        <v>0</v>
      </c>
      <c r="AQ349">
        <v>1</v>
      </c>
      <c r="AR349">
        <v>43</v>
      </c>
      <c r="AS349">
        <v>1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1</v>
      </c>
      <c r="AZ349" t="s">
        <v>257</v>
      </c>
      <c r="BA349" t="s">
        <v>980</v>
      </c>
      <c r="BB349" t="s">
        <v>981</v>
      </c>
      <c r="BC349" t="s">
        <v>257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 t="s">
        <v>998</v>
      </c>
      <c r="BK349" t="s">
        <v>981</v>
      </c>
      <c r="BL349" t="s">
        <v>3348</v>
      </c>
      <c r="BM349">
        <v>20160509</v>
      </c>
      <c r="BN349">
        <v>20181119</v>
      </c>
      <c r="BO349">
        <v>0</v>
      </c>
      <c r="BP349" t="s">
        <v>257</v>
      </c>
      <c r="BQ349" t="s">
        <v>983</v>
      </c>
      <c r="BR349" t="s">
        <v>978</v>
      </c>
      <c r="BS349" t="s">
        <v>979</v>
      </c>
      <c r="BT349">
        <v>0</v>
      </c>
      <c r="BU349">
        <v>0</v>
      </c>
      <c r="BV349" t="s">
        <v>1013</v>
      </c>
      <c r="BW349" t="s">
        <v>257</v>
      </c>
      <c r="BX349">
        <v>0</v>
      </c>
      <c r="BY349" t="s">
        <v>980</v>
      </c>
      <c r="BZ349" t="s">
        <v>257</v>
      </c>
      <c r="CA349">
        <v>0</v>
      </c>
      <c r="CB349">
        <v>0</v>
      </c>
      <c r="CC349" t="s">
        <v>1469</v>
      </c>
      <c r="CD349">
        <v>0</v>
      </c>
      <c r="CE349">
        <v>0</v>
      </c>
      <c r="CF349">
        <v>0</v>
      </c>
      <c r="CG349">
        <v>0</v>
      </c>
      <c r="CH349">
        <v>0</v>
      </c>
      <c r="CI349" t="s">
        <v>983</v>
      </c>
      <c r="CJ349" t="s">
        <v>972</v>
      </c>
      <c r="CK349" t="s">
        <v>986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 t="s">
        <v>987</v>
      </c>
      <c r="CV349">
        <v>400008352</v>
      </c>
      <c r="CW349" t="s">
        <v>987</v>
      </c>
      <c r="CX349" t="s">
        <v>3355</v>
      </c>
      <c r="CY349" t="s">
        <v>989</v>
      </c>
    </row>
    <row r="350" spans="1:103" hidden="1" x14ac:dyDescent="0.25">
      <c r="A350">
        <v>410000353</v>
      </c>
      <c r="B350" t="s">
        <v>3356</v>
      </c>
      <c r="C350" t="s">
        <v>3357</v>
      </c>
      <c r="D350">
        <v>401100000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1</v>
      </c>
      <c r="Y350" t="s">
        <v>972</v>
      </c>
      <c r="Z350" t="s">
        <v>3358</v>
      </c>
      <c r="AA350" t="s">
        <v>3359</v>
      </c>
      <c r="AB350" t="s">
        <v>975</v>
      </c>
      <c r="AC350">
        <v>4910</v>
      </c>
      <c r="AD350" t="s">
        <v>1189</v>
      </c>
      <c r="AE350">
        <v>32498976171</v>
      </c>
      <c r="AF350">
        <v>3287330748</v>
      </c>
      <c r="AG350" t="s">
        <v>977</v>
      </c>
      <c r="AH350" t="s">
        <v>977</v>
      </c>
      <c r="AI350" t="s">
        <v>977</v>
      </c>
      <c r="AJ350" t="s">
        <v>978</v>
      </c>
      <c r="AK350" t="s">
        <v>978</v>
      </c>
      <c r="AL350" t="s">
        <v>978</v>
      </c>
      <c r="AM350" t="s">
        <v>979</v>
      </c>
      <c r="AN350">
        <v>0</v>
      </c>
      <c r="AO350" t="s">
        <v>257</v>
      </c>
      <c r="AP350">
        <v>0</v>
      </c>
      <c r="AQ350">
        <v>1</v>
      </c>
      <c r="AR350">
        <v>43</v>
      </c>
      <c r="AS350">
        <v>1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1</v>
      </c>
      <c r="AZ350" t="s">
        <v>257</v>
      </c>
      <c r="BA350" t="s">
        <v>980</v>
      </c>
      <c r="BB350" t="s">
        <v>981</v>
      </c>
      <c r="BC350" t="s">
        <v>257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 t="s">
        <v>998</v>
      </c>
      <c r="BK350" t="s">
        <v>981</v>
      </c>
      <c r="BL350" t="s">
        <v>3360</v>
      </c>
      <c r="BM350">
        <v>20160520</v>
      </c>
      <c r="BN350">
        <v>20181119</v>
      </c>
      <c r="BO350">
        <v>0</v>
      </c>
      <c r="BP350" t="s">
        <v>257</v>
      </c>
      <c r="BQ350" t="s">
        <v>983</v>
      </c>
      <c r="BR350" t="s">
        <v>978</v>
      </c>
      <c r="BS350">
        <v>32498976171</v>
      </c>
      <c r="BT350">
        <v>0</v>
      </c>
      <c r="BU350">
        <v>0</v>
      </c>
      <c r="BV350" t="s">
        <v>1013</v>
      </c>
      <c r="BW350" t="s">
        <v>257</v>
      </c>
      <c r="BX350">
        <v>0</v>
      </c>
      <c r="BY350" t="s">
        <v>980</v>
      </c>
      <c r="BZ350" t="s">
        <v>257</v>
      </c>
      <c r="CA350">
        <v>0</v>
      </c>
      <c r="CB350">
        <v>0</v>
      </c>
      <c r="CC350" t="s">
        <v>1454</v>
      </c>
      <c r="CD350">
        <v>0</v>
      </c>
      <c r="CE350">
        <v>0</v>
      </c>
      <c r="CF350">
        <v>0</v>
      </c>
      <c r="CG350">
        <v>0</v>
      </c>
      <c r="CH350">
        <v>0</v>
      </c>
      <c r="CI350" t="s">
        <v>983</v>
      </c>
      <c r="CJ350" t="s">
        <v>972</v>
      </c>
      <c r="CK350" t="s">
        <v>986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 t="s">
        <v>987</v>
      </c>
      <c r="CV350">
        <v>400008353</v>
      </c>
      <c r="CW350" t="s">
        <v>987</v>
      </c>
      <c r="CX350" t="s">
        <v>3361</v>
      </c>
      <c r="CY350" t="s">
        <v>989</v>
      </c>
    </row>
    <row r="351" spans="1:103" hidden="1" x14ac:dyDescent="0.25">
      <c r="A351">
        <v>410000354</v>
      </c>
      <c r="B351" t="s">
        <v>3362</v>
      </c>
      <c r="C351" t="s">
        <v>3363</v>
      </c>
      <c r="D351">
        <v>401100000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1</v>
      </c>
      <c r="Y351" t="s">
        <v>972</v>
      </c>
      <c r="Z351" t="s">
        <v>987</v>
      </c>
      <c r="AA351" t="s">
        <v>3364</v>
      </c>
      <c r="AB351" t="s">
        <v>975</v>
      </c>
      <c r="AC351">
        <v>5020</v>
      </c>
      <c r="AD351" t="s">
        <v>3365</v>
      </c>
      <c r="AE351">
        <v>3281446054</v>
      </c>
      <c r="AF351" t="s">
        <v>979</v>
      </c>
      <c r="AG351" t="s">
        <v>977</v>
      </c>
      <c r="AH351" t="s">
        <v>977</v>
      </c>
      <c r="AI351" t="s">
        <v>977</v>
      </c>
      <c r="AJ351" t="s">
        <v>978</v>
      </c>
      <c r="AK351" t="s">
        <v>978</v>
      </c>
      <c r="AL351" t="s">
        <v>978</v>
      </c>
      <c r="AM351" t="s">
        <v>979</v>
      </c>
      <c r="AN351">
        <v>0</v>
      </c>
      <c r="AO351" t="s">
        <v>257</v>
      </c>
      <c r="AP351">
        <v>0</v>
      </c>
      <c r="AQ351">
        <v>1</v>
      </c>
      <c r="AR351">
        <v>43</v>
      </c>
      <c r="AS351">
        <v>1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1</v>
      </c>
      <c r="AZ351" t="s">
        <v>257</v>
      </c>
      <c r="BA351" t="s">
        <v>980</v>
      </c>
      <c r="BB351" t="s">
        <v>981</v>
      </c>
      <c r="BC351" t="s">
        <v>257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 t="s">
        <v>998</v>
      </c>
      <c r="BK351" t="s">
        <v>981</v>
      </c>
      <c r="BL351" t="s">
        <v>3362</v>
      </c>
      <c r="BM351">
        <v>20160525</v>
      </c>
      <c r="BN351">
        <v>20181119</v>
      </c>
      <c r="BO351">
        <v>0</v>
      </c>
      <c r="BP351" t="s">
        <v>257</v>
      </c>
      <c r="BQ351" t="s">
        <v>983</v>
      </c>
      <c r="BR351" t="s">
        <v>978</v>
      </c>
      <c r="BS351">
        <v>32498432934</v>
      </c>
      <c r="BT351">
        <v>0</v>
      </c>
      <c r="BU351">
        <v>0</v>
      </c>
      <c r="BV351" t="s">
        <v>1013</v>
      </c>
      <c r="BW351" t="s">
        <v>257</v>
      </c>
      <c r="BX351">
        <v>0</v>
      </c>
      <c r="BY351" t="s">
        <v>980</v>
      </c>
      <c r="BZ351" t="s">
        <v>257</v>
      </c>
      <c r="CA351">
        <v>0</v>
      </c>
      <c r="CB351">
        <v>0</v>
      </c>
      <c r="CC351" t="s">
        <v>3366</v>
      </c>
      <c r="CD351">
        <v>0</v>
      </c>
      <c r="CE351">
        <v>0</v>
      </c>
      <c r="CF351">
        <v>0</v>
      </c>
      <c r="CG351">
        <v>0</v>
      </c>
      <c r="CH351">
        <v>0</v>
      </c>
      <c r="CI351" t="s">
        <v>983</v>
      </c>
      <c r="CJ351" t="s">
        <v>972</v>
      </c>
      <c r="CK351" t="s">
        <v>986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 t="s">
        <v>987</v>
      </c>
      <c r="CV351">
        <v>400008354</v>
      </c>
      <c r="CW351" t="s">
        <v>987</v>
      </c>
      <c r="CX351" t="s">
        <v>3367</v>
      </c>
      <c r="CY351" t="s">
        <v>989</v>
      </c>
    </row>
    <row r="352" spans="1:103" hidden="1" x14ac:dyDescent="0.25">
      <c r="A352">
        <v>410000355</v>
      </c>
      <c r="B352" t="s">
        <v>3368</v>
      </c>
      <c r="C352" t="s">
        <v>3369</v>
      </c>
      <c r="D352">
        <v>401100000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 t="s">
        <v>972</v>
      </c>
      <c r="Z352" t="s">
        <v>3370</v>
      </c>
      <c r="AA352" t="s">
        <v>3371</v>
      </c>
      <c r="AB352" t="s">
        <v>975</v>
      </c>
      <c r="AC352">
        <v>4000</v>
      </c>
      <c r="AD352" t="s">
        <v>1019</v>
      </c>
      <c r="AE352" t="s">
        <v>3372</v>
      </c>
      <c r="AF352" t="s">
        <v>979</v>
      </c>
      <c r="AG352" t="s">
        <v>977</v>
      </c>
      <c r="AH352" t="s">
        <v>977</v>
      </c>
      <c r="AI352" t="s">
        <v>977</v>
      </c>
      <c r="AJ352" t="s">
        <v>978</v>
      </c>
      <c r="AK352" t="s">
        <v>978</v>
      </c>
      <c r="AL352" t="s">
        <v>978</v>
      </c>
      <c r="AM352" t="s">
        <v>979</v>
      </c>
      <c r="AN352">
        <v>0</v>
      </c>
      <c r="AO352" t="s">
        <v>257</v>
      </c>
      <c r="AP352">
        <v>0</v>
      </c>
      <c r="AQ352">
        <v>1</v>
      </c>
      <c r="AR352">
        <v>43</v>
      </c>
      <c r="AS352">
        <v>1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1</v>
      </c>
      <c r="AZ352" t="s">
        <v>257</v>
      </c>
      <c r="BA352" t="s">
        <v>980</v>
      </c>
      <c r="BB352" t="s">
        <v>981</v>
      </c>
      <c r="BC352" t="s">
        <v>257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 t="s">
        <v>998</v>
      </c>
      <c r="BK352" t="s">
        <v>981</v>
      </c>
      <c r="BL352" t="s">
        <v>3368</v>
      </c>
      <c r="BM352">
        <v>20160621</v>
      </c>
      <c r="BN352">
        <v>20181119</v>
      </c>
      <c r="BO352">
        <v>0</v>
      </c>
      <c r="BP352" t="s">
        <v>257</v>
      </c>
      <c r="BQ352" t="s">
        <v>983</v>
      </c>
      <c r="BR352" t="s">
        <v>978</v>
      </c>
      <c r="BS352" t="s">
        <v>3372</v>
      </c>
      <c r="BT352">
        <v>0</v>
      </c>
      <c r="BU352">
        <v>0</v>
      </c>
      <c r="BV352" t="s">
        <v>1013</v>
      </c>
      <c r="BW352" t="s">
        <v>257</v>
      </c>
      <c r="BX352">
        <v>0</v>
      </c>
      <c r="BY352" t="s">
        <v>980</v>
      </c>
      <c r="BZ352" t="s">
        <v>257</v>
      </c>
      <c r="CA352">
        <v>0</v>
      </c>
      <c r="CB352">
        <v>0</v>
      </c>
      <c r="CC352" t="s">
        <v>2498</v>
      </c>
      <c r="CD352">
        <v>0</v>
      </c>
      <c r="CE352">
        <v>0</v>
      </c>
      <c r="CF352">
        <v>0</v>
      </c>
      <c r="CG352">
        <v>0</v>
      </c>
      <c r="CH352">
        <v>0</v>
      </c>
      <c r="CI352" t="s">
        <v>983</v>
      </c>
      <c r="CJ352" t="s">
        <v>972</v>
      </c>
      <c r="CK352" t="s">
        <v>986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 t="s">
        <v>987</v>
      </c>
      <c r="CV352">
        <v>400008355</v>
      </c>
      <c r="CW352" t="s">
        <v>987</v>
      </c>
      <c r="CX352" t="s">
        <v>1081</v>
      </c>
      <c r="CY352" t="s">
        <v>989</v>
      </c>
    </row>
    <row r="353" spans="1:103" hidden="1" x14ac:dyDescent="0.25">
      <c r="A353">
        <v>410000356</v>
      </c>
      <c r="B353" t="s">
        <v>3373</v>
      </c>
      <c r="C353" t="s">
        <v>3374</v>
      </c>
      <c r="D353">
        <v>401100000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1</v>
      </c>
      <c r="Y353" t="s">
        <v>972</v>
      </c>
      <c r="Z353" t="s">
        <v>987</v>
      </c>
      <c r="AA353" t="s">
        <v>3375</v>
      </c>
      <c r="AB353" t="s">
        <v>975</v>
      </c>
      <c r="AC353">
        <v>7180</v>
      </c>
      <c r="AD353" t="s">
        <v>3376</v>
      </c>
      <c r="AE353" t="s">
        <v>3377</v>
      </c>
      <c r="AF353" t="s">
        <v>3378</v>
      </c>
      <c r="AG353" t="s">
        <v>977</v>
      </c>
      <c r="AH353" t="s">
        <v>977</v>
      </c>
      <c r="AI353" t="s">
        <v>977</v>
      </c>
      <c r="AJ353" t="s">
        <v>978</v>
      </c>
      <c r="AK353" t="s">
        <v>978</v>
      </c>
      <c r="AL353" t="s">
        <v>978</v>
      </c>
      <c r="AM353" t="s">
        <v>979</v>
      </c>
      <c r="AN353">
        <v>0</v>
      </c>
      <c r="AO353" t="s">
        <v>257</v>
      </c>
      <c r="AP353">
        <v>0</v>
      </c>
      <c r="AQ353">
        <v>1</v>
      </c>
      <c r="AR353">
        <v>43</v>
      </c>
      <c r="AS353">
        <v>1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1</v>
      </c>
      <c r="AZ353" t="s">
        <v>257</v>
      </c>
      <c r="BA353" t="s">
        <v>980</v>
      </c>
      <c r="BB353" t="s">
        <v>981</v>
      </c>
      <c r="BC353" t="s">
        <v>257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 t="s">
        <v>998</v>
      </c>
      <c r="BK353" t="s">
        <v>981</v>
      </c>
      <c r="BL353" t="s">
        <v>3373</v>
      </c>
      <c r="BM353">
        <v>20160628</v>
      </c>
      <c r="BN353">
        <v>20181119</v>
      </c>
      <c r="BO353">
        <v>0</v>
      </c>
      <c r="BP353" t="s">
        <v>257</v>
      </c>
      <c r="BQ353" t="s">
        <v>983</v>
      </c>
      <c r="BR353" t="s">
        <v>978</v>
      </c>
      <c r="BS353" t="s">
        <v>979</v>
      </c>
      <c r="BT353">
        <v>0</v>
      </c>
      <c r="BU353">
        <v>0</v>
      </c>
      <c r="BV353" t="s">
        <v>1013</v>
      </c>
      <c r="BW353" t="s">
        <v>257</v>
      </c>
      <c r="BX353">
        <v>0</v>
      </c>
      <c r="BY353" t="s">
        <v>980</v>
      </c>
      <c r="BZ353" t="s">
        <v>257</v>
      </c>
      <c r="CA353">
        <v>0</v>
      </c>
      <c r="CB353">
        <v>0</v>
      </c>
      <c r="CC353" t="s">
        <v>1033</v>
      </c>
      <c r="CD353">
        <v>0</v>
      </c>
      <c r="CE353">
        <v>0</v>
      </c>
      <c r="CF353">
        <v>0</v>
      </c>
      <c r="CG353">
        <v>0</v>
      </c>
      <c r="CH353">
        <v>0</v>
      </c>
      <c r="CI353" t="s">
        <v>983</v>
      </c>
      <c r="CJ353" t="s">
        <v>972</v>
      </c>
      <c r="CK353" t="s">
        <v>986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 t="s">
        <v>987</v>
      </c>
      <c r="CV353">
        <v>400008356</v>
      </c>
      <c r="CW353" t="s">
        <v>987</v>
      </c>
      <c r="CX353" t="s">
        <v>3379</v>
      </c>
      <c r="CY353" t="s">
        <v>989</v>
      </c>
    </row>
    <row r="354" spans="1:103" hidden="1" x14ac:dyDescent="0.25">
      <c r="A354">
        <v>410000357</v>
      </c>
      <c r="B354" t="s">
        <v>3380</v>
      </c>
      <c r="C354" t="s">
        <v>3381</v>
      </c>
      <c r="D354">
        <v>401100000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1</v>
      </c>
      <c r="Y354" t="s">
        <v>972</v>
      </c>
      <c r="Z354" t="s">
        <v>987</v>
      </c>
      <c r="AA354" t="s">
        <v>3382</v>
      </c>
      <c r="AB354" t="s">
        <v>975</v>
      </c>
      <c r="AC354">
        <v>4420</v>
      </c>
      <c r="AD354" t="s">
        <v>3383</v>
      </c>
      <c r="AE354">
        <v>3242635185</v>
      </c>
      <c r="AF354">
        <v>3242462085</v>
      </c>
      <c r="AG354" t="s">
        <v>977</v>
      </c>
      <c r="AH354" t="s">
        <v>977</v>
      </c>
      <c r="AI354" t="s">
        <v>977</v>
      </c>
      <c r="AJ354" t="s">
        <v>978</v>
      </c>
      <c r="AK354" t="s">
        <v>978</v>
      </c>
      <c r="AL354" t="s">
        <v>978</v>
      </c>
      <c r="AM354" t="s">
        <v>979</v>
      </c>
      <c r="AN354">
        <v>0</v>
      </c>
      <c r="AO354" t="s">
        <v>257</v>
      </c>
      <c r="AP354">
        <v>0</v>
      </c>
      <c r="AQ354">
        <v>1</v>
      </c>
      <c r="AR354">
        <v>43</v>
      </c>
      <c r="AS354">
        <v>1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1</v>
      </c>
      <c r="AZ354" t="s">
        <v>257</v>
      </c>
      <c r="BA354" t="s">
        <v>980</v>
      </c>
      <c r="BB354" t="s">
        <v>981</v>
      </c>
      <c r="BC354" t="s">
        <v>257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 t="s">
        <v>998</v>
      </c>
      <c r="BK354" t="s">
        <v>981</v>
      </c>
      <c r="BL354" t="s">
        <v>3380</v>
      </c>
      <c r="BM354">
        <v>20160629</v>
      </c>
      <c r="BN354">
        <v>20240129</v>
      </c>
      <c r="BO354">
        <v>0</v>
      </c>
      <c r="BP354" t="s">
        <v>257</v>
      </c>
      <c r="BQ354" t="s">
        <v>983</v>
      </c>
      <c r="BR354" t="s">
        <v>978</v>
      </c>
      <c r="BS354">
        <v>32473588154</v>
      </c>
      <c r="BT354">
        <v>0</v>
      </c>
      <c r="BU354">
        <v>0</v>
      </c>
      <c r="BV354" t="s">
        <v>984</v>
      </c>
      <c r="BW354" t="s">
        <v>257</v>
      </c>
      <c r="BX354">
        <v>0</v>
      </c>
      <c r="BY354" t="s">
        <v>980</v>
      </c>
      <c r="BZ354" t="s">
        <v>257</v>
      </c>
      <c r="CA354">
        <v>0</v>
      </c>
      <c r="CB354">
        <v>0</v>
      </c>
      <c r="CC354" t="s">
        <v>1499</v>
      </c>
      <c r="CD354">
        <v>0</v>
      </c>
      <c r="CE354">
        <v>0</v>
      </c>
      <c r="CF354">
        <v>0</v>
      </c>
      <c r="CG354">
        <v>0</v>
      </c>
      <c r="CH354">
        <v>0</v>
      </c>
      <c r="CI354" t="s">
        <v>983</v>
      </c>
      <c r="CJ354" t="s">
        <v>972</v>
      </c>
      <c r="CK354" t="s">
        <v>986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 t="s">
        <v>987</v>
      </c>
      <c r="CV354">
        <v>400008357</v>
      </c>
      <c r="CW354" t="s">
        <v>987</v>
      </c>
      <c r="CX354" t="s">
        <v>3384</v>
      </c>
      <c r="CY354" t="s">
        <v>989</v>
      </c>
    </row>
    <row r="355" spans="1:103" hidden="1" x14ac:dyDescent="0.25">
      <c r="A355">
        <v>410000358</v>
      </c>
      <c r="B355" t="s">
        <v>3385</v>
      </c>
      <c r="C355" t="s">
        <v>3386</v>
      </c>
      <c r="D355">
        <v>401100000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1</v>
      </c>
      <c r="Y355" t="s">
        <v>972</v>
      </c>
      <c r="Z355" t="s">
        <v>3387</v>
      </c>
      <c r="AA355" t="s">
        <v>3388</v>
      </c>
      <c r="AB355" t="s">
        <v>975</v>
      </c>
      <c r="AC355">
        <v>4841</v>
      </c>
      <c r="AD355" t="s">
        <v>1531</v>
      </c>
      <c r="AE355" t="s">
        <v>3389</v>
      </c>
      <c r="AF355" t="s">
        <v>979</v>
      </c>
      <c r="AG355" t="s">
        <v>977</v>
      </c>
      <c r="AH355" t="s">
        <v>977</v>
      </c>
      <c r="AI355" t="s">
        <v>977</v>
      </c>
      <c r="AJ355" t="s">
        <v>978</v>
      </c>
      <c r="AK355" t="s">
        <v>978</v>
      </c>
      <c r="AL355" t="s">
        <v>978</v>
      </c>
      <c r="AM355" t="s">
        <v>979</v>
      </c>
      <c r="AN355">
        <v>0</v>
      </c>
      <c r="AO355" t="s">
        <v>257</v>
      </c>
      <c r="AP355">
        <v>0</v>
      </c>
      <c r="AQ355">
        <v>1</v>
      </c>
      <c r="AR355">
        <v>69</v>
      </c>
      <c r="AS355">
        <v>1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1</v>
      </c>
      <c r="AZ355" t="s">
        <v>257</v>
      </c>
      <c r="BA355" t="s">
        <v>980</v>
      </c>
      <c r="BB355" t="s">
        <v>981</v>
      </c>
      <c r="BC355" t="s">
        <v>257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 t="s">
        <v>998</v>
      </c>
      <c r="BK355" t="s">
        <v>981</v>
      </c>
      <c r="BL355" t="s">
        <v>3385</v>
      </c>
      <c r="BM355">
        <v>20160705</v>
      </c>
      <c r="BN355">
        <v>20240910</v>
      </c>
      <c r="BO355">
        <v>0</v>
      </c>
      <c r="BP355" t="s">
        <v>257</v>
      </c>
      <c r="BQ355" t="s">
        <v>983</v>
      </c>
      <c r="BR355" t="s">
        <v>978</v>
      </c>
      <c r="BS355" t="s">
        <v>979</v>
      </c>
      <c r="BT355">
        <v>0</v>
      </c>
      <c r="BU355">
        <v>0</v>
      </c>
      <c r="BV355" t="s">
        <v>984</v>
      </c>
      <c r="BW355" t="s">
        <v>257</v>
      </c>
      <c r="BX355">
        <v>0</v>
      </c>
      <c r="BY355" t="s">
        <v>980</v>
      </c>
      <c r="BZ355" t="s">
        <v>257</v>
      </c>
      <c r="CA355">
        <v>0</v>
      </c>
      <c r="CB355">
        <v>0</v>
      </c>
      <c r="CC355" t="s">
        <v>1391</v>
      </c>
      <c r="CD355">
        <v>0</v>
      </c>
      <c r="CE355">
        <v>0</v>
      </c>
      <c r="CF355">
        <v>0</v>
      </c>
      <c r="CG355">
        <v>0</v>
      </c>
      <c r="CH355">
        <v>0</v>
      </c>
      <c r="CI355" t="s">
        <v>983</v>
      </c>
      <c r="CJ355" t="s">
        <v>972</v>
      </c>
      <c r="CK355" t="s">
        <v>986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 t="s">
        <v>987</v>
      </c>
      <c r="CV355">
        <v>400008358</v>
      </c>
      <c r="CW355" t="s">
        <v>987</v>
      </c>
      <c r="CX355" t="s">
        <v>3390</v>
      </c>
      <c r="CY355" t="s">
        <v>989</v>
      </c>
    </row>
    <row r="356" spans="1:103" hidden="1" x14ac:dyDescent="0.25">
      <c r="A356">
        <v>410000359</v>
      </c>
      <c r="B356" t="s">
        <v>3391</v>
      </c>
      <c r="C356" t="s">
        <v>3392</v>
      </c>
      <c r="D356">
        <v>401100000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1</v>
      </c>
      <c r="Y356" t="s">
        <v>972</v>
      </c>
      <c r="Z356" t="s">
        <v>3393</v>
      </c>
      <c r="AA356" t="s">
        <v>3394</v>
      </c>
      <c r="AB356" t="s">
        <v>975</v>
      </c>
      <c r="AC356">
        <v>4500</v>
      </c>
      <c r="AD356" t="s">
        <v>1445</v>
      </c>
      <c r="AE356" t="s">
        <v>3395</v>
      </c>
      <c r="AF356" t="s">
        <v>979</v>
      </c>
      <c r="AG356" t="s">
        <v>977</v>
      </c>
      <c r="AH356" t="s">
        <v>977</v>
      </c>
      <c r="AI356" t="s">
        <v>977</v>
      </c>
      <c r="AJ356" t="s">
        <v>978</v>
      </c>
      <c r="AK356" t="s">
        <v>978</v>
      </c>
      <c r="AL356" t="s">
        <v>978</v>
      </c>
      <c r="AM356" t="s">
        <v>979</v>
      </c>
      <c r="AN356">
        <v>0</v>
      </c>
      <c r="AO356" t="s">
        <v>257</v>
      </c>
      <c r="AP356">
        <v>0</v>
      </c>
      <c r="AQ356">
        <v>1</v>
      </c>
      <c r="AR356">
        <v>43</v>
      </c>
      <c r="AS356">
        <v>1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1</v>
      </c>
      <c r="AZ356" t="s">
        <v>257</v>
      </c>
      <c r="BA356" t="s">
        <v>980</v>
      </c>
      <c r="BB356" t="s">
        <v>981</v>
      </c>
      <c r="BC356" t="s">
        <v>257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 t="s">
        <v>998</v>
      </c>
      <c r="BK356" t="s">
        <v>981</v>
      </c>
      <c r="BL356" t="s">
        <v>3391</v>
      </c>
      <c r="BM356">
        <v>20160708</v>
      </c>
      <c r="BN356">
        <v>20181119</v>
      </c>
      <c r="BO356">
        <v>0</v>
      </c>
      <c r="BP356" t="s">
        <v>257</v>
      </c>
      <c r="BQ356" t="s">
        <v>983</v>
      </c>
      <c r="BR356" t="s">
        <v>978</v>
      </c>
      <c r="BS356" t="s">
        <v>979</v>
      </c>
      <c r="BT356">
        <v>0</v>
      </c>
      <c r="BU356">
        <v>0</v>
      </c>
      <c r="BV356" t="s">
        <v>1013</v>
      </c>
      <c r="BW356" t="s">
        <v>257</v>
      </c>
      <c r="BX356">
        <v>0</v>
      </c>
      <c r="BY356" t="s">
        <v>980</v>
      </c>
      <c r="BZ356" t="s">
        <v>257</v>
      </c>
      <c r="CA356">
        <v>0</v>
      </c>
      <c r="CB356">
        <v>0</v>
      </c>
      <c r="CC356" t="s">
        <v>1070</v>
      </c>
      <c r="CD356">
        <v>0</v>
      </c>
      <c r="CE356">
        <v>0</v>
      </c>
      <c r="CF356">
        <v>0</v>
      </c>
      <c r="CG356">
        <v>0</v>
      </c>
      <c r="CH356">
        <v>0</v>
      </c>
      <c r="CI356" t="s">
        <v>983</v>
      </c>
      <c r="CJ356" t="s">
        <v>972</v>
      </c>
      <c r="CK356" t="s">
        <v>986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 t="s">
        <v>987</v>
      </c>
      <c r="CV356">
        <v>400008359</v>
      </c>
      <c r="CW356" t="s">
        <v>987</v>
      </c>
      <c r="CX356" t="s">
        <v>3396</v>
      </c>
      <c r="CY356" t="s">
        <v>989</v>
      </c>
    </row>
    <row r="357" spans="1:103" hidden="1" x14ac:dyDescent="0.25">
      <c r="A357">
        <v>410000360</v>
      </c>
      <c r="B357" t="s">
        <v>3397</v>
      </c>
      <c r="C357" t="s">
        <v>978</v>
      </c>
      <c r="D357">
        <v>401100000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</v>
      </c>
      <c r="W357">
        <v>1</v>
      </c>
      <c r="X357">
        <v>1</v>
      </c>
      <c r="Y357" t="s">
        <v>972</v>
      </c>
      <c r="Z357" t="s">
        <v>987</v>
      </c>
      <c r="AA357" t="s">
        <v>3398</v>
      </c>
      <c r="AB357" t="s">
        <v>975</v>
      </c>
      <c r="AC357">
        <v>4900</v>
      </c>
      <c r="AD357" t="s">
        <v>1386</v>
      </c>
      <c r="AE357" t="s">
        <v>979</v>
      </c>
      <c r="AF357" t="s">
        <v>979</v>
      </c>
      <c r="AG357" t="s">
        <v>977</v>
      </c>
      <c r="AH357" t="s">
        <v>977</v>
      </c>
      <c r="AI357" t="s">
        <v>977</v>
      </c>
      <c r="AJ357" t="s">
        <v>3399</v>
      </c>
      <c r="AK357" t="s">
        <v>3400</v>
      </c>
      <c r="AL357" t="s">
        <v>978</v>
      </c>
      <c r="AM357" t="s">
        <v>979</v>
      </c>
      <c r="AN357">
        <v>0</v>
      </c>
      <c r="AO357" t="s">
        <v>257</v>
      </c>
      <c r="AP357">
        <v>0</v>
      </c>
      <c r="AQ357">
        <v>1</v>
      </c>
      <c r="AR357">
        <v>43</v>
      </c>
      <c r="AS357">
        <v>1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1</v>
      </c>
      <c r="AZ357" t="s">
        <v>257</v>
      </c>
      <c r="BA357" t="s">
        <v>980</v>
      </c>
      <c r="BB357" t="s">
        <v>981</v>
      </c>
      <c r="BC357" t="s">
        <v>257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 t="s">
        <v>998</v>
      </c>
      <c r="BK357" t="s">
        <v>981</v>
      </c>
      <c r="BL357" t="s">
        <v>3397</v>
      </c>
      <c r="BM357">
        <v>20160708</v>
      </c>
      <c r="BN357">
        <v>20181119</v>
      </c>
      <c r="BO357">
        <v>0</v>
      </c>
      <c r="BP357" t="s">
        <v>257</v>
      </c>
      <c r="BQ357" t="s">
        <v>983</v>
      </c>
      <c r="BR357" t="s">
        <v>978</v>
      </c>
      <c r="BS357" t="s">
        <v>979</v>
      </c>
      <c r="BT357">
        <v>0</v>
      </c>
      <c r="BU357">
        <v>0</v>
      </c>
      <c r="BV357" t="s">
        <v>1013</v>
      </c>
      <c r="BW357" t="s">
        <v>257</v>
      </c>
      <c r="BX357">
        <v>0</v>
      </c>
      <c r="BY357" t="s">
        <v>980</v>
      </c>
      <c r="BZ357" t="s">
        <v>257</v>
      </c>
      <c r="CA357">
        <v>0</v>
      </c>
      <c r="CB357">
        <v>0</v>
      </c>
      <c r="CC357" t="s">
        <v>1430</v>
      </c>
      <c r="CD357">
        <v>0</v>
      </c>
      <c r="CE357">
        <v>0</v>
      </c>
      <c r="CF357">
        <v>0</v>
      </c>
      <c r="CG357">
        <v>0</v>
      </c>
      <c r="CH357">
        <v>0</v>
      </c>
      <c r="CI357" t="s">
        <v>983</v>
      </c>
      <c r="CJ357" t="s">
        <v>972</v>
      </c>
      <c r="CK357" t="s">
        <v>986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 t="s">
        <v>987</v>
      </c>
      <c r="CV357">
        <v>400008360</v>
      </c>
      <c r="CW357" t="s">
        <v>987</v>
      </c>
      <c r="CX357" t="s">
        <v>1081</v>
      </c>
      <c r="CY357" t="s">
        <v>989</v>
      </c>
    </row>
    <row r="358" spans="1:103" hidden="1" x14ac:dyDescent="0.25">
      <c r="A358">
        <v>410000361</v>
      </c>
      <c r="B358" t="s">
        <v>3401</v>
      </c>
      <c r="C358" t="s">
        <v>978</v>
      </c>
      <c r="D358">
        <v>401100000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</v>
      </c>
      <c r="W358">
        <v>1</v>
      </c>
      <c r="X358">
        <v>1</v>
      </c>
      <c r="Y358" t="s">
        <v>972</v>
      </c>
      <c r="Z358" t="s">
        <v>987</v>
      </c>
      <c r="AA358" t="s">
        <v>3402</v>
      </c>
      <c r="AB358" t="s">
        <v>975</v>
      </c>
      <c r="AC358">
        <v>4000</v>
      </c>
      <c r="AD358" t="s">
        <v>1019</v>
      </c>
      <c r="AE358" t="s">
        <v>979</v>
      </c>
      <c r="AF358" t="s">
        <v>979</v>
      </c>
      <c r="AG358" t="s">
        <v>977</v>
      </c>
      <c r="AH358" t="s">
        <v>977</v>
      </c>
      <c r="AI358" t="s">
        <v>977</v>
      </c>
      <c r="AJ358" t="s">
        <v>978</v>
      </c>
      <c r="AK358" t="s">
        <v>978</v>
      </c>
      <c r="AL358" t="s">
        <v>978</v>
      </c>
      <c r="AM358" t="s">
        <v>979</v>
      </c>
      <c r="AN358">
        <v>0</v>
      </c>
      <c r="AO358" t="s">
        <v>257</v>
      </c>
      <c r="AP358">
        <v>0</v>
      </c>
      <c r="AQ358">
        <v>1</v>
      </c>
      <c r="AR358">
        <v>43</v>
      </c>
      <c r="AS358">
        <v>1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1</v>
      </c>
      <c r="AZ358" t="s">
        <v>257</v>
      </c>
      <c r="BA358" t="s">
        <v>980</v>
      </c>
      <c r="BB358" t="s">
        <v>981</v>
      </c>
      <c r="BC358" t="s">
        <v>257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 t="s">
        <v>998</v>
      </c>
      <c r="BK358" t="s">
        <v>981</v>
      </c>
      <c r="BL358" t="s">
        <v>3401</v>
      </c>
      <c r="BM358">
        <v>20160711</v>
      </c>
      <c r="BN358">
        <v>20181119</v>
      </c>
      <c r="BO358">
        <v>0</v>
      </c>
      <c r="BP358" t="s">
        <v>257</v>
      </c>
      <c r="BQ358" t="s">
        <v>983</v>
      </c>
      <c r="BR358" t="s">
        <v>978</v>
      </c>
      <c r="BS358" t="s">
        <v>3403</v>
      </c>
      <c r="BT358">
        <v>0</v>
      </c>
      <c r="BU358">
        <v>0</v>
      </c>
      <c r="BV358" t="s">
        <v>1013</v>
      </c>
      <c r="BW358" t="s">
        <v>257</v>
      </c>
      <c r="BX358">
        <v>0</v>
      </c>
      <c r="BY358" t="s">
        <v>980</v>
      </c>
      <c r="BZ358" t="s">
        <v>257</v>
      </c>
      <c r="CA358">
        <v>0</v>
      </c>
      <c r="CB358">
        <v>0</v>
      </c>
      <c r="CC358" t="s">
        <v>1572</v>
      </c>
      <c r="CD358">
        <v>0</v>
      </c>
      <c r="CE358">
        <v>0</v>
      </c>
      <c r="CF358">
        <v>0</v>
      </c>
      <c r="CG358">
        <v>0</v>
      </c>
      <c r="CH358">
        <v>0</v>
      </c>
      <c r="CI358" t="s">
        <v>983</v>
      </c>
      <c r="CJ358" t="s">
        <v>972</v>
      </c>
      <c r="CK358" t="s">
        <v>986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 t="s">
        <v>987</v>
      </c>
      <c r="CV358">
        <v>400008361</v>
      </c>
      <c r="CW358" t="s">
        <v>987</v>
      </c>
      <c r="CX358" t="s">
        <v>1081</v>
      </c>
      <c r="CY358" t="s">
        <v>989</v>
      </c>
    </row>
    <row r="359" spans="1:103" hidden="1" x14ac:dyDescent="0.25">
      <c r="A359">
        <v>410000362</v>
      </c>
      <c r="B359" t="s">
        <v>258</v>
      </c>
      <c r="C359" t="s">
        <v>3404</v>
      </c>
      <c r="D359">
        <v>401100000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 t="s">
        <v>972</v>
      </c>
      <c r="Z359" t="s">
        <v>3405</v>
      </c>
      <c r="AA359" t="s">
        <v>3406</v>
      </c>
      <c r="AB359" t="s">
        <v>975</v>
      </c>
      <c r="AC359">
        <v>6230</v>
      </c>
      <c r="AD359" t="s">
        <v>1712</v>
      </c>
      <c r="AE359" t="s">
        <v>3407</v>
      </c>
      <c r="AF359" t="s">
        <v>979</v>
      </c>
      <c r="AG359" t="s">
        <v>977</v>
      </c>
      <c r="AH359" t="s">
        <v>977</v>
      </c>
      <c r="AI359" t="s">
        <v>977</v>
      </c>
      <c r="AJ359" t="s">
        <v>3408</v>
      </c>
      <c r="AK359" t="s">
        <v>3409</v>
      </c>
      <c r="AL359" t="s">
        <v>978</v>
      </c>
      <c r="AM359" t="s">
        <v>979</v>
      </c>
      <c r="AN359">
        <v>0</v>
      </c>
      <c r="AO359" t="s">
        <v>257</v>
      </c>
      <c r="AP359">
        <v>0</v>
      </c>
      <c r="AQ359">
        <v>1</v>
      </c>
      <c r="AR359">
        <v>43</v>
      </c>
      <c r="AS359">
        <v>1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1</v>
      </c>
      <c r="AZ359" t="s">
        <v>257</v>
      </c>
      <c r="BA359" t="s">
        <v>980</v>
      </c>
      <c r="BB359" t="s">
        <v>981</v>
      </c>
      <c r="BC359" t="s">
        <v>257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 t="s">
        <v>998</v>
      </c>
      <c r="BK359" t="s">
        <v>981</v>
      </c>
      <c r="BL359" t="s">
        <v>258</v>
      </c>
      <c r="BM359">
        <v>20160711</v>
      </c>
      <c r="BN359">
        <v>20181119</v>
      </c>
      <c r="BO359">
        <v>0</v>
      </c>
      <c r="BP359" t="s">
        <v>257</v>
      </c>
      <c r="BQ359" t="s">
        <v>983</v>
      </c>
      <c r="BR359" t="s">
        <v>978</v>
      </c>
      <c r="BS359" t="s">
        <v>979</v>
      </c>
      <c r="BT359">
        <v>0</v>
      </c>
      <c r="BU359">
        <v>0</v>
      </c>
      <c r="BV359" t="s">
        <v>1013</v>
      </c>
      <c r="BW359" t="s">
        <v>257</v>
      </c>
      <c r="BX359">
        <v>0</v>
      </c>
      <c r="BY359" t="s">
        <v>980</v>
      </c>
      <c r="BZ359" t="s">
        <v>257</v>
      </c>
      <c r="CA359">
        <v>0</v>
      </c>
      <c r="CB359">
        <v>0</v>
      </c>
      <c r="CC359" t="s">
        <v>1430</v>
      </c>
      <c r="CD359">
        <v>0</v>
      </c>
      <c r="CE359">
        <v>0</v>
      </c>
      <c r="CF359">
        <v>0</v>
      </c>
      <c r="CG359">
        <v>0</v>
      </c>
      <c r="CH359">
        <v>0</v>
      </c>
      <c r="CI359" t="s">
        <v>983</v>
      </c>
      <c r="CJ359" t="s">
        <v>972</v>
      </c>
      <c r="CK359" t="s">
        <v>986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 t="s">
        <v>987</v>
      </c>
      <c r="CV359">
        <v>400008362</v>
      </c>
      <c r="CW359" t="s">
        <v>987</v>
      </c>
      <c r="CX359" t="s">
        <v>3410</v>
      </c>
      <c r="CY359" t="s">
        <v>989</v>
      </c>
    </row>
    <row r="360" spans="1:103" hidden="1" x14ac:dyDescent="0.25">
      <c r="A360">
        <v>410000364</v>
      </c>
      <c r="B360" t="s">
        <v>3411</v>
      </c>
      <c r="C360" t="s">
        <v>3412</v>
      </c>
      <c r="D360">
        <v>401100000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1</v>
      </c>
      <c r="Y360" t="s">
        <v>972</v>
      </c>
      <c r="Z360" t="s">
        <v>3413</v>
      </c>
      <c r="AA360" t="s">
        <v>3414</v>
      </c>
      <c r="AB360" t="s">
        <v>975</v>
      </c>
      <c r="AC360">
        <v>6850</v>
      </c>
      <c r="AD360" t="s">
        <v>3415</v>
      </c>
      <c r="AE360">
        <v>3261534610</v>
      </c>
      <c r="AF360" t="s">
        <v>979</v>
      </c>
      <c r="AG360" t="s">
        <v>977</v>
      </c>
      <c r="AH360" t="s">
        <v>977</v>
      </c>
      <c r="AI360" t="s">
        <v>977</v>
      </c>
      <c r="AJ360" t="s">
        <v>978</v>
      </c>
      <c r="AK360" t="s">
        <v>978</v>
      </c>
      <c r="AL360" t="s">
        <v>978</v>
      </c>
      <c r="AM360" t="s">
        <v>979</v>
      </c>
      <c r="AN360">
        <v>0</v>
      </c>
      <c r="AO360" t="s">
        <v>257</v>
      </c>
      <c r="AP360">
        <v>0</v>
      </c>
      <c r="AQ360">
        <v>1</v>
      </c>
      <c r="AR360">
        <v>43</v>
      </c>
      <c r="AS360">
        <v>1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1</v>
      </c>
      <c r="AZ360" t="s">
        <v>257</v>
      </c>
      <c r="BA360" t="s">
        <v>980</v>
      </c>
      <c r="BB360" t="s">
        <v>981</v>
      </c>
      <c r="BC360" t="s">
        <v>257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 t="s">
        <v>998</v>
      </c>
      <c r="BK360" t="s">
        <v>981</v>
      </c>
      <c r="BL360" t="s">
        <v>3411</v>
      </c>
      <c r="BM360">
        <v>20160719</v>
      </c>
      <c r="BN360">
        <v>20181119</v>
      </c>
      <c r="BO360">
        <v>0</v>
      </c>
      <c r="BP360" t="s">
        <v>257</v>
      </c>
      <c r="BQ360" t="s">
        <v>983</v>
      </c>
      <c r="BR360" t="s">
        <v>978</v>
      </c>
      <c r="BS360" t="s">
        <v>979</v>
      </c>
      <c r="BT360">
        <v>0</v>
      </c>
      <c r="BU360">
        <v>0</v>
      </c>
      <c r="BV360" t="s">
        <v>1013</v>
      </c>
      <c r="BW360" t="s">
        <v>257</v>
      </c>
      <c r="BX360">
        <v>0</v>
      </c>
      <c r="BY360" t="s">
        <v>980</v>
      </c>
      <c r="BZ360" t="s">
        <v>257</v>
      </c>
      <c r="CA360">
        <v>0</v>
      </c>
      <c r="CB360">
        <v>0</v>
      </c>
      <c r="CC360" t="s">
        <v>3416</v>
      </c>
      <c r="CD360">
        <v>0</v>
      </c>
      <c r="CE360">
        <v>0</v>
      </c>
      <c r="CF360">
        <v>0</v>
      </c>
      <c r="CG360">
        <v>0</v>
      </c>
      <c r="CH360">
        <v>0</v>
      </c>
      <c r="CI360" t="s">
        <v>983</v>
      </c>
      <c r="CJ360" t="s">
        <v>972</v>
      </c>
      <c r="CK360" t="s">
        <v>986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 t="s">
        <v>987</v>
      </c>
      <c r="CV360">
        <v>400008364</v>
      </c>
      <c r="CW360" t="s">
        <v>987</v>
      </c>
      <c r="CX360" t="s">
        <v>3417</v>
      </c>
      <c r="CY360" t="s">
        <v>989</v>
      </c>
    </row>
    <row r="361" spans="1:103" hidden="1" x14ac:dyDescent="0.25">
      <c r="A361">
        <v>410000365</v>
      </c>
      <c r="B361" t="s">
        <v>3418</v>
      </c>
      <c r="C361" t="s">
        <v>3419</v>
      </c>
      <c r="D361">
        <v>401100000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1</v>
      </c>
      <c r="Y361" t="s">
        <v>972</v>
      </c>
      <c r="Z361" t="s">
        <v>3420</v>
      </c>
      <c r="AA361" t="s">
        <v>3421</v>
      </c>
      <c r="AB361" t="s">
        <v>975</v>
      </c>
      <c r="AC361">
        <v>4877</v>
      </c>
      <c r="AD361" t="s">
        <v>1322</v>
      </c>
      <c r="AE361" t="s">
        <v>979</v>
      </c>
      <c r="AF361" t="s">
        <v>979</v>
      </c>
      <c r="AG361" t="s">
        <v>977</v>
      </c>
      <c r="AH361" t="s">
        <v>977</v>
      </c>
      <c r="AI361" t="s">
        <v>977</v>
      </c>
      <c r="AJ361" t="s">
        <v>978</v>
      </c>
      <c r="AK361" t="s">
        <v>978</v>
      </c>
      <c r="AL361" t="s">
        <v>978</v>
      </c>
      <c r="AM361" t="s">
        <v>979</v>
      </c>
      <c r="AN361">
        <v>0</v>
      </c>
      <c r="AO361" t="s">
        <v>257</v>
      </c>
      <c r="AP361">
        <v>0</v>
      </c>
      <c r="AQ361">
        <v>1</v>
      </c>
      <c r="AR361">
        <v>43</v>
      </c>
      <c r="AS361">
        <v>1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1</v>
      </c>
      <c r="AZ361" t="s">
        <v>257</v>
      </c>
      <c r="BA361" t="s">
        <v>980</v>
      </c>
      <c r="BB361" t="s">
        <v>981</v>
      </c>
      <c r="BC361" t="s">
        <v>257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 t="s">
        <v>998</v>
      </c>
      <c r="BK361" t="s">
        <v>981</v>
      </c>
      <c r="BL361" t="s">
        <v>3418</v>
      </c>
      <c r="BM361">
        <v>20160726</v>
      </c>
      <c r="BN361">
        <v>20181119</v>
      </c>
      <c r="BO361">
        <v>0</v>
      </c>
      <c r="BP361" t="s">
        <v>257</v>
      </c>
      <c r="BQ361" t="s">
        <v>983</v>
      </c>
      <c r="BR361" t="s">
        <v>978</v>
      </c>
      <c r="BS361" t="s">
        <v>979</v>
      </c>
      <c r="BT361">
        <v>0</v>
      </c>
      <c r="BU361">
        <v>0</v>
      </c>
      <c r="BV361" t="s">
        <v>1013</v>
      </c>
      <c r="BW361" t="s">
        <v>257</v>
      </c>
      <c r="BX361">
        <v>0</v>
      </c>
      <c r="BY361" t="s">
        <v>980</v>
      </c>
      <c r="BZ361" t="s">
        <v>257</v>
      </c>
      <c r="CA361">
        <v>0</v>
      </c>
      <c r="CB361">
        <v>0</v>
      </c>
      <c r="CC361" t="s">
        <v>1207</v>
      </c>
      <c r="CD361">
        <v>0</v>
      </c>
      <c r="CE361">
        <v>0</v>
      </c>
      <c r="CF361">
        <v>0</v>
      </c>
      <c r="CG361">
        <v>0</v>
      </c>
      <c r="CH361">
        <v>0</v>
      </c>
      <c r="CI361" t="s">
        <v>983</v>
      </c>
      <c r="CJ361" t="s">
        <v>972</v>
      </c>
      <c r="CK361" t="s">
        <v>986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 t="s">
        <v>987</v>
      </c>
      <c r="CV361">
        <v>400008365</v>
      </c>
      <c r="CW361" t="s">
        <v>987</v>
      </c>
      <c r="CX361" t="s">
        <v>1081</v>
      </c>
      <c r="CY361" t="s">
        <v>989</v>
      </c>
    </row>
    <row r="362" spans="1:103" hidden="1" x14ac:dyDescent="0.25">
      <c r="A362">
        <v>410000366</v>
      </c>
      <c r="B362" t="s">
        <v>3422</v>
      </c>
      <c r="C362" t="s">
        <v>3423</v>
      </c>
      <c r="D362">
        <v>401100000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1</v>
      </c>
      <c r="Y362" t="s">
        <v>972</v>
      </c>
      <c r="Z362" t="s">
        <v>3424</v>
      </c>
      <c r="AA362" t="s">
        <v>3425</v>
      </c>
      <c r="AB362" t="s">
        <v>975</v>
      </c>
      <c r="AC362">
        <v>4040</v>
      </c>
      <c r="AD362" t="s">
        <v>976</v>
      </c>
      <c r="AE362" t="s">
        <v>3426</v>
      </c>
      <c r="AF362" t="s">
        <v>3427</v>
      </c>
      <c r="AG362" t="s">
        <v>977</v>
      </c>
      <c r="AH362" t="s">
        <v>977</v>
      </c>
      <c r="AI362" t="s">
        <v>977</v>
      </c>
      <c r="AJ362" t="s">
        <v>978</v>
      </c>
      <c r="AK362" t="s">
        <v>978</v>
      </c>
      <c r="AL362" t="s">
        <v>978</v>
      </c>
      <c r="AM362" t="s">
        <v>979</v>
      </c>
      <c r="AN362">
        <v>0</v>
      </c>
      <c r="AO362" t="s">
        <v>257</v>
      </c>
      <c r="AP362">
        <v>0</v>
      </c>
      <c r="AQ362">
        <v>1</v>
      </c>
      <c r="AR362">
        <v>43</v>
      </c>
      <c r="AS362">
        <v>1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1</v>
      </c>
      <c r="AZ362" t="s">
        <v>257</v>
      </c>
      <c r="BA362" t="s">
        <v>980</v>
      </c>
      <c r="BB362" t="s">
        <v>1010</v>
      </c>
      <c r="BC362" t="s">
        <v>257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 t="s">
        <v>998</v>
      </c>
      <c r="BK362" t="s">
        <v>981</v>
      </c>
      <c r="BL362" t="s">
        <v>3422</v>
      </c>
      <c r="BM362">
        <v>20160808</v>
      </c>
      <c r="BN362">
        <v>20210706</v>
      </c>
      <c r="BO362">
        <v>20210706</v>
      </c>
      <c r="BP362" t="s">
        <v>257</v>
      </c>
      <c r="BQ362" t="s">
        <v>983</v>
      </c>
      <c r="BR362" t="s">
        <v>978</v>
      </c>
      <c r="BS362" t="s">
        <v>979</v>
      </c>
      <c r="BT362">
        <v>0</v>
      </c>
      <c r="BU362">
        <v>0</v>
      </c>
      <c r="BV362" t="s">
        <v>984</v>
      </c>
      <c r="BW362" t="s">
        <v>257</v>
      </c>
      <c r="BX362">
        <v>0</v>
      </c>
      <c r="BY362" t="s">
        <v>980</v>
      </c>
      <c r="BZ362" t="s">
        <v>257</v>
      </c>
      <c r="CA362">
        <v>0</v>
      </c>
      <c r="CB362">
        <v>0</v>
      </c>
      <c r="CC362" t="s">
        <v>1113</v>
      </c>
      <c r="CD362">
        <v>0</v>
      </c>
      <c r="CE362">
        <v>0</v>
      </c>
      <c r="CF362">
        <v>0</v>
      </c>
      <c r="CG362">
        <v>0</v>
      </c>
      <c r="CH362">
        <v>0</v>
      </c>
      <c r="CI362" t="s">
        <v>983</v>
      </c>
      <c r="CJ362" t="s">
        <v>972</v>
      </c>
      <c r="CK362" t="s">
        <v>986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 t="s">
        <v>987</v>
      </c>
      <c r="CV362">
        <v>400008366</v>
      </c>
      <c r="CW362" t="s">
        <v>987</v>
      </c>
      <c r="CX362" t="s">
        <v>3428</v>
      </c>
      <c r="CY362" t="s">
        <v>989</v>
      </c>
    </row>
    <row r="363" spans="1:103" hidden="1" x14ac:dyDescent="0.25">
      <c r="A363">
        <v>410000367</v>
      </c>
      <c r="B363" t="s">
        <v>3429</v>
      </c>
      <c r="C363" t="s">
        <v>3430</v>
      </c>
      <c r="D363">
        <v>401100000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 t="s">
        <v>972</v>
      </c>
      <c r="Z363" t="s">
        <v>3431</v>
      </c>
      <c r="AA363" t="s">
        <v>3432</v>
      </c>
      <c r="AB363" t="s">
        <v>975</v>
      </c>
      <c r="AC363">
        <v>4141</v>
      </c>
      <c r="AD363" t="s">
        <v>3233</v>
      </c>
      <c r="AE363" t="s">
        <v>3433</v>
      </c>
      <c r="AF363" t="s">
        <v>3434</v>
      </c>
      <c r="AG363" t="s">
        <v>977</v>
      </c>
      <c r="AH363" t="s">
        <v>977</v>
      </c>
      <c r="AI363" t="s">
        <v>977</v>
      </c>
      <c r="AJ363" t="s">
        <v>978</v>
      </c>
      <c r="AK363" t="s">
        <v>978</v>
      </c>
      <c r="AL363" t="s">
        <v>978</v>
      </c>
      <c r="AM363" t="s">
        <v>979</v>
      </c>
      <c r="AN363">
        <v>0</v>
      </c>
      <c r="AO363" t="s">
        <v>257</v>
      </c>
      <c r="AP363">
        <v>0</v>
      </c>
      <c r="AQ363">
        <v>1</v>
      </c>
      <c r="AR363">
        <v>43</v>
      </c>
      <c r="AS363">
        <v>1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1</v>
      </c>
      <c r="AZ363" t="s">
        <v>257</v>
      </c>
      <c r="BA363" t="s">
        <v>980</v>
      </c>
      <c r="BB363" t="s">
        <v>981</v>
      </c>
      <c r="BC363" t="s">
        <v>257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 t="s">
        <v>998</v>
      </c>
      <c r="BK363" t="s">
        <v>981</v>
      </c>
      <c r="BL363" t="s">
        <v>3429</v>
      </c>
      <c r="BM363">
        <v>20160808</v>
      </c>
      <c r="BN363">
        <v>20190320</v>
      </c>
      <c r="BO363">
        <v>0</v>
      </c>
      <c r="BP363" t="s">
        <v>257</v>
      </c>
      <c r="BQ363" t="s">
        <v>983</v>
      </c>
      <c r="BR363" t="s">
        <v>978</v>
      </c>
      <c r="BS363" t="s">
        <v>979</v>
      </c>
      <c r="BT363">
        <v>0</v>
      </c>
      <c r="BU363">
        <v>0</v>
      </c>
      <c r="BV363" t="s">
        <v>1013</v>
      </c>
      <c r="BW363" t="s">
        <v>257</v>
      </c>
      <c r="BX363">
        <v>0</v>
      </c>
      <c r="BY363" t="s">
        <v>980</v>
      </c>
      <c r="BZ363" t="s">
        <v>257</v>
      </c>
      <c r="CA363">
        <v>0</v>
      </c>
      <c r="CB363">
        <v>0</v>
      </c>
      <c r="CC363" t="s">
        <v>2113</v>
      </c>
      <c r="CD363">
        <v>0</v>
      </c>
      <c r="CE363">
        <v>0</v>
      </c>
      <c r="CF363">
        <v>0</v>
      </c>
      <c r="CG363">
        <v>0</v>
      </c>
      <c r="CH363">
        <v>0</v>
      </c>
      <c r="CI363" t="s">
        <v>983</v>
      </c>
      <c r="CJ363" t="s">
        <v>972</v>
      </c>
      <c r="CK363" t="s">
        <v>986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 t="s">
        <v>987</v>
      </c>
      <c r="CV363">
        <v>400008367</v>
      </c>
      <c r="CW363" t="s">
        <v>987</v>
      </c>
      <c r="CX363" t="s">
        <v>3435</v>
      </c>
      <c r="CY363" t="s">
        <v>989</v>
      </c>
    </row>
    <row r="364" spans="1:103" hidden="1" x14ac:dyDescent="0.25">
      <c r="A364">
        <v>410000368</v>
      </c>
      <c r="B364" t="s">
        <v>3436</v>
      </c>
      <c r="C364" t="s">
        <v>3437</v>
      </c>
      <c r="D364">
        <v>401100000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1</v>
      </c>
      <c r="Y364" t="s">
        <v>1074</v>
      </c>
      <c r="Z364" t="s">
        <v>3438</v>
      </c>
      <c r="AA364" t="s">
        <v>3439</v>
      </c>
      <c r="AB364" t="s">
        <v>975</v>
      </c>
      <c r="AC364">
        <v>4845</v>
      </c>
      <c r="AD364" t="s">
        <v>3440</v>
      </c>
      <c r="AE364">
        <v>3287232911</v>
      </c>
      <c r="AF364" t="s">
        <v>979</v>
      </c>
      <c r="AG364" t="s">
        <v>977</v>
      </c>
      <c r="AH364" t="s">
        <v>977</v>
      </c>
      <c r="AI364" t="s">
        <v>977</v>
      </c>
      <c r="AJ364" t="s">
        <v>978</v>
      </c>
      <c r="AK364" t="s">
        <v>978</v>
      </c>
      <c r="AL364" t="s">
        <v>978</v>
      </c>
      <c r="AM364" t="s">
        <v>979</v>
      </c>
      <c r="AN364">
        <v>0</v>
      </c>
      <c r="AO364" t="s">
        <v>257</v>
      </c>
      <c r="AP364">
        <v>0</v>
      </c>
      <c r="AQ364">
        <v>1</v>
      </c>
      <c r="AR364">
        <v>43</v>
      </c>
      <c r="AS364">
        <v>1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1</v>
      </c>
      <c r="AZ364" t="s">
        <v>257</v>
      </c>
      <c r="BA364" t="s">
        <v>980</v>
      </c>
      <c r="BB364" t="s">
        <v>981</v>
      </c>
      <c r="BC364" t="s">
        <v>257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 t="s">
        <v>998</v>
      </c>
      <c r="BK364" t="s">
        <v>981</v>
      </c>
      <c r="BL364" t="s">
        <v>3436</v>
      </c>
      <c r="BM364">
        <v>20160830</v>
      </c>
      <c r="BN364">
        <v>20181119</v>
      </c>
      <c r="BO364">
        <v>0</v>
      </c>
      <c r="BP364" t="s">
        <v>257</v>
      </c>
      <c r="BQ364" t="s">
        <v>983</v>
      </c>
      <c r="BR364" t="s">
        <v>978</v>
      </c>
      <c r="BS364">
        <v>32495138070</v>
      </c>
      <c r="BT364">
        <v>0</v>
      </c>
      <c r="BU364">
        <v>0</v>
      </c>
      <c r="BV364" t="s">
        <v>1013</v>
      </c>
      <c r="BW364" t="s">
        <v>257</v>
      </c>
      <c r="BX364">
        <v>0</v>
      </c>
      <c r="BY364" t="s">
        <v>980</v>
      </c>
      <c r="BZ364" t="s">
        <v>257</v>
      </c>
      <c r="CA364">
        <v>0</v>
      </c>
      <c r="CB364">
        <v>0</v>
      </c>
      <c r="CC364" t="s">
        <v>2709</v>
      </c>
      <c r="CD364">
        <v>0</v>
      </c>
      <c r="CE364">
        <v>0</v>
      </c>
      <c r="CF364">
        <v>0</v>
      </c>
      <c r="CG364">
        <v>0</v>
      </c>
      <c r="CH364">
        <v>0</v>
      </c>
      <c r="CI364" t="s">
        <v>983</v>
      </c>
      <c r="CJ364" t="s">
        <v>972</v>
      </c>
      <c r="CK364" t="s">
        <v>986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 t="s">
        <v>987</v>
      </c>
      <c r="CV364">
        <v>400008368</v>
      </c>
      <c r="CW364" t="s">
        <v>987</v>
      </c>
      <c r="CX364" t="s">
        <v>3441</v>
      </c>
      <c r="CY364" t="s">
        <v>989</v>
      </c>
    </row>
    <row r="365" spans="1:103" hidden="1" x14ac:dyDescent="0.25">
      <c r="A365">
        <v>410000369</v>
      </c>
      <c r="B365" t="s">
        <v>3442</v>
      </c>
      <c r="C365" t="s">
        <v>3443</v>
      </c>
      <c r="D365">
        <v>401100000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1</v>
      </c>
      <c r="Y365" t="s">
        <v>972</v>
      </c>
      <c r="Z365" t="s">
        <v>3444</v>
      </c>
      <c r="AA365" t="s">
        <v>3445</v>
      </c>
      <c r="AB365" t="s">
        <v>975</v>
      </c>
      <c r="AC365">
        <v>4140</v>
      </c>
      <c r="AD365" t="s">
        <v>2353</v>
      </c>
      <c r="AE365">
        <v>3243459964</v>
      </c>
      <c r="AF365" t="s">
        <v>979</v>
      </c>
      <c r="AG365" t="s">
        <v>977</v>
      </c>
      <c r="AH365" t="s">
        <v>977</v>
      </c>
      <c r="AI365" t="s">
        <v>977</v>
      </c>
      <c r="AJ365" t="s">
        <v>978</v>
      </c>
      <c r="AK365" t="s">
        <v>978</v>
      </c>
      <c r="AL365" t="s">
        <v>978</v>
      </c>
      <c r="AM365" t="s">
        <v>979</v>
      </c>
      <c r="AN365">
        <v>0</v>
      </c>
      <c r="AO365" t="s">
        <v>257</v>
      </c>
      <c r="AP365">
        <v>0</v>
      </c>
      <c r="AQ365">
        <v>1</v>
      </c>
      <c r="AR365">
        <v>43</v>
      </c>
      <c r="AS365">
        <v>1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1</v>
      </c>
      <c r="AZ365" t="s">
        <v>257</v>
      </c>
      <c r="BA365" t="s">
        <v>980</v>
      </c>
      <c r="BB365" t="s">
        <v>981</v>
      </c>
      <c r="BC365" t="s">
        <v>257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 t="s">
        <v>998</v>
      </c>
      <c r="BK365" t="s">
        <v>981</v>
      </c>
      <c r="BL365" t="s">
        <v>3442</v>
      </c>
      <c r="BM365">
        <v>20160901</v>
      </c>
      <c r="BN365">
        <v>20181119</v>
      </c>
      <c r="BO365">
        <v>0</v>
      </c>
      <c r="BP365" t="s">
        <v>257</v>
      </c>
      <c r="BQ365" t="s">
        <v>983</v>
      </c>
      <c r="BR365" t="s">
        <v>978</v>
      </c>
      <c r="BS365" t="s">
        <v>979</v>
      </c>
      <c r="BT365">
        <v>0</v>
      </c>
      <c r="BU365">
        <v>0</v>
      </c>
      <c r="BV365" t="s">
        <v>1013</v>
      </c>
      <c r="BW365" t="s">
        <v>257</v>
      </c>
      <c r="BX365">
        <v>0</v>
      </c>
      <c r="BY365" t="s">
        <v>980</v>
      </c>
      <c r="BZ365" t="s">
        <v>257</v>
      </c>
      <c r="CA365">
        <v>0</v>
      </c>
      <c r="CB365">
        <v>0</v>
      </c>
      <c r="CC365" t="s">
        <v>1304</v>
      </c>
      <c r="CD365">
        <v>0</v>
      </c>
      <c r="CE365">
        <v>0</v>
      </c>
      <c r="CF365">
        <v>0</v>
      </c>
      <c r="CG365">
        <v>0</v>
      </c>
      <c r="CH365">
        <v>0</v>
      </c>
      <c r="CI365" t="s">
        <v>983</v>
      </c>
      <c r="CJ365" t="s">
        <v>972</v>
      </c>
      <c r="CK365" t="s">
        <v>986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 t="s">
        <v>987</v>
      </c>
      <c r="CV365">
        <v>400008369</v>
      </c>
      <c r="CW365" t="s">
        <v>987</v>
      </c>
      <c r="CX365" t="s">
        <v>1081</v>
      </c>
      <c r="CY365" t="s">
        <v>989</v>
      </c>
    </row>
    <row r="366" spans="1:103" hidden="1" x14ac:dyDescent="0.25">
      <c r="A366">
        <v>410000370</v>
      </c>
      <c r="B366" t="s">
        <v>3446</v>
      </c>
      <c r="C366" t="s">
        <v>3447</v>
      </c>
      <c r="D366">
        <v>401100000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 t="s">
        <v>3448</v>
      </c>
      <c r="Z366" t="s">
        <v>3449</v>
      </c>
      <c r="AA366" t="s">
        <v>3450</v>
      </c>
      <c r="AB366" t="s">
        <v>975</v>
      </c>
      <c r="AC366">
        <v>4000</v>
      </c>
      <c r="AD366" t="s">
        <v>1019</v>
      </c>
      <c r="AE366" t="s">
        <v>3451</v>
      </c>
      <c r="AF366" t="s">
        <v>3452</v>
      </c>
      <c r="AG366" t="s">
        <v>977</v>
      </c>
      <c r="AH366" t="s">
        <v>977</v>
      </c>
      <c r="AI366" t="s">
        <v>977</v>
      </c>
      <c r="AJ366" t="s">
        <v>978</v>
      </c>
      <c r="AK366" t="s">
        <v>978</v>
      </c>
      <c r="AL366" t="s">
        <v>978</v>
      </c>
      <c r="AM366" t="s">
        <v>979</v>
      </c>
      <c r="AN366">
        <v>0</v>
      </c>
      <c r="AO366" t="s">
        <v>257</v>
      </c>
      <c r="AP366">
        <v>0</v>
      </c>
      <c r="AQ366">
        <v>1</v>
      </c>
      <c r="AR366">
        <v>43</v>
      </c>
      <c r="AS366">
        <v>1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1</v>
      </c>
      <c r="AZ366" t="s">
        <v>257</v>
      </c>
      <c r="BA366" t="s">
        <v>980</v>
      </c>
      <c r="BB366" t="s">
        <v>981</v>
      </c>
      <c r="BC366" t="s">
        <v>257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 t="s">
        <v>998</v>
      </c>
      <c r="BK366" t="s">
        <v>981</v>
      </c>
      <c r="BL366" t="s">
        <v>3446</v>
      </c>
      <c r="BM366">
        <v>20160916</v>
      </c>
      <c r="BN366">
        <v>20181119</v>
      </c>
      <c r="BO366">
        <v>0</v>
      </c>
      <c r="BP366" t="s">
        <v>257</v>
      </c>
      <c r="BQ366" t="s">
        <v>983</v>
      </c>
      <c r="BR366" t="s">
        <v>978</v>
      </c>
      <c r="BS366" t="s">
        <v>979</v>
      </c>
      <c r="BT366">
        <v>0</v>
      </c>
      <c r="BU366">
        <v>0</v>
      </c>
      <c r="BV366" t="s">
        <v>1013</v>
      </c>
      <c r="BW366" t="s">
        <v>257</v>
      </c>
      <c r="BX366">
        <v>0</v>
      </c>
      <c r="BY366" t="s">
        <v>980</v>
      </c>
      <c r="BZ366" t="s">
        <v>257</v>
      </c>
      <c r="CA366">
        <v>0</v>
      </c>
      <c r="CB366">
        <v>0</v>
      </c>
      <c r="CC366" t="s">
        <v>2000</v>
      </c>
      <c r="CD366">
        <v>0</v>
      </c>
      <c r="CE366">
        <v>0</v>
      </c>
      <c r="CF366">
        <v>0</v>
      </c>
      <c r="CG366">
        <v>0</v>
      </c>
      <c r="CH366">
        <v>0</v>
      </c>
      <c r="CI366" t="s">
        <v>983</v>
      </c>
      <c r="CJ366" t="s">
        <v>972</v>
      </c>
      <c r="CK366" t="s">
        <v>986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 t="s">
        <v>987</v>
      </c>
      <c r="CV366">
        <v>400008370</v>
      </c>
      <c r="CW366" t="s">
        <v>987</v>
      </c>
      <c r="CX366" t="s">
        <v>1081</v>
      </c>
      <c r="CY366" t="s">
        <v>989</v>
      </c>
    </row>
    <row r="367" spans="1:103" hidden="1" x14ac:dyDescent="0.25">
      <c r="A367">
        <v>410000371</v>
      </c>
      <c r="B367" t="s">
        <v>3453</v>
      </c>
      <c r="C367" t="s">
        <v>3454</v>
      </c>
      <c r="D367">
        <v>401100000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1</v>
      </c>
      <c r="Y367" t="s">
        <v>972</v>
      </c>
      <c r="Z367" t="s">
        <v>3455</v>
      </c>
      <c r="AA367" t="s">
        <v>3456</v>
      </c>
      <c r="AB367" t="s">
        <v>975</v>
      </c>
      <c r="AC367">
        <v>1348</v>
      </c>
      <c r="AD367" t="s">
        <v>3457</v>
      </c>
      <c r="AE367" t="s">
        <v>3458</v>
      </c>
      <c r="AF367" t="s">
        <v>979</v>
      </c>
      <c r="AG367" t="s">
        <v>977</v>
      </c>
      <c r="AH367" t="s">
        <v>3459</v>
      </c>
      <c r="AI367" t="s">
        <v>3460</v>
      </c>
      <c r="AJ367" t="s">
        <v>2364</v>
      </c>
      <c r="AK367" t="s">
        <v>3461</v>
      </c>
      <c r="AL367" t="s">
        <v>978</v>
      </c>
      <c r="AM367" t="s">
        <v>979</v>
      </c>
      <c r="AN367">
        <v>0</v>
      </c>
      <c r="AO367" t="s">
        <v>257</v>
      </c>
      <c r="AP367">
        <v>0</v>
      </c>
      <c r="AQ367">
        <v>1</v>
      </c>
      <c r="AR367">
        <v>43</v>
      </c>
      <c r="AS367">
        <v>1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1</v>
      </c>
      <c r="AZ367" t="s">
        <v>257</v>
      </c>
      <c r="BA367" t="s">
        <v>980</v>
      </c>
      <c r="BB367" t="s">
        <v>981</v>
      </c>
      <c r="BC367" t="s">
        <v>257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 t="s">
        <v>998</v>
      </c>
      <c r="BK367" t="s">
        <v>981</v>
      </c>
      <c r="BL367" t="s">
        <v>3453</v>
      </c>
      <c r="BM367">
        <v>20160926</v>
      </c>
      <c r="BN367">
        <v>20221121</v>
      </c>
      <c r="BO367">
        <v>0</v>
      </c>
      <c r="BP367" t="s">
        <v>257</v>
      </c>
      <c r="BQ367" t="s">
        <v>983</v>
      </c>
      <c r="BR367" t="s">
        <v>978</v>
      </c>
      <c r="BS367" t="s">
        <v>3462</v>
      </c>
      <c r="BT367">
        <v>0</v>
      </c>
      <c r="BU367">
        <v>0</v>
      </c>
      <c r="BV367" t="s">
        <v>984</v>
      </c>
      <c r="BW367" t="s">
        <v>257</v>
      </c>
      <c r="BX367">
        <v>0</v>
      </c>
      <c r="BY367" t="s">
        <v>980</v>
      </c>
      <c r="BZ367" t="s">
        <v>257</v>
      </c>
      <c r="CA367">
        <v>0</v>
      </c>
      <c r="CB367">
        <v>0</v>
      </c>
      <c r="CC367" t="s">
        <v>1033</v>
      </c>
      <c r="CD367">
        <v>0</v>
      </c>
      <c r="CE367">
        <v>0</v>
      </c>
      <c r="CF367">
        <v>0</v>
      </c>
      <c r="CG367">
        <v>0</v>
      </c>
      <c r="CH367">
        <v>0</v>
      </c>
      <c r="CI367" t="s">
        <v>983</v>
      </c>
      <c r="CJ367" t="s">
        <v>972</v>
      </c>
      <c r="CK367" t="s">
        <v>986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 t="s">
        <v>987</v>
      </c>
      <c r="CV367">
        <v>400008371</v>
      </c>
      <c r="CW367" t="s">
        <v>987</v>
      </c>
      <c r="CX367" t="s">
        <v>3463</v>
      </c>
      <c r="CY367" t="s">
        <v>989</v>
      </c>
    </row>
    <row r="368" spans="1:103" hidden="1" x14ac:dyDescent="0.25">
      <c r="A368">
        <v>410000372</v>
      </c>
      <c r="B368" t="s">
        <v>3464</v>
      </c>
      <c r="C368" t="s">
        <v>3465</v>
      </c>
      <c r="D368">
        <v>401100000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1</v>
      </c>
      <c r="Y368" t="s">
        <v>972</v>
      </c>
      <c r="Z368" t="s">
        <v>3466</v>
      </c>
      <c r="AA368" t="s">
        <v>974</v>
      </c>
      <c r="AB368" t="s">
        <v>975</v>
      </c>
      <c r="AC368">
        <v>4040</v>
      </c>
      <c r="AD368" t="s">
        <v>976</v>
      </c>
      <c r="AE368">
        <v>3242663615</v>
      </c>
      <c r="AF368" t="s">
        <v>979</v>
      </c>
      <c r="AG368" t="s">
        <v>977</v>
      </c>
      <c r="AH368" t="s">
        <v>977</v>
      </c>
      <c r="AI368" t="s">
        <v>977</v>
      </c>
      <c r="AJ368" t="s">
        <v>978</v>
      </c>
      <c r="AK368" t="s">
        <v>978</v>
      </c>
      <c r="AL368" t="s">
        <v>978</v>
      </c>
      <c r="AM368" t="s">
        <v>979</v>
      </c>
      <c r="AN368">
        <v>0</v>
      </c>
      <c r="AO368" t="s">
        <v>257</v>
      </c>
      <c r="AP368">
        <v>0</v>
      </c>
      <c r="AQ368">
        <v>1</v>
      </c>
      <c r="AR368">
        <v>43</v>
      </c>
      <c r="AS368">
        <v>1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1</v>
      </c>
      <c r="AZ368" t="s">
        <v>257</v>
      </c>
      <c r="BA368" t="s">
        <v>980</v>
      </c>
      <c r="BB368" t="s">
        <v>1010</v>
      </c>
      <c r="BC368" t="s">
        <v>257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 t="s">
        <v>998</v>
      </c>
      <c r="BK368" t="s">
        <v>981</v>
      </c>
      <c r="BL368" t="s">
        <v>3464</v>
      </c>
      <c r="BM368">
        <v>20160927</v>
      </c>
      <c r="BN368">
        <v>20181119</v>
      </c>
      <c r="BO368">
        <v>20180628</v>
      </c>
      <c r="BP368" t="s">
        <v>257</v>
      </c>
      <c r="BQ368" t="s">
        <v>983</v>
      </c>
      <c r="BR368" t="s">
        <v>978</v>
      </c>
      <c r="BS368" t="s">
        <v>979</v>
      </c>
      <c r="BT368">
        <v>0</v>
      </c>
      <c r="BU368">
        <v>0</v>
      </c>
      <c r="BV368" t="s">
        <v>1013</v>
      </c>
      <c r="BW368" t="s">
        <v>257</v>
      </c>
      <c r="BX368">
        <v>0</v>
      </c>
      <c r="BY368" t="s">
        <v>980</v>
      </c>
      <c r="BZ368" t="s">
        <v>257</v>
      </c>
      <c r="CA368">
        <v>0</v>
      </c>
      <c r="CB368">
        <v>0</v>
      </c>
      <c r="CC368" t="s">
        <v>985</v>
      </c>
      <c r="CD368">
        <v>0</v>
      </c>
      <c r="CE368">
        <v>0</v>
      </c>
      <c r="CF368">
        <v>0</v>
      </c>
      <c r="CG368">
        <v>0</v>
      </c>
      <c r="CH368">
        <v>0</v>
      </c>
      <c r="CI368" t="s">
        <v>983</v>
      </c>
      <c r="CJ368" t="s">
        <v>972</v>
      </c>
      <c r="CK368" t="s">
        <v>986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 t="s">
        <v>987</v>
      </c>
      <c r="CV368">
        <v>400008372</v>
      </c>
      <c r="CW368" t="s">
        <v>987</v>
      </c>
      <c r="CX368" t="s">
        <v>3467</v>
      </c>
      <c r="CY368" t="s">
        <v>989</v>
      </c>
    </row>
    <row r="369" spans="1:103" hidden="1" x14ac:dyDescent="0.25">
      <c r="A369">
        <v>410000373</v>
      </c>
      <c r="B369" t="s">
        <v>3468</v>
      </c>
      <c r="C369" t="s">
        <v>3469</v>
      </c>
      <c r="D369">
        <v>401100000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1</v>
      </c>
      <c r="Y369" t="s">
        <v>972</v>
      </c>
      <c r="Z369" t="s">
        <v>3470</v>
      </c>
      <c r="AA369" t="s">
        <v>3471</v>
      </c>
      <c r="AB369" t="s">
        <v>975</v>
      </c>
      <c r="AC369">
        <v>4020</v>
      </c>
      <c r="AD369" t="s">
        <v>1019</v>
      </c>
      <c r="AE369" t="s">
        <v>3472</v>
      </c>
      <c r="AF369" t="s">
        <v>979</v>
      </c>
      <c r="AG369" t="s">
        <v>977</v>
      </c>
      <c r="AH369" t="s">
        <v>977</v>
      </c>
      <c r="AI369" t="s">
        <v>977</v>
      </c>
      <c r="AJ369" t="s">
        <v>978</v>
      </c>
      <c r="AK369" t="s">
        <v>978</v>
      </c>
      <c r="AL369" t="s">
        <v>978</v>
      </c>
      <c r="AM369" t="s">
        <v>979</v>
      </c>
      <c r="AN369">
        <v>0</v>
      </c>
      <c r="AO369" t="s">
        <v>257</v>
      </c>
      <c r="AP369">
        <v>0</v>
      </c>
      <c r="AQ369">
        <v>1</v>
      </c>
      <c r="AR369">
        <v>43</v>
      </c>
      <c r="AS369">
        <v>1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1</v>
      </c>
      <c r="AZ369" t="s">
        <v>257</v>
      </c>
      <c r="BA369" t="s">
        <v>980</v>
      </c>
      <c r="BB369" t="s">
        <v>981</v>
      </c>
      <c r="BC369" t="s">
        <v>257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 t="s">
        <v>998</v>
      </c>
      <c r="BK369" t="s">
        <v>981</v>
      </c>
      <c r="BL369" t="s">
        <v>3468</v>
      </c>
      <c r="BM369">
        <v>20160927</v>
      </c>
      <c r="BN369">
        <v>20181119</v>
      </c>
      <c r="BO369">
        <v>0</v>
      </c>
      <c r="BP369" t="s">
        <v>257</v>
      </c>
      <c r="BQ369" t="s">
        <v>983</v>
      </c>
      <c r="BR369" t="s">
        <v>978</v>
      </c>
      <c r="BS369" t="s">
        <v>979</v>
      </c>
      <c r="BT369">
        <v>0</v>
      </c>
      <c r="BU369">
        <v>0</v>
      </c>
      <c r="BV369" t="s">
        <v>1013</v>
      </c>
      <c r="BW369" t="s">
        <v>257</v>
      </c>
      <c r="BX369">
        <v>0</v>
      </c>
      <c r="BY369" t="s">
        <v>980</v>
      </c>
      <c r="BZ369" t="s">
        <v>257</v>
      </c>
      <c r="CA369">
        <v>0</v>
      </c>
      <c r="CB369">
        <v>0</v>
      </c>
      <c r="CC369" t="s">
        <v>1152</v>
      </c>
      <c r="CD369">
        <v>0</v>
      </c>
      <c r="CE369">
        <v>0</v>
      </c>
      <c r="CF369">
        <v>0</v>
      </c>
      <c r="CG369">
        <v>0</v>
      </c>
      <c r="CH369">
        <v>0</v>
      </c>
      <c r="CI369" t="s">
        <v>983</v>
      </c>
      <c r="CJ369" t="s">
        <v>972</v>
      </c>
      <c r="CK369" t="s">
        <v>986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 t="s">
        <v>987</v>
      </c>
      <c r="CV369">
        <v>400008373</v>
      </c>
      <c r="CW369" t="s">
        <v>987</v>
      </c>
      <c r="CX369" t="s">
        <v>3473</v>
      </c>
      <c r="CY369" t="s">
        <v>989</v>
      </c>
    </row>
    <row r="370" spans="1:103" hidden="1" x14ac:dyDescent="0.25">
      <c r="A370">
        <v>410000374</v>
      </c>
      <c r="B370" t="s">
        <v>3474</v>
      </c>
      <c r="C370" t="s">
        <v>3475</v>
      </c>
      <c r="D370">
        <v>401100000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1</v>
      </c>
      <c r="Y370" t="s">
        <v>972</v>
      </c>
      <c r="Z370" t="s">
        <v>3476</v>
      </c>
      <c r="AA370" t="s">
        <v>3477</v>
      </c>
      <c r="AB370" t="s">
        <v>975</v>
      </c>
      <c r="AC370">
        <v>1200</v>
      </c>
      <c r="AD370" t="s">
        <v>3478</v>
      </c>
      <c r="AE370" t="s">
        <v>3479</v>
      </c>
      <c r="AF370" t="s">
        <v>979</v>
      </c>
      <c r="AG370" t="s">
        <v>977</v>
      </c>
      <c r="AH370" t="s">
        <v>977</v>
      </c>
      <c r="AI370" t="s">
        <v>977</v>
      </c>
      <c r="AJ370" t="s">
        <v>978</v>
      </c>
      <c r="AK370" t="s">
        <v>3480</v>
      </c>
      <c r="AL370" t="s">
        <v>978</v>
      </c>
      <c r="AM370" t="s">
        <v>979</v>
      </c>
      <c r="AN370">
        <v>0</v>
      </c>
      <c r="AO370" t="s">
        <v>257</v>
      </c>
      <c r="AP370">
        <v>0</v>
      </c>
      <c r="AQ370">
        <v>1</v>
      </c>
      <c r="AR370">
        <v>43</v>
      </c>
      <c r="AS370">
        <v>1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1</v>
      </c>
      <c r="AZ370" t="s">
        <v>257</v>
      </c>
      <c r="BA370" t="s">
        <v>980</v>
      </c>
      <c r="BB370" t="s">
        <v>981</v>
      </c>
      <c r="BC370" t="s">
        <v>257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 t="s">
        <v>998</v>
      </c>
      <c r="BK370" t="s">
        <v>981</v>
      </c>
      <c r="BL370" t="s">
        <v>3474</v>
      </c>
      <c r="BM370">
        <v>20161006</v>
      </c>
      <c r="BN370">
        <v>20181119</v>
      </c>
      <c r="BO370">
        <v>0</v>
      </c>
      <c r="BP370" t="s">
        <v>257</v>
      </c>
      <c r="BQ370" t="s">
        <v>983</v>
      </c>
      <c r="BR370" t="s">
        <v>978</v>
      </c>
      <c r="BS370" t="s">
        <v>3481</v>
      </c>
      <c r="BT370">
        <v>0</v>
      </c>
      <c r="BU370">
        <v>0</v>
      </c>
      <c r="BV370" t="s">
        <v>1013</v>
      </c>
      <c r="BW370" t="s">
        <v>257</v>
      </c>
      <c r="BX370">
        <v>0</v>
      </c>
      <c r="BY370" t="s">
        <v>980</v>
      </c>
      <c r="BZ370" t="s">
        <v>257</v>
      </c>
      <c r="CA370">
        <v>0</v>
      </c>
      <c r="CB370">
        <v>0</v>
      </c>
      <c r="CC370" t="s">
        <v>3482</v>
      </c>
      <c r="CD370">
        <v>0</v>
      </c>
      <c r="CE370">
        <v>0</v>
      </c>
      <c r="CF370">
        <v>0</v>
      </c>
      <c r="CG370">
        <v>0</v>
      </c>
      <c r="CH370">
        <v>0</v>
      </c>
      <c r="CI370" t="s">
        <v>983</v>
      </c>
      <c r="CJ370" t="s">
        <v>972</v>
      </c>
      <c r="CK370" t="s">
        <v>986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 t="s">
        <v>987</v>
      </c>
      <c r="CV370">
        <v>400008374</v>
      </c>
      <c r="CW370" t="s">
        <v>987</v>
      </c>
      <c r="CX370" t="s">
        <v>3483</v>
      </c>
      <c r="CY370" t="s">
        <v>989</v>
      </c>
    </row>
    <row r="371" spans="1:103" hidden="1" x14ac:dyDescent="0.25">
      <c r="A371">
        <v>410000375</v>
      </c>
      <c r="B371" t="s">
        <v>3484</v>
      </c>
      <c r="C371" t="s">
        <v>3485</v>
      </c>
      <c r="D371">
        <v>401100000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 t="s">
        <v>972</v>
      </c>
      <c r="Z371" t="s">
        <v>3486</v>
      </c>
      <c r="AA371" t="s">
        <v>3487</v>
      </c>
      <c r="AB371" t="s">
        <v>975</v>
      </c>
      <c r="AC371">
        <v>5310</v>
      </c>
      <c r="AD371" t="s">
        <v>3488</v>
      </c>
      <c r="AE371" t="s">
        <v>979</v>
      </c>
      <c r="AF371" t="s">
        <v>979</v>
      </c>
      <c r="AG371" t="s">
        <v>977</v>
      </c>
      <c r="AH371" t="s">
        <v>977</v>
      </c>
      <c r="AI371" t="s">
        <v>977</v>
      </c>
      <c r="AJ371" t="s">
        <v>978</v>
      </c>
      <c r="AK371" t="s">
        <v>978</v>
      </c>
      <c r="AL371" t="s">
        <v>978</v>
      </c>
      <c r="AM371" t="s">
        <v>979</v>
      </c>
      <c r="AN371">
        <v>0</v>
      </c>
      <c r="AO371" t="s">
        <v>257</v>
      </c>
      <c r="AP371">
        <v>0</v>
      </c>
      <c r="AQ371">
        <v>1</v>
      </c>
      <c r="AR371">
        <v>43</v>
      </c>
      <c r="AS371">
        <v>1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1</v>
      </c>
      <c r="AZ371" t="s">
        <v>257</v>
      </c>
      <c r="BA371" t="s">
        <v>980</v>
      </c>
      <c r="BB371" t="s">
        <v>981</v>
      </c>
      <c r="BC371" t="s">
        <v>257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 t="s">
        <v>998</v>
      </c>
      <c r="BK371" t="s">
        <v>981</v>
      </c>
      <c r="BL371" t="s">
        <v>3484</v>
      </c>
      <c r="BM371">
        <v>20161024</v>
      </c>
      <c r="BN371">
        <v>20181119</v>
      </c>
      <c r="BO371">
        <v>0</v>
      </c>
      <c r="BP371" t="s">
        <v>257</v>
      </c>
      <c r="BQ371" t="s">
        <v>983</v>
      </c>
      <c r="BR371" t="s">
        <v>978</v>
      </c>
      <c r="BS371" t="s">
        <v>979</v>
      </c>
      <c r="BT371">
        <v>0</v>
      </c>
      <c r="BU371">
        <v>0</v>
      </c>
      <c r="BV371" t="s">
        <v>3489</v>
      </c>
      <c r="BW371" t="s">
        <v>257</v>
      </c>
      <c r="BX371">
        <v>0</v>
      </c>
      <c r="BY371" t="s">
        <v>980</v>
      </c>
      <c r="BZ371" t="s">
        <v>257</v>
      </c>
      <c r="CA371">
        <v>0</v>
      </c>
      <c r="CB371">
        <v>0</v>
      </c>
      <c r="CC371" t="s">
        <v>2301</v>
      </c>
      <c r="CD371">
        <v>0</v>
      </c>
      <c r="CE371">
        <v>0</v>
      </c>
      <c r="CF371">
        <v>0</v>
      </c>
      <c r="CG371">
        <v>0</v>
      </c>
      <c r="CH371">
        <v>0</v>
      </c>
      <c r="CI371" t="s">
        <v>983</v>
      </c>
      <c r="CJ371" t="s">
        <v>972</v>
      </c>
      <c r="CK371" t="s">
        <v>986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 t="s">
        <v>987</v>
      </c>
      <c r="CV371">
        <v>400008375</v>
      </c>
      <c r="CW371" t="s">
        <v>987</v>
      </c>
      <c r="CX371" t="s">
        <v>3490</v>
      </c>
      <c r="CY371" t="s">
        <v>989</v>
      </c>
    </row>
    <row r="372" spans="1:103" hidden="1" x14ac:dyDescent="0.25">
      <c r="A372">
        <v>410000376</v>
      </c>
      <c r="B372" t="s">
        <v>3491</v>
      </c>
      <c r="C372" t="s">
        <v>3492</v>
      </c>
      <c r="D372">
        <v>401100000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1</v>
      </c>
      <c r="Y372" t="s">
        <v>972</v>
      </c>
      <c r="Z372" t="s">
        <v>987</v>
      </c>
      <c r="AA372" t="s">
        <v>3493</v>
      </c>
      <c r="AB372" t="s">
        <v>975</v>
      </c>
      <c r="AC372">
        <v>4000</v>
      </c>
      <c r="AD372" t="s">
        <v>1019</v>
      </c>
      <c r="AE372" t="s">
        <v>979</v>
      </c>
      <c r="AF372" t="s">
        <v>979</v>
      </c>
      <c r="AG372" t="s">
        <v>977</v>
      </c>
      <c r="AH372" t="s">
        <v>977</v>
      </c>
      <c r="AI372" t="s">
        <v>977</v>
      </c>
      <c r="AJ372" t="s">
        <v>978</v>
      </c>
      <c r="AK372" t="s">
        <v>978</v>
      </c>
      <c r="AL372" t="s">
        <v>978</v>
      </c>
      <c r="AM372" t="s">
        <v>979</v>
      </c>
      <c r="AN372">
        <v>0</v>
      </c>
      <c r="AO372" t="s">
        <v>257</v>
      </c>
      <c r="AP372">
        <v>0</v>
      </c>
      <c r="AQ372">
        <v>1</v>
      </c>
      <c r="AR372">
        <v>43</v>
      </c>
      <c r="AS372">
        <v>1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1</v>
      </c>
      <c r="AZ372" t="s">
        <v>257</v>
      </c>
      <c r="BA372" t="s">
        <v>980</v>
      </c>
      <c r="BB372" t="s">
        <v>981</v>
      </c>
      <c r="BC372" t="s">
        <v>257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 t="s">
        <v>998</v>
      </c>
      <c r="BK372" t="s">
        <v>981</v>
      </c>
      <c r="BL372" t="s">
        <v>3491</v>
      </c>
      <c r="BM372">
        <v>20161024</v>
      </c>
      <c r="BN372">
        <v>20181119</v>
      </c>
      <c r="BO372">
        <v>0</v>
      </c>
      <c r="BP372" t="s">
        <v>257</v>
      </c>
      <c r="BQ372" t="s">
        <v>983</v>
      </c>
      <c r="BR372" t="s">
        <v>978</v>
      </c>
      <c r="BS372" t="s">
        <v>979</v>
      </c>
      <c r="BT372">
        <v>0</v>
      </c>
      <c r="BU372">
        <v>0</v>
      </c>
      <c r="BV372" t="s">
        <v>3489</v>
      </c>
      <c r="BW372" t="s">
        <v>257</v>
      </c>
      <c r="BX372">
        <v>0</v>
      </c>
      <c r="BY372" t="s">
        <v>980</v>
      </c>
      <c r="BZ372" t="s">
        <v>257</v>
      </c>
      <c r="CA372">
        <v>0</v>
      </c>
      <c r="CB372">
        <v>0</v>
      </c>
      <c r="CC372" t="s">
        <v>1507</v>
      </c>
      <c r="CD372">
        <v>0</v>
      </c>
      <c r="CE372">
        <v>0</v>
      </c>
      <c r="CF372">
        <v>0</v>
      </c>
      <c r="CG372">
        <v>0</v>
      </c>
      <c r="CH372">
        <v>0</v>
      </c>
      <c r="CI372" t="s">
        <v>983</v>
      </c>
      <c r="CJ372" t="s">
        <v>972</v>
      </c>
      <c r="CK372" t="s">
        <v>986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 t="s">
        <v>987</v>
      </c>
      <c r="CV372">
        <v>400008376</v>
      </c>
      <c r="CW372" t="s">
        <v>987</v>
      </c>
      <c r="CX372" t="s">
        <v>1081</v>
      </c>
      <c r="CY372" t="s">
        <v>989</v>
      </c>
    </row>
    <row r="373" spans="1:103" hidden="1" x14ac:dyDescent="0.25">
      <c r="A373">
        <v>410000377</v>
      </c>
      <c r="B373" t="s">
        <v>3494</v>
      </c>
      <c r="C373" t="s">
        <v>3495</v>
      </c>
      <c r="D373">
        <v>401100000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1</v>
      </c>
      <c r="Y373" t="s">
        <v>3496</v>
      </c>
      <c r="Z373" t="s">
        <v>987</v>
      </c>
      <c r="AA373" t="s">
        <v>3497</v>
      </c>
      <c r="AB373" t="s">
        <v>975</v>
      </c>
      <c r="AC373">
        <v>4040</v>
      </c>
      <c r="AD373" t="s">
        <v>976</v>
      </c>
      <c r="AE373" t="s">
        <v>3498</v>
      </c>
      <c r="AF373" t="s">
        <v>3499</v>
      </c>
      <c r="AG373" t="s">
        <v>977</v>
      </c>
      <c r="AH373" t="s">
        <v>977</v>
      </c>
      <c r="AI373" t="s">
        <v>977</v>
      </c>
      <c r="AJ373" t="s">
        <v>978</v>
      </c>
      <c r="AK373" t="s">
        <v>978</v>
      </c>
      <c r="AL373" t="s">
        <v>978</v>
      </c>
      <c r="AM373" t="s">
        <v>979</v>
      </c>
      <c r="AN373">
        <v>0</v>
      </c>
      <c r="AO373" t="s">
        <v>257</v>
      </c>
      <c r="AP373">
        <v>0</v>
      </c>
      <c r="AQ373">
        <v>1</v>
      </c>
      <c r="AR373">
        <v>43</v>
      </c>
      <c r="AS373">
        <v>1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1</v>
      </c>
      <c r="AZ373" t="s">
        <v>257</v>
      </c>
      <c r="BA373" t="s">
        <v>980</v>
      </c>
      <c r="BB373" t="s">
        <v>981</v>
      </c>
      <c r="BC373" t="s">
        <v>257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 t="s">
        <v>998</v>
      </c>
      <c r="BK373" t="s">
        <v>981</v>
      </c>
      <c r="BL373" t="s">
        <v>3494</v>
      </c>
      <c r="BM373">
        <v>20161108</v>
      </c>
      <c r="BN373">
        <v>20181119</v>
      </c>
      <c r="BO373">
        <v>0</v>
      </c>
      <c r="BP373" t="s">
        <v>257</v>
      </c>
      <c r="BQ373" t="s">
        <v>983</v>
      </c>
      <c r="BR373" t="s">
        <v>978</v>
      </c>
      <c r="BS373" t="s">
        <v>979</v>
      </c>
      <c r="BT373">
        <v>0</v>
      </c>
      <c r="BU373">
        <v>0</v>
      </c>
      <c r="BV373" t="s">
        <v>1013</v>
      </c>
      <c r="BW373" t="s">
        <v>257</v>
      </c>
      <c r="BX373">
        <v>0</v>
      </c>
      <c r="BY373" t="s">
        <v>980</v>
      </c>
      <c r="BZ373" t="s">
        <v>257</v>
      </c>
      <c r="CA373">
        <v>0</v>
      </c>
      <c r="CB373">
        <v>0</v>
      </c>
      <c r="CC373" t="s">
        <v>985</v>
      </c>
      <c r="CD373">
        <v>0</v>
      </c>
      <c r="CE373">
        <v>0</v>
      </c>
      <c r="CF373">
        <v>0</v>
      </c>
      <c r="CG373">
        <v>0</v>
      </c>
      <c r="CH373">
        <v>0</v>
      </c>
      <c r="CI373" t="s">
        <v>983</v>
      </c>
      <c r="CJ373" t="s">
        <v>972</v>
      </c>
      <c r="CK373" t="s">
        <v>986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 t="s">
        <v>987</v>
      </c>
      <c r="CV373">
        <v>400008377</v>
      </c>
      <c r="CW373" t="s">
        <v>987</v>
      </c>
      <c r="CX373" t="s">
        <v>3500</v>
      </c>
      <c r="CY373" t="s">
        <v>989</v>
      </c>
    </row>
    <row r="374" spans="1:103" hidden="1" x14ac:dyDescent="0.25">
      <c r="A374">
        <v>410000378</v>
      </c>
      <c r="B374" t="s">
        <v>3501</v>
      </c>
      <c r="C374" t="s">
        <v>3502</v>
      </c>
      <c r="D374">
        <v>401100000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1</v>
      </c>
      <c r="Y374" t="s">
        <v>972</v>
      </c>
      <c r="Z374" t="s">
        <v>3503</v>
      </c>
      <c r="AA374" t="s">
        <v>3504</v>
      </c>
      <c r="AB374" t="s">
        <v>975</v>
      </c>
      <c r="AC374">
        <v>4032</v>
      </c>
      <c r="AD374" t="s">
        <v>1019</v>
      </c>
      <c r="AE374" t="s">
        <v>3505</v>
      </c>
      <c r="AF374" t="s">
        <v>979</v>
      </c>
      <c r="AG374" t="s">
        <v>977</v>
      </c>
      <c r="AH374" t="s">
        <v>3506</v>
      </c>
      <c r="AI374">
        <v>10850</v>
      </c>
      <c r="AJ374" t="s">
        <v>978</v>
      </c>
      <c r="AK374" t="s">
        <v>978</v>
      </c>
      <c r="AL374" t="s">
        <v>978</v>
      </c>
      <c r="AM374" t="s">
        <v>979</v>
      </c>
      <c r="AN374">
        <v>0</v>
      </c>
      <c r="AO374" t="s">
        <v>257</v>
      </c>
      <c r="AP374">
        <v>0</v>
      </c>
      <c r="AQ374">
        <v>1</v>
      </c>
      <c r="AR374">
        <v>43</v>
      </c>
      <c r="AS374">
        <v>1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1</v>
      </c>
      <c r="AZ374" t="s">
        <v>257</v>
      </c>
      <c r="BA374" t="s">
        <v>980</v>
      </c>
      <c r="BB374" t="s">
        <v>981</v>
      </c>
      <c r="BC374" t="s">
        <v>257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 t="s">
        <v>998</v>
      </c>
      <c r="BK374" t="s">
        <v>981</v>
      </c>
      <c r="BL374" t="s">
        <v>3501</v>
      </c>
      <c r="BM374">
        <v>20161110</v>
      </c>
      <c r="BN374">
        <v>20220201</v>
      </c>
      <c r="BO374">
        <v>0</v>
      </c>
      <c r="BP374" t="s">
        <v>257</v>
      </c>
      <c r="BQ374" t="s">
        <v>983</v>
      </c>
      <c r="BR374" t="s">
        <v>978</v>
      </c>
      <c r="BS374" t="s">
        <v>3507</v>
      </c>
      <c r="BT374">
        <v>0</v>
      </c>
      <c r="BU374">
        <v>0</v>
      </c>
      <c r="BV374" t="s">
        <v>984</v>
      </c>
      <c r="BW374" t="s">
        <v>257</v>
      </c>
      <c r="BX374">
        <v>0</v>
      </c>
      <c r="BY374" t="s">
        <v>980</v>
      </c>
      <c r="BZ374" t="s">
        <v>257</v>
      </c>
      <c r="CA374">
        <v>0</v>
      </c>
      <c r="CB374">
        <v>0</v>
      </c>
      <c r="CC374" t="s">
        <v>1848</v>
      </c>
      <c r="CD374">
        <v>0</v>
      </c>
      <c r="CE374">
        <v>0</v>
      </c>
      <c r="CF374">
        <v>0</v>
      </c>
      <c r="CG374">
        <v>0</v>
      </c>
      <c r="CH374">
        <v>0</v>
      </c>
      <c r="CI374" t="s">
        <v>983</v>
      </c>
      <c r="CJ374" t="s">
        <v>972</v>
      </c>
      <c r="CK374" t="s">
        <v>986</v>
      </c>
      <c r="CL374">
        <v>0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 t="s">
        <v>987</v>
      </c>
      <c r="CV374">
        <v>400008378</v>
      </c>
      <c r="CW374" t="s">
        <v>987</v>
      </c>
      <c r="CX374" t="s">
        <v>3508</v>
      </c>
      <c r="CY374" t="s">
        <v>989</v>
      </c>
    </row>
    <row r="375" spans="1:103" hidden="1" x14ac:dyDescent="0.25">
      <c r="A375">
        <v>410000379</v>
      </c>
      <c r="B375" t="s">
        <v>3509</v>
      </c>
      <c r="C375" t="s">
        <v>3510</v>
      </c>
      <c r="D375">
        <v>401100000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4</v>
      </c>
      <c r="W375">
        <v>1</v>
      </c>
      <c r="X375">
        <v>1</v>
      </c>
      <c r="Y375" t="s">
        <v>1025</v>
      </c>
      <c r="Z375" t="s">
        <v>3511</v>
      </c>
      <c r="AA375" t="s">
        <v>3512</v>
      </c>
      <c r="AB375" t="s">
        <v>975</v>
      </c>
      <c r="AC375">
        <v>4100</v>
      </c>
      <c r="AD375" t="s">
        <v>1655</v>
      </c>
      <c r="AE375" t="s">
        <v>3513</v>
      </c>
      <c r="AF375" t="s">
        <v>3514</v>
      </c>
      <c r="AG375" t="s">
        <v>977</v>
      </c>
      <c r="AH375" t="s">
        <v>977</v>
      </c>
      <c r="AI375" t="s">
        <v>977</v>
      </c>
      <c r="AJ375" t="s">
        <v>978</v>
      </c>
      <c r="AK375" t="s">
        <v>978</v>
      </c>
      <c r="AL375" t="s">
        <v>978</v>
      </c>
      <c r="AM375" t="s">
        <v>979</v>
      </c>
      <c r="AN375">
        <v>0</v>
      </c>
      <c r="AO375" t="s">
        <v>257</v>
      </c>
      <c r="AP375">
        <v>0</v>
      </c>
      <c r="AQ375">
        <v>1</v>
      </c>
      <c r="AR375">
        <v>43</v>
      </c>
      <c r="AS375">
        <v>1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1</v>
      </c>
      <c r="AZ375" t="s">
        <v>257</v>
      </c>
      <c r="BA375" t="s">
        <v>980</v>
      </c>
      <c r="BB375" t="s">
        <v>981</v>
      </c>
      <c r="BC375" t="s">
        <v>257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 t="s">
        <v>998</v>
      </c>
      <c r="BK375" t="s">
        <v>981</v>
      </c>
      <c r="BL375" t="s">
        <v>3509</v>
      </c>
      <c r="BM375">
        <v>20161125</v>
      </c>
      <c r="BN375">
        <v>20181119</v>
      </c>
      <c r="BO375">
        <v>0</v>
      </c>
      <c r="BP375" t="s">
        <v>257</v>
      </c>
      <c r="BQ375" t="s">
        <v>3515</v>
      </c>
      <c r="BR375" t="s">
        <v>978</v>
      </c>
      <c r="BS375" t="s">
        <v>979</v>
      </c>
      <c r="BT375">
        <v>0</v>
      </c>
      <c r="BU375">
        <v>0</v>
      </c>
      <c r="BV375" t="s">
        <v>1013</v>
      </c>
      <c r="BW375" t="s">
        <v>257</v>
      </c>
      <c r="BX375">
        <v>0</v>
      </c>
      <c r="BY375" t="s">
        <v>980</v>
      </c>
      <c r="BZ375" t="s">
        <v>257</v>
      </c>
      <c r="CA375">
        <v>0</v>
      </c>
      <c r="CB375">
        <v>0</v>
      </c>
      <c r="CC375" t="s">
        <v>1161</v>
      </c>
      <c r="CD375">
        <v>0</v>
      </c>
      <c r="CE375">
        <v>0</v>
      </c>
      <c r="CF375">
        <v>0</v>
      </c>
      <c r="CG375">
        <v>0</v>
      </c>
      <c r="CH375">
        <v>0</v>
      </c>
      <c r="CI375" t="s">
        <v>983</v>
      </c>
      <c r="CJ375" t="s">
        <v>972</v>
      </c>
      <c r="CK375" t="s">
        <v>986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 t="s">
        <v>987</v>
      </c>
      <c r="CV375">
        <v>400008379</v>
      </c>
      <c r="CW375" t="s">
        <v>987</v>
      </c>
      <c r="CX375" t="s">
        <v>3516</v>
      </c>
      <c r="CY375" t="s">
        <v>989</v>
      </c>
    </row>
    <row r="376" spans="1:103" hidden="1" x14ac:dyDescent="0.25">
      <c r="A376">
        <v>410000380</v>
      </c>
      <c r="B376" t="s">
        <v>3517</v>
      </c>
      <c r="C376" t="s">
        <v>3518</v>
      </c>
      <c r="D376">
        <v>401100000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1</v>
      </c>
      <c r="Y376" t="s">
        <v>972</v>
      </c>
      <c r="Z376" t="s">
        <v>3519</v>
      </c>
      <c r="AA376" t="s">
        <v>6812</v>
      </c>
      <c r="AB376" t="s">
        <v>975</v>
      </c>
      <c r="AC376">
        <v>6900</v>
      </c>
      <c r="AD376" t="s">
        <v>5849</v>
      </c>
      <c r="AE376">
        <v>3284456860</v>
      </c>
      <c r="AF376">
        <v>3284456861</v>
      </c>
      <c r="AG376" t="s">
        <v>977</v>
      </c>
      <c r="AH376" t="s">
        <v>977</v>
      </c>
      <c r="AI376" t="s">
        <v>977</v>
      </c>
      <c r="AJ376" t="s">
        <v>978</v>
      </c>
      <c r="AK376" t="s">
        <v>3520</v>
      </c>
      <c r="AL376" t="s">
        <v>978</v>
      </c>
      <c r="AM376" t="s">
        <v>979</v>
      </c>
      <c r="AN376">
        <v>0</v>
      </c>
      <c r="AO376" t="s">
        <v>257</v>
      </c>
      <c r="AP376">
        <v>0</v>
      </c>
      <c r="AQ376">
        <v>1</v>
      </c>
      <c r="AR376">
        <v>69</v>
      </c>
      <c r="AS376">
        <v>1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1</v>
      </c>
      <c r="AZ376" t="s">
        <v>257</v>
      </c>
      <c r="BA376" t="s">
        <v>980</v>
      </c>
      <c r="BB376" t="s">
        <v>981</v>
      </c>
      <c r="BC376" t="s">
        <v>257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 t="s">
        <v>998</v>
      </c>
      <c r="BK376" t="s">
        <v>981</v>
      </c>
      <c r="BL376" t="s">
        <v>3517</v>
      </c>
      <c r="BM376">
        <v>20161206</v>
      </c>
      <c r="BN376">
        <v>20250122</v>
      </c>
      <c r="BO376">
        <v>0</v>
      </c>
      <c r="BP376" t="s">
        <v>257</v>
      </c>
      <c r="BQ376" t="s">
        <v>983</v>
      </c>
      <c r="BR376" t="s">
        <v>978</v>
      </c>
      <c r="BS376" t="s">
        <v>979</v>
      </c>
      <c r="BT376">
        <v>0</v>
      </c>
      <c r="BU376">
        <v>0</v>
      </c>
      <c r="BV376" t="s">
        <v>984</v>
      </c>
      <c r="BW376" t="s">
        <v>257</v>
      </c>
      <c r="BX376">
        <v>0</v>
      </c>
      <c r="BY376" t="s">
        <v>980</v>
      </c>
      <c r="BZ376" t="s">
        <v>257</v>
      </c>
      <c r="CA376">
        <v>0</v>
      </c>
      <c r="CB376">
        <v>0</v>
      </c>
      <c r="CC376" t="s">
        <v>1033</v>
      </c>
      <c r="CD376">
        <v>0</v>
      </c>
      <c r="CE376">
        <v>0</v>
      </c>
      <c r="CF376">
        <v>0</v>
      </c>
      <c r="CG376">
        <v>0</v>
      </c>
      <c r="CH376">
        <v>0</v>
      </c>
      <c r="CI376" t="s">
        <v>983</v>
      </c>
      <c r="CJ376" t="s">
        <v>972</v>
      </c>
      <c r="CK376" t="s">
        <v>986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 t="s">
        <v>987</v>
      </c>
      <c r="CV376">
        <v>400008380</v>
      </c>
      <c r="CW376" t="s">
        <v>987</v>
      </c>
      <c r="CX376" t="s">
        <v>3521</v>
      </c>
      <c r="CY376" t="s">
        <v>989</v>
      </c>
    </row>
    <row r="377" spans="1:103" hidden="1" x14ac:dyDescent="0.25">
      <c r="A377">
        <v>410000381</v>
      </c>
      <c r="B377" t="s">
        <v>3522</v>
      </c>
      <c r="C377" t="s">
        <v>3523</v>
      </c>
      <c r="D377">
        <v>401100000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 t="s">
        <v>972</v>
      </c>
      <c r="Z377" t="s">
        <v>3524</v>
      </c>
      <c r="AA377" t="s">
        <v>3525</v>
      </c>
      <c r="AB377" t="s">
        <v>975</v>
      </c>
      <c r="AC377">
        <v>4000</v>
      </c>
      <c r="AD377" t="s">
        <v>1019</v>
      </c>
      <c r="AE377" t="s">
        <v>3526</v>
      </c>
      <c r="AF377" t="s">
        <v>3527</v>
      </c>
      <c r="AG377" t="s">
        <v>977</v>
      </c>
      <c r="AH377" t="s">
        <v>977</v>
      </c>
      <c r="AI377" t="s">
        <v>977</v>
      </c>
      <c r="AJ377" t="s">
        <v>978</v>
      </c>
      <c r="AK377" t="s">
        <v>978</v>
      </c>
      <c r="AL377" t="s">
        <v>978</v>
      </c>
      <c r="AM377" t="s">
        <v>979</v>
      </c>
      <c r="AN377">
        <v>0</v>
      </c>
      <c r="AO377" t="s">
        <v>257</v>
      </c>
      <c r="AP377">
        <v>0</v>
      </c>
      <c r="AQ377">
        <v>1</v>
      </c>
      <c r="AR377">
        <v>43</v>
      </c>
      <c r="AS377">
        <v>1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1</v>
      </c>
      <c r="AZ377" t="s">
        <v>257</v>
      </c>
      <c r="BA377" t="s">
        <v>980</v>
      </c>
      <c r="BB377" t="s">
        <v>981</v>
      </c>
      <c r="BC377" t="s">
        <v>257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 t="s">
        <v>998</v>
      </c>
      <c r="BK377" t="s">
        <v>981</v>
      </c>
      <c r="BL377" t="s">
        <v>3522</v>
      </c>
      <c r="BM377">
        <v>20161212</v>
      </c>
      <c r="BN377">
        <v>20181119</v>
      </c>
      <c r="BO377">
        <v>0</v>
      </c>
      <c r="BP377" t="s">
        <v>257</v>
      </c>
      <c r="BQ377" t="s">
        <v>983</v>
      </c>
      <c r="BR377" t="s">
        <v>978</v>
      </c>
      <c r="BS377" t="s">
        <v>979</v>
      </c>
      <c r="BT377">
        <v>0</v>
      </c>
      <c r="BU377">
        <v>0</v>
      </c>
      <c r="BV377" t="s">
        <v>1013</v>
      </c>
      <c r="BW377" t="s">
        <v>257</v>
      </c>
      <c r="BX377">
        <v>0</v>
      </c>
      <c r="BY377" t="s">
        <v>980</v>
      </c>
      <c r="BZ377" t="s">
        <v>257</v>
      </c>
      <c r="CA377">
        <v>0</v>
      </c>
      <c r="CB377">
        <v>0</v>
      </c>
      <c r="CC377" t="s">
        <v>1308</v>
      </c>
      <c r="CD377">
        <v>0</v>
      </c>
      <c r="CE377">
        <v>0</v>
      </c>
      <c r="CF377">
        <v>0</v>
      </c>
      <c r="CG377">
        <v>0</v>
      </c>
      <c r="CH377">
        <v>0</v>
      </c>
      <c r="CI377" t="s">
        <v>983</v>
      </c>
      <c r="CJ377" t="s">
        <v>972</v>
      </c>
      <c r="CK377" t="s">
        <v>986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 t="s">
        <v>987</v>
      </c>
      <c r="CV377">
        <v>400008381</v>
      </c>
      <c r="CW377" t="s">
        <v>987</v>
      </c>
      <c r="CX377" t="s">
        <v>3528</v>
      </c>
      <c r="CY377" t="s">
        <v>989</v>
      </c>
    </row>
    <row r="378" spans="1:103" hidden="1" x14ac:dyDescent="0.25">
      <c r="A378">
        <v>410000382</v>
      </c>
      <c r="B378" t="s">
        <v>3529</v>
      </c>
      <c r="C378" t="s">
        <v>3530</v>
      </c>
      <c r="D378">
        <v>401100000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1</v>
      </c>
      <c r="Y378" t="s">
        <v>972</v>
      </c>
      <c r="Z378" t="s">
        <v>2123</v>
      </c>
      <c r="AA378" t="s">
        <v>3531</v>
      </c>
      <c r="AB378" t="s">
        <v>975</v>
      </c>
      <c r="AC378">
        <v>4432</v>
      </c>
      <c r="AD378" t="s">
        <v>1313</v>
      </c>
      <c r="AE378" t="s">
        <v>3532</v>
      </c>
      <c r="AF378" t="s">
        <v>979</v>
      </c>
      <c r="AG378" t="s">
        <v>977</v>
      </c>
      <c r="AH378" t="s">
        <v>977</v>
      </c>
      <c r="AI378" t="s">
        <v>977</v>
      </c>
      <c r="AJ378" t="s">
        <v>978</v>
      </c>
      <c r="AK378" t="s">
        <v>978</v>
      </c>
      <c r="AL378" t="s">
        <v>978</v>
      </c>
      <c r="AM378" t="s">
        <v>979</v>
      </c>
      <c r="AN378">
        <v>0</v>
      </c>
      <c r="AO378" t="s">
        <v>257</v>
      </c>
      <c r="AP378">
        <v>0</v>
      </c>
      <c r="AQ378">
        <v>1</v>
      </c>
      <c r="AR378">
        <v>43</v>
      </c>
      <c r="AS378">
        <v>1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1</v>
      </c>
      <c r="AZ378" t="s">
        <v>257</v>
      </c>
      <c r="BA378" t="s">
        <v>980</v>
      </c>
      <c r="BB378" t="s">
        <v>981</v>
      </c>
      <c r="BC378" t="s">
        <v>257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 t="s">
        <v>998</v>
      </c>
      <c r="BK378" t="s">
        <v>981</v>
      </c>
      <c r="BL378" t="s">
        <v>3529</v>
      </c>
      <c r="BM378">
        <v>20161212</v>
      </c>
      <c r="BN378">
        <v>20181119</v>
      </c>
      <c r="BO378">
        <v>0</v>
      </c>
      <c r="BP378" t="s">
        <v>257</v>
      </c>
      <c r="BQ378" t="s">
        <v>983</v>
      </c>
      <c r="BR378" t="s">
        <v>978</v>
      </c>
      <c r="BS378" t="s">
        <v>979</v>
      </c>
      <c r="BT378">
        <v>0</v>
      </c>
      <c r="BU378">
        <v>0</v>
      </c>
      <c r="BV378" t="s">
        <v>1013</v>
      </c>
      <c r="BW378" t="s">
        <v>257</v>
      </c>
      <c r="BX378">
        <v>0</v>
      </c>
      <c r="BY378" t="s">
        <v>980</v>
      </c>
      <c r="BZ378" t="s">
        <v>257</v>
      </c>
      <c r="CA378">
        <v>0</v>
      </c>
      <c r="CB378">
        <v>0</v>
      </c>
      <c r="CC378" t="s">
        <v>2000</v>
      </c>
      <c r="CD378">
        <v>0</v>
      </c>
      <c r="CE378">
        <v>0</v>
      </c>
      <c r="CF378">
        <v>0</v>
      </c>
      <c r="CG378">
        <v>0</v>
      </c>
      <c r="CH378">
        <v>0</v>
      </c>
      <c r="CI378" t="s">
        <v>983</v>
      </c>
      <c r="CJ378" t="s">
        <v>972</v>
      </c>
      <c r="CK378" t="s">
        <v>986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 t="s">
        <v>987</v>
      </c>
      <c r="CV378">
        <v>400008382</v>
      </c>
      <c r="CW378" t="s">
        <v>987</v>
      </c>
      <c r="CX378" t="s">
        <v>2126</v>
      </c>
      <c r="CY378" t="s">
        <v>989</v>
      </c>
    </row>
    <row r="379" spans="1:103" hidden="1" x14ac:dyDescent="0.25">
      <c r="A379">
        <v>410000383</v>
      </c>
      <c r="B379" t="s">
        <v>3533</v>
      </c>
      <c r="C379" t="s">
        <v>3534</v>
      </c>
      <c r="D379">
        <v>401100000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1</v>
      </c>
      <c r="Y379" t="s">
        <v>972</v>
      </c>
      <c r="Z379" t="s">
        <v>3535</v>
      </c>
      <c r="AA379" t="s">
        <v>3536</v>
      </c>
      <c r="AB379" t="s">
        <v>975</v>
      </c>
      <c r="AC379">
        <v>4960</v>
      </c>
      <c r="AD379" t="s">
        <v>1548</v>
      </c>
      <c r="AE379" t="s">
        <v>3537</v>
      </c>
      <c r="AF379" t="s">
        <v>979</v>
      </c>
      <c r="AG379" t="s">
        <v>977</v>
      </c>
      <c r="AH379" t="s">
        <v>977</v>
      </c>
      <c r="AI379" t="s">
        <v>977</v>
      </c>
      <c r="AJ379" t="s">
        <v>978</v>
      </c>
      <c r="AK379" t="s">
        <v>978</v>
      </c>
      <c r="AL379" t="s">
        <v>978</v>
      </c>
      <c r="AM379" t="s">
        <v>979</v>
      </c>
      <c r="AN379">
        <v>0</v>
      </c>
      <c r="AO379" t="s">
        <v>257</v>
      </c>
      <c r="AP379">
        <v>0</v>
      </c>
      <c r="AQ379">
        <v>1</v>
      </c>
      <c r="AR379">
        <v>43</v>
      </c>
      <c r="AS379">
        <v>1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1</v>
      </c>
      <c r="AZ379" t="s">
        <v>257</v>
      </c>
      <c r="BA379" t="s">
        <v>980</v>
      </c>
      <c r="BB379" t="s">
        <v>981</v>
      </c>
      <c r="BC379" t="s">
        <v>257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 t="s">
        <v>998</v>
      </c>
      <c r="BK379" t="s">
        <v>981</v>
      </c>
      <c r="BL379" t="s">
        <v>3533</v>
      </c>
      <c r="BM379">
        <v>20161213</v>
      </c>
      <c r="BN379">
        <v>20181119</v>
      </c>
      <c r="BO379">
        <v>0</v>
      </c>
      <c r="BP379" t="s">
        <v>257</v>
      </c>
      <c r="BQ379" t="s">
        <v>983</v>
      </c>
      <c r="BR379" t="s">
        <v>978</v>
      </c>
      <c r="BS379" t="s">
        <v>979</v>
      </c>
      <c r="BT379">
        <v>0</v>
      </c>
      <c r="BU379">
        <v>0</v>
      </c>
      <c r="BV379" t="s">
        <v>1013</v>
      </c>
      <c r="BW379" t="s">
        <v>257</v>
      </c>
      <c r="BX379">
        <v>0</v>
      </c>
      <c r="BY379" t="s">
        <v>980</v>
      </c>
      <c r="BZ379" t="s">
        <v>257</v>
      </c>
      <c r="CA379">
        <v>0</v>
      </c>
      <c r="CB379">
        <v>0</v>
      </c>
      <c r="CC379" t="s">
        <v>3538</v>
      </c>
      <c r="CD379">
        <v>0</v>
      </c>
      <c r="CE379">
        <v>0</v>
      </c>
      <c r="CF379">
        <v>0</v>
      </c>
      <c r="CG379">
        <v>0</v>
      </c>
      <c r="CH379">
        <v>0</v>
      </c>
      <c r="CI379" t="s">
        <v>983</v>
      </c>
      <c r="CJ379" t="s">
        <v>972</v>
      </c>
      <c r="CK379" t="s">
        <v>986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 t="s">
        <v>987</v>
      </c>
      <c r="CV379">
        <v>400008383</v>
      </c>
      <c r="CW379" t="s">
        <v>987</v>
      </c>
      <c r="CX379" t="s">
        <v>3539</v>
      </c>
      <c r="CY379" t="s">
        <v>989</v>
      </c>
    </row>
    <row r="380" spans="1:103" hidden="1" x14ac:dyDescent="0.25">
      <c r="A380">
        <v>410000384</v>
      </c>
      <c r="B380" t="s">
        <v>3540</v>
      </c>
      <c r="C380" t="s">
        <v>3541</v>
      </c>
      <c r="D380">
        <v>401100000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1</v>
      </c>
      <c r="Y380" t="s">
        <v>1091</v>
      </c>
      <c r="Z380" t="s">
        <v>3542</v>
      </c>
      <c r="AA380" t="s">
        <v>3543</v>
      </c>
      <c r="AB380" t="s">
        <v>975</v>
      </c>
      <c r="AC380">
        <v>4960</v>
      </c>
      <c r="AD380" t="s">
        <v>1548</v>
      </c>
      <c r="AE380">
        <v>32497334997</v>
      </c>
      <c r="AF380" t="s">
        <v>979</v>
      </c>
      <c r="AG380" t="s">
        <v>977</v>
      </c>
      <c r="AH380" t="s">
        <v>977</v>
      </c>
      <c r="AI380">
        <v>47762</v>
      </c>
      <c r="AJ380" t="s">
        <v>978</v>
      </c>
      <c r="AK380" t="s">
        <v>978</v>
      </c>
      <c r="AL380" t="s">
        <v>978</v>
      </c>
      <c r="AM380" t="s">
        <v>979</v>
      </c>
      <c r="AN380">
        <v>0</v>
      </c>
      <c r="AO380" t="s">
        <v>257</v>
      </c>
      <c r="AP380">
        <v>0</v>
      </c>
      <c r="AQ380">
        <v>1</v>
      </c>
      <c r="AR380">
        <v>43</v>
      </c>
      <c r="AS380">
        <v>1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1</v>
      </c>
      <c r="AZ380" t="s">
        <v>257</v>
      </c>
      <c r="BA380" t="s">
        <v>980</v>
      </c>
      <c r="BB380" t="s">
        <v>981</v>
      </c>
      <c r="BC380" t="s">
        <v>257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 t="s">
        <v>998</v>
      </c>
      <c r="BK380" t="s">
        <v>981</v>
      </c>
      <c r="BL380" t="s">
        <v>3540</v>
      </c>
      <c r="BM380">
        <v>20161214</v>
      </c>
      <c r="BN380">
        <v>20220328</v>
      </c>
      <c r="BO380">
        <v>0</v>
      </c>
      <c r="BP380" t="s">
        <v>257</v>
      </c>
      <c r="BQ380" t="s">
        <v>983</v>
      </c>
      <c r="BR380" t="s">
        <v>978</v>
      </c>
      <c r="BS380">
        <v>32497334997</v>
      </c>
      <c r="BT380">
        <v>0</v>
      </c>
      <c r="BU380">
        <v>0</v>
      </c>
      <c r="BV380" t="s">
        <v>984</v>
      </c>
      <c r="BW380" t="s">
        <v>257</v>
      </c>
      <c r="BX380">
        <v>0</v>
      </c>
      <c r="BY380" t="s">
        <v>980</v>
      </c>
      <c r="BZ380" t="s">
        <v>257</v>
      </c>
      <c r="CA380">
        <v>0</v>
      </c>
      <c r="CB380">
        <v>0</v>
      </c>
      <c r="CC380" t="s">
        <v>1161</v>
      </c>
      <c r="CD380">
        <v>0</v>
      </c>
      <c r="CE380">
        <v>0</v>
      </c>
      <c r="CF380">
        <v>0</v>
      </c>
      <c r="CG380">
        <v>0</v>
      </c>
      <c r="CH380">
        <v>0</v>
      </c>
      <c r="CI380" t="s">
        <v>983</v>
      </c>
      <c r="CJ380" t="s">
        <v>972</v>
      </c>
      <c r="CK380" t="s">
        <v>986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 t="s">
        <v>987</v>
      </c>
      <c r="CV380">
        <v>400008384</v>
      </c>
      <c r="CW380" t="s">
        <v>987</v>
      </c>
      <c r="CX380" t="s">
        <v>3544</v>
      </c>
      <c r="CY380" t="s">
        <v>989</v>
      </c>
    </row>
    <row r="381" spans="1:103" hidden="1" x14ac:dyDescent="0.25">
      <c r="A381">
        <v>410000385</v>
      </c>
      <c r="B381" t="s">
        <v>3545</v>
      </c>
      <c r="C381" t="s">
        <v>3546</v>
      </c>
      <c r="D381">
        <v>401100000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1</v>
      </c>
      <c r="Y381" t="s">
        <v>972</v>
      </c>
      <c r="Z381" t="s">
        <v>3547</v>
      </c>
      <c r="AA381" t="s">
        <v>3548</v>
      </c>
      <c r="AB381" t="s">
        <v>975</v>
      </c>
      <c r="AC381">
        <v>6280</v>
      </c>
      <c r="AD381" t="s">
        <v>3549</v>
      </c>
      <c r="AE381">
        <v>3271303282</v>
      </c>
      <c r="AF381">
        <v>3271323282</v>
      </c>
      <c r="AG381" t="s">
        <v>977</v>
      </c>
      <c r="AH381" t="s">
        <v>977</v>
      </c>
      <c r="AI381">
        <v>69201</v>
      </c>
      <c r="AJ381" t="s">
        <v>978</v>
      </c>
      <c r="AK381" t="s">
        <v>3550</v>
      </c>
      <c r="AL381" t="s">
        <v>3551</v>
      </c>
      <c r="AM381" t="s">
        <v>979</v>
      </c>
      <c r="AN381">
        <v>0</v>
      </c>
      <c r="AO381" t="s">
        <v>257</v>
      </c>
      <c r="AP381">
        <v>0</v>
      </c>
      <c r="AQ381">
        <v>1</v>
      </c>
      <c r="AR381">
        <v>43</v>
      </c>
      <c r="AS381">
        <v>1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1</v>
      </c>
      <c r="AZ381" t="s">
        <v>257</v>
      </c>
      <c r="BA381" t="s">
        <v>980</v>
      </c>
      <c r="BB381" t="s">
        <v>981</v>
      </c>
      <c r="BC381" t="s">
        <v>257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410000556</v>
      </c>
      <c r="BJ381" t="s">
        <v>998</v>
      </c>
      <c r="BK381" t="s">
        <v>981</v>
      </c>
      <c r="BL381" t="s">
        <v>3545</v>
      </c>
      <c r="BM381">
        <v>20161214</v>
      </c>
      <c r="BN381">
        <v>20220201</v>
      </c>
      <c r="BO381">
        <v>0</v>
      </c>
      <c r="BP381" t="s">
        <v>257</v>
      </c>
      <c r="BQ381" t="s">
        <v>983</v>
      </c>
      <c r="BR381" t="s">
        <v>978</v>
      </c>
      <c r="BS381" t="s">
        <v>979</v>
      </c>
      <c r="BT381">
        <v>0</v>
      </c>
      <c r="BU381">
        <v>0</v>
      </c>
      <c r="BV381" t="s">
        <v>984</v>
      </c>
      <c r="BW381" t="s">
        <v>257</v>
      </c>
      <c r="BX381">
        <v>0</v>
      </c>
      <c r="BY381" t="s">
        <v>980</v>
      </c>
      <c r="BZ381" t="s">
        <v>257</v>
      </c>
      <c r="CA381">
        <v>0</v>
      </c>
      <c r="CB381">
        <v>0</v>
      </c>
      <c r="CC381" t="s">
        <v>1033</v>
      </c>
      <c r="CD381">
        <v>0</v>
      </c>
      <c r="CE381">
        <v>0</v>
      </c>
      <c r="CF381">
        <v>0</v>
      </c>
      <c r="CG381">
        <v>0</v>
      </c>
      <c r="CH381">
        <v>0</v>
      </c>
      <c r="CI381" t="s">
        <v>983</v>
      </c>
      <c r="CJ381" t="s">
        <v>972</v>
      </c>
      <c r="CK381" t="s">
        <v>986</v>
      </c>
      <c r="CL381">
        <v>0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 t="s">
        <v>987</v>
      </c>
      <c r="CV381">
        <v>400008385</v>
      </c>
      <c r="CW381" t="s">
        <v>987</v>
      </c>
      <c r="CX381" t="s">
        <v>3552</v>
      </c>
      <c r="CY381" t="s">
        <v>989</v>
      </c>
    </row>
    <row r="382" spans="1:103" hidden="1" x14ac:dyDescent="0.25">
      <c r="A382">
        <v>410000386</v>
      </c>
      <c r="B382" t="s">
        <v>3553</v>
      </c>
      <c r="C382" t="s">
        <v>3554</v>
      </c>
      <c r="D382">
        <v>401100000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</v>
      </c>
      <c r="Y382" t="s">
        <v>972</v>
      </c>
      <c r="Z382" t="s">
        <v>3555</v>
      </c>
      <c r="AA382" t="s">
        <v>3556</v>
      </c>
      <c r="AB382" t="s">
        <v>975</v>
      </c>
      <c r="AC382">
        <v>7050</v>
      </c>
      <c r="AD382" t="s">
        <v>3557</v>
      </c>
      <c r="AE382">
        <v>3265227700</v>
      </c>
      <c r="AF382">
        <v>3265228712</v>
      </c>
      <c r="AG382" t="s">
        <v>977</v>
      </c>
      <c r="AH382" t="s">
        <v>977</v>
      </c>
      <c r="AI382" t="s">
        <v>977</v>
      </c>
      <c r="AJ382" t="s">
        <v>978</v>
      </c>
      <c r="AK382" t="s">
        <v>978</v>
      </c>
      <c r="AL382" t="s">
        <v>978</v>
      </c>
      <c r="AM382" t="s">
        <v>979</v>
      </c>
      <c r="AN382">
        <v>0</v>
      </c>
      <c r="AO382" t="s">
        <v>257</v>
      </c>
      <c r="AP382">
        <v>0</v>
      </c>
      <c r="AQ382">
        <v>1</v>
      </c>
      <c r="AR382">
        <v>43</v>
      </c>
      <c r="AS382">
        <v>1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1</v>
      </c>
      <c r="AZ382" t="s">
        <v>257</v>
      </c>
      <c r="BA382" t="s">
        <v>980</v>
      </c>
      <c r="BB382" t="s">
        <v>981</v>
      </c>
      <c r="BC382" t="s">
        <v>257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 t="s">
        <v>998</v>
      </c>
      <c r="BK382" t="s">
        <v>981</v>
      </c>
      <c r="BL382" t="s">
        <v>3553</v>
      </c>
      <c r="BM382">
        <v>20161219</v>
      </c>
      <c r="BN382">
        <v>20181119</v>
      </c>
      <c r="BO382">
        <v>0</v>
      </c>
      <c r="BP382" t="s">
        <v>257</v>
      </c>
      <c r="BQ382" t="s">
        <v>983</v>
      </c>
      <c r="BR382" t="s">
        <v>978</v>
      </c>
      <c r="BS382">
        <v>32496535950</v>
      </c>
      <c r="BT382">
        <v>0</v>
      </c>
      <c r="BU382">
        <v>0</v>
      </c>
      <c r="BV382" t="s">
        <v>3489</v>
      </c>
      <c r="BW382" t="s">
        <v>257</v>
      </c>
      <c r="BX382">
        <v>0</v>
      </c>
      <c r="BY382" t="s">
        <v>980</v>
      </c>
      <c r="BZ382" t="s">
        <v>257</v>
      </c>
      <c r="CA382">
        <v>0</v>
      </c>
      <c r="CB382">
        <v>0</v>
      </c>
      <c r="CC382" t="s">
        <v>3558</v>
      </c>
      <c r="CD382">
        <v>0</v>
      </c>
      <c r="CE382">
        <v>0</v>
      </c>
      <c r="CF382">
        <v>0</v>
      </c>
      <c r="CG382">
        <v>0</v>
      </c>
      <c r="CH382">
        <v>0</v>
      </c>
      <c r="CI382" t="s">
        <v>983</v>
      </c>
      <c r="CJ382" t="s">
        <v>972</v>
      </c>
      <c r="CK382" t="s">
        <v>986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 t="s">
        <v>987</v>
      </c>
      <c r="CV382">
        <v>400008386</v>
      </c>
      <c r="CW382" t="s">
        <v>987</v>
      </c>
      <c r="CX382" t="s">
        <v>3559</v>
      </c>
      <c r="CY382" t="s">
        <v>989</v>
      </c>
    </row>
    <row r="383" spans="1:103" hidden="1" x14ac:dyDescent="0.25">
      <c r="A383">
        <v>410000387</v>
      </c>
      <c r="B383" t="s">
        <v>3560</v>
      </c>
      <c r="C383" t="s">
        <v>3561</v>
      </c>
      <c r="D383">
        <v>401100000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1</v>
      </c>
      <c r="Y383" t="s">
        <v>972</v>
      </c>
      <c r="Z383" t="s">
        <v>3562</v>
      </c>
      <c r="AA383" t="s">
        <v>3563</v>
      </c>
      <c r="AB383" t="s">
        <v>975</v>
      </c>
      <c r="AC383">
        <v>5650</v>
      </c>
      <c r="AD383" t="s">
        <v>2217</v>
      </c>
      <c r="AE383" t="s">
        <v>979</v>
      </c>
      <c r="AF383" t="s">
        <v>979</v>
      </c>
      <c r="AG383" t="s">
        <v>977</v>
      </c>
      <c r="AH383" t="s">
        <v>977</v>
      </c>
      <c r="AI383" t="s">
        <v>977</v>
      </c>
      <c r="AJ383" t="s">
        <v>3564</v>
      </c>
      <c r="AK383" t="s">
        <v>3565</v>
      </c>
      <c r="AL383" t="s">
        <v>3566</v>
      </c>
      <c r="AM383" t="s">
        <v>979</v>
      </c>
      <c r="AN383">
        <v>0</v>
      </c>
      <c r="AO383" t="s">
        <v>257</v>
      </c>
      <c r="AP383">
        <v>0</v>
      </c>
      <c r="AQ383">
        <v>1</v>
      </c>
      <c r="AR383">
        <v>43</v>
      </c>
      <c r="AS383">
        <v>1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1</v>
      </c>
      <c r="AZ383" t="s">
        <v>257</v>
      </c>
      <c r="BA383" t="s">
        <v>980</v>
      </c>
      <c r="BB383" t="s">
        <v>980</v>
      </c>
      <c r="BC383" t="s">
        <v>257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 t="s">
        <v>998</v>
      </c>
      <c r="BK383" t="s">
        <v>981</v>
      </c>
      <c r="BL383" t="s">
        <v>3560</v>
      </c>
      <c r="BM383">
        <v>20161219</v>
      </c>
      <c r="BN383">
        <v>20181119</v>
      </c>
      <c r="BO383">
        <v>20170516</v>
      </c>
      <c r="BP383" t="s">
        <v>257</v>
      </c>
      <c r="BQ383" t="s">
        <v>983</v>
      </c>
      <c r="BR383" t="s">
        <v>978</v>
      </c>
      <c r="BS383" t="s">
        <v>979</v>
      </c>
      <c r="BT383">
        <v>0</v>
      </c>
      <c r="BU383">
        <v>0</v>
      </c>
      <c r="BV383" t="s">
        <v>1013</v>
      </c>
      <c r="BW383" t="s">
        <v>257</v>
      </c>
      <c r="BX383">
        <v>0</v>
      </c>
      <c r="BY383" t="s">
        <v>980</v>
      </c>
      <c r="BZ383" t="s">
        <v>257</v>
      </c>
      <c r="CA383">
        <v>0</v>
      </c>
      <c r="CB383">
        <v>0</v>
      </c>
      <c r="CC383" t="s">
        <v>2222</v>
      </c>
      <c r="CD383">
        <v>0</v>
      </c>
      <c r="CE383">
        <v>0</v>
      </c>
      <c r="CF383">
        <v>0</v>
      </c>
      <c r="CG383">
        <v>0</v>
      </c>
      <c r="CH383">
        <v>0</v>
      </c>
      <c r="CI383" t="s">
        <v>983</v>
      </c>
      <c r="CJ383" t="s">
        <v>972</v>
      </c>
      <c r="CK383" t="s">
        <v>986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 t="s">
        <v>987</v>
      </c>
      <c r="CV383">
        <v>400008387</v>
      </c>
      <c r="CW383" t="s">
        <v>987</v>
      </c>
      <c r="CX383" t="s">
        <v>1081</v>
      </c>
      <c r="CY383" t="s">
        <v>989</v>
      </c>
    </row>
    <row r="384" spans="1:103" hidden="1" x14ac:dyDescent="0.25">
      <c r="A384">
        <v>410000388</v>
      </c>
      <c r="B384" t="s">
        <v>3567</v>
      </c>
      <c r="C384" t="s">
        <v>3568</v>
      </c>
      <c r="D384">
        <v>401100000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1</v>
      </c>
      <c r="Y384" t="s">
        <v>972</v>
      </c>
      <c r="Z384" t="s">
        <v>3569</v>
      </c>
      <c r="AA384" t="s">
        <v>3570</v>
      </c>
      <c r="AB384" t="s">
        <v>975</v>
      </c>
      <c r="AC384">
        <v>4000</v>
      </c>
      <c r="AD384" t="s">
        <v>1019</v>
      </c>
      <c r="AE384" t="s">
        <v>3571</v>
      </c>
      <c r="AF384" t="s">
        <v>979</v>
      </c>
      <c r="AG384" t="s">
        <v>977</v>
      </c>
      <c r="AH384" t="s">
        <v>977</v>
      </c>
      <c r="AI384" t="s">
        <v>977</v>
      </c>
      <c r="AJ384" t="s">
        <v>978</v>
      </c>
      <c r="AK384" t="s">
        <v>978</v>
      </c>
      <c r="AL384" t="s">
        <v>978</v>
      </c>
      <c r="AM384" t="s">
        <v>979</v>
      </c>
      <c r="AN384">
        <v>0</v>
      </c>
      <c r="AO384" t="s">
        <v>257</v>
      </c>
      <c r="AP384">
        <v>0</v>
      </c>
      <c r="AQ384">
        <v>1</v>
      </c>
      <c r="AR384">
        <v>43</v>
      </c>
      <c r="AS384">
        <v>1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1</v>
      </c>
      <c r="AZ384" t="s">
        <v>257</v>
      </c>
      <c r="BA384" t="s">
        <v>980</v>
      </c>
      <c r="BB384" t="s">
        <v>981</v>
      </c>
      <c r="BC384" t="s">
        <v>257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 t="s">
        <v>998</v>
      </c>
      <c r="BK384" t="s">
        <v>981</v>
      </c>
      <c r="BL384" t="s">
        <v>3567</v>
      </c>
      <c r="BM384">
        <v>20170102</v>
      </c>
      <c r="BN384">
        <v>20181119</v>
      </c>
      <c r="BO384">
        <v>0</v>
      </c>
      <c r="BP384" t="s">
        <v>257</v>
      </c>
      <c r="BQ384" t="s">
        <v>983</v>
      </c>
      <c r="BR384" t="s">
        <v>978</v>
      </c>
      <c r="BS384" t="s">
        <v>3572</v>
      </c>
      <c r="BT384">
        <v>0</v>
      </c>
      <c r="BU384">
        <v>0</v>
      </c>
      <c r="BV384" t="s">
        <v>3489</v>
      </c>
      <c r="BW384" t="s">
        <v>257</v>
      </c>
      <c r="BX384">
        <v>0</v>
      </c>
      <c r="BY384" t="s">
        <v>980</v>
      </c>
      <c r="BZ384" t="s">
        <v>257</v>
      </c>
      <c r="CA384">
        <v>0</v>
      </c>
      <c r="CB384">
        <v>0</v>
      </c>
      <c r="CC384" t="s">
        <v>3366</v>
      </c>
      <c r="CD384">
        <v>0</v>
      </c>
      <c r="CE384">
        <v>0</v>
      </c>
      <c r="CF384">
        <v>0</v>
      </c>
      <c r="CG384">
        <v>0</v>
      </c>
      <c r="CH384">
        <v>0</v>
      </c>
      <c r="CI384" t="s">
        <v>983</v>
      </c>
      <c r="CJ384" t="s">
        <v>972</v>
      </c>
      <c r="CK384" t="s">
        <v>986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 t="s">
        <v>987</v>
      </c>
      <c r="CV384">
        <v>400008388</v>
      </c>
      <c r="CW384" t="s">
        <v>987</v>
      </c>
      <c r="CX384" t="s">
        <v>3573</v>
      </c>
      <c r="CY384" t="s">
        <v>989</v>
      </c>
    </row>
    <row r="385" spans="1:103" hidden="1" x14ac:dyDescent="0.25">
      <c r="A385">
        <v>410000389</v>
      </c>
      <c r="B385" t="s">
        <v>3574</v>
      </c>
      <c r="C385" t="s">
        <v>3575</v>
      </c>
      <c r="D385">
        <v>401100000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1</v>
      </c>
      <c r="Y385" t="s">
        <v>972</v>
      </c>
      <c r="Z385" t="s">
        <v>3576</v>
      </c>
      <c r="AA385" t="s">
        <v>3577</v>
      </c>
      <c r="AB385" t="s">
        <v>975</v>
      </c>
      <c r="AC385">
        <v>4040</v>
      </c>
      <c r="AD385" t="s">
        <v>1019</v>
      </c>
      <c r="AE385">
        <v>3242649409</v>
      </c>
      <c r="AF385">
        <v>3242640036</v>
      </c>
      <c r="AG385" t="s">
        <v>977</v>
      </c>
      <c r="AH385" t="s">
        <v>977</v>
      </c>
      <c r="AI385" t="s">
        <v>977</v>
      </c>
      <c r="AJ385" t="s">
        <v>978</v>
      </c>
      <c r="AK385" t="s">
        <v>978</v>
      </c>
      <c r="AL385" t="s">
        <v>978</v>
      </c>
      <c r="AM385" t="s">
        <v>979</v>
      </c>
      <c r="AN385">
        <v>0</v>
      </c>
      <c r="AO385" t="s">
        <v>257</v>
      </c>
      <c r="AP385">
        <v>0</v>
      </c>
      <c r="AQ385">
        <v>1</v>
      </c>
      <c r="AR385">
        <v>43</v>
      </c>
      <c r="AS385">
        <v>1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1</v>
      </c>
      <c r="AZ385" t="s">
        <v>257</v>
      </c>
      <c r="BA385" t="s">
        <v>257</v>
      </c>
      <c r="BB385" t="s">
        <v>981</v>
      </c>
      <c r="BC385" t="s">
        <v>257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 t="s">
        <v>998</v>
      </c>
      <c r="BK385" t="s">
        <v>981</v>
      </c>
      <c r="BL385" t="s">
        <v>3574</v>
      </c>
      <c r="BM385">
        <v>20170112</v>
      </c>
      <c r="BN385">
        <v>20181119</v>
      </c>
      <c r="BO385">
        <v>0</v>
      </c>
      <c r="BP385" t="s">
        <v>257</v>
      </c>
      <c r="BQ385" t="s">
        <v>983</v>
      </c>
      <c r="BR385" t="s">
        <v>978</v>
      </c>
      <c r="BS385" t="s">
        <v>979</v>
      </c>
      <c r="BT385">
        <v>0</v>
      </c>
      <c r="BU385">
        <v>0</v>
      </c>
      <c r="BV385" t="s">
        <v>1013</v>
      </c>
      <c r="BW385" t="s">
        <v>257</v>
      </c>
      <c r="BX385">
        <v>0</v>
      </c>
      <c r="BY385" t="s">
        <v>980</v>
      </c>
      <c r="BZ385" t="s">
        <v>257</v>
      </c>
      <c r="CA385">
        <v>0</v>
      </c>
      <c r="CB385">
        <v>0</v>
      </c>
      <c r="CC385" t="s">
        <v>1119</v>
      </c>
      <c r="CD385">
        <v>0</v>
      </c>
      <c r="CE385">
        <v>0</v>
      </c>
      <c r="CF385">
        <v>0</v>
      </c>
      <c r="CG385">
        <v>0</v>
      </c>
      <c r="CH385">
        <v>0</v>
      </c>
      <c r="CI385" t="s">
        <v>983</v>
      </c>
      <c r="CJ385" t="s">
        <v>972</v>
      </c>
      <c r="CK385" t="s">
        <v>986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 t="s">
        <v>987</v>
      </c>
      <c r="CV385">
        <v>400008389</v>
      </c>
      <c r="CW385" t="s">
        <v>987</v>
      </c>
      <c r="CX385" t="s">
        <v>3578</v>
      </c>
      <c r="CY385" t="s">
        <v>989</v>
      </c>
    </row>
    <row r="386" spans="1:103" hidden="1" x14ac:dyDescent="0.25">
      <c r="A386">
        <v>410000390</v>
      </c>
      <c r="B386" t="s">
        <v>3579</v>
      </c>
      <c r="C386" t="s">
        <v>3580</v>
      </c>
      <c r="D386">
        <v>401100000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1</v>
      </c>
      <c r="Y386" t="s">
        <v>972</v>
      </c>
      <c r="Z386" t="s">
        <v>3581</v>
      </c>
      <c r="AA386" t="s">
        <v>3582</v>
      </c>
      <c r="AB386" t="s">
        <v>975</v>
      </c>
      <c r="AC386">
        <v>4280</v>
      </c>
      <c r="AD386" t="s">
        <v>1743</v>
      </c>
      <c r="AE386">
        <v>3219512828</v>
      </c>
      <c r="AF386" t="s">
        <v>979</v>
      </c>
      <c r="AG386" t="s">
        <v>977</v>
      </c>
      <c r="AH386" t="s">
        <v>977</v>
      </c>
      <c r="AI386">
        <v>47782</v>
      </c>
      <c r="AJ386" t="s">
        <v>978</v>
      </c>
      <c r="AK386" t="s">
        <v>978</v>
      </c>
      <c r="AL386" t="s">
        <v>978</v>
      </c>
      <c r="AM386" t="s">
        <v>979</v>
      </c>
      <c r="AN386">
        <v>0</v>
      </c>
      <c r="AO386" t="s">
        <v>257</v>
      </c>
      <c r="AP386">
        <v>0</v>
      </c>
      <c r="AQ386">
        <v>1</v>
      </c>
      <c r="AR386">
        <v>69</v>
      </c>
      <c r="AS386">
        <v>1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1</v>
      </c>
      <c r="AZ386" t="s">
        <v>257</v>
      </c>
      <c r="BA386" t="s">
        <v>980</v>
      </c>
      <c r="BB386" t="s">
        <v>981</v>
      </c>
      <c r="BC386" t="s">
        <v>257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 t="s">
        <v>998</v>
      </c>
      <c r="BK386" t="s">
        <v>981</v>
      </c>
      <c r="BL386" t="s">
        <v>3579</v>
      </c>
      <c r="BM386">
        <v>20170120</v>
      </c>
      <c r="BN386">
        <v>20240910</v>
      </c>
      <c r="BO386">
        <v>0</v>
      </c>
      <c r="BP386" t="s">
        <v>257</v>
      </c>
      <c r="BQ386" t="s">
        <v>983</v>
      </c>
      <c r="BR386" t="s">
        <v>978</v>
      </c>
      <c r="BS386">
        <v>32475763154</v>
      </c>
      <c r="BT386">
        <v>0</v>
      </c>
      <c r="BU386">
        <v>0</v>
      </c>
      <c r="BV386" t="s">
        <v>984</v>
      </c>
      <c r="BW386" t="s">
        <v>257</v>
      </c>
      <c r="BX386">
        <v>0</v>
      </c>
      <c r="BY386" t="s">
        <v>980</v>
      </c>
      <c r="BZ386" t="s">
        <v>257</v>
      </c>
      <c r="CA386">
        <v>0</v>
      </c>
      <c r="CB386">
        <v>0</v>
      </c>
      <c r="CC386" t="s">
        <v>2456</v>
      </c>
      <c r="CD386">
        <v>0</v>
      </c>
      <c r="CE386">
        <v>0</v>
      </c>
      <c r="CF386">
        <v>0</v>
      </c>
      <c r="CG386">
        <v>0</v>
      </c>
      <c r="CH386">
        <v>0</v>
      </c>
      <c r="CI386" t="s">
        <v>983</v>
      </c>
      <c r="CJ386" t="s">
        <v>972</v>
      </c>
      <c r="CK386" t="s">
        <v>986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 t="s">
        <v>987</v>
      </c>
      <c r="CV386">
        <v>400008390</v>
      </c>
      <c r="CW386" t="s">
        <v>987</v>
      </c>
      <c r="CX386" t="s">
        <v>3583</v>
      </c>
      <c r="CY386" t="s">
        <v>989</v>
      </c>
    </row>
    <row r="387" spans="1:103" hidden="1" x14ac:dyDescent="0.25">
      <c r="A387">
        <v>410000391</v>
      </c>
      <c r="B387" t="s">
        <v>3584</v>
      </c>
      <c r="C387" t="s">
        <v>3585</v>
      </c>
      <c r="D387">
        <v>401100000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1</v>
      </c>
      <c r="Y387" t="s">
        <v>972</v>
      </c>
      <c r="Z387" t="s">
        <v>3586</v>
      </c>
      <c r="AA387" t="s">
        <v>3587</v>
      </c>
      <c r="AB387" t="s">
        <v>975</v>
      </c>
      <c r="AC387">
        <v>4600</v>
      </c>
      <c r="AD387" t="s">
        <v>1813</v>
      </c>
      <c r="AE387">
        <v>3242866535</v>
      </c>
      <c r="AF387">
        <v>3242865623</v>
      </c>
      <c r="AG387" t="s">
        <v>977</v>
      </c>
      <c r="AH387" t="s">
        <v>977</v>
      </c>
      <c r="AI387" t="s">
        <v>977</v>
      </c>
      <c r="AJ387" t="s">
        <v>978</v>
      </c>
      <c r="AK387" t="s">
        <v>978</v>
      </c>
      <c r="AL387" t="s">
        <v>978</v>
      </c>
      <c r="AM387" t="s">
        <v>979</v>
      </c>
      <c r="AN387">
        <v>0</v>
      </c>
      <c r="AO387" t="s">
        <v>257</v>
      </c>
      <c r="AP387">
        <v>0</v>
      </c>
      <c r="AQ387">
        <v>1</v>
      </c>
      <c r="AR387">
        <v>43</v>
      </c>
      <c r="AS387">
        <v>1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1</v>
      </c>
      <c r="AZ387" t="s">
        <v>257</v>
      </c>
      <c r="BA387" t="s">
        <v>980</v>
      </c>
      <c r="BB387" t="s">
        <v>1010</v>
      </c>
      <c r="BC387" t="s">
        <v>257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 t="s">
        <v>998</v>
      </c>
      <c r="BK387" t="s">
        <v>981</v>
      </c>
      <c r="BL387" t="s">
        <v>3584</v>
      </c>
      <c r="BM387">
        <v>20170123</v>
      </c>
      <c r="BN387">
        <v>20221219</v>
      </c>
      <c r="BO387">
        <v>20210819</v>
      </c>
      <c r="BP387" t="s">
        <v>257</v>
      </c>
      <c r="BQ387" t="s">
        <v>983</v>
      </c>
      <c r="BR387" t="s">
        <v>978</v>
      </c>
      <c r="BS387">
        <v>32471227221</v>
      </c>
      <c r="BT387">
        <v>0</v>
      </c>
      <c r="BU387">
        <v>0</v>
      </c>
      <c r="BV387" t="s">
        <v>984</v>
      </c>
      <c r="BW387" t="s">
        <v>257</v>
      </c>
      <c r="BX387">
        <v>0</v>
      </c>
      <c r="BY387" t="s">
        <v>980</v>
      </c>
      <c r="BZ387" t="s">
        <v>257</v>
      </c>
      <c r="CA387">
        <v>0</v>
      </c>
      <c r="CB387">
        <v>0</v>
      </c>
      <c r="CC387" t="s">
        <v>2000</v>
      </c>
      <c r="CD387">
        <v>0</v>
      </c>
      <c r="CE387">
        <v>0</v>
      </c>
      <c r="CF387">
        <v>0</v>
      </c>
      <c r="CG387">
        <v>0</v>
      </c>
      <c r="CH387">
        <v>0</v>
      </c>
      <c r="CI387" t="s">
        <v>983</v>
      </c>
      <c r="CJ387" t="s">
        <v>972</v>
      </c>
      <c r="CK387" t="s">
        <v>986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 t="s">
        <v>987</v>
      </c>
      <c r="CV387">
        <v>400008391</v>
      </c>
      <c r="CW387" t="s">
        <v>987</v>
      </c>
      <c r="CX387" t="s">
        <v>3588</v>
      </c>
      <c r="CY387" t="s">
        <v>989</v>
      </c>
    </row>
    <row r="388" spans="1:103" hidden="1" x14ac:dyDescent="0.25">
      <c r="A388">
        <v>410000392</v>
      </c>
      <c r="B388" t="s">
        <v>3589</v>
      </c>
      <c r="C388" t="s">
        <v>3590</v>
      </c>
      <c r="D388">
        <v>401100000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1</v>
      </c>
      <c r="X388">
        <v>1</v>
      </c>
      <c r="Y388" t="s">
        <v>972</v>
      </c>
      <c r="Z388" t="s">
        <v>987</v>
      </c>
      <c r="AA388" t="s">
        <v>3591</v>
      </c>
      <c r="AB388" t="s">
        <v>975</v>
      </c>
      <c r="AC388">
        <v>5190</v>
      </c>
      <c r="AD388" t="s">
        <v>3592</v>
      </c>
      <c r="AE388" t="s">
        <v>3593</v>
      </c>
      <c r="AF388" t="s">
        <v>3594</v>
      </c>
      <c r="AG388" t="s">
        <v>977</v>
      </c>
      <c r="AH388" t="s">
        <v>977</v>
      </c>
      <c r="AI388" t="s">
        <v>977</v>
      </c>
      <c r="AJ388" t="s">
        <v>3595</v>
      </c>
      <c r="AK388" t="s">
        <v>3596</v>
      </c>
      <c r="AL388" t="s">
        <v>978</v>
      </c>
      <c r="AM388" t="s">
        <v>979</v>
      </c>
      <c r="AN388">
        <v>0</v>
      </c>
      <c r="AO388" t="s">
        <v>257</v>
      </c>
      <c r="AP388">
        <v>0</v>
      </c>
      <c r="AQ388">
        <v>1</v>
      </c>
      <c r="AR388">
        <v>43</v>
      </c>
      <c r="AS388">
        <v>1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1</v>
      </c>
      <c r="AZ388" t="s">
        <v>257</v>
      </c>
      <c r="BA388" t="s">
        <v>980</v>
      </c>
      <c r="BB388" t="s">
        <v>981</v>
      </c>
      <c r="BC388" t="s">
        <v>257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 t="s">
        <v>998</v>
      </c>
      <c r="BK388" t="s">
        <v>981</v>
      </c>
      <c r="BL388" t="s">
        <v>3589</v>
      </c>
      <c r="BM388">
        <v>20170127</v>
      </c>
      <c r="BN388">
        <v>20181119</v>
      </c>
      <c r="BO388">
        <v>0</v>
      </c>
      <c r="BP388" t="s">
        <v>257</v>
      </c>
      <c r="BQ388" t="s">
        <v>983</v>
      </c>
      <c r="BR388" t="s">
        <v>978</v>
      </c>
      <c r="BS388" t="s">
        <v>979</v>
      </c>
      <c r="BT388">
        <v>0</v>
      </c>
      <c r="BU388">
        <v>0</v>
      </c>
      <c r="BV388" t="s">
        <v>1013</v>
      </c>
      <c r="BW388" t="s">
        <v>257</v>
      </c>
      <c r="BX388">
        <v>0</v>
      </c>
      <c r="BY388" t="s">
        <v>980</v>
      </c>
      <c r="BZ388" t="s">
        <v>257</v>
      </c>
      <c r="CA388">
        <v>0</v>
      </c>
      <c r="CB388">
        <v>0</v>
      </c>
      <c r="CC388" t="s">
        <v>1033</v>
      </c>
      <c r="CD388">
        <v>0</v>
      </c>
      <c r="CE388">
        <v>0</v>
      </c>
      <c r="CF388">
        <v>0</v>
      </c>
      <c r="CG388">
        <v>0</v>
      </c>
      <c r="CH388">
        <v>0</v>
      </c>
      <c r="CI388" t="s">
        <v>983</v>
      </c>
      <c r="CJ388" t="s">
        <v>972</v>
      </c>
      <c r="CK388" t="s">
        <v>986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 t="s">
        <v>987</v>
      </c>
      <c r="CV388">
        <v>400008392</v>
      </c>
      <c r="CW388" t="s">
        <v>987</v>
      </c>
      <c r="CX388" t="s">
        <v>1081</v>
      </c>
      <c r="CY388" t="s">
        <v>989</v>
      </c>
    </row>
    <row r="389" spans="1:103" hidden="1" x14ac:dyDescent="0.25">
      <c r="A389">
        <v>410000393</v>
      </c>
      <c r="B389" t="s">
        <v>3597</v>
      </c>
      <c r="C389" t="s">
        <v>3598</v>
      </c>
      <c r="D389">
        <v>401100000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1</v>
      </c>
      <c r="Y389" t="s">
        <v>972</v>
      </c>
      <c r="Z389" t="s">
        <v>3599</v>
      </c>
      <c r="AA389" t="s">
        <v>3600</v>
      </c>
      <c r="AB389" t="s">
        <v>975</v>
      </c>
      <c r="AC389">
        <v>4000</v>
      </c>
      <c r="AD389" t="s">
        <v>1698</v>
      </c>
      <c r="AE389">
        <v>3242252550</v>
      </c>
      <c r="AF389">
        <v>3242331560</v>
      </c>
      <c r="AG389" t="s">
        <v>977</v>
      </c>
      <c r="AH389" t="s">
        <v>977</v>
      </c>
      <c r="AI389" t="s">
        <v>977</v>
      </c>
      <c r="AJ389" t="s">
        <v>978</v>
      </c>
      <c r="AK389" t="s">
        <v>978</v>
      </c>
      <c r="AL389" t="s">
        <v>978</v>
      </c>
      <c r="AM389" t="s">
        <v>979</v>
      </c>
      <c r="AN389">
        <v>0</v>
      </c>
      <c r="AO389" t="s">
        <v>257</v>
      </c>
      <c r="AP389">
        <v>0</v>
      </c>
      <c r="AQ389">
        <v>1</v>
      </c>
      <c r="AR389">
        <v>43</v>
      </c>
      <c r="AS389">
        <v>1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1</v>
      </c>
      <c r="AZ389" t="s">
        <v>257</v>
      </c>
      <c r="BA389" t="s">
        <v>980</v>
      </c>
      <c r="BB389" t="s">
        <v>981</v>
      </c>
      <c r="BC389" t="s">
        <v>257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 t="s">
        <v>998</v>
      </c>
      <c r="BK389" t="s">
        <v>981</v>
      </c>
      <c r="BL389" t="s">
        <v>3597</v>
      </c>
      <c r="BM389">
        <v>20170203</v>
      </c>
      <c r="BN389">
        <v>20181119</v>
      </c>
      <c r="BO389">
        <v>0</v>
      </c>
      <c r="BP389" t="s">
        <v>257</v>
      </c>
      <c r="BQ389" t="s">
        <v>983</v>
      </c>
      <c r="BR389" t="s">
        <v>978</v>
      </c>
      <c r="BS389" t="s">
        <v>979</v>
      </c>
      <c r="BT389">
        <v>0</v>
      </c>
      <c r="BU389">
        <v>0</v>
      </c>
      <c r="BV389" t="s">
        <v>1013</v>
      </c>
      <c r="BW389" t="s">
        <v>257</v>
      </c>
      <c r="BX389">
        <v>0</v>
      </c>
      <c r="BY389" t="s">
        <v>980</v>
      </c>
      <c r="BZ389" t="s">
        <v>257</v>
      </c>
      <c r="CA389">
        <v>0</v>
      </c>
      <c r="CB389">
        <v>0</v>
      </c>
      <c r="CC389" t="s">
        <v>2498</v>
      </c>
      <c r="CD389">
        <v>0</v>
      </c>
      <c r="CE389">
        <v>0</v>
      </c>
      <c r="CF389">
        <v>0</v>
      </c>
      <c r="CG389">
        <v>0</v>
      </c>
      <c r="CH389">
        <v>0</v>
      </c>
      <c r="CI389" t="s">
        <v>983</v>
      </c>
      <c r="CJ389" t="s">
        <v>972</v>
      </c>
      <c r="CK389" t="s">
        <v>986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 t="s">
        <v>987</v>
      </c>
      <c r="CV389">
        <v>400008393</v>
      </c>
      <c r="CW389" t="s">
        <v>987</v>
      </c>
      <c r="CX389" t="s">
        <v>3601</v>
      </c>
      <c r="CY389" t="s">
        <v>989</v>
      </c>
    </row>
    <row r="390" spans="1:103" hidden="1" x14ac:dyDescent="0.25">
      <c r="A390">
        <v>410000394</v>
      </c>
      <c r="B390" t="s">
        <v>3602</v>
      </c>
      <c r="C390" t="s">
        <v>3603</v>
      </c>
      <c r="D390">
        <v>401100000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1</v>
      </c>
      <c r="Y390" t="s">
        <v>972</v>
      </c>
      <c r="Z390" t="s">
        <v>3604</v>
      </c>
      <c r="AA390" t="s">
        <v>3605</v>
      </c>
      <c r="AB390" t="s">
        <v>975</v>
      </c>
      <c r="AC390">
        <v>4040</v>
      </c>
      <c r="AD390" t="s">
        <v>976</v>
      </c>
      <c r="AE390" t="s">
        <v>979</v>
      </c>
      <c r="AF390" t="s">
        <v>3606</v>
      </c>
      <c r="AG390" t="s">
        <v>977</v>
      </c>
      <c r="AH390" t="s">
        <v>977</v>
      </c>
      <c r="AI390">
        <v>47716</v>
      </c>
      <c r="AJ390" t="s">
        <v>978</v>
      </c>
      <c r="AK390" t="s">
        <v>978</v>
      </c>
      <c r="AL390" t="s">
        <v>978</v>
      </c>
      <c r="AM390" t="s">
        <v>979</v>
      </c>
      <c r="AN390">
        <v>0</v>
      </c>
      <c r="AO390" t="s">
        <v>257</v>
      </c>
      <c r="AP390">
        <v>0</v>
      </c>
      <c r="AQ390">
        <v>1</v>
      </c>
      <c r="AR390">
        <v>43</v>
      </c>
      <c r="AS390">
        <v>1</v>
      </c>
      <c r="AT390">
        <v>0</v>
      </c>
      <c r="AU390">
        <v>1</v>
      </c>
      <c r="AV390">
        <v>0</v>
      </c>
      <c r="AW390">
        <v>0</v>
      </c>
      <c r="AX390">
        <v>0</v>
      </c>
      <c r="AY390">
        <v>1</v>
      </c>
      <c r="AZ390" t="s">
        <v>257</v>
      </c>
      <c r="BA390" t="s">
        <v>980</v>
      </c>
      <c r="BB390" t="s">
        <v>981</v>
      </c>
      <c r="BC390" t="s">
        <v>257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 t="s">
        <v>998</v>
      </c>
      <c r="BK390" t="s">
        <v>981</v>
      </c>
      <c r="BL390" t="s">
        <v>3602</v>
      </c>
      <c r="BM390">
        <v>20170213</v>
      </c>
      <c r="BN390">
        <v>20230119</v>
      </c>
      <c r="BO390">
        <v>0</v>
      </c>
      <c r="BP390" t="s">
        <v>257</v>
      </c>
      <c r="BQ390" t="s">
        <v>983</v>
      </c>
      <c r="BR390" t="s">
        <v>978</v>
      </c>
      <c r="BS390" t="s">
        <v>3607</v>
      </c>
      <c r="BT390">
        <v>0</v>
      </c>
      <c r="BU390">
        <v>0</v>
      </c>
      <c r="BV390" t="s">
        <v>984</v>
      </c>
      <c r="BW390" t="s">
        <v>257</v>
      </c>
      <c r="BX390">
        <v>0</v>
      </c>
      <c r="BY390" t="s">
        <v>980</v>
      </c>
      <c r="BZ390" t="s">
        <v>257</v>
      </c>
      <c r="CA390">
        <v>0</v>
      </c>
      <c r="CB390">
        <v>0</v>
      </c>
      <c r="CC390" t="s">
        <v>985</v>
      </c>
      <c r="CD390">
        <v>0</v>
      </c>
      <c r="CE390">
        <v>0</v>
      </c>
      <c r="CF390">
        <v>0</v>
      </c>
      <c r="CG390">
        <v>0</v>
      </c>
      <c r="CH390">
        <v>0</v>
      </c>
      <c r="CI390" t="s">
        <v>983</v>
      </c>
      <c r="CJ390" t="s">
        <v>972</v>
      </c>
      <c r="CK390" t="s">
        <v>986</v>
      </c>
      <c r="CL390">
        <v>0</v>
      </c>
      <c r="CM390">
        <v>1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 t="s">
        <v>987</v>
      </c>
      <c r="CV390">
        <v>400008394</v>
      </c>
      <c r="CW390" t="s">
        <v>987</v>
      </c>
      <c r="CX390" t="s">
        <v>3608</v>
      </c>
      <c r="CY390" t="s">
        <v>989</v>
      </c>
    </row>
    <row r="391" spans="1:103" hidden="1" x14ac:dyDescent="0.25">
      <c r="A391">
        <v>410000395</v>
      </c>
      <c r="B391" t="s">
        <v>3609</v>
      </c>
      <c r="C391" t="s">
        <v>3610</v>
      </c>
      <c r="D391">
        <v>401100000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1</v>
      </c>
      <c r="Y391" t="s">
        <v>972</v>
      </c>
      <c r="Z391" t="s">
        <v>3611</v>
      </c>
      <c r="AA391" t="s">
        <v>3612</v>
      </c>
      <c r="AB391" t="s">
        <v>975</v>
      </c>
      <c r="AC391">
        <v>4910</v>
      </c>
      <c r="AD391" t="s">
        <v>1189</v>
      </c>
      <c r="AE391" t="s">
        <v>3613</v>
      </c>
      <c r="AF391" t="s">
        <v>3614</v>
      </c>
      <c r="AG391" t="s">
        <v>977</v>
      </c>
      <c r="AH391" t="s">
        <v>977</v>
      </c>
      <c r="AI391" t="s">
        <v>977</v>
      </c>
      <c r="AJ391" t="s">
        <v>978</v>
      </c>
      <c r="AK391" t="s">
        <v>978</v>
      </c>
      <c r="AL391" t="s">
        <v>978</v>
      </c>
      <c r="AM391" t="s">
        <v>979</v>
      </c>
      <c r="AN391">
        <v>0</v>
      </c>
      <c r="AO391" t="s">
        <v>257</v>
      </c>
      <c r="AP391">
        <v>0</v>
      </c>
      <c r="AQ391">
        <v>1</v>
      </c>
      <c r="AR391">
        <v>69</v>
      </c>
      <c r="AS391">
        <v>1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1</v>
      </c>
      <c r="AZ391" t="s">
        <v>257</v>
      </c>
      <c r="BA391" t="s">
        <v>980</v>
      </c>
      <c r="BB391" t="s">
        <v>981</v>
      </c>
      <c r="BC391" t="s">
        <v>257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 t="s">
        <v>998</v>
      </c>
      <c r="BK391" t="s">
        <v>981</v>
      </c>
      <c r="BL391" t="s">
        <v>3609</v>
      </c>
      <c r="BM391">
        <v>20170213</v>
      </c>
      <c r="BN391">
        <v>20240910</v>
      </c>
      <c r="BO391">
        <v>0</v>
      </c>
      <c r="BP391" t="s">
        <v>257</v>
      </c>
      <c r="BQ391" t="s">
        <v>983</v>
      </c>
      <c r="BR391" t="s">
        <v>978</v>
      </c>
      <c r="BS391" t="s">
        <v>979</v>
      </c>
      <c r="BT391">
        <v>0</v>
      </c>
      <c r="BU391">
        <v>0</v>
      </c>
      <c r="BV391" t="s">
        <v>984</v>
      </c>
      <c r="BW391" t="s">
        <v>257</v>
      </c>
      <c r="BX391">
        <v>0</v>
      </c>
      <c r="BY391" t="s">
        <v>980</v>
      </c>
      <c r="BZ391" t="s">
        <v>257</v>
      </c>
      <c r="CA391">
        <v>0</v>
      </c>
      <c r="CB391">
        <v>0</v>
      </c>
      <c r="CC391" t="s">
        <v>1871</v>
      </c>
      <c r="CD391">
        <v>0</v>
      </c>
      <c r="CE391">
        <v>0</v>
      </c>
      <c r="CF391">
        <v>0</v>
      </c>
      <c r="CG391">
        <v>0</v>
      </c>
      <c r="CH391">
        <v>0</v>
      </c>
      <c r="CI391" t="s">
        <v>983</v>
      </c>
      <c r="CJ391" t="s">
        <v>972</v>
      </c>
      <c r="CK391" t="s">
        <v>986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 t="s">
        <v>987</v>
      </c>
      <c r="CV391">
        <v>400008395</v>
      </c>
      <c r="CW391" t="s">
        <v>987</v>
      </c>
      <c r="CX391" t="s">
        <v>3615</v>
      </c>
      <c r="CY391" t="s">
        <v>989</v>
      </c>
    </row>
    <row r="392" spans="1:103" hidden="1" x14ac:dyDescent="0.25">
      <c r="A392">
        <v>410000396</v>
      </c>
      <c r="B392" t="s">
        <v>3616</v>
      </c>
      <c r="C392" t="s">
        <v>3617</v>
      </c>
      <c r="D392">
        <v>401100000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1</v>
      </c>
      <c r="Y392" t="s">
        <v>972</v>
      </c>
      <c r="Z392" t="s">
        <v>3618</v>
      </c>
      <c r="AA392" t="s">
        <v>3619</v>
      </c>
      <c r="AB392" t="s">
        <v>975</v>
      </c>
      <c r="AC392">
        <v>4041</v>
      </c>
      <c r="AD392" t="s">
        <v>1730</v>
      </c>
      <c r="AE392" t="s">
        <v>3620</v>
      </c>
      <c r="AF392" t="s">
        <v>3621</v>
      </c>
      <c r="AG392" t="s">
        <v>977</v>
      </c>
      <c r="AH392" t="s">
        <v>977</v>
      </c>
      <c r="AI392" t="s">
        <v>977</v>
      </c>
      <c r="AJ392" t="s">
        <v>978</v>
      </c>
      <c r="AK392" t="s">
        <v>978</v>
      </c>
      <c r="AL392" t="s">
        <v>978</v>
      </c>
      <c r="AM392" t="s">
        <v>979</v>
      </c>
      <c r="AN392">
        <v>0</v>
      </c>
      <c r="AO392" t="s">
        <v>257</v>
      </c>
      <c r="AP392">
        <v>0</v>
      </c>
      <c r="AQ392">
        <v>1</v>
      </c>
      <c r="AR392">
        <v>43</v>
      </c>
      <c r="AS392">
        <v>1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1</v>
      </c>
      <c r="AZ392" t="s">
        <v>257</v>
      </c>
      <c r="BA392" t="s">
        <v>980</v>
      </c>
      <c r="BB392" t="s">
        <v>981</v>
      </c>
      <c r="BC392" t="s">
        <v>257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 t="s">
        <v>998</v>
      </c>
      <c r="BK392" t="s">
        <v>981</v>
      </c>
      <c r="BL392" t="s">
        <v>3616</v>
      </c>
      <c r="BM392">
        <v>20170216</v>
      </c>
      <c r="BN392">
        <v>20170727</v>
      </c>
      <c r="BO392">
        <v>0</v>
      </c>
      <c r="BP392" t="s">
        <v>257</v>
      </c>
      <c r="BQ392" t="s">
        <v>983</v>
      </c>
      <c r="BR392" t="s">
        <v>978</v>
      </c>
      <c r="BS392" t="s">
        <v>3622</v>
      </c>
      <c r="BT392">
        <v>0</v>
      </c>
      <c r="BU392">
        <v>0</v>
      </c>
      <c r="BV392" t="s">
        <v>1013</v>
      </c>
      <c r="BW392" t="s">
        <v>257</v>
      </c>
      <c r="BX392">
        <v>0</v>
      </c>
      <c r="BY392" t="s">
        <v>980</v>
      </c>
      <c r="BZ392" t="s">
        <v>257</v>
      </c>
      <c r="CA392">
        <v>0</v>
      </c>
      <c r="CB392">
        <v>0</v>
      </c>
      <c r="CC392" t="s">
        <v>3623</v>
      </c>
      <c r="CD392">
        <v>0</v>
      </c>
      <c r="CE392">
        <v>0</v>
      </c>
      <c r="CF392">
        <v>0</v>
      </c>
      <c r="CG392">
        <v>0</v>
      </c>
      <c r="CH392">
        <v>0</v>
      </c>
      <c r="CI392" t="s">
        <v>983</v>
      </c>
      <c r="CJ392" t="s">
        <v>972</v>
      </c>
      <c r="CK392" t="s">
        <v>986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 t="s">
        <v>987</v>
      </c>
      <c r="CV392">
        <v>400008396</v>
      </c>
      <c r="CW392" t="s">
        <v>987</v>
      </c>
      <c r="CX392" t="s">
        <v>3624</v>
      </c>
      <c r="CY392" t="s">
        <v>989</v>
      </c>
    </row>
    <row r="393" spans="1:103" hidden="1" x14ac:dyDescent="0.25">
      <c r="A393">
        <v>410000397</v>
      </c>
      <c r="B393" t="s">
        <v>3625</v>
      </c>
      <c r="C393" t="s">
        <v>3626</v>
      </c>
      <c r="D393">
        <v>401100000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1</v>
      </c>
      <c r="Y393" t="s">
        <v>972</v>
      </c>
      <c r="Z393" t="s">
        <v>3627</v>
      </c>
      <c r="AA393" t="s">
        <v>3628</v>
      </c>
      <c r="AB393" t="s">
        <v>975</v>
      </c>
      <c r="AC393">
        <v>4180</v>
      </c>
      <c r="AD393" t="s">
        <v>3629</v>
      </c>
      <c r="AE393" t="s">
        <v>3630</v>
      </c>
      <c r="AF393" t="s">
        <v>979</v>
      </c>
      <c r="AG393" t="s">
        <v>977</v>
      </c>
      <c r="AH393" t="s">
        <v>977</v>
      </c>
      <c r="AI393" t="s">
        <v>977</v>
      </c>
      <c r="AJ393" t="s">
        <v>978</v>
      </c>
      <c r="AK393" t="s">
        <v>978</v>
      </c>
      <c r="AL393" t="s">
        <v>978</v>
      </c>
      <c r="AM393" t="s">
        <v>979</v>
      </c>
      <c r="AN393">
        <v>0</v>
      </c>
      <c r="AO393" t="s">
        <v>257</v>
      </c>
      <c r="AP393">
        <v>0</v>
      </c>
      <c r="AQ393">
        <v>1</v>
      </c>
      <c r="AR393">
        <v>43</v>
      </c>
      <c r="AS393">
        <v>1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1</v>
      </c>
      <c r="AZ393" t="s">
        <v>257</v>
      </c>
      <c r="BA393" t="s">
        <v>980</v>
      </c>
      <c r="BB393" t="s">
        <v>981</v>
      </c>
      <c r="BC393" t="s">
        <v>257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 t="s">
        <v>998</v>
      </c>
      <c r="BK393" t="s">
        <v>981</v>
      </c>
      <c r="BL393" t="s">
        <v>3625</v>
      </c>
      <c r="BM393">
        <v>20170223</v>
      </c>
      <c r="BN393">
        <v>20181119</v>
      </c>
      <c r="BO393">
        <v>0</v>
      </c>
      <c r="BP393" t="s">
        <v>257</v>
      </c>
      <c r="BQ393" t="s">
        <v>983</v>
      </c>
      <c r="BR393" t="s">
        <v>978</v>
      </c>
      <c r="BS393" t="s">
        <v>3631</v>
      </c>
      <c r="BT393">
        <v>0</v>
      </c>
      <c r="BU393">
        <v>0</v>
      </c>
      <c r="BV393" t="s">
        <v>1013</v>
      </c>
      <c r="BW393" t="s">
        <v>257</v>
      </c>
      <c r="BX393">
        <v>0</v>
      </c>
      <c r="BY393" t="s">
        <v>980</v>
      </c>
      <c r="BZ393" t="s">
        <v>257</v>
      </c>
      <c r="CA393">
        <v>0</v>
      </c>
      <c r="CB393">
        <v>0</v>
      </c>
      <c r="CC393" t="s">
        <v>3632</v>
      </c>
      <c r="CD393">
        <v>0</v>
      </c>
      <c r="CE393">
        <v>0</v>
      </c>
      <c r="CF393">
        <v>0</v>
      </c>
      <c r="CG393">
        <v>0</v>
      </c>
      <c r="CH393">
        <v>0</v>
      </c>
      <c r="CI393" t="s">
        <v>983</v>
      </c>
      <c r="CJ393" t="s">
        <v>972</v>
      </c>
      <c r="CK393" t="s">
        <v>986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 t="s">
        <v>987</v>
      </c>
      <c r="CV393">
        <v>400008397</v>
      </c>
      <c r="CW393" t="s">
        <v>987</v>
      </c>
      <c r="CX393" t="s">
        <v>3633</v>
      </c>
      <c r="CY393" t="s">
        <v>989</v>
      </c>
    </row>
    <row r="394" spans="1:103" hidden="1" x14ac:dyDescent="0.25">
      <c r="A394">
        <v>410000398</v>
      </c>
      <c r="B394" t="s">
        <v>3634</v>
      </c>
      <c r="C394" t="s">
        <v>3635</v>
      </c>
      <c r="D394">
        <v>401100000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1</v>
      </c>
      <c r="Y394" t="s">
        <v>972</v>
      </c>
      <c r="Z394" t="s">
        <v>3636</v>
      </c>
      <c r="AA394" t="s">
        <v>3637</v>
      </c>
      <c r="AB394" t="s">
        <v>975</v>
      </c>
      <c r="AC394">
        <v>1190</v>
      </c>
      <c r="AD394" t="s">
        <v>1066</v>
      </c>
      <c r="AE394" t="s">
        <v>3638</v>
      </c>
      <c r="AF394" t="s">
        <v>3639</v>
      </c>
      <c r="AG394" t="s">
        <v>977</v>
      </c>
      <c r="AH394" t="s">
        <v>977</v>
      </c>
      <c r="AI394" t="s">
        <v>977</v>
      </c>
      <c r="AJ394" t="s">
        <v>978</v>
      </c>
      <c r="AK394" t="s">
        <v>978</v>
      </c>
      <c r="AL394" t="s">
        <v>978</v>
      </c>
      <c r="AM394" t="s">
        <v>979</v>
      </c>
      <c r="AN394">
        <v>0</v>
      </c>
      <c r="AO394" t="s">
        <v>257</v>
      </c>
      <c r="AP394">
        <v>0</v>
      </c>
      <c r="AQ394">
        <v>1</v>
      </c>
      <c r="AR394">
        <v>43</v>
      </c>
      <c r="AS394">
        <v>1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1</v>
      </c>
      <c r="AZ394" t="s">
        <v>257</v>
      </c>
      <c r="BA394" t="s">
        <v>980</v>
      </c>
      <c r="BB394" t="s">
        <v>981</v>
      </c>
      <c r="BC394" t="s">
        <v>257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 t="s">
        <v>998</v>
      </c>
      <c r="BK394" t="s">
        <v>981</v>
      </c>
      <c r="BL394" t="s">
        <v>3634</v>
      </c>
      <c r="BM394">
        <v>20170227</v>
      </c>
      <c r="BN394">
        <v>20200415</v>
      </c>
      <c r="BO394">
        <v>0</v>
      </c>
      <c r="BP394" t="s">
        <v>257</v>
      </c>
      <c r="BQ394" t="s">
        <v>983</v>
      </c>
      <c r="BR394" t="s">
        <v>978</v>
      </c>
      <c r="BS394" t="s">
        <v>3640</v>
      </c>
      <c r="BT394">
        <v>0</v>
      </c>
      <c r="BU394">
        <v>0</v>
      </c>
      <c r="BV394" t="s">
        <v>984</v>
      </c>
      <c r="BW394" t="s">
        <v>257</v>
      </c>
      <c r="BX394">
        <v>0</v>
      </c>
      <c r="BY394" t="s">
        <v>980</v>
      </c>
      <c r="BZ394" t="s">
        <v>257</v>
      </c>
      <c r="CA394">
        <v>0</v>
      </c>
      <c r="CB394">
        <v>0</v>
      </c>
      <c r="CC394" t="s">
        <v>3641</v>
      </c>
      <c r="CD394">
        <v>0</v>
      </c>
      <c r="CE394">
        <v>0</v>
      </c>
      <c r="CF394">
        <v>0</v>
      </c>
      <c r="CG394">
        <v>0</v>
      </c>
      <c r="CH394">
        <v>0</v>
      </c>
      <c r="CI394" t="s">
        <v>983</v>
      </c>
      <c r="CJ394" t="s">
        <v>972</v>
      </c>
      <c r="CK394" t="s">
        <v>986</v>
      </c>
      <c r="CL394">
        <v>0</v>
      </c>
      <c r="CM394">
        <v>1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 t="s">
        <v>987</v>
      </c>
      <c r="CV394">
        <v>400008398</v>
      </c>
      <c r="CW394" t="s">
        <v>987</v>
      </c>
      <c r="CX394" t="s">
        <v>3642</v>
      </c>
      <c r="CY394" t="s">
        <v>989</v>
      </c>
    </row>
    <row r="395" spans="1:103" hidden="1" x14ac:dyDescent="0.25">
      <c r="A395">
        <v>410000399</v>
      </c>
      <c r="B395" t="s">
        <v>3643</v>
      </c>
      <c r="C395" t="s">
        <v>3644</v>
      </c>
      <c r="D395">
        <v>401100000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1</v>
      </c>
      <c r="Y395" t="s">
        <v>972</v>
      </c>
      <c r="Z395" t="s">
        <v>2484</v>
      </c>
      <c r="AA395" t="s">
        <v>1018</v>
      </c>
      <c r="AB395" t="s">
        <v>975</v>
      </c>
      <c r="AC395">
        <v>4000</v>
      </c>
      <c r="AD395" t="s">
        <v>1019</v>
      </c>
      <c r="AE395" t="s">
        <v>2485</v>
      </c>
      <c r="AF395" t="s">
        <v>979</v>
      </c>
      <c r="AG395" t="s">
        <v>977</v>
      </c>
      <c r="AH395" t="s">
        <v>977</v>
      </c>
      <c r="AI395">
        <v>41201</v>
      </c>
      <c r="AJ395" t="s">
        <v>978</v>
      </c>
      <c r="AK395" t="s">
        <v>978</v>
      </c>
      <c r="AL395" t="s">
        <v>978</v>
      </c>
      <c r="AM395" t="s">
        <v>979</v>
      </c>
      <c r="AN395">
        <v>0</v>
      </c>
      <c r="AO395" t="s">
        <v>257</v>
      </c>
      <c r="AP395">
        <v>0</v>
      </c>
      <c r="AQ395">
        <v>1</v>
      </c>
      <c r="AR395">
        <v>43</v>
      </c>
      <c r="AS395">
        <v>1</v>
      </c>
      <c r="AT395">
        <v>0</v>
      </c>
      <c r="AU395">
        <v>1</v>
      </c>
      <c r="AV395">
        <v>0</v>
      </c>
      <c r="AW395">
        <v>0</v>
      </c>
      <c r="AX395">
        <v>0</v>
      </c>
      <c r="AY395">
        <v>1</v>
      </c>
      <c r="AZ395" t="s">
        <v>257</v>
      </c>
      <c r="BA395" t="s">
        <v>980</v>
      </c>
      <c r="BB395" t="s">
        <v>1010</v>
      </c>
      <c r="BC395" t="s">
        <v>257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 t="s">
        <v>982</v>
      </c>
      <c r="BK395" t="s">
        <v>981</v>
      </c>
      <c r="BL395" t="s">
        <v>3643</v>
      </c>
      <c r="BM395">
        <v>20170308</v>
      </c>
      <c r="BN395">
        <v>20250116</v>
      </c>
      <c r="BO395">
        <v>20250116</v>
      </c>
      <c r="BP395" t="s">
        <v>257</v>
      </c>
      <c r="BQ395" t="s">
        <v>983</v>
      </c>
      <c r="BR395" t="s">
        <v>978</v>
      </c>
      <c r="BS395" t="s">
        <v>979</v>
      </c>
      <c r="BT395">
        <v>0</v>
      </c>
      <c r="BU395">
        <v>0</v>
      </c>
      <c r="BV395" t="s">
        <v>984</v>
      </c>
      <c r="BW395" t="s">
        <v>257</v>
      </c>
      <c r="BX395">
        <v>0</v>
      </c>
      <c r="BY395" t="s">
        <v>980</v>
      </c>
      <c r="BZ395" t="s">
        <v>257</v>
      </c>
      <c r="CA395">
        <v>0</v>
      </c>
      <c r="CB395">
        <v>0</v>
      </c>
      <c r="CC395" t="s">
        <v>1022</v>
      </c>
      <c r="CD395">
        <v>0</v>
      </c>
      <c r="CE395">
        <v>0</v>
      </c>
      <c r="CF395">
        <v>0</v>
      </c>
      <c r="CG395">
        <v>0</v>
      </c>
      <c r="CH395">
        <v>0</v>
      </c>
      <c r="CI395" t="s">
        <v>983</v>
      </c>
      <c r="CJ395" t="s">
        <v>972</v>
      </c>
      <c r="CK395" t="s">
        <v>986</v>
      </c>
      <c r="CL395">
        <v>0</v>
      </c>
      <c r="CM395">
        <v>1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 t="s">
        <v>987</v>
      </c>
      <c r="CV395">
        <v>400008399</v>
      </c>
      <c r="CW395" t="s">
        <v>987</v>
      </c>
      <c r="CX395" t="s">
        <v>3645</v>
      </c>
      <c r="CY395" t="s">
        <v>989</v>
      </c>
    </row>
    <row r="396" spans="1:103" hidden="1" x14ac:dyDescent="0.25">
      <c r="A396">
        <v>410000400</v>
      </c>
      <c r="B396" t="s">
        <v>3646</v>
      </c>
      <c r="C396" t="s">
        <v>3647</v>
      </c>
      <c r="D396">
        <v>401100000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 t="s">
        <v>972</v>
      </c>
      <c r="Z396" t="s">
        <v>3648</v>
      </c>
      <c r="AA396" t="s">
        <v>3649</v>
      </c>
      <c r="AB396" t="s">
        <v>975</v>
      </c>
      <c r="AC396">
        <v>4651</v>
      </c>
      <c r="AD396" t="s">
        <v>1093</v>
      </c>
      <c r="AE396" t="s">
        <v>3650</v>
      </c>
      <c r="AF396" t="s">
        <v>3651</v>
      </c>
      <c r="AG396" t="s">
        <v>3652</v>
      </c>
      <c r="AH396" t="s">
        <v>977</v>
      </c>
      <c r="AI396" t="s">
        <v>977</v>
      </c>
      <c r="AJ396" t="s">
        <v>978</v>
      </c>
      <c r="AK396" t="s">
        <v>978</v>
      </c>
      <c r="AL396" t="s">
        <v>978</v>
      </c>
      <c r="AM396" t="s">
        <v>979</v>
      </c>
      <c r="AN396">
        <v>0</v>
      </c>
      <c r="AO396" t="s">
        <v>257</v>
      </c>
      <c r="AP396">
        <v>0</v>
      </c>
      <c r="AQ396">
        <v>1</v>
      </c>
      <c r="AR396">
        <v>43</v>
      </c>
      <c r="AS396">
        <v>1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1</v>
      </c>
      <c r="AZ396" t="s">
        <v>257</v>
      </c>
      <c r="BA396" t="s">
        <v>980</v>
      </c>
      <c r="BB396" t="s">
        <v>1010</v>
      </c>
      <c r="BC396" t="s">
        <v>257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 t="s">
        <v>998</v>
      </c>
      <c r="BK396" t="s">
        <v>981</v>
      </c>
      <c r="BL396" t="s">
        <v>3646</v>
      </c>
      <c r="BM396">
        <v>20170317</v>
      </c>
      <c r="BN396">
        <v>20221003</v>
      </c>
      <c r="BO396">
        <v>20221003</v>
      </c>
      <c r="BP396" t="s">
        <v>257</v>
      </c>
      <c r="BQ396" t="s">
        <v>983</v>
      </c>
      <c r="BR396" t="s">
        <v>978</v>
      </c>
      <c r="BS396" t="s">
        <v>979</v>
      </c>
      <c r="BT396">
        <v>0</v>
      </c>
      <c r="BU396">
        <v>0</v>
      </c>
      <c r="BV396" t="s">
        <v>984</v>
      </c>
      <c r="BW396" t="s">
        <v>257</v>
      </c>
      <c r="BX396">
        <v>0</v>
      </c>
      <c r="BY396" t="s">
        <v>980</v>
      </c>
      <c r="BZ396" t="s">
        <v>257</v>
      </c>
      <c r="CA396">
        <v>0</v>
      </c>
      <c r="CB396">
        <v>0</v>
      </c>
      <c r="CC396" t="s">
        <v>1491</v>
      </c>
      <c r="CD396">
        <v>0</v>
      </c>
      <c r="CE396">
        <v>0</v>
      </c>
      <c r="CF396">
        <v>0</v>
      </c>
      <c r="CG396">
        <v>0</v>
      </c>
      <c r="CH396">
        <v>0</v>
      </c>
      <c r="CI396" t="s">
        <v>983</v>
      </c>
      <c r="CJ396" t="s">
        <v>972</v>
      </c>
      <c r="CK396" t="s">
        <v>986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 t="s">
        <v>987</v>
      </c>
      <c r="CV396">
        <v>400008400</v>
      </c>
      <c r="CW396" t="s">
        <v>987</v>
      </c>
      <c r="CX396" t="s">
        <v>3653</v>
      </c>
      <c r="CY396" t="s">
        <v>989</v>
      </c>
    </row>
    <row r="397" spans="1:103" hidden="1" x14ac:dyDescent="0.25">
      <c r="A397">
        <v>410000401</v>
      </c>
      <c r="B397" t="s">
        <v>3654</v>
      </c>
      <c r="C397" t="s">
        <v>3655</v>
      </c>
      <c r="D397">
        <v>401100000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1</v>
      </c>
      <c r="Y397" t="s">
        <v>972</v>
      </c>
      <c r="Z397" t="s">
        <v>3656</v>
      </c>
      <c r="AA397" t="s">
        <v>3657</v>
      </c>
      <c r="AB397" t="s">
        <v>975</v>
      </c>
      <c r="AC397">
        <v>1300</v>
      </c>
      <c r="AD397" t="s">
        <v>2390</v>
      </c>
      <c r="AE397" t="s">
        <v>3658</v>
      </c>
      <c r="AF397" t="s">
        <v>3659</v>
      </c>
      <c r="AG397" t="s">
        <v>977</v>
      </c>
      <c r="AH397" t="s">
        <v>977</v>
      </c>
      <c r="AI397" t="s">
        <v>977</v>
      </c>
      <c r="AJ397" t="s">
        <v>978</v>
      </c>
      <c r="AK397" t="s">
        <v>978</v>
      </c>
      <c r="AL397" t="s">
        <v>978</v>
      </c>
      <c r="AM397" t="s">
        <v>979</v>
      </c>
      <c r="AN397">
        <v>0</v>
      </c>
      <c r="AO397" t="s">
        <v>257</v>
      </c>
      <c r="AP397">
        <v>0</v>
      </c>
      <c r="AQ397">
        <v>1</v>
      </c>
      <c r="AR397">
        <v>43</v>
      </c>
      <c r="AS397">
        <v>1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1</v>
      </c>
      <c r="AZ397" t="s">
        <v>257</v>
      </c>
      <c r="BA397" t="s">
        <v>980</v>
      </c>
      <c r="BB397" t="s">
        <v>981</v>
      </c>
      <c r="BC397" t="s">
        <v>257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 t="s">
        <v>998</v>
      </c>
      <c r="BK397" t="s">
        <v>981</v>
      </c>
      <c r="BL397" t="s">
        <v>3654</v>
      </c>
      <c r="BM397">
        <v>20170323</v>
      </c>
      <c r="BN397">
        <v>20181119</v>
      </c>
      <c r="BO397">
        <v>0</v>
      </c>
      <c r="BP397" t="s">
        <v>257</v>
      </c>
      <c r="BQ397" t="s">
        <v>983</v>
      </c>
      <c r="BR397" t="s">
        <v>978</v>
      </c>
      <c r="BS397" t="s">
        <v>3660</v>
      </c>
      <c r="BT397">
        <v>0</v>
      </c>
      <c r="BU397">
        <v>0</v>
      </c>
      <c r="BV397" t="s">
        <v>1013</v>
      </c>
      <c r="BW397" t="s">
        <v>257</v>
      </c>
      <c r="BX397">
        <v>0</v>
      </c>
      <c r="BY397" t="s">
        <v>980</v>
      </c>
      <c r="BZ397" t="s">
        <v>257</v>
      </c>
      <c r="CA397">
        <v>0</v>
      </c>
      <c r="CB397">
        <v>0</v>
      </c>
      <c r="CC397" t="s">
        <v>3661</v>
      </c>
      <c r="CD397">
        <v>0</v>
      </c>
      <c r="CE397">
        <v>0</v>
      </c>
      <c r="CF397">
        <v>0</v>
      </c>
      <c r="CG397">
        <v>0</v>
      </c>
      <c r="CH397">
        <v>0</v>
      </c>
      <c r="CI397" t="s">
        <v>983</v>
      </c>
      <c r="CJ397" t="s">
        <v>972</v>
      </c>
      <c r="CK397" t="s">
        <v>986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 t="s">
        <v>987</v>
      </c>
      <c r="CV397">
        <v>400008401</v>
      </c>
      <c r="CW397" t="s">
        <v>987</v>
      </c>
      <c r="CX397" t="s">
        <v>3662</v>
      </c>
      <c r="CY397" t="s">
        <v>989</v>
      </c>
    </row>
    <row r="398" spans="1:103" hidden="1" x14ac:dyDescent="0.25">
      <c r="A398">
        <v>410000402</v>
      </c>
      <c r="B398" t="s">
        <v>3663</v>
      </c>
      <c r="C398" t="s">
        <v>3664</v>
      </c>
      <c r="D398">
        <v>401100000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1</v>
      </c>
      <c r="Y398" t="s">
        <v>972</v>
      </c>
      <c r="Z398" t="s">
        <v>3665</v>
      </c>
      <c r="AA398" t="s">
        <v>3666</v>
      </c>
      <c r="AB398" t="s">
        <v>975</v>
      </c>
      <c r="AC398">
        <v>4031</v>
      </c>
      <c r="AD398" t="s">
        <v>1283</v>
      </c>
      <c r="AE398" t="s">
        <v>3667</v>
      </c>
      <c r="AF398" t="s">
        <v>3668</v>
      </c>
      <c r="AG398" t="s">
        <v>3669</v>
      </c>
      <c r="AH398" t="s">
        <v>977</v>
      </c>
      <c r="AI398">
        <v>47782</v>
      </c>
      <c r="AJ398" t="s">
        <v>978</v>
      </c>
      <c r="AK398" t="s">
        <v>3670</v>
      </c>
      <c r="AL398" t="s">
        <v>3671</v>
      </c>
      <c r="AM398" t="s">
        <v>979</v>
      </c>
      <c r="AN398">
        <v>0</v>
      </c>
      <c r="AO398" t="s">
        <v>257</v>
      </c>
      <c r="AP398">
        <v>0</v>
      </c>
      <c r="AQ398">
        <v>1</v>
      </c>
      <c r="AR398">
        <v>43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1</v>
      </c>
      <c r="AZ398" t="s">
        <v>257</v>
      </c>
      <c r="BA398" t="s">
        <v>980</v>
      </c>
      <c r="BB398" t="s">
        <v>981</v>
      </c>
      <c r="BC398" t="s">
        <v>257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 t="s">
        <v>998</v>
      </c>
      <c r="BK398" t="s">
        <v>981</v>
      </c>
      <c r="BL398" t="s">
        <v>3663</v>
      </c>
      <c r="BM398">
        <v>20170406</v>
      </c>
      <c r="BN398">
        <v>20240708</v>
      </c>
      <c r="BO398">
        <v>0</v>
      </c>
      <c r="BP398" t="s">
        <v>257</v>
      </c>
      <c r="BQ398" t="s">
        <v>983</v>
      </c>
      <c r="BR398" t="s">
        <v>978</v>
      </c>
      <c r="BS398" t="s">
        <v>3672</v>
      </c>
      <c r="BT398">
        <v>0</v>
      </c>
      <c r="BU398">
        <v>0</v>
      </c>
      <c r="BV398" t="s">
        <v>984</v>
      </c>
      <c r="BW398" t="s">
        <v>257</v>
      </c>
      <c r="BX398">
        <v>0</v>
      </c>
      <c r="BY398" t="s">
        <v>980</v>
      </c>
      <c r="BZ398" t="s">
        <v>257</v>
      </c>
      <c r="CA398">
        <v>0</v>
      </c>
      <c r="CB398">
        <v>0</v>
      </c>
      <c r="CC398" t="s">
        <v>3673</v>
      </c>
      <c r="CD398">
        <v>0</v>
      </c>
      <c r="CE398">
        <v>0</v>
      </c>
      <c r="CF398">
        <v>0</v>
      </c>
      <c r="CG398">
        <v>0</v>
      </c>
      <c r="CH398">
        <v>0</v>
      </c>
      <c r="CI398" t="s">
        <v>983</v>
      </c>
      <c r="CJ398" t="s">
        <v>972</v>
      </c>
      <c r="CK398" t="s">
        <v>986</v>
      </c>
      <c r="CL398">
        <v>0</v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 t="s">
        <v>987</v>
      </c>
      <c r="CV398">
        <v>400008402</v>
      </c>
      <c r="CW398" t="s">
        <v>987</v>
      </c>
      <c r="CX398" t="s">
        <v>3674</v>
      </c>
      <c r="CY398" t="s">
        <v>989</v>
      </c>
    </row>
    <row r="399" spans="1:103" hidden="1" x14ac:dyDescent="0.25">
      <c r="A399">
        <v>410000403</v>
      </c>
      <c r="B399" t="s">
        <v>3675</v>
      </c>
      <c r="C399" t="s">
        <v>3676</v>
      </c>
      <c r="D399">
        <v>401100000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1</v>
      </c>
      <c r="Y399" t="s">
        <v>972</v>
      </c>
      <c r="Z399" t="s">
        <v>987</v>
      </c>
      <c r="AA399" t="s">
        <v>3677</v>
      </c>
      <c r="AB399" t="s">
        <v>975</v>
      </c>
      <c r="AC399">
        <v>5580</v>
      </c>
      <c r="AD399" t="s">
        <v>3678</v>
      </c>
      <c r="AE399">
        <v>3284770005</v>
      </c>
      <c r="AF399" t="s">
        <v>979</v>
      </c>
      <c r="AG399" t="s">
        <v>977</v>
      </c>
      <c r="AH399" t="s">
        <v>977</v>
      </c>
      <c r="AI399" t="s">
        <v>977</v>
      </c>
      <c r="AJ399" t="s">
        <v>3679</v>
      </c>
      <c r="AK399" t="s">
        <v>3680</v>
      </c>
      <c r="AL399" t="s">
        <v>978</v>
      </c>
      <c r="AM399" t="s">
        <v>979</v>
      </c>
      <c r="AN399">
        <v>0</v>
      </c>
      <c r="AO399" t="s">
        <v>257</v>
      </c>
      <c r="AP399">
        <v>0</v>
      </c>
      <c r="AQ399">
        <v>1</v>
      </c>
      <c r="AR399">
        <v>43</v>
      </c>
      <c r="AS399">
        <v>1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1</v>
      </c>
      <c r="AZ399" t="s">
        <v>257</v>
      </c>
      <c r="BA399" t="s">
        <v>980</v>
      </c>
      <c r="BB399" t="s">
        <v>981</v>
      </c>
      <c r="BC399" t="s">
        <v>257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 t="s">
        <v>998</v>
      </c>
      <c r="BK399" t="s">
        <v>981</v>
      </c>
      <c r="BL399" t="s">
        <v>3675</v>
      </c>
      <c r="BM399">
        <v>20170407</v>
      </c>
      <c r="BN399">
        <v>20240415</v>
      </c>
      <c r="BO399">
        <v>0</v>
      </c>
      <c r="BP399" t="s">
        <v>257</v>
      </c>
      <c r="BQ399" t="s">
        <v>983</v>
      </c>
      <c r="BR399" t="s">
        <v>978</v>
      </c>
      <c r="BS399">
        <v>32475328487</v>
      </c>
      <c r="BT399">
        <v>0</v>
      </c>
      <c r="BU399">
        <v>0</v>
      </c>
      <c r="BV399" t="s">
        <v>984</v>
      </c>
      <c r="BW399" t="s">
        <v>257</v>
      </c>
      <c r="BX399">
        <v>0</v>
      </c>
      <c r="BY399" t="s">
        <v>980</v>
      </c>
      <c r="BZ399" t="s">
        <v>257</v>
      </c>
      <c r="CA399">
        <v>0</v>
      </c>
      <c r="CB399">
        <v>0</v>
      </c>
      <c r="CC399" t="s">
        <v>1033</v>
      </c>
      <c r="CD399">
        <v>0</v>
      </c>
      <c r="CE399">
        <v>0</v>
      </c>
      <c r="CF399">
        <v>0</v>
      </c>
      <c r="CG399">
        <v>0</v>
      </c>
      <c r="CH399">
        <v>0</v>
      </c>
      <c r="CI399" t="s">
        <v>983</v>
      </c>
      <c r="CJ399" t="s">
        <v>972</v>
      </c>
      <c r="CK399" t="s">
        <v>986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 t="s">
        <v>987</v>
      </c>
      <c r="CV399">
        <v>400008403</v>
      </c>
      <c r="CW399" t="s">
        <v>987</v>
      </c>
      <c r="CX399" t="s">
        <v>3681</v>
      </c>
      <c r="CY399" t="s">
        <v>989</v>
      </c>
    </row>
    <row r="400" spans="1:103" hidden="1" x14ac:dyDescent="0.25">
      <c r="A400">
        <v>410000404</v>
      </c>
      <c r="B400" t="s">
        <v>3682</v>
      </c>
      <c r="C400" t="s">
        <v>3683</v>
      </c>
      <c r="D400">
        <v>401100000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1</v>
      </c>
      <c r="Y400" t="s">
        <v>972</v>
      </c>
      <c r="Z400" t="s">
        <v>3684</v>
      </c>
      <c r="AA400" t="s">
        <v>3685</v>
      </c>
      <c r="AB400" t="s">
        <v>975</v>
      </c>
      <c r="AC400">
        <v>4141</v>
      </c>
      <c r="AD400" t="s">
        <v>3686</v>
      </c>
      <c r="AE400">
        <v>3243608327</v>
      </c>
      <c r="AF400">
        <v>3243608327</v>
      </c>
      <c r="AG400" t="s">
        <v>977</v>
      </c>
      <c r="AH400" t="s">
        <v>977</v>
      </c>
      <c r="AI400">
        <v>69202</v>
      </c>
      <c r="AJ400" t="s">
        <v>978</v>
      </c>
      <c r="AK400" t="s">
        <v>978</v>
      </c>
      <c r="AL400" t="s">
        <v>978</v>
      </c>
      <c r="AM400" t="s">
        <v>979</v>
      </c>
      <c r="AN400">
        <v>0</v>
      </c>
      <c r="AO400" t="s">
        <v>257</v>
      </c>
      <c r="AP400">
        <v>0</v>
      </c>
      <c r="AQ400">
        <v>1</v>
      </c>
      <c r="AR400">
        <v>43</v>
      </c>
      <c r="AS400">
        <v>1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1</v>
      </c>
      <c r="AZ400" t="s">
        <v>257</v>
      </c>
      <c r="BA400" t="s">
        <v>980</v>
      </c>
      <c r="BB400" t="s">
        <v>981</v>
      </c>
      <c r="BC400" t="s">
        <v>257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 t="s">
        <v>998</v>
      </c>
      <c r="BK400" t="s">
        <v>981</v>
      </c>
      <c r="BL400" t="s">
        <v>3682</v>
      </c>
      <c r="BM400">
        <v>20170407</v>
      </c>
      <c r="BN400">
        <v>20220201</v>
      </c>
      <c r="BO400">
        <v>0</v>
      </c>
      <c r="BP400" t="s">
        <v>257</v>
      </c>
      <c r="BQ400" t="s">
        <v>983</v>
      </c>
      <c r="BR400" t="s">
        <v>978</v>
      </c>
      <c r="BS400">
        <v>32479420588</v>
      </c>
      <c r="BT400">
        <v>0</v>
      </c>
      <c r="BU400">
        <v>0</v>
      </c>
      <c r="BV400" t="s">
        <v>984</v>
      </c>
      <c r="BW400" t="s">
        <v>257</v>
      </c>
      <c r="BX400">
        <v>0</v>
      </c>
      <c r="BY400" t="s">
        <v>980</v>
      </c>
      <c r="BZ400" t="s">
        <v>257</v>
      </c>
      <c r="CA400">
        <v>0</v>
      </c>
      <c r="CB400">
        <v>0</v>
      </c>
      <c r="CC400" t="s">
        <v>3687</v>
      </c>
      <c r="CD400">
        <v>0</v>
      </c>
      <c r="CE400">
        <v>0</v>
      </c>
      <c r="CF400">
        <v>0</v>
      </c>
      <c r="CG400">
        <v>0</v>
      </c>
      <c r="CH400">
        <v>0</v>
      </c>
      <c r="CI400" t="s">
        <v>983</v>
      </c>
      <c r="CJ400" t="s">
        <v>972</v>
      </c>
      <c r="CK400" t="s">
        <v>986</v>
      </c>
      <c r="CL400">
        <v>0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 t="s">
        <v>987</v>
      </c>
      <c r="CV400">
        <v>400008404</v>
      </c>
      <c r="CW400" t="s">
        <v>987</v>
      </c>
      <c r="CX400" t="s">
        <v>3688</v>
      </c>
      <c r="CY400" t="s">
        <v>989</v>
      </c>
    </row>
    <row r="401" spans="1:103" hidden="1" x14ac:dyDescent="0.25">
      <c r="A401">
        <v>410000405</v>
      </c>
      <c r="B401" t="s">
        <v>3689</v>
      </c>
      <c r="C401" t="s">
        <v>3690</v>
      </c>
      <c r="D401">
        <v>401100000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 t="s">
        <v>972</v>
      </c>
      <c r="Z401" t="s">
        <v>3691</v>
      </c>
      <c r="AA401" t="s">
        <v>3692</v>
      </c>
      <c r="AB401" t="s">
        <v>975</v>
      </c>
      <c r="AC401">
        <v>5100</v>
      </c>
      <c r="AD401" t="s">
        <v>2417</v>
      </c>
      <c r="AE401">
        <v>3281303277</v>
      </c>
      <c r="AF401">
        <v>3281303398</v>
      </c>
      <c r="AG401" t="s">
        <v>977</v>
      </c>
      <c r="AH401" t="s">
        <v>977</v>
      </c>
      <c r="AI401" t="s">
        <v>977</v>
      </c>
      <c r="AJ401" t="s">
        <v>3693</v>
      </c>
      <c r="AK401" t="s">
        <v>978</v>
      </c>
      <c r="AL401" t="s">
        <v>978</v>
      </c>
      <c r="AM401" t="s">
        <v>979</v>
      </c>
      <c r="AN401">
        <v>0</v>
      </c>
      <c r="AO401" t="s">
        <v>257</v>
      </c>
      <c r="AP401">
        <v>0</v>
      </c>
      <c r="AQ401">
        <v>1</v>
      </c>
      <c r="AR401">
        <v>43</v>
      </c>
      <c r="AS401">
        <v>1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1</v>
      </c>
      <c r="AZ401" t="s">
        <v>257</v>
      </c>
      <c r="BA401" t="s">
        <v>980</v>
      </c>
      <c r="BB401" t="s">
        <v>981</v>
      </c>
      <c r="BC401" t="s">
        <v>257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 t="s">
        <v>998</v>
      </c>
      <c r="BK401" t="s">
        <v>981</v>
      </c>
      <c r="BL401" t="s">
        <v>3689</v>
      </c>
      <c r="BM401">
        <v>20170410</v>
      </c>
      <c r="BN401">
        <v>20170410</v>
      </c>
      <c r="BO401">
        <v>0</v>
      </c>
      <c r="BP401" t="s">
        <v>257</v>
      </c>
      <c r="BQ401" t="s">
        <v>983</v>
      </c>
      <c r="BR401" t="s">
        <v>978</v>
      </c>
      <c r="BS401" t="s">
        <v>979</v>
      </c>
      <c r="BT401">
        <v>0</v>
      </c>
      <c r="BU401">
        <v>0</v>
      </c>
      <c r="BV401" t="s">
        <v>3489</v>
      </c>
      <c r="BW401" t="s">
        <v>257</v>
      </c>
      <c r="BX401">
        <v>0</v>
      </c>
      <c r="BY401" t="s">
        <v>980</v>
      </c>
      <c r="BZ401" t="s">
        <v>257</v>
      </c>
      <c r="CA401">
        <v>0</v>
      </c>
      <c r="CB401">
        <v>0</v>
      </c>
      <c r="CC401" t="s">
        <v>1033</v>
      </c>
      <c r="CD401">
        <v>0</v>
      </c>
      <c r="CE401">
        <v>0</v>
      </c>
      <c r="CF401">
        <v>0</v>
      </c>
      <c r="CG401">
        <v>0</v>
      </c>
      <c r="CH401">
        <v>0</v>
      </c>
      <c r="CI401" t="s">
        <v>983</v>
      </c>
      <c r="CJ401" t="s">
        <v>972</v>
      </c>
      <c r="CK401" t="s">
        <v>986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 t="s">
        <v>987</v>
      </c>
      <c r="CV401">
        <v>400008405</v>
      </c>
      <c r="CW401" t="s">
        <v>987</v>
      </c>
      <c r="CX401" t="s">
        <v>3694</v>
      </c>
      <c r="CY401" t="s">
        <v>989</v>
      </c>
    </row>
    <row r="402" spans="1:103" hidden="1" x14ac:dyDescent="0.25">
      <c r="A402">
        <v>410000406</v>
      </c>
      <c r="B402" t="s">
        <v>3695</v>
      </c>
      <c r="C402" t="s">
        <v>3696</v>
      </c>
      <c r="D402">
        <v>401100000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 t="s">
        <v>972</v>
      </c>
      <c r="Z402" t="s">
        <v>3697</v>
      </c>
      <c r="AA402" t="s">
        <v>3698</v>
      </c>
      <c r="AB402" t="s">
        <v>975</v>
      </c>
      <c r="AC402">
        <v>4630</v>
      </c>
      <c r="AD402" t="s">
        <v>1511</v>
      </c>
      <c r="AE402">
        <v>3243773734</v>
      </c>
      <c r="AF402" t="s">
        <v>979</v>
      </c>
      <c r="AG402" t="s">
        <v>977</v>
      </c>
      <c r="AH402" t="s">
        <v>977</v>
      </c>
      <c r="AI402" t="s">
        <v>977</v>
      </c>
      <c r="AJ402" t="s">
        <v>978</v>
      </c>
      <c r="AK402" t="s">
        <v>978</v>
      </c>
      <c r="AL402" t="s">
        <v>978</v>
      </c>
      <c r="AM402" t="s">
        <v>979</v>
      </c>
      <c r="AN402">
        <v>0</v>
      </c>
      <c r="AO402" t="s">
        <v>257</v>
      </c>
      <c r="AP402">
        <v>0</v>
      </c>
      <c r="AQ402">
        <v>1</v>
      </c>
      <c r="AR402">
        <v>43</v>
      </c>
      <c r="AS402">
        <v>1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1</v>
      </c>
      <c r="AZ402" t="s">
        <v>257</v>
      </c>
      <c r="BA402" t="s">
        <v>980</v>
      </c>
      <c r="BB402" t="s">
        <v>981</v>
      </c>
      <c r="BC402" t="s">
        <v>257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 t="s">
        <v>998</v>
      </c>
      <c r="BK402" t="s">
        <v>981</v>
      </c>
      <c r="BL402" t="s">
        <v>3695</v>
      </c>
      <c r="BM402">
        <v>20170426</v>
      </c>
      <c r="BN402">
        <v>20170428</v>
      </c>
      <c r="BO402">
        <v>0</v>
      </c>
      <c r="BP402" t="s">
        <v>257</v>
      </c>
      <c r="BQ402" t="s">
        <v>983</v>
      </c>
      <c r="BR402" t="s">
        <v>978</v>
      </c>
      <c r="BS402">
        <v>32494737475</v>
      </c>
      <c r="BT402">
        <v>0</v>
      </c>
      <c r="BU402">
        <v>0</v>
      </c>
      <c r="BV402" t="s">
        <v>1013</v>
      </c>
      <c r="BW402" t="s">
        <v>257</v>
      </c>
      <c r="BX402">
        <v>0</v>
      </c>
      <c r="BY402" t="s">
        <v>980</v>
      </c>
      <c r="BZ402" t="s">
        <v>257</v>
      </c>
      <c r="CA402">
        <v>0</v>
      </c>
      <c r="CB402">
        <v>0</v>
      </c>
      <c r="CC402" t="s">
        <v>1308</v>
      </c>
      <c r="CD402">
        <v>0</v>
      </c>
      <c r="CE402">
        <v>0</v>
      </c>
      <c r="CF402">
        <v>0</v>
      </c>
      <c r="CG402">
        <v>0</v>
      </c>
      <c r="CH402">
        <v>0</v>
      </c>
      <c r="CI402" t="s">
        <v>983</v>
      </c>
      <c r="CJ402" t="s">
        <v>972</v>
      </c>
      <c r="CK402" t="s">
        <v>986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 t="s">
        <v>987</v>
      </c>
      <c r="CV402">
        <v>400008406</v>
      </c>
      <c r="CW402" t="s">
        <v>987</v>
      </c>
      <c r="CX402" t="s">
        <v>3699</v>
      </c>
      <c r="CY402" t="s">
        <v>989</v>
      </c>
    </row>
    <row r="403" spans="1:103" hidden="1" x14ac:dyDescent="0.25">
      <c r="A403">
        <v>410000407</v>
      </c>
      <c r="B403" t="s">
        <v>3700</v>
      </c>
      <c r="C403" t="s">
        <v>3701</v>
      </c>
      <c r="D403">
        <v>401100000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1</v>
      </c>
      <c r="Y403" t="s">
        <v>972</v>
      </c>
      <c r="Z403" t="s">
        <v>987</v>
      </c>
      <c r="AA403" t="s">
        <v>3702</v>
      </c>
      <c r="AB403" t="s">
        <v>975</v>
      </c>
      <c r="AC403">
        <v>4800</v>
      </c>
      <c r="AD403" t="s">
        <v>1124</v>
      </c>
      <c r="AE403" t="s">
        <v>3703</v>
      </c>
      <c r="AF403" t="s">
        <v>979</v>
      </c>
      <c r="AG403" t="s">
        <v>977</v>
      </c>
      <c r="AH403" t="s">
        <v>977</v>
      </c>
      <c r="AI403" t="s">
        <v>977</v>
      </c>
      <c r="AJ403" t="s">
        <v>978</v>
      </c>
      <c r="AK403" t="s">
        <v>978</v>
      </c>
      <c r="AL403" t="s">
        <v>978</v>
      </c>
      <c r="AM403" t="s">
        <v>979</v>
      </c>
      <c r="AN403">
        <v>0</v>
      </c>
      <c r="AO403" t="s">
        <v>257</v>
      </c>
      <c r="AP403">
        <v>0</v>
      </c>
      <c r="AQ403">
        <v>1</v>
      </c>
      <c r="AR403">
        <v>43</v>
      </c>
      <c r="AS403">
        <v>1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1</v>
      </c>
      <c r="AZ403" t="s">
        <v>257</v>
      </c>
      <c r="BA403" t="s">
        <v>980</v>
      </c>
      <c r="BB403" t="s">
        <v>981</v>
      </c>
      <c r="BC403" t="s">
        <v>257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 t="s">
        <v>998</v>
      </c>
      <c r="BK403" t="s">
        <v>981</v>
      </c>
      <c r="BL403" t="s">
        <v>3700</v>
      </c>
      <c r="BM403">
        <v>20170502</v>
      </c>
      <c r="BN403">
        <v>20181119</v>
      </c>
      <c r="BO403">
        <v>0</v>
      </c>
      <c r="BP403" t="s">
        <v>257</v>
      </c>
      <c r="BQ403" t="s">
        <v>983</v>
      </c>
      <c r="BR403" t="s">
        <v>978</v>
      </c>
      <c r="BS403">
        <v>32476562636</v>
      </c>
      <c r="BT403">
        <v>0</v>
      </c>
      <c r="BU403">
        <v>0</v>
      </c>
      <c r="BV403" t="s">
        <v>1013</v>
      </c>
      <c r="BW403" t="s">
        <v>257</v>
      </c>
      <c r="BX403">
        <v>0</v>
      </c>
      <c r="BY403" t="s">
        <v>980</v>
      </c>
      <c r="BZ403" t="s">
        <v>257</v>
      </c>
      <c r="CA403">
        <v>0</v>
      </c>
      <c r="CB403">
        <v>0</v>
      </c>
      <c r="CC403" t="s">
        <v>1183</v>
      </c>
      <c r="CD403">
        <v>0</v>
      </c>
      <c r="CE403">
        <v>0</v>
      </c>
      <c r="CF403">
        <v>0</v>
      </c>
      <c r="CG403">
        <v>0</v>
      </c>
      <c r="CH403">
        <v>0</v>
      </c>
      <c r="CI403" t="s">
        <v>983</v>
      </c>
      <c r="CJ403" t="s">
        <v>972</v>
      </c>
      <c r="CK403" t="s">
        <v>986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 t="s">
        <v>987</v>
      </c>
      <c r="CV403">
        <v>400008407</v>
      </c>
      <c r="CW403" t="s">
        <v>987</v>
      </c>
      <c r="CX403" t="s">
        <v>3704</v>
      </c>
      <c r="CY403" t="s">
        <v>989</v>
      </c>
    </row>
    <row r="404" spans="1:103" hidden="1" x14ac:dyDescent="0.25">
      <c r="A404">
        <v>410000408</v>
      </c>
      <c r="B404" t="s">
        <v>3705</v>
      </c>
      <c r="C404" t="s">
        <v>3706</v>
      </c>
      <c r="D404">
        <v>401100000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1</v>
      </c>
      <c r="Y404" t="s">
        <v>972</v>
      </c>
      <c r="Z404" t="s">
        <v>987</v>
      </c>
      <c r="AA404" t="s">
        <v>3707</v>
      </c>
      <c r="AB404" t="s">
        <v>975</v>
      </c>
      <c r="AC404">
        <v>1060</v>
      </c>
      <c r="AD404" t="s">
        <v>3708</v>
      </c>
      <c r="AE404" t="s">
        <v>3709</v>
      </c>
      <c r="AF404" t="s">
        <v>979</v>
      </c>
      <c r="AG404" t="s">
        <v>977</v>
      </c>
      <c r="AH404" t="s">
        <v>977</v>
      </c>
      <c r="AI404" t="s">
        <v>977</v>
      </c>
      <c r="AJ404" t="s">
        <v>978</v>
      </c>
      <c r="AK404" t="s">
        <v>3710</v>
      </c>
      <c r="AL404" t="s">
        <v>978</v>
      </c>
      <c r="AM404" t="s">
        <v>979</v>
      </c>
      <c r="AN404">
        <v>0</v>
      </c>
      <c r="AO404" t="s">
        <v>257</v>
      </c>
      <c r="AP404">
        <v>0</v>
      </c>
      <c r="AQ404">
        <v>1</v>
      </c>
      <c r="AR404">
        <v>43</v>
      </c>
      <c r="AS404">
        <v>1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1</v>
      </c>
      <c r="AZ404" t="s">
        <v>257</v>
      </c>
      <c r="BA404" t="s">
        <v>980</v>
      </c>
      <c r="BB404" t="s">
        <v>981</v>
      </c>
      <c r="BC404" t="s">
        <v>257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 t="s">
        <v>998</v>
      </c>
      <c r="BK404" t="s">
        <v>981</v>
      </c>
      <c r="BL404" t="s">
        <v>3705</v>
      </c>
      <c r="BM404">
        <v>20170502</v>
      </c>
      <c r="BN404">
        <v>20221114</v>
      </c>
      <c r="BO404">
        <v>0</v>
      </c>
      <c r="BP404" t="s">
        <v>257</v>
      </c>
      <c r="BQ404" t="s">
        <v>983</v>
      </c>
      <c r="BR404" t="s">
        <v>978</v>
      </c>
      <c r="BS404" t="s">
        <v>979</v>
      </c>
      <c r="BT404">
        <v>0</v>
      </c>
      <c r="BU404">
        <v>0</v>
      </c>
      <c r="BV404" t="s">
        <v>984</v>
      </c>
      <c r="BW404" t="s">
        <v>257</v>
      </c>
      <c r="BX404">
        <v>0</v>
      </c>
      <c r="BY404" t="s">
        <v>980</v>
      </c>
      <c r="BZ404" t="s">
        <v>257</v>
      </c>
      <c r="CA404">
        <v>0</v>
      </c>
      <c r="CB404">
        <v>0</v>
      </c>
      <c r="CC404" t="s">
        <v>1033</v>
      </c>
      <c r="CD404">
        <v>0</v>
      </c>
      <c r="CE404">
        <v>0</v>
      </c>
      <c r="CF404">
        <v>0</v>
      </c>
      <c r="CG404">
        <v>0</v>
      </c>
      <c r="CH404">
        <v>0</v>
      </c>
      <c r="CI404" t="s">
        <v>983</v>
      </c>
      <c r="CJ404" t="s">
        <v>972</v>
      </c>
      <c r="CK404" t="s">
        <v>986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 t="s">
        <v>987</v>
      </c>
      <c r="CV404">
        <v>400008408</v>
      </c>
      <c r="CW404" t="s">
        <v>987</v>
      </c>
      <c r="CX404" t="s">
        <v>3711</v>
      </c>
      <c r="CY404" t="s">
        <v>989</v>
      </c>
    </row>
    <row r="405" spans="1:103" hidden="1" x14ac:dyDescent="0.25">
      <c r="A405">
        <v>410000409</v>
      </c>
      <c r="B405" t="s">
        <v>3712</v>
      </c>
      <c r="C405" t="s">
        <v>3713</v>
      </c>
      <c r="D405">
        <v>401100000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1</v>
      </c>
      <c r="Y405" t="s">
        <v>972</v>
      </c>
      <c r="Z405" t="s">
        <v>3714</v>
      </c>
      <c r="AA405" t="s">
        <v>3715</v>
      </c>
      <c r="AB405" t="s">
        <v>975</v>
      </c>
      <c r="AC405">
        <v>1000</v>
      </c>
      <c r="AD405" t="s">
        <v>1066</v>
      </c>
      <c r="AE405" t="s">
        <v>3716</v>
      </c>
      <c r="AF405" t="s">
        <v>979</v>
      </c>
      <c r="AG405" t="s">
        <v>977</v>
      </c>
      <c r="AH405" t="s">
        <v>977</v>
      </c>
      <c r="AI405" t="s">
        <v>977</v>
      </c>
      <c r="AJ405" t="s">
        <v>978</v>
      </c>
      <c r="AK405" t="s">
        <v>3717</v>
      </c>
      <c r="AL405" t="s">
        <v>978</v>
      </c>
      <c r="AM405" t="s">
        <v>979</v>
      </c>
      <c r="AN405">
        <v>0</v>
      </c>
      <c r="AO405" t="s">
        <v>257</v>
      </c>
      <c r="AP405">
        <v>0</v>
      </c>
      <c r="AQ405">
        <v>1</v>
      </c>
      <c r="AR405">
        <v>43</v>
      </c>
      <c r="AS405">
        <v>1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1</v>
      </c>
      <c r="AZ405" t="s">
        <v>257</v>
      </c>
      <c r="BA405" t="s">
        <v>980</v>
      </c>
      <c r="BB405" t="s">
        <v>981</v>
      </c>
      <c r="BC405" t="s">
        <v>257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410000001</v>
      </c>
      <c r="BJ405" t="s">
        <v>1021</v>
      </c>
      <c r="BK405" t="s">
        <v>981</v>
      </c>
      <c r="BL405" t="s">
        <v>3712</v>
      </c>
      <c r="BM405">
        <v>20170508</v>
      </c>
      <c r="BN405">
        <v>20240916</v>
      </c>
      <c r="BO405">
        <v>0</v>
      </c>
      <c r="BP405" t="s">
        <v>257</v>
      </c>
      <c r="BQ405" t="s">
        <v>983</v>
      </c>
      <c r="BR405" t="s">
        <v>978</v>
      </c>
      <c r="BS405" t="s">
        <v>979</v>
      </c>
      <c r="BT405">
        <v>0</v>
      </c>
      <c r="BU405">
        <v>0</v>
      </c>
      <c r="BV405" t="s">
        <v>984</v>
      </c>
      <c r="BW405" t="s">
        <v>257</v>
      </c>
      <c r="BX405">
        <v>0</v>
      </c>
      <c r="BY405" t="s">
        <v>980</v>
      </c>
      <c r="BZ405" t="s">
        <v>257</v>
      </c>
      <c r="CA405">
        <v>0</v>
      </c>
      <c r="CB405">
        <v>0</v>
      </c>
      <c r="CC405" t="s">
        <v>1033</v>
      </c>
      <c r="CD405">
        <v>0</v>
      </c>
      <c r="CE405">
        <v>0</v>
      </c>
      <c r="CF405">
        <v>0</v>
      </c>
      <c r="CG405">
        <v>0</v>
      </c>
      <c r="CH405">
        <v>0</v>
      </c>
      <c r="CI405" t="s">
        <v>983</v>
      </c>
      <c r="CJ405" t="s">
        <v>972</v>
      </c>
      <c r="CK405" t="s">
        <v>986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 t="s">
        <v>987</v>
      </c>
      <c r="CV405">
        <v>400008409</v>
      </c>
      <c r="CW405" t="s">
        <v>987</v>
      </c>
      <c r="CX405" t="s">
        <v>1023</v>
      </c>
      <c r="CY405" t="s">
        <v>989</v>
      </c>
    </row>
    <row r="406" spans="1:103" hidden="1" x14ac:dyDescent="0.25">
      <c r="A406">
        <v>410000410</v>
      </c>
      <c r="B406" t="s">
        <v>3718</v>
      </c>
      <c r="C406" t="s">
        <v>3719</v>
      </c>
      <c r="D406">
        <v>401100000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1</v>
      </c>
      <c r="Y406" t="s">
        <v>972</v>
      </c>
      <c r="Z406" t="s">
        <v>3720</v>
      </c>
      <c r="AA406" t="s">
        <v>6943</v>
      </c>
      <c r="AB406" t="s">
        <v>975</v>
      </c>
      <c r="AC406">
        <v>4671</v>
      </c>
      <c r="AD406" t="s">
        <v>3208</v>
      </c>
      <c r="AE406" t="s">
        <v>3721</v>
      </c>
      <c r="AF406" t="s">
        <v>979</v>
      </c>
      <c r="AG406" t="s">
        <v>977</v>
      </c>
      <c r="AH406" t="s">
        <v>977</v>
      </c>
      <c r="AI406">
        <v>74103</v>
      </c>
      <c r="AJ406" t="s">
        <v>978</v>
      </c>
      <c r="AK406" t="s">
        <v>978</v>
      </c>
      <c r="AL406" t="s">
        <v>978</v>
      </c>
      <c r="AM406" t="s">
        <v>979</v>
      </c>
      <c r="AN406">
        <v>0</v>
      </c>
      <c r="AO406" t="s">
        <v>257</v>
      </c>
      <c r="AP406">
        <v>0</v>
      </c>
      <c r="AQ406">
        <v>1</v>
      </c>
      <c r="AR406">
        <v>43</v>
      </c>
      <c r="AS406">
        <v>1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1</v>
      </c>
      <c r="AZ406" t="s">
        <v>257</v>
      </c>
      <c r="BA406" t="s">
        <v>980</v>
      </c>
      <c r="BB406" t="s">
        <v>981</v>
      </c>
      <c r="BC406" t="s">
        <v>257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 t="s">
        <v>998</v>
      </c>
      <c r="BK406" t="s">
        <v>981</v>
      </c>
      <c r="BL406" t="s">
        <v>3718</v>
      </c>
      <c r="BM406">
        <v>20170512</v>
      </c>
      <c r="BN406">
        <v>20250317</v>
      </c>
      <c r="BO406">
        <v>0</v>
      </c>
      <c r="BP406" t="s">
        <v>257</v>
      </c>
      <c r="BQ406" t="s">
        <v>983</v>
      </c>
      <c r="BR406" t="s">
        <v>978</v>
      </c>
      <c r="BS406" t="s">
        <v>979</v>
      </c>
      <c r="BT406">
        <v>0</v>
      </c>
      <c r="BU406">
        <v>0</v>
      </c>
      <c r="BV406" t="s">
        <v>984</v>
      </c>
      <c r="BW406" t="s">
        <v>257</v>
      </c>
      <c r="BX406">
        <v>0</v>
      </c>
      <c r="BY406" t="s">
        <v>980</v>
      </c>
      <c r="BZ406" t="s">
        <v>257</v>
      </c>
      <c r="CA406">
        <v>0</v>
      </c>
      <c r="CB406">
        <v>0</v>
      </c>
      <c r="CC406" t="s">
        <v>1317</v>
      </c>
      <c r="CD406">
        <v>0</v>
      </c>
      <c r="CE406">
        <v>0</v>
      </c>
      <c r="CF406">
        <v>0</v>
      </c>
      <c r="CG406">
        <v>0</v>
      </c>
      <c r="CH406">
        <v>0</v>
      </c>
      <c r="CI406" t="s">
        <v>983</v>
      </c>
      <c r="CJ406" t="s">
        <v>972</v>
      </c>
      <c r="CK406" t="s">
        <v>986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 t="s">
        <v>987</v>
      </c>
      <c r="CV406">
        <v>400008410</v>
      </c>
      <c r="CW406" t="s">
        <v>987</v>
      </c>
      <c r="CX406" t="s">
        <v>3722</v>
      </c>
      <c r="CY406" t="s">
        <v>989</v>
      </c>
    </row>
    <row r="407" spans="1:103" hidden="1" x14ac:dyDescent="0.25">
      <c r="A407">
        <v>410000411</v>
      </c>
      <c r="B407" t="s">
        <v>3723</v>
      </c>
      <c r="C407" t="s">
        <v>3724</v>
      </c>
      <c r="D407">
        <v>401100000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</v>
      </c>
      <c r="Y407" t="s">
        <v>972</v>
      </c>
      <c r="Z407" t="s">
        <v>987</v>
      </c>
      <c r="AA407" t="s">
        <v>3725</v>
      </c>
      <c r="AB407" t="s">
        <v>975</v>
      </c>
      <c r="AC407">
        <v>5030</v>
      </c>
      <c r="AD407" t="s">
        <v>1245</v>
      </c>
      <c r="AE407">
        <v>32476212874</v>
      </c>
      <c r="AF407" t="s">
        <v>979</v>
      </c>
      <c r="AG407" t="s">
        <v>977</v>
      </c>
      <c r="AH407" t="s">
        <v>977</v>
      </c>
      <c r="AI407" t="s">
        <v>977</v>
      </c>
      <c r="AJ407" t="s">
        <v>978</v>
      </c>
      <c r="AK407" t="s">
        <v>978</v>
      </c>
      <c r="AL407" t="s">
        <v>978</v>
      </c>
      <c r="AM407" t="s">
        <v>979</v>
      </c>
      <c r="AN407">
        <v>0</v>
      </c>
      <c r="AO407" t="s">
        <v>257</v>
      </c>
      <c r="AP407">
        <v>0</v>
      </c>
      <c r="AQ407">
        <v>1</v>
      </c>
      <c r="AR407">
        <v>43</v>
      </c>
      <c r="AS407">
        <v>1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1</v>
      </c>
      <c r="AZ407" t="s">
        <v>257</v>
      </c>
      <c r="BA407" t="s">
        <v>980</v>
      </c>
      <c r="BB407" t="s">
        <v>981</v>
      </c>
      <c r="BC407" t="s">
        <v>257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 t="s">
        <v>998</v>
      </c>
      <c r="BK407" t="s">
        <v>981</v>
      </c>
      <c r="BL407" t="s">
        <v>3723</v>
      </c>
      <c r="BM407">
        <v>20170512</v>
      </c>
      <c r="BN407">
        <v>20181119</v>
      </c>
      <c r="BO407">
        <v>0</v>
      </c>
      <c r="BP407" t="s">
        <v>257</v>
      </c>
      <c r="BQ407" t="s">
        <v>983</v>
      </c>
      <c r="BR407" t="s">
        <v>978</v>
      </c>
      <c r="BS407">
        <v>32476212874</v>
      </c>
      <c r="BT407">
        <v>0</v>
      </c>
      <c r="BU407">
        <v>0</v>
      </c>
      <c r="BV407" t="s">
        <v>1013</v>
      </c>
      <c r="BW407" t="s">
        <v>257</v>
      </c>
      <c r="BX407">
        <v>0</v>
      </c>
      <c r="BY407" t="s">
        <v>980</v>
      </c>
      <c r="BZ407" t="s">
        <v>257</v>
      </c>
      <c r="CA407">
        <v>0</v>
      </c>
      <c r="CB407">
        <v>0</v>
      </c>
      <c r="CC407" t="s">
        <v>1033</v>
      </c>
      <c r="CD407">
        <v>0</v>
      </c>
      <c r="CE407">
        <v>0</v>
      </c>
      <c r="CF407">
        <v>0</v>
      </c>
      <c r="CG407">
        <v>0</v>
      </c>
      <c r="CH407">
        <v>0</v>
      </c>
      <c r="CI407" t="s">
        <v>983</v>
      </c>
      <c r="CJ407" t="s">
        <v>972</v>
      </c>
      <c r="CK407" t="s">
        <v>986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 t="s">
        <v>987</v>
      </c>
      <c r="CV407">
        <v>400008411</v>
      </c>
      <c r="CW407" t="s">
        <v>987</v>
      </c>
      <c r="CX407" t="s">
        <v>3726</v>
      </c>
      <c r="CY407" t="s">
        <v>989</v>
      </c>
    </row>
    <row r="408" spans="1:103" hidden="1" x14ac:dyDescent="0.25">
      <c r="A408">
        <v>410000412</v>
      </c>
      <c r="B408" t="s">
        <v>3727</v>
      </c>
      <c r="C408" t="s">
        <v>3728</v>
      </c>
      <c r="D408">
        <v>401100000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1</v>
      </c>
      <c r="Y408" t="s">
        <v>972</v>
      </c>
      <c r="Z408" t="s">
        <v>987</v>
      </c>
      <c r="AA408" t="s">
        <v>3729</v>
      </c>
      <c r="AB408" t="s">
        <v>975</v>
      </c>
      <c r="AC408">
        <v>4890</v>
      </c>
      <c r="AD408" t="s">
        <v>3730</v>
      </c>
      <c r="AE408" t="s">
        <v>3731</v>
      </c>
      <c r="AF408" t="s">
        <v>3732</v>
      </c>
      <c r="AG408" t="s">
        <v>977</v>
      </c>
      <c r="AH408" t="s">
        <v>977</v>
      </c>
      <c r="AI408" t="s">
        <v>977</v>
      </c>
      <c r="AJ408" t="s">
        <v>978</v>
      </c>
      <c r="AK408" t="s">
        <v>978</v>
      </c>
      <c r="AL408" t="s">
        <v>978</v>
      </c>
      <c r="AM408" t="s">
        <v>979</v>
      </c>
      <c r="AN408">
        <v>0</v>
      </c>
      <c r="AO408" t="s">
        <v>257</v>
      </c>
      <c r="AP408">
        <v>0</v>
      </c>
      <c r="AQ408">
        <v>1</v>
      </c>
      <c r="AR408">
        <v>43</v>
      </c>
      <c r="AS408">
        <v>1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1</v>
      </c>
      <c r="AZ408" t="s">
        <v>257</v>
      </c>
      <c r="BA408" t="s">
        <v>980</v>
      </c>
      <c r="BB408" t="s">
        <v>981</v>
      </c>
      <c r="BC408" t="s">
        <v>257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 t="s">
        <v>998</v>
      </c>
      <c r="BK408" t="s">
        <v>981</v>
      </c>
      <c r="BL408" t="s">
        <v>3727</v>
      </c>
      <c r="BM408">
        <v>20170518</v>
      </c>
      <c r="BN408">
        <v>20181119</v>
      </c>
      <c r="BO408">
        <v>0</v>
      </c>
      <c r="BP408" t="s">
        <v>257</v>
      </c>
      <c r="BQ408" t="s">
        <v>983</v>
      </c>
      <c r="BR408" t="s">
        <v>978</v>
      </c>
      <c r="BS408" t="s">
        <v>979</v>
      </c>
      <c r="BT408">
        <v>0</v>
      </c>
      <c r="BU408">
        <v>0</v>
      </c>
      <c r="BV408" t="s">
        <v>1013</v>
      </c>
      <c r="BW408" t="s">
        <v>257</v>
      </c>
      <c r="BX408">
        <v>0</v>
      </c>
      <c r="BY408" t="s">
        <v>980</v>
      </c>
      <c r="BZ408" t="s">
        <v>257</v>
      </c>
      <c r="CA408">
        <v>0</v>
      </c>
      <c r="CB408">
        <v>0</v>
      </c>
      <c r="CC408" t="s">
        <v>1329</v>
      </c>
      <c r="CD408">
        <v>0</v>
      </c>
      <c r="CE408">
        <v>0</v>
      </c>
      <c r="CF408">
        <v>0</v>
      </c>
      <c r="CG408">
        <v>0</v>
      </c>
      <c r="CH408">
        <v>0</v>
      </c>
      <c r="CI408" t="s">
        <v>983</v>
      </c>
      <c r="CJ408" t="s">
        <v>972</v>
      </c>
      <c r="CK408" t="s">
        <v>986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 t="s">
        <v>987</v>
      </c>
      <c r="CV408">
        <v>400008412</v>
      </c>
      <c r="CW408" t="s">
        <v>987</v>
      </c>
      <c r="CX408" t="s">
        <v>3733</v>
      </c>
      <c r="CY408" t="s">
        <v>989</v>
      </c>
    </row>
    <row r="409" spans="1:103" hidden="1" x14ac:dyDescent="0.25">
      <c r="A409">
        <v>410000413</v>
      </c>
      <c r="B409" t="s">
        <v>3734</v>
      </c>
      <c r="C409" t="s">
        <v>3735</v>
      </c>
      <c r="D409">
        <v>401100000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1</v>
      </c>
      <c r="Y409" t="s">
        <v>972</v>
      </c>
      <c r="Z409" t="s">
        <v>987</v>
      </c>
      <c r="AA409" t="s">
        <v>3736</v>
      </c>
      <c r="AB409" t="s">
        <v>975</v>
      </c>
      <c r="AC409">
        <v>6690</v>
      </c>
      <c r="AD409" t="s">
        <v>1523</v>
      </c>
      <c r="AE409" t="s">
        <v>3737</v>
      </c>
      <c r="AF409" t="s">
        <v>979</v>
      </c>
      <c r="AG409" t="s">
        <v>977</v>
      </c>
      <c r="AH409" t="s">
        <v>977</v>
      </c>
      <c r="AI409" t="s">
        <v>977</v>
      </c>
      <c r="AJ409" t="s">
        <v>3738</v>
      </c>
      <c r="AK409" t="s">
        <v>978</v>
      </c>
      <c r="AL409" t="s">
        <v>978</v>
      </c>
      <c r="AM409" t="s">
        <v>979</v>
      </c>
      <c r="AN409">
        <v>0</v>
      </c>
      <c r="AO409" t="s">
        <v>257</v>
      </c>
      <c r="AP409">
        <v>0</v>
      </c>
      <c r="AQ409">
        <v>1</v>
      </c>
      <c r="AR409">
        <v>43</v>
      </c>
      <c r="AS409">
        <v>1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1</v>
      </c>
      <c r="AZ409" t="s">
        <v>257</v>
      </c>
      <c r="BA409" t="s">
        <v>980</v>
      </c>
      <c r="BB409" t="s">
        <v>981</v>
      </c>
      <c r="BC409" t="s">
        <v>257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 t="s">
        <v>998</v>
      </c>
      <c r="BK409" t="s">
        <v>981</v>
      </c>
      <c r="BL409" t="s">
        <v>3734</v>
      </c>
      <c r="BM409">
        <v>20170529</v>
      </c>
      <c r="BN409">
        <v>20181119</v>
      </c>
      <c r="BO409">
        <v>0</v>
      </c>
      <c r="BP409" t="s">
        <v>257</v>
      </c>
      <c r="BQ409" t="s">
        <v>983</v>
      </c>
      <c r="BR409" t="s">
        <v>978</v>
      </c>
      <c r="BS409" t="s">
        <v>3739</v>
      </c>
      <c r="BT409">
        <v>0</v>
      </c>
      <c r="BU409">
        <v>0</v>
      </c>
      <c r="BV409" t="s">
        <v>1013</v>
      </c>
      <c r="BW409" t="s">
        <v>257</v>
      </c>
      <c r="BX409">
        <v>0</v>
      </c>
      <c r="BY409" t="s">
        <v>980</v>
      </c>
      <c r="BZ409" t="s">
        <v>257</v>
      </c>
      <c r="CA409">
        <v>0</v>
      </c>
      <c r="CB409">
        <v>0</v>
      </c>
      <c r="CC409" t="s">
        <v>1033</v>
      </c>
      <c r="CD409">
        <v>0</v>
      </c>
      <c r="CE409">
        <v>0</v>
      </c>
      <c r="CF409">
        <v>0</v>
      </c>
      <c r="CG409">
        <v>0</v>
      </c>
      <c r="CH409">
        <v>0</v>
      </c>
      <c r="CI409" t="s">
        <v>983</v>
      </c>
      <c r="CJ409" t="s">
        <v>972</v>
      </c>
      <c r="CK409" t="s">
        <v>986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 t="s">
        <v>987</v>
      </c>
      <c r="CV409">
        <v>400008413</v>
      </c>
      <c r="CW409" t="s">
        <v>987</v>
      </c>
      <c r="CX409" t="s">
        <v>3740</v>
      </c>
      <c r="CY409" t="s">
        <v>989</v>
      </c>
    </row>
    <row r="410" spans="1:103" hidden="1" x14ac:dyDescent="0.25">
      <c r="A410">
        <v>410000414</v>
      </c>
      <c r="B410" t="s">
        <v>3741</v>
      </c>
      <c r="C410" t="s">
        <v>3742</v>
      </c>
      <c r="D410">
        <v>401100000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 t="s">
        <v>972</v>
      </c>
      <c r="Z410" t="s">
        <v>987</v>
      </c>
      <c r="AA410" t="s">
        <v>3743</v>
      </c>
      <c r="AB410" t="s">
        <v>975</v>
      </c>
      <c r="AC410">
        <v>6041</v>
      </c>
      <c r="AD410" t="s">
        <v>3744</v>
      </c>
      <c r="AE410">
        <v>3271256525</v>
      </c>
      <c r="AF410">
        <v>3271256530</v>
      </c>
      <c r="AG410" t="s">
        <v>977</v>
      </c>
      <c r="AH410" t="s">
        <v>977</v>
      </c>
      <c r="AI410" t="s">
        <v>977</v>
      </c>
      <c r="AJ410" t="s">
        <v>978</v>
      </c>
      <c r="AK410" t="s">
        <v>978</v>
      </c>
      <c r="AL410" t="s">
        <v>978</v>
      </c>
      <c r="AM410" t="s">
        <v>979</v>
      </c>
      <c r="AN410">
        <v>0</v>
      </c>
      <c r="AO410" t="s">
        <v>257</v>
      </c>
      <c r="AP410">
        <v>0</v>
      </c>
      <c r="AQ410">
        <v>1</v>
      </c>
      <c r="AR410">
        <v>43</v>
      </c>
      <c r="AS410">
        <v>1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1</v>
      </c>
      <c r="AZ410" t="s">
        <v>257</v>
      </c>
      <c r="BA410" t="s">
        <v>980</v>
      </c>
      <c r="BB410" t="s">
        <v>981</v>
      </c>
      <c r="BC410" t="s">
        <v>257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 t="s">
        <v>998</v>
      </c>
      <c r="BK410" t="s">
        <v>981</v>
      </c>
      <c r="BL410" t="s">
        <v>3741</v>
      </c>
      <c r="BM410">
        <v>20170607</v>
      </c>
      <c r="BN410">
        <v>20181119</v>
      </c>
      <c r="BO410">
        <v>0</v>
      </c>
      <c r="BP410" t="s">
        <v>257</v>
      </c>
      <c r="BQ410" t="s">
        <v>983</v>
      </c>
      <c r="BR410" t="s">
        <v>978</v>
      </c>
      <c r="BS410" t="s">
        <v>979</v>
      </c>
      <c r="BT410">
        <v>0</v>
      </c>
      <c r="BU410">
        <v>0</v>
      </c>
      <c r="BV410" t="s">
        <v>1013</v>
      </c>
      <c r="BW410" t="s">
        <v>257</v>
      </c>
      <c r="BX410">
        <v>0</v>
      </c>
      <c r="BY410" t="s">
        <v>980</v>
      </c>
      <c r="BZ410" t="s">
        <v>257</v>
      </c>
      <c r="CA410">
        <v>0</v>
      </c>
      <c r="CB410">
        <v>0</v>
      </c>
      <c r="CC410" t="s">
        <v>1033</v>
      </c>
      <c r="CD410">
        <v>0</v>
      </c>
      <c r="CE410">
        <v>0</v>
      </c>
      <c r="CF410">
        <v>0</v>
      </c>
      <c r="CG410">
        <v>0</v>
      </c>
      <c r="CH410">
        <v>0</v>
      </c>
      <c r="CI410" t="s">
        <v>983</v>
      </c>
      <c r="CJ410" t="s">
        <v>972</v>
      </c>
      <c r="CK410" t="s">
        <v>986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 t="s">
        <v>987</v>
      </c>
      <c r="CV410">
        <v>400008414</v>
      </c>
      <c r="CW410" t="s">
        <v>987</v>
      </c>
      <c r="CX410" t="s">
        <v>3745</v>
      </c>
      <c r="CY410" t="s">
        <v>989</v>
      </c>
    </row>
    <row r="411" spans="1:103" hidden="1" x14ac:dyDescent="0.25">
      <c r="A411">
        <v>410000415</v>
      </c>
      <c r="B411" t="s">
        <v>3746</v>
      </c>
      <c r="C411" t="s">
        <v>3747</v>
      </c>
      <c r="D411">
        <v>401100000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1</v>
      </c>
      <c r="Y411" t="s">
        <v>972</v>
      </c>
      <c r="Z411" t="s">
        <v>3748</v>
      </c>
      <c r="AA411" t="s">
        <v>3749</v>
      </c>
      <c r="AB411" t="s">
        <v>975</v>
      </c>
      <c r="AC411">
        <v>3000</v>
      </c>
      <c r="AD411" t="s">
        <v>3750</v>
      </c>
      <c r="AE411" t="s">
        <v>3751</v>
      </c>
      <c r="AF411" t="s">
        <v>979</v>
      </c>
      <c r="AG411" t="s">
        <v>977</v>
      </c>
      <c r="AH411" t="s">
        <v>977</v>
      </c>
      <c r="AI411" t="s">
        <v>977</v>
      </c>
      <c r="AJ411" t="s">
        <v>3752</v>
      </c>
      <c r="AK411" t="s">
        <v>978</v>
      </c>
      <c r="AL411" t="s">
        <v>978</v>
      </c>
      <c r="AM411" t="s">
        <v>979</v>
      </c>
      <c r="AN411">
        <v>0</v>
      </c>
      <c r="AO411" t="s">
        <v>257</v>
      </c>
      <c r="AP411">
        <v>0</v>
      </c>
      <c r="AQ411">
        <v>1</v>
      </c>
      <c r="AR411">
        <v>43</v>
      </c>
      <c r="AS411">
        <v>1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1</v>
      </c>
      <c r="AZ411" t="s">
        <v>257</v>
      </c>
      <c r="BA411" t="s">
        <v>980</v>
      </c>
      <c r="BB411" t="s">
        <v>981</v>
      </c>
      <c r="BC411" t="s">
        <v>257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 t="s">
        <v>998</v>
      </c>
      <c r="BK411" t="s">
        <v>981</v>
      </c>
      <c r="BL411" t="s">
        <v>3746</v>
      </c>
      <c r="BM411">
        <v>20170620</v>
      </c>
      <c r="BN411">
        <v>20181119</v>
      </c>
      <c r="BO411">
        <v>0</v>
      </c>
      <c r="BP411" t="s">
        <v>257</v>
      </c>
      <c r="BQ411" t="s">
        <v>983</v>
      </c>
      <c r="BR411" t="s">
        <v>978</v>
      </c>
      <c r="BS411" t="s">
        <v>979</v>
      </c>
      <c r="BT411">
        <v>0</v>
      </c>
      <c r="BU411">
        <v>0</v>
      </c>
      <c r="BV411" t="s">
        <v>1013</v>
      </c>
      <c r="BW411" t="s">
        <v>257</v>
      </c>
      <c r="BX411">
        <v>0</v>
      </c>
      <c r="BY411" t="s">
        <v>980</v>
      </c>
      <c r="BZ411" t="s">
        <v>257</v>
      </c>
      <c r="CA411">
        <v>0</v>
      </c>
      <c r="CB411">
        <v>0</v>
      </c>
      <c r="CC411" t="s">
        <v>985</v>
      </c>
      <c r="CD411">
        <v>0</v>
      </c>
      <c r="CE411">
        <v>0</v>
      </c>
      <c r="CF411">
        <v>0</v>
      </c>
      <c r="CG411">
        <v>0</v>
      </c>
      <c r="CH411">
        <v>0</v>
      </c>
      <c r="CI411" t="s">
        <v>983</v>
      </c>
      <c r="CJ411" t="s">
        <v>972</v>
      </c>
      <c r="CK411" t="s">
        <v>986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 t="s">
        <v>987</v>
      </c>
      <c r="CV411">
        <v>400008415</v>
      </c>
      <c r="CW411" t="s">
        <v>987</v>
      </c>
      <c r="CX411" t="s">
        <v>3753</v>
      </c>
      <c r="CY411" t="s">
        <v>989</v>
      </c>
    </row>
    <row r="412" spans="1:103" hidden="1" x14ac:dyDescent="0.25">
      <c r="A412">
        <v>410000416</v>
      </c>
      <c r="B412" t="s">
        <v>3754</v>
      </c>
      <c r="C412" t="s">
        <v>3755</v>
      </c>
      <c r="D412">
        <v>401100000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1</v>
      </c>
      <c r="Y412" t="s">
        <v>972</v>
      </c>
      <c r="Z412" t="s">
        <v>3756</v>
      </c>
      <c r="AA412" t="s">
        <v>3757</v>
      </c>
      <c r="AB412" t="s">
        <v>975</v>
      </c>
      <c r="AC412">
        <v>4121</v>
      </c>
      <c r="AD412" t="s">
        <v>3151</v>
      </c>
      <c r="AE412" t="s">
        <v>3758</v>
      </c>
      <c r="AF412" t="s">
        <v>979</v>
      </c>
      <c r="AG412" t="s">
        <v>977</v>
      </c>
      <c r="AH412" t="s">
        <v>977</v>
      </c>
      <c r="AI412" t="s">
        <v>977</v>
      </c>
      <c r="AJ412" t="s">
        <v>978</v>
      </c>
      <c r="AK412" t="s">
        <v>978</v>
      </c>
      <c r="AL412" t="s">
        <v>978</v>
      </c>
      <c r="AM412" t="s">
        <v>979</v>
      </c>
      <c r="AN412">
        <v>0</v>
      </c>
      <c r="AO412" t="s">
        <v>257</v>
      </c>
      <c r="AP412">
        <v>0</v>
      </c>
      <c r="AQ412">
        <v>1</v>
      </c>
      <c r="AR412">
        <v>43</v>
      </c>
      <c r="AS412">
        <v>1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1</v>
      </c>
      <c r="AZ412" t="s">
        <v>257</v>
      </c>
      <c r="BA412" t="s">
        <v>980</v>
      </c>
      <c r="BB412" t="s">
        <v>981</v>
      </c>
      <c r="BC412" t="s">
        <v>257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 t="s">
        <v>998</v>
      </c>
      <c r="BK412" t="s">
        <v>981</v>
      </c>
      <c r="BL412" t="s">
        <v>3754</v>
      </c>
      <c r="BM412">
        <v>20170620</v>
      </c>
      <c r="BN412">
        <v>20190522</v>
      </c>
      <c r="BO412">
        <v>0</v>
      </c>
      <c r="BP412" t="s">
        <v>257</v>
      </c>
      <c r="BQ412" t="s">
        <v>983</v>
      </c>
      <c r="BR412" t="s">
        <v>978</v>
      </c>
      <c r="BS412" t="s">
        <v>3759</v>
      </c>
      <c r="BT412">
        <v>0</v>
      </c>
      <c r="BU412">
        <v>0</v>
      </c>
      <c r="BV412" t="s">
        <v>984</v>
      </c>
      <c r="BW412" t="s">
        <v>257</v>
      </c>
      <c r="BX412">
        <v>0</v>
      </c>
      <c r="BY412" t="s">
        <v>980</v>
      </c>
      <c r="BZ412" t="s">
        <v>257</v>
      </c>
      <c r="CA412">
        <v>0</v>
      </c>
      <c r="CB412">
        <v>0</v>
      </c>
      <c r="CC412" t="s">
        <v>1871</v>
      </c>
      <c r="CD412">
        <v>0</v>
      </c>
      <c r="CE412">
        <v>0</v>
      </c>
      <c r="CF412">
        <v>0</v>
      </c>
      <c r="CG412">
        <v>0</v>
      </c>
      <c r="CH412">
        <v>0</v>
      </c>
      <c r="CI412" t="s">
        <v>983</v>
      </c>
      <c r="CJ412" t="s">
        <v>972</v>
      </c>
      <c r="CK412" t="s">
        <v>986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 t="s">
        <v>987</v>
      </c>
      <c r="CV412">
        <v>400008416</v>
      </c>
      <c r="CW412" t="s">
        <v>987</v>
      </c>
      <c r="CX412" t="s">
        <v>3760</v>
      </c>
      <c r="CY412" t="s">
        <v>989</v>
      </c>
    </row>
    <row r="413" spans="1:103" hidden="1" x14ac:dyDescent="0.25">
      <c r="A413">
        <v>410000417</v>
      </c>
      <c r="B413" t="s">
        <v>3761</v>
      </c>
      <c r="C413" t="s">
        <v>3762</v>
      </c>
      <c r="D413">
        <v>401100000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1</v>
      </c>
      <c r="Y413" t="s">
        <v>972</v>
      </c>
      <c r="Z413" t="s">
        <v>987</v>
      </c>
      <c r="AA413" t="s">
        <v>3763</v>
      </c>
      <c r="AB413" t="s">
        <v>975</v>
      </c>
      <c r="AC413">
        <v>4601</v>
      </c>
      <c r="AD413" t="s">
        <v>3764</v>
      </c>
      <c r="AE413" t="s">
        <v>3765</v>
      </c>
      <c r="AF413" t="s">
        <v>3766</v>
      </c>
      <c r="AG413" t="s">
        <v>977</v>
      </c>
      <c r="AH413" t="s">
        <v>977</v>
      </c>
      <c r="AI413" t="s">
        <v>977</v>
      </c>
      <c r="AJ413" t="s">
        <v>978</v>
      </c>
      <c r="AK413" t="s">
        <v>978</v>
      </c>
      <c r="AL413" t="s">
        <v>978</v>
      </c>
      <c r="AM413" t="s">
        <v>979</v>
      </c>
      <c r="AN413">
        <v>0</v>
      </c>
      <c r="AO413" t="s">
        <v>257</v>
      </c>
      <c r="AP413">
        <v>0</v>
      </c>
      <c r="AQ413">
        <v>1</v>
      </c>
      <c r="AR413">
        <v>43</v>
      </c>
      <c r="AS413">
        <v>1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1</v>
      </c>
      <c r="AZ413" t="s">
        <v>257</v>
      </c>
      <c r="BA413" t="s">
        <v>980</v>
      </c>
      <c r="BB413" t="s">
        <v>981</v>
      </c>
      <c r="BC413" t="s">
        <v>257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 t="s">
        <v>998</v>
      </c>
      <c r="BK413" t="s">
        <v>981</v>
      </c>
      <c r="BL413" t="s">
        <v>3761</v>
      </c>
      <c r="BM413">
        <v>20170627</v>
      </c>
      <c r="BN413">
        <v>20190523</v>
      </c>
      <c r="BO413">
        <v>0</v>
      </c>
      <c r="BP413" t="s">
        <v>257</v>
      </c>
      <c r="BQ413" t="s">
        <v>983</v>
      </c>
      <c r="BR413" t="s">
        <v>978</v>
      </c>
      <c r="BS413" t="s">
        <v>979</v>
      </c>
      <c r="BT413">
        <v>0</v>
      </c>
      <c r="BU413">
        <v>0</v>
      </c>
      <c r="BV413" t="s">
        <v>984</v>
      </c>
      <c r="BW413" t="s">
        <v>257</v>
      </c>
      <c r="BX413">
        <v>0</v>
      </c>
      <c r="BY413" t="s">
        <v>980</v>
      </c>
      <c r="BZ413" t="s">
        <v>257</v>
      </c>
      <c r="CA413">
        <v>0</v>
      </c>
      <c r="CB413">
        <v>0</v>
      </c>
      <c r="CC413" t="s">
        <v>1815</v>
      </c>
      <c r="CD413">
        <v>0</v>
      </c>
      <c r="CE413">
        <v>0</v>
      </c>
      <c r="CF413">
        <v>0</v>
      </c>
      <c r="CG413">
        <v>0</v>
      </c>
      <c r="CH413">
        <v>0</v>
      </c>
      <c r="CI413" t="s">
        <v>983</v>
      </c>
      <c r="CJ413" t="s">
        <v>972</v>
      </c>
      <c r="CK413" t="s">
        <v>986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 t="s">
        <v>987</v>
      </c>
      <c r="CV413">
        <v>400008417</v>
      </c>
      <c r="CW413" t="s">
        <v>987</v>
      </c>
      <c r="CX413" t="s">
        <v>3767</v>
      </c>
      <c r="CY413" t="s">
        <v>989</v>
      </c>
    </row>
    <row r="414" spans="1:103" hidden="1" x14ac:dyDescent="0.25">
      <c r="A414">
        <v>410000418</v>
      </c>
      <c r="B414" t="s">
        <v>3768</v>
      </c>
      <c r="C414" t="s">
        <v>3769</v>
      </c>
      <c r="D414">
        <v>401100000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1</v>
      </c>
      <c r="Y414" t="s">
        <v>972</v>
      </c>
      <c r="Z414" t="s">
        <v>987</v>
      </c>
      <c r="AA414" t="s">
        <v>3770</v>
      </c>
      <c r="AB414" t="s">
        <v>975</v>
      </c>
      <c r="AC414">
        <v>4831</v>
      </c>
      <c r="AD414" t="s">
        <v>2108</v>
      </c>
      <c r="AE414" t="s">
        <v>3771</v>
      </c>
      <c r="AF414" t="s">
        <v>979</v>
      </c>
      <c r="AG414" t="s">
        <v>977</v>
      </c>
      <c r="AH414" t="s">
        <v>977</v>
      </c>
      <c r="AI414" t="s">
        <v>977</v>
      </c>
      <c r="AJ414" t="s">
        <v>978</v>
      </c>
      <c r="AK414" t="s">
        <v>978</v>
      </c>
      <c r="AL414" t="s">
        <v>978</v>
      </c>
      <c r="AM414" t="s">
        <v>979</v>
      </c>
      <c r="AN414">
        <v>0</v>
      </c>
      <c r="AO414" t="s">
        <v>257</v>
      </c>
      <c r="AP414">
        <v>0</v>
      </c>
      <c r="AQ414">
        <v>1</v>
      </c>
      <c r="AR414">
        <v>43</v>
      </c>
      <c r="AS414">
        <v>1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1</v>
      </c>
      <c r="AZ414" t="s">
        <v>257</v>
      </c>
      <c r="BA414" t="s">
        <v>980</v>
      </c>
      <c r="BB414" t="s">
        <v>981</v>
      </c>
      <c r="BC414" t="s">
        <v>257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 t="s">
        <v>998</v>
      </c>
      <c r="BK414" t="s">
        <v>981</v>
      </c>
      <c r="BL414" t="s">
        <v>3768</v>
      </c>
      <c r="BM414">
        <v>20170712</v>
      </c>
      <c r="BN414">
        <v>20200923</v>
      </c>
      <c r="BO414">
        <v>0</v>
      </c>
      <c r="BP414" t="s">
        <v>257</v>
      </c>
      <c r="BQ414" t="s">
        <v>983</v>
      </c>
      <c r="BR414" t="s">
        <v>978</v>
      </c>
      <c r="BS414" t="s">
        <v>3771</v>
      </c>
      <c r="BT414">
        <v>0</v>
      </c>
      <c r="BU414">
        <v>0</v>
      </c>
      <c r="BV414" t="s">
        <v>984</v>
      </c>
      <c r="BW414" t="s">
        <v>257</v>
      </c>
      <c r="BX414">
        <v>0</v>
      </c>
      <c r="BY414" t="s">
        <v>980</v>
      </c>
      <c r="BZ414" t="s">
        <v>257</v>
      </c>
      <c r="CA414">
        <v>0</v>
      </c>
      <c r="CB414">
        <v>0</v>
      </c>
      <c r="CC414" t="s">
        <v>3268</v>
      </c>
      <c r="CD414">
        <v>0</v>
      </c>
      <c r="CE414">
        <v>0</v>
      </c>
      <c r="CF414">
        <v>0</v>
      </c>
      <c r="CG414">
        <v>0</v>
      </c>
      <c r="CH414">
        <v>0</v>
      </c>
      <c r="CI414" t="s">
        <v>983</v>
      </c>
      <c r="CJ414" t="s">
        <v>972</v>
      </c>
      <c r="CK414" t="s">
        <v>986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 t="s">
        <v>987</v>
      </c>
      <c r="CV414">
        <v>400008418</v>
      </c>
      <c r="CW414" t="s">
        <v>987</v>
      </c>
      <c r="CX414" t="s">
        <v>3772</v>
      </c>
      <c r="CY414" t="s">
        <v>989</v>
      </c>
    </row>
    <row r="415" spans="1:103" hidden="1" x14ac:dyDescent="0.25">
      <c r="A415">
        <v>410000419</v>
      </c>
      <c r="B415" t="s">
        <v>3773</v>
      </c>
      <c r="C415" t="s">
        <v>3774</v>
      </c>
      <c r="D415">
        <v>401100000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1</v>
      </c>
      <c r="Y415" t="s">
        <v>1091</v>
      </c>
      <c r="Z415" t="s">
        <v>3775</v>
      </c>
      <c r="AA415" t="s">
        <v>3776</v>
      </c>
      <c r="AB415" t="s">
        <v>975</v>
      </c>
      <c r="AC415">
        <v>4960</v>
      </c>
      <c r="AD415" t="s">
        <v>1548</v>
      </c>
      <c r="AE415" t="s">
        <v>3777</v>
      </c>
      <c r="AF415" t="s">
        <v>3778</v>
      </c>
      <c r="AG415" t="s">
        <v>977</v>
      </c>
      <c r="AH415" t="s">
        <v>977</v>
      </c>
      <c r="AI415" t="s">
        <v>977</v>
      </c>
      <c r="AJ415" t="s">
        <v>3779</v>
      </c>
      <c r="AK415" t="s">
        <v>978</v>
      </c>
      <c r="AL415" t="s">
        <v>978</v>
      </c>
      <c r="AM415" t="s">
        <v>979</v>
      </c>
      <c r="AN415">
        <v>0</v>
      </c>
      <c r="AO415" t="s">
        <v>257</v>
      </c>
      <c r="AP415">
        <v>0</v>
      </c>
      <c r="AQ415">
        <v>1</v>
      </c>
      <c r="AR415">
        <v>43</v>
      </c>
      <c r="AS415">
        <v>1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1</v>
      </c>
      <c r="AZ415" t="s">
        <v>257</v>
      </c>
      <c r="BA415" t="s">
        <v>980</v>
      </c>
      <c r="BB415" t="s">
        <v>981</v>
      </c>
      <c r="BC415" t="s">
        <v>257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410000001</v>
      </c>
      <c r="BJ415" t="s">
        <v>1021</v>
      </c>
      <c r="BK415" t="s">
        <v>981</v>
      </c>
      <c r="BL415" t="s">
        <v>3773</v>
      </c>
      <c r="BM415">
        <v>20170719</v>
      </c>
      <c r="BN415">
        <v>20211130</v>
      </c>
      <c r="BO415">
        <v>0</v>
      </c>
      <c r="BP415" t="s">
        <v>257</v>
      </c>
      <c r="BQ415" t="s">
        <v>983</v>
      </c>
      <c r="BR415" t="s">
        <v>978</v>
      </c>
      <c r="BS415" t="s">
        <v>3780</v>
      </c>
      <c r="BT415">
        <v>0</v>
      </c>
      <c r="BU415">
        <v>0</v>
      </c>
      <c r="BV415" t="s">
        <v>984</v>
      </c>
      <c r="BW415" t="s">
        <v>257</v>
      </c>
      <c r="BX415">
        <v>0</v>
      </c>
      <c r="BY415" t="s">
        <v>980</v>
      </c>
      <c r="BZ415" t="s">
        <v>257</v>
      </c>
      <c r="CA415">
        <v>0</v>
      </c>
      <c r="CB415">
        <v>0</v>
      </c>
      <c r="CC415" t="s">
        <v>1033</v>
      </c>
      <c r="CD415">
        <v>0</v>
      </c>
      <c r="CE415">
        <v>0</v>
      </c>
      <c r="CF415">
        <v>0</v>
      </c>
      <c r="CG415">
        <v>0</v>
      </c>
      <c r="CH415">
        <v>0</v>
      </c>
      <c r="CI415" t="s">
        <v>983</v>
      </c>
      <c r="CJ415" t="s">
        <v>972</v>
      </c>
      <c r="CK415" t="s">
        <v>986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 t="s">
        <v>987</v>
      </c>
      <c r="CV415">
        <v>400008419</v>
      </c>
      <c r="CW415" t="s">
        <v>987</v>
      </c>
      <c r="CX415" t="s">
        <v>1023</v>
      </c>
      <c r="CY415" t="s">
        <v>989</v>
      </c>
    </row>
    <row r="416" spans="1:103" hidden="1" x14ac:dyDescent="0.25">
      <c r="A416">
        <v>410000420</v>
      </c>
      <c r="B416" t="s">
        <v>3781</v>
      </c>
      <c r="C416" t="s">
        <v>3782</v>
      </c>
      <c r="D416">
        <v>401100000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1</v>
      </c>
      <c r="Y416" t="s">
        <v>972</v>
      </c>
      <c r="Z416" t="s">
        <v>3783</v>
      </c>
      <c r="AA416" t="s">
        <v>3784</v>
      </c>
      <c r="AB416" t="s">
        <v>975</v>
      </c>
      <c r="AC416">
        <v>4900</v>
      </c>
      <c r="AD416" t="s">
        <v>1386</v>
      </c>
      <c r="AE416" t="s">
        <v>3785</v>
      </c>
      <c r="AF416" t="s">
        <v>979</v>
      </c>
      <c r="AG416" t="s">
        <v>977</v>
      </c>
      <c r="AH416" t="s">
        <v>977</v>
      </c>
      <c r="AI416">
        <v>86230</v>
      </c>
      <c r="AJ416" t="s">
        <v>3786</v>
      </c>
      <c r="AK416" t="s">
        <v>978</v>
      </c>
      <c r="AL416" t="s">
        <v>978</v>
      </c>
      <c r="AM416" t="s">
        <v>979</v>
      </c>
      <c r="AN416">
        <v>0</v>
      </c>
      <c r="AO416" t="s">
        <v>257</v>
      </c>
      <c r="AP416">
        <v>30</v>
      </c>
      <c r="AQ416">
        <v>1</v>
      </c>
      <c r="AR416">
        <v>43</v>
      </c>
      <c r="AS416">
        <v>1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1</v>
      </c>
      <c r="AZ416" t="s">
        <v>257</v>
      </c>
      <c r="BA416" t="s">
        <v>980</v>
      </c>
      <c r="BB416" t="s">
        <v>981</v>
      </c>
      <c r="BC416" t="s">
        <v>257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 t="s">
        <v>998</v>
      </c>
      <c r="BK416" t="s">
        <v>981</v>
      </c>
      <c r="BL416" t="s">
        <v>3781</v>
      </c>
      <c r="BM416">
        <v>20170728</v>
      </c>
      <c r="BN416">
        <v>20230327</v>
      </c>
      <c r="BO416">
        <v>0</v>
      </c>
      <c r="BP416" t="s">
        <v>257</v>
      </c>
      <c r="BQ416" t="s">
        <v>983</v>
      </c>
      <c r="BR416" t="s">
        <v>978</v>
      </c>
      <c r="BS416" t="s">
        <v>979</v>
      </c>
      <c r="BT416">
        <v>0</v>
      </c>
      <c r="BU416">
        <v>0</v>
      </c>
      <c r="BV416" t="s">
        <v>984</v>
      </c>
      <c r="BW416" t="s">
        <v>257</v>
      </c>
      <c r="BX416">
        <v>0</v>
      </c>
      <c r="BY416" t="s">
        <v>980</v>
      </c>
      <c r="BZ416" t="s">
        <v>257</v>
      </c>
      <c r="CA416">
        <v>0</v>
      </c>
      <c r="CB416">
        <v>0</v>
      </c>
      <c r="CC416" t="s">
        <v>3787</v>
      </c>
      <c r="CD416">
        <v>0</v>
      </c>
      <c r="CE416">
        <v>0</v>
      </c>
      <c r="CF416">
        <v>0</v>
      </c>
      <c r="CG416">
        <v>0</v>
      </c>
      <c r="CH416">
        <v>0</v>
      </c>
      <c r="CI416" t="s">
        <v>983</v>
      </c>
      <c r="CJ416" t="s">
        <v>972</v>
      </c>
      <c r="CK416" t="s">
        <v>986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 t="s">
        <v>987</v>
      </c>
      <c r="CV416">
        <v>400008420</v>
      </c>
      <c r="CW416" t="s">
        <v>987</v>
      </c>
      <c r="CX416" t="s">
        <v>3788</v>
      </c>
      <c r="CY416" t="s">
        <v>989</v>
      </c>
    </row>
    <row r="417" spans="1:103" hidden="1" x14ac:dyDescent="0.25">
      <c r="A417">
        <v>410000421</v>
      </c>
      <c r="B417" t="s">
        <v>3789</v>
      </c>
      <c r="C417" t="s">
        <v>3790</v>
      </c>
      <c r="D417">
        <v>401100000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1</v>
      </c>
      <c r="Y417" t="s">
        <v>972</v>
      </c>
      <c r="Z417" t="s">
        <v>987</v>
      </c>
      <c r="AA417" t="s">
        <v>3791</v>
      </c>
      <c r="AB417" t="s">
        <v>975</v>
      </c>
      <c r="AC417">
        <v>4342</v>
      </c>
      <c r="AD417" t="s">
        <v>1076</v>
      </c>
      <c r="AE417" t="s">
        <v>3792</v>
      </c>
      <c r="AF417" t="s">
        <v>979</v>
      </c>
      <c r="AG417" t="s">
        <v>3793</v>
      </c>
      <c r="AH417" t="s">
        <v>977</v>
      </c>
      <c r="AI417">
        <v>47640</v>
      </c>
      <c r="AJ417" t="s">
        <v>3794</v>
      </c>
      <c r="AK417" t="s">
        <v>978</v>
      </c>
      <c r="AL417" t="s">
        <v>978</v>
      </c>
      <c r="AM417" t="s">
        <v>979</v>
      </c>
      <c r="AN417">
        <v>0</v>
      </c>
      <c r="AO417" t="s">
        <v>257</v>
      </c>
      <c r="AP417">
        <v>0</v>
      </c>
      <c r="AQ417">
        <v>1</v>
      </c>
      <c r="AR417">
        <v>43</v>
      </c>
      <c r="AS417">
        <v>1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1</v>
      </c>
      <c r="AZ417" t="s">
        <v>257</v>
      </c>
      <c r="BA417" t="s">
        <v>980</v>
      </c>
      <c r="BB417" t="s">
        <v>981</v>
      </c>
      <c r="BC417" t="s">
        <v>257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 t="s">
        <v>998</v>
      </c>
      <c r="BK417" t="s">
        <v>981</v>
      </c>
      <c r="BL417" t="s">
        <v>3789</v>
      </c>
      <c r="BM417">
        <v>20170824</v>
      </c>
      <c r="BN417">
        <v>20220201</v>
      </c>
      <c r="BO417">
        <v>0</v>
      </c>
      <c r="BP417" t="s">
        <v>257</v>
      </c>
      <c r="BQ417" t="s">
        <v>983</v>
      </c>
      <c r="BR417" t="s">
        <v>978</v>
      </c>
      <c r="BS417" t="s">
        <v>979</v>
      </c>
      <c r="BT417">
        <v>0</v>
      </c>
      <c r="BU417">
        <v>0</v>
      </c>
      <c r="BV417" t="s">
        <v>984</v>
      </c>
      <c r="BW417" t="s">
        <v>257</v>
      </c>
      <c r="BX417">
        <v>0</v>
      </c>
      <c r="BY417" t="s">
        <v>980</v>
      </c>
      <c r="BZ417" t="s">
        <v>257</v>
      </c>
      <c r="CA417">
        <v>0</v>
      </c>
      <c r="CB417">
        <v>0</v>
      </c>
      <c r="CC417" t="s">
        <v>1113</v>
      </c>
      <c r="CD417">
        <v>0</v>
      </c>
      <c r="CE417">
        <v>0</v>
      </c>
      <c r="CF417">
        <v>0</v>
      </c>
      <c r="CG417">
        <v>0</v>
      </c>
      <c r="CH417">
        <v>0</v>
      </c>
      <c r="CI417" t="s">
        <v>983</v>
      </c>
      <c r="CJ417" t="s">
        <v>972</v>
      </c>
      <c r="CK417" t="s">
        <v>986</v>
      </c>
      <c r="CL417">
        <v>0</v>
      </c>
      <c r="CM417">
        <v>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 t="s">
        <v>987</v>
      </c>
      <c r="CV417">
        <v>400008421</v>
      </c>
      <c r="CW417" t="s">
        <v>987</v>
      </c>
      <c r="CX417" t="s">
        <v>3795</v>
      </c>
      <c r="CY417" t="s">
        <v>989</v>
      </c>
    </row>
    <row r="418" spans="1:103" hidden="1" x14ac:dyDescent="0.25">
      <c r="A418">
        <v>410000422</v>
      </c>
      <c r="B418" t="s">
        <v>3796</v>
      </c>
      <c r="C418" t="s">
        <v>3797</v>
      </c>
      <c r="D418">
        <v>401100000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1</v>
      </c>
      <c r="Y418" t="s">
        <v>972</v>
      </c>
      <c r="Z418" t="s">
        <v>987</v>
      </c>
      <c r="AA418" t="s">
        <v>3798</v>
      </c>
      <c r="AB418" t="s">
        <v>975</v>
      </c>
      <c r="AC418">
        <v>4020</v>
      </c>
      <c r="AD418" t="s">
        <v>1019</v>
      </c>
      <c r="AE418" t="s">
        <v>3799</v>
      </c>
      <c r="AF418" t="s">
        <v>3800</v>
      </c>
      <c r="AG418" t="s">
        <v>3801</v>
      </c>
      <c r="AH418" t="s">
        <v>977</v>
      </c>
      <c r="AI418" t="s">
        <v>977</v>
      </c>
      <c r="AJ418" t="s">
        <v>978</v>
      </c>
      <c r="AK418" t="s">
        <v>978</v>
      </c>
      <c r="AL418" t="s">
        <v>978</v>
      </c>
      <c r="AM418" t="s">
        <v>979</v>
      </c>
      <c r="AN418">
        <v>0</v>
      </c>
      <c r="AO418" t="s">
        <v>257</v>
      </c>
      <c r="AP418">
        <v>0</v>
      </c>
      <c r="AQ418">
        <v>1</v>
      </c>
      <c r="AR418">
        <v>43</v>
      </c>
      <c r="AS418">
        <v>1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1</v>
      </c>
      <c r="AZ418" t="s">
        <v>257</v>
      </c>
      <c r="BA418" t="s">
        <v>980</v>
      </c>
      <c r="BB418" t="s">
        <v>981</v>
      </c>
      <c r="BC418" t="s">
        <v>257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 t="s">
        <v>998</v>
      </c>
      <c r="BK418" t="s">
        <v>981</v>
      </c>
      <c r="BL418" t="s">
        <v>3796</v>
      </c>
      <c r="BM418">
        <v>20170824</v>
      </c>
      <c r="BN418">
        <v>20181119</v>
      </c>
      <c r="BO418">
        <v>0</v>
      </c>
      <c r="BP418" t="s">
        <v>257</v>
      </c>
      <c r="BQ418" t="s">
        <v>983</v>
      </c>
      <c r="BR418" t="s">
        <v>978</v>
      </c>
      <c r="BS418" t="s">
        <v>3802</v>
      </c>
      <c r="BT418">
        <v>0</v>
      </c>
      <c r="BU418">
        <v>0</v>
      </c>
      <c r="BV418" t="s">
        <v>1013</v>
      </c>
      <c r="BW418" t="s">
        <v>257</v>
      </c>
      <c r="BX418">
        <v>0</v>
      </c>
      <c r="BY418" t="s">
        <v>980</v>
      </c>
      <c r="BZ418" t="s">
        <v>257</v>
      </c>
      <c r="CA418">
        <v>0</v>
      </c>
      <c r="CB418">
        <v>0</v>
      </c>
      <c r="CC418" t="s">
        <v>1317</v>
      </c>
      <c r="CD418">
        <v>0</v>
      </c>
      <c r="CE418">
        <v>0</v>
      </c>
      <c r="CF418">
        <v>0</v>
      </c>
      <c r="CG418">
        <v>0</v>
      </c>
      <c r="CH418">
        <v>0</v>
      </c>
      <c r="CI418" t="s">
        <v>983</v>
      </c>
      <c r="CJ418" t="s">
        <v>972</v>
      </c>
      <c r="CK418" t="s">
        <v>986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 t="s">
        <v>987</v>
      </c>
      <c r="CV418">
        <v>400008422</v>
      </c>
      <c r="CW418" t="s">
        <v>987</v>
      </c>
      <c r="CX418" t="s">
        <v>3803</v>
      </c>
      <c r="CY418" t="s">
        <v>989</v>
      </c>
    </row>
    <row r="419" spans="1:103" hidden="1" x14ac:dyDescent="0.25">
      <c r="A419">
        <v>410000423</v>
      </c>
      <c r="B419" t="s">
        <v>3804</v>
      </c>
      <c r="C419" t="s">
        <v>3805</v>
      </c>
      <c r="D419">
        <v>401100000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 t="s">
        <v>972</v>
      </c>
      <c r="Z419" t="s">
        <v>987</v>
      </c>
      <c r="AA419" t="s">
        <v>3806</v>
      </c>
      <c r="AB419" t="s">
        <v>975</v>
      </c>
      <c r="AC419">
        <v>4601</v>
      </c>
      <c r="AD419" t="s">
        <v>1813</v>
      </c>
      <c r="AE419" t="s">
        <v>3807</v>
      </c>
      <c r="AF419" t="s">
        <v>979</v>
      </c>
      <c r="AG419" t="s">
        <v>3808</v>
      </c>
      <c r="AH419" t="s">
        <v>977</v>
      </c>
      <c r="AI419" t="s">
        <v>977</v>
      </c>
      <c r="AJ419" t="s">
        <v>978</v>
      </c>
      <c r="AK419" t="s">
        <v>978</v>
      </c>
      <c r="AL419" t="s">
        <v>978</v>
      </c>
      <c r="AM419" t="s">
        <v>979</v>
      </c>
      <c r="AN419">
        <v>0</v>
      </c>
      <c r="AO419" t="s">
        <v>257</v>
      </c>
      <c r="AP419">
        <v>0</v>
      </c>
      <c r="AQ419">
        <v>1</v>
      </c>
      <c r="AR419">
        <v>43</v>
      </c>
      <c r="AS419">
        <v>1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1</v>
      </c>
      <c r="AZ419" t="s">
        <v>257</v>
      </c>
      <c r="BA419" t="s">
        <v>980</v>
      </c>
      <c r="BB419" t="s">
        <v>981</v>
      </c>
      <c r="BC419" t="s">
        <v>257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 t="s">
        <v>998</v>
      </c>
      <c r="BK419" t="s">
        <v>981</v>
      </c>
      <c r="BL419" t="s">
        <v>3804</v>
      </c>
      <c r="BM419">
        <v>20170905</v>
      </c>
      <c r="BN419">
        <v>20181119</v>
      </c>
      <c r="BO419">
        <v>0</v>
      </c>
      <c r="BP419" t="s">
        <v>257</v>
      </c>
      <c r="BQ419" t="s">
        <v>983</v>
      </c>
      <c r="BR419" t="s">
        <v>978</v>
      </c>
      <c r="BS419" t="s">
        <v>3807</v>
      </c>
      <c r="BT419">
        <v>0</v>
      </c>
      <c r="BU419">
        <v>0</v>
      </c>
      <c r="BV419" t="s">
        <v>1013</v>
      </c>
      <c r="BW419" t="s">
        <v>257</v>
      </c>
      <c r="BX419">
        <v>0</v>
      </c>
      <c r="BY419" t="s">
        <v>980</v>
      </c>
      <c r="BZ419" t="s">
        <v>257</v>
      </c>
      <c r="CA419">
        <v>0</v>
      </c>
      <c r="CB419">
        <v>0</v>
      </c>
      <c r="CC419" t="s">
        <v>1317</v>
      </c>
      <c r="CD419">
        <v>0</v>
      </c>
      <c r="CE419">
        <v>0</v>
      </c>
      <c r="CF419">
        <v>0</v>
      </c>
      <c r="CG419">
        <v>0</v>
      </c>
      <c r="CH419">
        <v>0</v>
      </c>
      <c r="CI419" t="s">
        <v>983</v>
      </c>
      <c r="CJ419" t="s">
        <v>972</v>
      </c>
      <c r="CK419" t="s">
        <v>986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 t="s">
        <v>987</v>
      </c>
      <c r="CV419">
        <v>400008423</v>
      </c>
      <c r="CW419" t="s">
        <v>987</v>
      </c>
      <c r="CX419" t="s">
        <v>3809</v>
      </c>
      <c r="CY419" t="s">
        <v>989</v>
      </c>
    </row>
    <row r="420" spans="1:103" hidden="1" x14ac:dyDescent="0.25">
      <c r="A420">
        <v>410000424</v>
      </c>
      <c r="B420" t="s">
        <v>3810</v>
      </c>
      <c r="C420" t="s">
        <v>3811</v>
      </c>
      <c r="D420">
        <v>401100000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1</v>
      </c>
      <c r="Y420" t="s">
        <v>972</v>
      </c>
      <c r="Z420" t="s">
        <v>3812</v>
      </c>
      <c r="AA420" t="s">
        <v>3813</v>
      </c>
      <c r="AB420" t="s">
        <v>975</v>
      </c>
      <c r="AC420">
        <v>5100</v>
      </c>
      <c r="AD420" t="s">
        <v>2417</v>
      </c>
      <c r="AE420">
        <v>32478578220</v>
      </c>
      <c r="AF420" t="s">
        <v>3814</v>
      </c>
      <c r="AG420" t="s">
        <v>3815</v>
      </c>
      <c r="AH420" t="s">
        <v>3816</v>
      </c>
      <c r="AI420">
        <v>69203</v>
      </c>
      <c r="AJ420" t="s">
        <v>3817</v>
      </c>
      <c r="AK420" t="s">
        <v>3818</v>
      </c>
      <c r="AL420" t="s">
        <v>3819</v>
      </c>
      <c r="AM420" t="s">
        <v>979</v>
      </c>
      <c r="AN420">
        <v>0</v>
      </c>
      <c r="AO420" t="s">
        <v>257</v>
      </c>
      <c r="AP420">
        <v>0</v>
      </c>
      <c r="AQ420">
        <v>1</v>
      </c>
      <c r="AR420">
        <v>43</v>
      </c>
      <c r="AS420">
        <v>1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1</v>
      </c>
      <c r="AZ420" t="s">
        <v>257</v>
      </c>
      <c r="BA420" t="s">
        <v>980</v>
      </c>
      <c r="BB420" t="s">
        <v>981</v>
      </c>
      <c r="BC420" t="s">
        <v>257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 t="s">
        <v>998</v>
      </c>
      <c r="BK420" t="s">
        <v>981</v>
      </c>
      <c r="BL420" t="s">
        <v>3810</v>
      </c>
      <c r="BM420">
        <v>20170913</v>
      </c>
      <c r="BN420">
        <v>20230425</v>
      </c>
      <c r="BO420">
        <v>0</v>
      </c>
      <c r="BP420" t="s">
        <v>257</v>
      </c>
      <c r="BQ420" t="s">
        <v>983</v>
      </c>
      <c r="BR420" t="s">
        <v>978</v>
      </c>
      <c r="BS420">
        <v>32497818657</v>
      </c>
      <c r="BT420">
        <v>0</v>
      </c>
      <c r="BU420">
        <v>0</v>
      </c>
      <c r="BV420" t="s">
        <v>984</v>
      </c>
      <c r="BW420" t="s">
        <v>257</v>
      </c>
      <c r="BX420">
        <v>0</v>
      </c>
      <c r="BY420" t="s">
        <v>980</v>
      </c>
      <c r="BZ420" t="s">
        <v>257</v>
      </c>
      <c r="CA420">
        <v>0</v>
      </c>
      <c r="CB420">
        <v>0</v>
      </c>
      <c r="CC420" t="s">
        <v>1033</v>
      </c>
      <c r="CD420">
        <v>0</v>
      </c>
      <c r="CE420">
        <v>0</v>
      </c>
      <c r="CF420">
        <v>0</v>
      </c>
      <c r="CG420">
        <v>0</v>
      </c>
      <c r="CH420">
        <v>0</v>
      </c>
      <c r="CI420" t="s">
        <v>983</v>
      </c>
      <c r="CJ420" t="s">
        <v>972</v>
      </c>
      <c r="CK420" t="s">
        <v>986</v>
      </c>
      <c r="CL420">
        <v>0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 t="s">
        <v>987</v>
      </c>
      <c r="CV420">
        <v>400008424</v>
      </c>
      <c r="CW420" t="s">
        <v>987</v>
      </c>
      <c r="CX420" t="s">
        <v>3820</v>
      </c>
      <c r="CY420" t="s">
        <v>989</v>
      </c>
    </row>
    <row r="421" spans="1:103" hidden="1" x14ac:dyDescent="0.25">
      <c r="A421">
        <v>410000425</v>
      </c>
      <c r="B421" t="s">
        <v>3821</v>
      </c>
      <c r="C421" t="s">
        <v>3822</v>
      </c>
      <c r="D421">
        <v>401100000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1</v>
      </c>
      <c r="Y421" t="s">
        <v>972</v>
      </c>
      <c r="Z421" t="s">
        <v>3823</v>
      </c>
      <c r="AA421" t="s">
        <v>3824</v>
      </c>
      <c r="AB421" t="s">
        <v>975</v>
      </c>
      <c r="AC421">
        <v>1390</v>
      </c>
      <c r="AD421" t="s">
        <v>3825</v>
      </c>
      <c r="AE421" t="s">
        <v>3826</v>
      </c>
      <c r="AF421" t="s">
        <v>979</v>
      </c>
      <c r="AG421" t="s">
        <v>977</v>
      </c>
      <c r="AH421" t="s">
        <v>977</v>
      </c>
      <c r="AI421" t="s">
        <v>977</v>
      </c>
      <c r="AJ421" t="s">
        <v>978</v>
      </c>
      <c r="AK421" t="s">
        <v>3827</v>
      </c>
      <c r="AL421" t="s">
        <v>978</v>
      </c>
      <c r="AM421" t="s">
        <v>979</v>
      </c>
      <c r="AN421">
        <v>0</v>
      </c>
      <c r="AO421" t="s">
        <v>257</v>
      </c>
      <c r="AP421">
        <v>0</v>
      </c>
      <c r="AQ421">
        <v>1</v>
      </c>
      <c r="AR421">
        <v>43</v>
      </c>
      <c r="AS421">
        <v>1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1</v>
      </c>
      <c r="AZ421" t="s">
        <v>257</v>
      </c>
      <c r="BA421" t="s">
        <v>980</v>
      </c>
      <c r="BB421" t="s">
        <v>981</v>
      </c>
      <c r="BC421" t="s">
        <v>257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 t="s">
        <v>998</v>
      </c>
      <c r="BK421" t="s">
        <v>981</v>
      </c>
      <c r="BL421" t="s">
        <v>3821</v>
      </c>
      <c r="BM421">
        <v>20170914</v>
      </c>
      <c r="BN421">
        <v>20181119</v>
      </c>
      <c r="BO421">
        <v>0</v>
      </c>
      <c r="BP421" t="s">
        <v>257</v>
      </c>
      <c r="BQ421" t="s">
        <v>983</v>
      </c>
      <c r="BR421" t="s">
        <v>978</v>
      </c>
      <c r="BS421" t="s">
        <v>979</v>
      </c>
      <c r="BT421">
        <v>0</v>
      </c>
      <c r="BU421">
        <v>0</v>
      </c>
      <c r="BV421" t="s">
        <v>1013</v>
      </c>
      <c r="BW421" t="s">
        <v>257</v>
      </c>
      <c r="BX421">
        <v>0</v>
      </c>
      <c r="BY421" t="s">
        <v>980</v>
      </c>
      <c r="BZ421" t="s">
        <v>257</v>
      </c>
      <c r="CA421">
        <v>0</v>
      </c>
      <c r="CB421">
        <v>0</v>
      </c>
      <c r="CC421" t="s">
        <v>1033</v>
      </c>
      <c r="CD421">
        <v>0</v>
      </c>
      <c r="CE421">
        <v>0</v>
      </c>
      <c r="CF421">
        <v>0</v>
      </c>
      <c r="CG421">
        <v>0</v>
      </c>
      <c r="CH421">
        <v>0</v>
      </c>
      <c r="CI421" t="s">
        <v>983</v>
      </c>
      <c r="CJ421" t="s">
        <v>972</v>
      </c>
      <c r="CK421" t="s">
        <v>986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 t="s">
        <v>987</v>
      </c>
      <c r="CV421">
        <v>400008425</v>
      </c>
      <c r="CW421" t="s">
        <v>987</v>
      </c>
      <c r="CX421" t="s">
        <v>3828</v>
      </c>
      <c r="CY421" t="s">
        <v>989</v>
      </c>
    </row>
    <row r="422" spans="1:103" hidden="1" x14ac:dyDescent="0.25">
      <c r="A422">
        <v>410000426</v>
      </c>
      <c r="B422" t="s">
        <v>3829</v>
      </c>
      <c r="C422" t="s">
        <v>3830</v>
      </c>
      <c r="D422">
        <v>401100000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1</v>
      </c>
      <c r="Y422" t="s">
        <v>972</v>
      </c>
      <c r="Z422" t="s">
        <v>3831</v>
      </c>
      <c r="AA422" t="s">
        <v>3832</v>
      </c>
      <c r="AB422" t="s">
        <v>975</v>
      </c>
      <c r="AC422">
        <v>4671</v>
      </c>
      <c r="AD422" t="s">
        <v>3134</v>
      </c>
      <c r="AE422" t="s">
        <v>3833</v>
      </c>
      <c r="AF422" t="s">
        <v>979</v>
      </c>
      <c r="AG422" t="s">
        <v>977</v>
      </c>
      <c r="AH422" t="s">
        <v>977</v>
      </c>
      <c r="AI422" t="s">
        <v>977</v>
      </c>
      <c r="AJ422" t="s">
        <v>978</v>
      </c>
      <c r="AK422" t="s">
        <v>978</v>
      </c>
      <c r="AL422" t="s">
        <v>978</v>
      </c>
      <c r="AM422" t="s">
        <v>979</v>
      </c>
      <c r="AN422">
        <v>0</v>
      </c>
      <c r="AO422" t="s">
        <v>257</v>
      </c>
      <c r="AP422">
        <v>0</v>
      </c>
      <c r="AQ422">
        <v>1</v>
      </c>
      <c r="AR422">
        <v>43</v>
      </c>
      <c r="AS422">
        <v>1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1</v>
      </c>
      <c r="AZ422" t="s">
        <v>257</v>
      </c>
      <c r="BA422" t="s">
        <v>980</v>
      </c>
      <c r="BB422" t="s">
        <v>981</v>
      </c>
      <c r="BC422" t="s">
        <v>257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 t="s">
        <v>998</v>
      </c>
      <c r="BK422" t="s">
        <v>981</v>
      </c>
      <c r="BL422" t="s">
        <v>3829</v>
      </c>
      <c r="BM422">
        <v>20170925</v>
      </c>
      <c r="BN422">
        <v>20181119</v>
      </c>
      <c r="BO422">
        <v>0</v>
      </c>
      <c r="BP422" t="s">
        <v>257</v>
      </c>
      <c r="BQ422" t="s">
        <v>983</v>
      </c>
      <c r="BR422" t="s">
        <v>978</v>
      </c>
      <c r="BS422" t="s">
        <v>979</v>
      </c>
      <c r="BT422">
        <v>0</v>
      </c>
      <c r="BU422">
        <v>0</v>
      </c>
      <c r="BV422" t="s">
        <v>1013</v>
      </c>
      <c r="BW422" t="s">
        <v>257</v>
      </c>
      <c r="BX422">
        <v>0</v>
      </c>
      <c r="BY422" t="s">
        <v>980</v>
      </c>
      <c r="BZ422" t="s">
        <v>257</v>
      </c>
      <c r="CA422">
        <v>0</v>
      </c>
      <c r="CB422">
        <v>0</v>
      </c>
      <c r="CC422" t="s">
        <v>1152</v>
      </c>
      <c r="CD422">
        <v>0</v>
      </c>
      <c r="CE422">
        <v>0</v>
      </c>
      <c r="CF422">
        <v>0</v>
      </c>
      <c r="CG422">
        <v>0</v>
      </c>
      <c r="CH422">
        <v>0</v>
      </c>
      <c r="CI422" t="s">
        <v>983</v>
      </c>
      <c r="CJ422" t="s">
        <v>972</v>
      </c>
      <c r="CK422" t="s">
        <v>986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 t="s">
        <v>987</v>
      </c>
      <c r="CV422">
        <v>400008426</v>
      </c>
      <c r="CW422" t="s">
        <v>987</v>
      </c>
      <c r="CX422" t="s">
        <v>3834</v>
      </c>
      <c r="CY422" t="s">
        <v>989</v>
      </c>
    </row>
    <row r="423" spans="1:103" hidden="1" x14ac:dyDescent="0.25">
      <c r="A423">
        <v>410000427</v>
      </c>
      <c r="B423" t="s">
        <v>3835</v>
      </c>
      <c r="C423" t="s">
        <v>2231</v>
      </c>
      <c r="D423">
        <v>401100000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1</v>
      </c>
      <c r="Y423" t="s">
        <v>972</v>
      </c>
      <c r="Z423" t="s">
        <v>987</v>
      </c>
      <c r="AA423" t="s">
        <v>3836</v>
      </c>
      <c r="AB423" t="s">
        <v>975</v>
      </c>
      <c r="AC423">
        <v>4960</v>
      </c>
      <c r="AD423" t="s">
        <v>1548</v>
      </c>
      <c r="AE423">
        <v>3280799965</v>
      </c>
      <c r="AF423">
        <v>3280799890</v>
      </c>
      <c r="AG423" t="s">
        <v>977</v>
      </c>
      <c r="AH423" t="s">
        <v>977</v>
      </c>
      <c r="AI423" t="s">
        <v>977</v>
      </c>
      <c r="AJ423" t="s">
        <v>978</v>
      </c>
      <c r="AK423" t="s">
        <v>3837</v>
      </c>
      <c r="AL423" t="s">
        <v>978</v>
      </c>
      <c r="AM423" t="s">
        <v>979</v>
      </c>
      <c r="AN423">
        <v>0</v>
      </c>
      <c r="AO423" t="s">
        <v>257</v>
      </c>
      <c r="AP423">
        <v>0</v>
      </c>
      <c r="AQ423">
        <v>1</v>
      </c>
      <c r="AR423">
        <v>43</v>
      </c>
      <c r="AS423">
        <v>1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1</v>
      </c>
      <c r="AZ423" t="s">
        <v>257</v>
      </c>
      <c r="BA423" t="s">
        <v>980</v>
      </c>
      <c r="BB423" t="s">
        <v>259</v>
      </c>
      <c r="BC423" t="s">
        <v>257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 t="s">
        <v>998</v>
      </c>
      <c r="BK423" t="s">
        <v>981</v>
      </c>
      <c r="BL423" t="s">
        <v>3835</v>
      </c>
      <c r="BM423">
        <v>20170926</v>
      </c>
      <c r="BN423">
        <v>20250113</v>
      </c>
      <c r="BO423">
        <v>20171002</v>
      </c>
      <c r="BP423" t="s">
        <v>257</v>
      </c>
      <c r="BQ423" t="s">
        <v>983</v>
      </c>
      <c r="BR423" t="s">
        <v>978</v>
      </c>
      <c r="BS423" t="s">
        <v>979</v>
      </c>
      <c r="BT423">
        <v>0</v>
      </c>
      <c r="BU423">
        <v>0</v>
      </c>
      <c r="BV423" t="s">
        <v>2341</v>
      </c>
      <c r="BW423" t="s">
        <v>257</v>
      </c>
      <c r="BX423">
        <v>0</v>
      </c>
      <c r="BY423" t="s">
        <v>980</v>
      </c>
      <c r="BZ423" t="s">
        <v>257</v>
      </c>
      <c r="CA423">
        <v>0</v>
      </c>
      <c r="CB423">
        <v>0</v>
      </c>
      <c r="CC423" t="s">
        <v>1033</v>
      </c>
      <c r="CD423">
        <v>0</v>
      </c>
      <c r="CE423">
        <v>0</v>
      </c>
      <c r="CF423">
        <v>0</v>
      </c>
      <c r="CG423">
        <v>0</v>
      </c>
      <c r="CH423">
        <v>0</v>
      </c>
      <c r="CI423" t="s">
        <v>983</v>
      </c>
      <c r="CJ423" t="s">
        <v>972</v>
      </c>
      <c r="CK423" t="s">
        <v>986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 t="s">
        <v>987</v>
      </c>
      <c r="CV423">
        <v>400008427</v>
      </c>
      <c r="CW423" t="s">
        <v>987</v>
      </c>
      <c r="CX423" t="s">
        <v>3838</v>
      </c>
      <c r="CY423" t="s">
        <v>989</v>
      </c>
    </row>
    <row r="424" spans="1:103" hidden="1" x14ac:dyDescent="0.25">
      <c r="A424">
        <v>410000428</v>
      </c>
      <c r="B424" t="s">
        <v>3839</v>
      </c>
      <c r="C424" t="s">
        <v>6773</v>
      </c>
      <c r="D424">
        <v>401100000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1</v>
      </c>
      <c r="X424">
        <v>1</v>
      </c>
      <c r="Y424" t="s">
        <v>972</v>
      </c>
      <c r="Z424" t="s">
        <v>3840</v>
      </c>
      <c r="AA424" t="s">
        <v>3841</v>
      </c>
      <c r="AB424" t="s">
        <v>1626</v>
      </c>
      <c r="AC424">
        <v>4702</v>
      </c>
      <c r="AD424" t="s">
        <v>3842</v>
      </c>
      <c r="AE424" t="s">
        <v>979</v>
      </c>
      <c r="AF424" t="s">
        <v>979</v>
      </c>
      <c r="AG424" t="s">
        <v>977</v>
      </c>
      <c r="AH424" t="s">
        <v>977</v>
      </c>
      <c r="AI424" t="s">
        <v>1031</v>
      </c>
      <c r="AJ424" t="s">
        <v>978</v>
      </c>
      <c r="AK424" t="s">
        <v>3843</v>
      </c>
      <c r="AL424" t="s">
        <v>978</v>
      </c>
      <c r="AM424" t="s">
        <v>979</v>
      </c>
      <c r="AN424">
        <v>0</v>
      </c>
      <c r="AO424" t="s">
        <v>257</v>
      </c>
      <c r="AP424">
        <v>15</v>
      </c>
      <c r="AQ424">
        <v>1</v>
      </c>
      <c r="AR424">
        <v>43</v>
      </c>
      <c r="AS424">
        <v>1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1</v>
      </c>
      <c r="AZ424" t="s">
        <v>257</v>
      </c>
      <c r="BA424" t="s">
        <v>980</v>
      </c>
      <c r="BB424" t="s">
        <v>1010</v>
      </c>
      <c r="BC424" t="s">
        <v>257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 t="s">
        <v>998</v>
      </c>
      <c r="BK424" t="s">
        <v>981</v>
      </c>
      <c r="BL424" t="s">
        <v>3839</v>
      </c>
      <c r="BM424">
        <v>20171002</v>
      </c>
      <c r="BN424">
        <v>20220201</v>
      </c>
      <c r="BO424">
        <v>20200127</v>
      </c>
      <c r="BP424" t="s">
        <v>257</v>
      </c>
      <c r="BQ424" t="s">
        <v>983</v>
      </c>
      <c r="BR424" t="s">
        <v>978</v>
      </c>
      <c r="BS424" t="s">
        <v>3844</v>
      </c>
      <c r="BT424">
        <v>0</v>
      </c>
      <c r="BU424">
        <v>0</v>
      </c>
      <c r="BV424" t="s">
        <v>1013</v>
      </c>
      <c r="BW424" t="s">
        <v>257</v>
      </c>
      <c r="BX424">
        <v>0</v>
      </c>
      <c r="BY424" t="s">
        <v>980</v>
      </c>
      <c r="BZ424" t="s">
        <v>257</v>
      </c>
      <c r="CA424">
        <v>0</v>
      </c>
      <c r="CB424">
        <v>0</v>
      </c>
      <c r="CC424" t="s">
        <v>2322</v>
      </c>
      <c r="CD424">
        <v>0</v>
      </c>
      <c r="CE424">
        <v>0</v>
      </c>
      <c r="CF424">
        <v>0</v>
      </c>
      <c r="CG424">
        <v>0</v>
      </c>
      <c r="CH424">
        <v>0</v>
      </c>
      <c r="CI424" t="s">
        <v>983</v>
      </c>
      <c r="CJ424" t="s">
        <v>972</v>
      </c>
      <c r="CK424" t="s">
        <v>986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 t="s">
        <v>987</v>
      </c>
      <c r="CV424">
        <v>400008428</v>
      </c>
      <c r="CW424" t="s">
        <v>987</v>
      </c>
      <c r="CX424" t="s">
        <v>3845</v>
      </c>
      <c r="CY424" t="s">
        <v>989</v>
      </c>
    </row>
    <row r="425" spans="1:103" hidden="1" x14ac:dyDescent="0.25">
      <c r="A425">
        <v>410000429</v>
      </c>
      <c r="B425" t="s">
        <v>939</v>
      </c>
      <c r="C425" t="s">
        <v>3846</v>
      </c>
      <c r="D425">
        <v>401100000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1</v>
      </c>
      <c r="Y425" t="s">
        <v>972</v>
      </c>
      <c r="Z425" t="s">
        <v>987</v>
      </c>
      <c r="AA425" t="s">
        <v>3847</v>
      </c>
      <c r="AB425" t="s">
        <v>975</v>
      </c>
      <c r="AC425">
        <v>4602</v>
      </c>
      <c r="AD425" t="s">
        <v>3848</v>
      </c>
      <c r="AE425" t="s">
        <v>3849</v>
      </c>
      <c r="AF425" t="s">
        <v>979</v>
      </c>
      <c r="AG425" t="s">
        <v>977</v>
      </c>
      <c r="AH425" t="s">
        <v>977</v>
      </c>
      <c r="AI425" t="s">
        <v>977</v>
      </c>
      <c r="AJ425" t="s">
        <v>978</v>
      </c>
      <c r="AK425" t="s">
        <v>978</v>
      </c>
      <c r="AL425" t="s">
        <v>978</v>
      </c>
      <c r="AM425" t="s">
        <v>979</v>
      </c>
      <c r="AN425">
        <v>0</v>
      </c>
      <c r="AO425" t="s">
        <v>257</v>
      </c>
      <c r="AP425">
        <v>0</v>
      </c>
      <c r="AQ425">
        <v>1</v>
      </c>
      <c r="AR425">
        <v>43</v>
      </c>
      <c r="AS425">
        <v>1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1</v>
      </c>
      <c r="AZ425" t="s">
        <v>257</v>
      </c>
      <c r="BA425" t="s">
        <v>980</v>
      </c>
      <c r="BB425" t="s">
        <v>981</v>
      </c>
      <c r="BC425" t="s">
        <v>257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410000432</v>
      </c>
      <c r="BJ425" t="s">
        <v>998</v>
      </c>
      <c r="BK425" t="s">
        <v>981</v>
      </c>
      <c r="BL425" t="s">
        <v>939</v>
      </c>
      <c r="BM425">
        <v>20171016</v>
      </c>
      <c r="BN425">
        <v>20181119</v>
      </c>
      <c r="BO425">
        <v>0</v>
      </c>
      <c r="BP425" t="s">
        <v>257</v>
      </c>
      <c r="BQ425" t="s">
        <v>983</v>
      </c>
      <c r="BR425" t="s">
        <v>978</v>
      </c>
      <c r="BS425" t="s">
        <v>3850</v>
      </c>
      <c r="BT425">
        <v>0</v>
      </c>
      <c r="BU425">
        <v>0</v>
      </c>
      <c r="BV425" t="s">
        <v>1013</v>
      </c>
      <c r="BW425" t="s">
        <v>257</v>
      </c>
      <c r="BX425">
        <v>0</v>
      </c>
      <c r="BY425" t="s">
        <v>980</v>
      </c>
      <c r="BZ425" t="s">
        <v>257</v>
      </c>
      <c r="CA425">
        <v>0</v>
      </c>
      <c r="CB425">
        <v>0</v>
      </c>
      <c r="CC425" t="s">
        <v>3851</v>
      </c>
      <c r="CD425">
        <v>0</v>
      </c>
      <c r="CE425">
        <v>0</v>
      </c>
      <c r="CF425">
        <v>0</v>
      </c>
      <c r="CG425">
        <v>0</v>
      </c>
      <c r="CH425">
        <v>0</v>
      </c>
      <c r="CI425" t="s">
        <v>983</v>
      </c>
      <c r="CJ425" t="s">
        <v>972</v>
      </c>
      <c r="CK425" t="s">
        <v>986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 t="s">
        <v>987</v>
      </c>
      <c r="CV425">
        <v>400008429</v>
      </c>
      <c r="CW425" t="s">
        <v>987</v>
      </c>
      <c r="CX425" t="s">
        <v>1081</v>
      </c>
      <c r="CY425" t="s">
        <v>989</v>
      </c>
    </row>
    <row r="426" spans="1:103" hidden="1" x14ac:dyDescent="0.25">
      <c r="A426">
        <v>410000430</v>
      </c>
      <c r="B426" t="s">
        <v>3852</v>
      </c>
      <c r="C426" t="s">
        <v>3853</v>
      </c>
      <c r="D426">
        <v>401100000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1</v>
      </c>
      <c r="Y426" t="s">
        <v>972</v>
      </c>
      <c r="Z426" t="s">
        <v>987</v>
      </c>
      <c r="AA426" t="s">
        <v>3854</v>
      </c>
      <c r="AB426" t="s">
        <v>975</v>
      </c>
      <c r="AC426">
        <v>1400</v>
      </c>
      <c r="AD426" t="s">
        <v>3855</v>
      </c>
      <c r="AE426">
        <v>3267211398</v>
      </c>
      <c r="AF426">
        <v>3267220325</v>
      </c>
      <c r="AG426" t="s">
        <v>977</v>
      </c>
      <c r="AH426" t="s">
        <v>977</v>
      </c>
      <c r="AI426">
        <v>222</v>
      </c>
      <c r="AJ426" t="s">
        <v>978</v>
      </c>
      <c r="AK426" t="s">
        <v>978</v>
      </c>
      <c r="AL426" t="s">
        <v>978</v>
      </c>
      <c r="AM426" t="s">
        <v>979</v>
      </c>
      <c r="AN426">
        <v>0</v>
      </c>
      <c r="AO426" t="s">
        <v>257</v>
      </c>
      <c r="AP426">
        <v>0</v>
      </c>
      <c r="AQ426">
        <v>1</v>
      </c>
      <c r="AR426">
        <v>43</v>
      </c>
      <c r="AS426">
        <v>1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1</v>
      </c>
      <c r="AZ426" t="s">
        <v>257</v>
      </c>
      <c r="BA426" t="s">
        <v>980</v>
      </c>
      <c r="BB426" t="s">
        <v>981</v>
      </c>
      <c r="BC426" t="s">
        <v>257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 t="s">
        <v>998</v>
      </c>
      <c r="BK426" t="s">
        <v>981</v>
      </c>
      <c r="BL426" t="s">
        <v>3852</v>
      </c>
      <c r="BM426">
        <v>20171017</v>
      </c>
      <c r="BN426">
        <v>20230612</v>
      </c>
      <c r="BO426">
        <v>0</v>
      </c>
      <c r="BP426" t="s">
        <v>257</v>
      </c>
      <c r="BQ426" t="s">
        <v>983</v>
      </c>
      <c r="BR426" t="s">
        <v>978</v>
      </c>
      <c r="BS426">
        <v>32477867385</v>
      </c>
      <c r="BT426">
        <v>0</v>
      </c>
      <c r="BU426">
        <v>0</v>
      </c>
      <c r="BV426" t="s">
        <v>984</v>
      </c>
      <c r="BW426" t="s">
        <v>257</v>
      </c>
      <c r="BX426">
        <v>0</v>
      </c>
      <c r="BY426" t="s">
        <v>980</v>
      </c>
      <c r="BZ426" t="s">
        <v>257</v>
      </c>
      <c r="CA426">
        <v>0</v>
      </c>
      <c r="CB426">
        <v>0</v>
      </c>
      <c r="CC426" t="s">
        <v>1033</v>
      </c>
      <c r="CD426">
        <v>0</v>
      </c>
      <c r="CE426">
        <v>0</v>
      </c>
      <c r="CF426">
        <v>0</v>
      </c>
      <c r="CG426">
        <v>0</v>
      </c>
      <c r="CH426">
        <v>0</v>
      </c>
      <c r="CI426" t="s">
        <v>983</v>
      </c>
      <c r="CJ426" t="s">
        <v>972</v>
      </c>
      <c r="CK426" t="s">
        <v>986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 t="s">
        <v>987</v>
      </c>
      <c r="CV426">
        <v>400008430</v>
      </c>
      <c r="CW426" t="s">
        <v>987</v>
      </c>
      <c r="CX426" t="s">
        <v>3856</v>
      </c>
      <c r="CY426" t="s">
        <v>989</v>
      </c>
    </row>
    <row r="427" spans="1:103" hidden="1" x14ac:dyDescent="0.25">
      <c r="A427">
        <v>410000431</v>
      </c>
      <c r="B427" t="s">
        <v>3857</v>
      </c>
      <c r="C427" t="s">
        <v>3858</v>
      </c>
      <c r="D427">
        <v>401100000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1</v>
      </c>
      <c r="Y427" t="s">
        <v>972</v>
      </c>
      <c r="Z427" t="s">
        <v>3859</v>
      </c>
      <c r="AA427" t="s">
        <v>3860</v>
      </c>
      <c r="AB427" t="s">
        <v>975</v>
      </c>
      <c r="AC427">
        <v>4000</v>
      </c>
      <c r="AD427" t="s">
        <v>1019</v>
      </c>
      <c r="AE427" t="s">
        <v>979</v>
      </c>
      <c r="AF427" t="s">
        <v>979</v>
      </c>
      <c r="AG427" t="s">
        <v>977</v>
      </c>
      <c r="AH427" t="s">
        <v>977</v>
      </c>
      <c r="AI427" t="s">
        <v>977</v>
      </c>
      <c r="AJ427" t="s">
        <v>3861</v>
      </c>
      <c r="AK427" t="s">
        <v>978</v>
      </c>
      <c r="AL427" t="s">
        <v>978</v>
      </c>
      <c r="AM427" t="s">
        <v>979</v>
      </c>
      <c r="AN427">
        <v>0</v>
      </c>
      <c r="AO427" t="s">
        <v>257</v>
      </c>
      <c r="AP427">
        <v>0</v>
      </c>
      <c r="AQ427">
        <v>1</v>
      </c>
      <c r="AR427">
        <v>43</v>
      </c>
      <c r="AS427">
        <v>1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1</v>
      </c>
      <c r="AZ427" t="s">
        <v>257</v>
      </c>
      <c r="BA427" t="s">
        <v>980</v>
      </c>
      <c r="BB427" t="s">
        <v>981</v>
      </c>
      <c r="BC427" t="s">
        <v>257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 t="s">
        <v>998</v>
      </c>
      <c r="BK427" t="s">
        <v>981</v>
      </c>
      <c r="BL427" t="s">
        <v>3857</v>
      </c>
      <c r="BM427">
        <v>20171020</v>
      </c>
      <c r="BN427">
        <v>20230725</v>
      </c>
      <c r="BO427">
        <v>0</v>
      </c>
      <c r="BP427" t="s">
        <v>257</v>
      </c>
      <c r="BQ427" t="s">
        <v>983</v>
      </c>
      <c r="BR427" t="s">
        <v>978</v>
      </c>
      <c r="BS427">
        <v>32495211205</v>
      </c>
      <c r="BT427">
        <v>0</v>
      </c>
      <c r="BU427">
        <v>0</v>
      </c>
      <c r="BV427" t="s">
        <v>984</v>
      </c>
      <c r="BW427" t="s">
        <v>257</v>
      </c>
      <c r="BX427">
        <v>0</v>
      </c>
      <c r="BY427" t="s">
        <v>980</v>
      </c>
      <c r="BZ427" t="s">
        <v>257</v>
      </c>
      <c r="CA427">
        <v>0</v>
      </c>
      <c r="CB427">
        <v>0</v>
      </c>
      <c r="CC427" t="s">
        <v>1371</v>
      </c>
      <c r="CD427">
        <v>0</v>
      </c>
      <c r="CE427">
        <v>0</v>
      </c>
      <c r="CF427">
        <v>0</v>
      </c>
      <c r="CG427">
        <v>0</v>
      </c>
      <c r="CH427">
        <v>0</v>
      </c>
      <c r="CI427" t="s">
        <v>983</v>
      </c>
      <c r="CJ427" t="s">
        <v>972</v>
      </c>
      <c r="CK427" t="s">
        <v>986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 t="s">
        <v>987</v>
      </c>
      <c r="CV427">
        <v>400008431</v>
      </c>
      <c r="CW427" t="s">
        <v>987</v>
      </c>
      <c r="CX427" t="s">
        <v>3862</v>
      </c>
      <c r="CY427" t="s">
        <v>989</v>
      </c>
    </row>
    <row r="428" spans="1:103" hidden="1" x14ac:dyDescent="0.25">
      <c r="A428">
        <v>410000432</v>
      </c>
      <c r="B428" t="s">
        <v>939</v>
      </c>
      <c r="C428" t="s">
        <v>3846</v>
      </c>
      <c r="D428">
        <v>401100000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 t="s">
        <v>972</v>
      </c>
      <c r="Z428" t="s">
        <v>987</v>
      </c>
      <c r="AA428" t="s">
        <v>3863</v>
      </c>
      <c r="AB428" t="s">
        <v>975</v>
      </c>
      <c r="AC428">
        <v>4100</v>
      </c>
      <c r="AD428" t="s">
        <v>1655</v>
      </c>
      <c r="AE428">
        <v>3242644563</v>
      </c>
      <c r="AF428" t="s">
        <v>979</v>
      </c>
      <c r="AG428" t="s">
        <v>977</v>
      </c>
      <c r="AH428" t="s">
        <v>977</v>
      </c>
      <c r="AI428" t="s">
        <v>977</v>
      </c>
      <c r="AJ428" t="s">
        <v>978</v>
      </c>
      <c r="AK428" t="s">
        <v>3864</v>
      </c>
      <c r="AL428" t="s">
        <v>978</v>
      </c>
      <c r="AM428" t="s">
        <v>979</v>
      </c>
      <c r="AN428">
        <v>0</v>
      </c>
      <c r="AO428" t="s">
        <v>257</v>
      </c>
      <c r="AP428">
        <v>0</v>
      </c>
      <c r="AQ428">
        <v>1</v>
      </c>
      <c r="AR428">
        <v>43</v>
      </c>
      <c r="AS428">
        <v>1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1</v>
      </c>
      <c r="AZ428" t="s">
        <v>257</v>
      </c>
      <c r="BA428" t="s">
        <v>980</v>
      </c>
      <c r="BB428" t="s">
        <v>981</v>
      </c>
      <c r="BC428" t="s">
        <v>257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 t="s">
        <v>998</v>
      </c>
      <c r="BK428" t="s">
        <v>981</v>
      </c>
      <c r="BL428" t="s">
        <v>939</v>
      </c>
      <c r="BM428">
        <v>20171025</v>
      </c>
      <c r="BN428">
        <v>20181119</v>
      </c>
      <c r="BO428">
        <v>0</v>
      </c>
      <c r="BP428" t="s">
        <v>257</v>
      </c>
      <c r="BQ428" t="s">
        <v>983</v>
      </c>
      <c r="BR428" t="s">
        <v>978</v>
      </c>
      <c r="BS428">
        <v>32495200215</v>
      </c>
      <c r="BT428">
        <v>0</v>
      </c>
      <c r="BU428">
        <v>0</v>
      </c>
      <c r="BV428" t="s">
        <v>1013</v>
      </c>
      <c r="BW428" t="s">
        <v>257</v>
      </c>
      <c r="BX428">
        <v>0</v>
      </c>
      <c r="BY428" t="s">
        <v>980</v>
      </c>
      <c r="BZ428" t="s">
        <v>257</v>
      </c>
      <c r="CA428">
        <v>0</v>
      </c>
      <c r="CB428">
        <v>0</v>
      </c>
      <c r="CC428" t="s">
        <v>1391</v>
      </c>
      <c r="CD428">
        <v>0</v>
      </c>
      <c r="CE428">
        <v>0</v>
      </c>
      <c r="CF428">
        <v>0</v>
      </c>
      <c r="CG428">
        <v>0</v>
      </c>
      <c r="CH428">
        <v>0</v>
      </c>
      <c r="CI428" t="s">
        <v>983</v>
      </c>
      <c r="CJ428" t="s">
        <v>972</v>
      </c>
      <c r="CK428" t="s">
        <v>986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 t="s">
        <v>987</v>
      </c>
      <c r="CV428">
        <v>400008432</v>
      </c>
      <c r="CW428" t="s">
        <v>987</v>
      </c>
      <c r="CX428" t="s">
        <v>3865</v>
      </c>
      <c r="CY428" t="s">
        <v>989</v>
      </c>
    </row>
    <row r="429" spans="1:103" hidden="1" x14ac:dyDescent="0.25">
      <c r="A429">
        <v>410000433</v>
      </c>
      <c r="B429" t="s">
        <v>3866</v>
      </c>
      <c r="C429" t="s">
        <v>3867</v>
      </c>
      <c r="D429">
        <v>401100000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1</v>
      </c>
      <c r="Y429" t="s">
        <v>972</v>
      </c>
      <c r="Z429" t="s">
        <v>3868</v>
      </c>
      <c r="AA429" t="s">
        <v>3869</v>
      </c>
      <c r="AB429" t="s">
        <v>975</v>
      </c>
      <c r="AC429">
        <v>4040</v>
      </c>
      <c r="AD429" t="s">
        <v>976</v>
      </c>
      <c r="AE429">
        <v>3243430065</v>
      </c>
      <c r="AF429">
        <v>3243411065</v>
      </c>
      <c r="AG429" t="s">
        <v>977</v>
      </c>
      <c r="AH429" t="s">
        <v>977</v>
      </c>
      <c r="AI429" t="s">
        <v>977</v>
      </c>
      <c r="AJ429" t="s">
        <v>3870</v>
      </c>
      <c r="AK429" t="s">
        <v>978</v>
      </c>
      <c r="AL429" t="s">
        <v>978</v>
      </c>
      <c r="AM429" t="s">
        <v>979</v>
      </c>
      <c r="AN429">
        <v>0</v>
      </c>
      <c r="AO429" t="s">
        <v>257</v>
      </c>
      <c r="AP429">
        <v>0</v>
      </c>
      <c r="AQ429">
        <v>1</v>
      </c>
      <c r="AR429">
        <v>43</v>
      </c>
      <c r="AS429">
        <v>1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1</v>
      </c>
      <c r="AZ429" t="s">
        <v>257</v>
      </c>
      <c r="BA429" t="s">
        <v>980</v>
      </c>
      <c r="BB429" t="s">
        <v>1010</v>
      </c>
      <c r="BC429" t="s">
        <v>257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 t="s">
        <v>998</v>
      </c>
      <c r="BK429" t="s">
        <v>981</v>
      </c>
      <c r="BL429" t="s">
        <v>3871</v>
      </c>
      <c r="BM429">
        <v>20171031</v>
      </c>
      <c r="BN429">
        <v>20200224</v>
      </c>
      <c r="BO429">
        <v>20200224</v>
      </c>
      <c r="BP429" t="s">
        <v>257</v>
      </c>
      <c r="BQ429" t="s">
        <v>983</v>
      </c>
      <c r="BR429" t="s">
        <v>978</v>
      </c>
      <c r="BS429" t="s">
        <v>979</v>
      </c>
      <c r="BT429">
        <v>0</v>
      </c>
      <c r="BU429">
        <v>0</v>
      </c>
      <c r="BV429" t="s">
        <v>984</v>
      </c>
      <c r="BW429" t="s">
        <v>257</v>
      </c>
      <c r="BX429">
        <v>0</v>
      </c>
      <c r="BY429" t="s">
        <v>980</v>
      </c>
      <c r="BZ429" t="s">
        <v>257</v>
      </c>
      <c r="CA429">
        <v>0</v>
      </c>
      <c r="CB429">
        <v>0</v>
      </c>
      <c r="CC429" t="s">
        <v>985</v>
      </c>
      <c r="CD429">
        <v>0</v>
      </c>
      <c r="CE429">
        <v>0</v>
      </c>
      <c r="CF429">
        <v>0</v>
      </c>
      <c r="CG429">
        <v>0</v>
      </c>
      <c r="CH429">
        <v>0</v>
      </c>
      <c r="CI429" t="s">
        <v>983</v>
      </c>
      <c r="CJ429" t="s">
        <v>972</v>
      </c>
      <c r="CK429" t="s">
        <v>986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 t="s">
        <v>987</v>
      </c>
      <c r="CV429">
        <v>400008433</v>
      </c>
      <c r="CW429" t="s">
        <v>987</v>
      </c>
      <c r="CX429" t="s">
        <v>3872</v>
      </c>
      <c r="CY429" t="s">
        <v>989</v>
      </c>
    </row>
    <row r="430" spans="1:103" hidden="1" x14ac:dyDescent="0.25">
      <c r="A430">
        <v>410000434</v>
      </c>
      <c r="B430" t="s">
        <v>3873</v>
      </c>
      <c r="C430" t="s">
        <v>3874</v>
      </c>
      <c r="D430">
        <v>401100000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1</v>
      </c>
      <c r="Y430" t="s">
        <v>972</v>
      </c>
      <c r="Z430" t="s">
        <v>987</v>
      </c>
      <c r="AA430" t="s">
        <v>3875</v>
      </c>
      <c r="AB430" t="s">
        <v>975</v>
      </c>
      <c r="AC430">
        <v>5580</v>
      </c>
      <c r="AD430" t="s">
        <v>3678</v>
      </c>
      <c r="AE430">
        <v>3284860082</v>
      </c>
      <c r="AF430" t="s">
        <v>979</v>
      </c>
      <c r="AG430" t="s">
        <v>977</v>
      </c>
      <c r="AH430" t="s">
        <v>977</v>
      </c>
      <c r="AI430" t="s">
        <v>977</v>
      </c>
      <c r="AJ430" t="s">
        <v>3876</v>
      </c>
      <c r="AK430" t="s">
        <v>978</v>
      </c>
      <c r="AL430" t="s">
        <v>978</v>
      </c>
      <c r="AM430" t="s">
        <v>979</v>
      </c>
      <c r="AN430">
        <v>0</v>
      </c>
      <c r="AO430" t="s">
        <v>257</v>
      </c>
      <c r="AP430">
        <v>0</v>
      </c>
      <c r="AQ430">
        <v>1</v>
      </c>
      <c r="AR430">
        <v>43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1</v>
      </c>
      <c r="AZ430" t="s">
        <v>257</v>
      </c>
      <c r="BA430" t="s">
        <v>980</v>
      </c>
      <c r="BB430" t="s">
        <v>981</v>
      </c>
      <c r="BC430" t="s">
        <v>257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 t="s">
        <v>998</v>
      </c>
      <c r="BK430" t="s">
        <v>981</v>
      </c>
      <c r="BL430" t="s">
        <v>3873</v>
      </c>
      <c r="BM430">
        <v>20171031</v>
      </c>
      <c r="BN430">
        <v>20181119</v>
      </c>
      <c r="BO430">
        <v>0</v>
      </c>
      <c r="BP430" t="s">
        <v>257</v>
      </c>
      <c r="BQ430" t="s">
        <v>983</v>
      </c>
      <c r="BR430" t="s">
        <v>978</v>
      </c>
      <c r="BS430" t="s">
        <v>979</v>
      </c>
      <c r="BT430">
        <v>0</v>
      </c>
      <c r="BU430">
        <v>0</v>
      </c>
      <c r="BV430" t="s">
        <v>1013</v>
      </c>
      <c r="BW430" t="s">
        <v>257</v>
      </c>
      <c r="BX430">
        <v>0</v>
      </c>
      <c r="BY430" t="s">
        <v>980</v>
      </c>
      <c r="BZ430" t="s">
        <v>257</v>
      </c>
      <c r="CA430">
        <v>0</v>
      </c>
      <c r="CB430">
        <v>0</v>
      </c>
      <c r="CC430" t="s">
        <v>1033</v>
      </c>
      <c r="CD430">
        <v>0</v>
      </c>
      <c r="CE430">
        <v>0</v>
      </c>
      <c r="CF430">
        <v>0</v>
      </c>
      <c r="CG430">
        <v>0</v>
      </c>
      <c r="CH430">
        <v>0</v>
      </c>
      <c r="CI430" t="s">
        <v>983</v>
      </c>
      <c r="CJ430" t="s">
        <v>972</v>
      </c>
      <c r="CK430" t="s">
        <v>986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 t="s">
        <v>987</v>
      </c>
      <c r="CV430">
        <v>400008434</v>
      </c>
      <c r="CW430" t="s">
        <v>987</v>
      </c>
      <c r="CX430" t="s">
        <v>3877</v>
      </c>
      <c r="CY430" t="s">
        <v>989</v>
      </c>
    </row>
    <row r="431" spans="1:103" hidden="1" x14ac:dyDescent="0.25">
      <c r="A431">
        <v>410000435</v>
      </c>
      <c r="B431" t="s">
        <v>3878</v>
      </c>
      <c r="C431" t="s">
        <v>3879</v>
      </c>
      <c r="D431">
        <v>401100000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1</v>
      </c>
      <c r="Y431" t="s">
        <v>972</v>
      </c>
      <c r="Z431" t="s">
        <v>3880</v>
      </c>
      <c r="AA431" t="s">
        <v>3881</v>
      </c>
      <c r="AB431" t="s">
        <v>975</v>
      </c>
      <c r="AC431">
        <v>4219</v>
      </c>
      <c r="AD431" t="s">
        <v>3882</v>
      </c>
      <c r="AE431">
        <v>3281733439</v>
      </c>
      <c r="AF431" t="s">
        <v>979</v>
      </c>
      <c r="AG431" t="s">
        <v>977</v>
      </c>
      <c r="AH431" t="s">
        <v>977</v>
      </c>
      <c r="AI431" t="s">
        <v>977</v>
      </c>
      <c r="AJ431" t="s">
        <v>978</v>
      </c>
      <c r="AK431" t="s">
        <v>3883</v>
      </c>
      <c r="AL431" t="s">
        <v>978</v>
      </c>
      <c r="AM431" t="s">
        <v>979</v>
      </c>
      <c r="AN431">
        <v>0</v>
      </c>
      <c r="AO431" t="s">
        <v>257</v>
      </c>
      <c r="AP431">
        <v>0</v>
      </c>
      <c r="AQ431">
        <v>1</v>
      </c>
      <c r="AR431">
        <v>43</v>
      </c>
      <c r="AS431">
        <v>1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1</v>
      </c>
      <c r="AZ431" t="s">
        <v>257</v>
      </c>
      <c r="BA431" t="s">
        <v>980</v>
      </c>
      <c r="BB431" t="s">
        <v>981</v>
      </c>
      <c r="BC431" t="s">
        <v>257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 t="s">
        <v>998</v>
      </c>
      <c r="BK431" t="s">
        <v>981</v>
      </c>
      <c r="BL431" t="s">
        <v>3878</v>
      </c>
      <c r="BM431">
        <v>20171109</v>
      </c>
      <c r="BN431">
        <v>20240104</v>
      </c>
      <c r="BO431">
        <v>0</v>
      </c>
      <c r="BP431" t="s">
        <v>257</v>
      </c>
      <c r="BQ431" t="s">
        <v>983</v>
      </c>
      <c r="BR431" t="s">
        <v>978</v>
      </c>
      <c r="BS431">
        <v>32474232767</v>
      </c>
      <c r="BT431">
        <v>0</v>
      </c>
      <c r="BU431">
        <v>0</v>
      </c>
      <c r="BV431" t="s">
        <v>984</v>
      </c>
      <c r="BW431" t="s">
        <v>257</v>
      </c>
      <c r="BX431">
        <v>0</v>
      </c>
      <c r="BY431" t="s">
        <v>980</v>
      </c>
      <c r="BZ431" t="s">
        <v>257</v>
      </c>
      <c r="CA431">
        <v>0</v>
      </c>
      <c r="CB431">
        <v>0</v>
      </c>
      <c r="CC431" t="s">
        <v>1192</v>
      </c>
      <c r="CD431">
        <v>0</v>
      </c>
      <c r="CE431">
        <v>0</v>
      </c>
      <c r="CF431">
        <v>0</v>
      </c>
      <c r="CG431">
        <v>0</v>
      </c>
      <c r="CH431">
        <v>0</v>
      </c>
      <c r="CI431" t="s">
        <v>983</v>
      </c>
      <c r="CJ431" t="s">
        <v>972</v>
      </c>
      <c r="CK431" t="s">
        <v>986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 t="s">
        <v>987</v>
      </c>
      <c r="CV431">
        <v>400008435</v>
      </c>
      <c r="CW431" t="s">
        <v>987</v>
      </c>
      <c r="CX431" t="s">
        <v>3884</v>
      </c>
      <c r="CY431" t="s">
        <v>989</v>
      </c>
    </row>
    <row r="432" spans="1:103" hidden="1" x14ac:dyDescent="0.25">
      <c r="A432">
        <v>410000436</v>
      </c>
      <c r="B432" t="s">
        <v>3885</v>
      </c>
      <c r="C432" t="s">
        <v>3886</v>
      </c>
      <c r="D432">
        <v>401100000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1</v>
      </c>
      <c r="Y432" t="s">
        <v>972</v>
      </c>
      <c r="Z432" t="s">
        <v>3887</v>
      </c>
      <c r="AA432" t="s">
        <v>3888</v>
      </c>
      <c r="AB432" t="s">
        <v>975</v>
      </c>
      <c r="AC432">
        <v>4020</v>
      </c>
      <c r="AD432" t="s">
        <v>1019</v>
      </c>
      <c r="AE432" t="s">
        <v>3889</v>
      </c>
      <c r="AF432" t="s">
        <v>3890</v>
      </c>
      <c r="AG432" t="s">
        <v>977</v>
      </c>
      <c r="AH432" t="s">
        <v>977</v>
      </c>
      <c r="AI432">
        <v>69202</v>
      </c>
      <c r="AJ432" t="s">
        <v>978</v>
      </c>
      <c r="AK432" t="s">
        <v>978</v>
      </c>
      <c r="AL432" t="s">
        <v>978</v>
      </c>
      <c r="AM432" t="s">
        <v>979</v>
      </c>
      <c r="AN432">
        <v>0</v>
      </c>
      <c r="AO432" t="s">
        <v>257</v>
      </c>
      <c r="AP432">
        <v>0</v>
      </c>
      <c r="AQ432">
        <v>1</v>
      </c>
      <c r="AR432">
        <v>43</v>
      </c>
      <c r="AS432">
        <v>1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1</v>
      </c>
      <c r="AZ432" t="s">
        <v>257</v>
      </c>
      <c r="BA432" t="s">
        <v>980</v>
      </c>
      <c r="BB432" t="s">
        <v>981</v>
      </c>
      <c r="BC432" t="s">
        <v>257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 t="s">
        <v>998</v>
      </c>
      <c r="BK432" t="s">
        <v>981</v>
      </c>
      <c r="BL432" t="s">
        <v>3885</v>
      </c>
      <c r="BM432">
        <v>20171113</v>
      </c>
      <c r="BN432">
        <v>20220201</v>
      </c>
      <c r="BO432">
        <v>0</v>
      </c>
      <c r="BP432" t="s">
        <v>257</v>
      </c>
      <c r="BQ432" t="s">
        <v>983</v>
      </c>
      <c r="BR432" t="s">
        <v>978</v>
      </c>
      <c r="BS432">
        <v>32477223087</v>
      </c>
      <c r="BT432">
        <v>0</v>
      </c>
      <c r="BU432">
        <v>0</v>
      </c>
      <c r="BV432" t="s">
        <v>984</v>
      </c>
      <c r="BW432" t="s">
        <v>257</v>
      </c>
      <c r="BX432">
        <v>0</v>
      </c>
      <c r="BY432" t="s">
        <v>980</v>
      </c>
      <c r="BZ432" t="s">
        <v>257</v>
      </c>
      <c r="CA432">
        <v>0</v>
      </c>
      <c r="CB432">
        <v>0</v>
      </c>
      <c r="CC432" t="s">
        <v>1499</v>
      </c>
      <c r="CD432">
        <v>0</v>
      </c>
      <c r="CE432">
        <v>0</v>
      </c>
      <c r="CF432">
        <v>0</v>
      </c>
      <c r="CG432">
        <v>0</v>
      </c>
      <c r="CH432">
        <v>0</v>
      </c>
      <c r="CI432" t="s">
        <v>983</v>
      </c>
      <c r="CJ432" t="s">
        <v>972</v>
      </c>
      <c r="CK432" t="s">
        <v>986</v>
      </c>
      <c r="CL432">
        <v>0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 t="s">
        <v>987</v>
      </c>
      <c r="CV432">
        <v>400008436</v>
      </c>
      <c r="CW432" t="s">
        <v>987</v>
      </c>
      <c r="CX432" t="s">
        <v>3891</v>
      </c>
      <c r="CY432" t="s">
        <v>989</v>
      </c>
    </row>
    <row r="433" spans="1:103" hidden="1" x14ac:dyDescent="0.25">
      <c r="A433">
        <v>410000437</v>
      </c>
      <c r="B433" t="s">
        <v>3892</v>
      </c>
      <c r="C433" t="s">
        <v>3893</v>
      </c>
      <c r="D433">
        <v>401100000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1</v>
      </c>
      <c r="Y433" t="s">
        <v>972</v>
      </c>
      <c r="Z433" t="s">
        <v>987</v>
      </c>
      <c r="AA433" t="s">
        <v>3894</v>
      </c>
      <c r="AB433" t="s">
        <v>975</v>
      </c>
      <c r="AC433">
        <v>4130</v>
      </c>
      <c r="AD433" t="s">
        <v>2454</v>
      </c>
      <c r="AE433">
        <v>3242429121</v>
      </c>
      <c r="AF433" t="s">
        <v>979</v>
      </c>
      <c r="AG433" t="s">
        <v>977</v>
      </c>
      <c r="AH433" t="s">
        <v>977</v>
      </c>
      <c r="AI433" t="s">
        <v>977</v>
      </c>
      <c r="AJ433" t="s">
        <v>978</v>
      </c>
      <c r="AK433" t="s">
        <v>978</v>
      </c>
      <c r="AL433" t="s">
        <v>978</v>
      </c>
      <c r="AM433" t="s">
        <v>979</v>
      </c>
      <c r="AN433">
        <v>0</v>
      </c>
      <c r="AO433" t="s">
        <v>257</v>
      </c>
      <c r="AP433">
        <v>0</v>
      </c>
      <c r="AQ433">
        <v>1</v>
      </c>
      <c r="AR433">
        <v>43</v>
      </c>
      <c r="AS433">
        <v>1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</v>
      </c>
      <c r="AZ433" t="s">
        <v>257</v>
      </c>
      <c r="BA433" t="s">
        <v>980</v>
      </c>
      <c r="BB433" t="s">
        <v>981</v>
      </c>
      <c r="BC433" t="s">
        <v>257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 t="s">
        <v>998</v>
      </c>
      <c r="BK433" t="s">
        <v>981</v>
      </c>
      <c r="BL433" t="s">
        <v>3892</v>
      </c>
      <c r="BM433">
        <v>20171124</v>
      </c>
      <c r="BN433">
        <v>20181119</v>
      </c>
      <c r="BO433">
        <v>0</v>
      </c>
      <c r="BP433" t="s">
        <v>257</v>
      </c>
      <c r="BQ433" t="s">
        <v>983</v>
      </c>
      <c r="BR433" t="s">
        <v>978</v>
      </c>
      <c r="BS433">
        <v>32479584461</v>
      </c>
      <c r="BT433">
        <v>0</v>
      </c>
      <c r="BU433">
        <v>0</v>
      </c>
      <c r="BV433" t="s">
        <v>1013</v>
      </c>
      <c r="BW433" t="s">
        <v>257</v>
      </c>
      <c r="BX433">
        <v>0</v>
      </c>
      <c r="BY433" t="s">
        <v>980</v>
      </c>
      <c r="BZ433" t="s">
        <v>257</v>
      </c>
      <c r="CA433">
        <v>0</v>
      </c>
      <c r="CB433">
        <v>0</v>
      </c>
      <c r="CC433" t="s">
        <v>1934</v>
      </c>
      <c r="CD433">
        <v>0</v>
      </c>
      <c r="CE433">
        <v>0</v>
      </c>
      <c r="CF433">
        <v>0</v>
      </c>
      <c r="CG433">
        <v>0</v>
      </c>
      <c r="CH433">
        <v>0</v>
      </c>
      <c r="CI433" t="s">
        <v>983</v>
      </c>
      <c r="CJ433" t="s">
        <v>972</v>
      </c>
      <c r="CK433" t="s">
        <v>986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 t="s">
        <v>987</v>
      </c>
      <c r="CV433">
        <v>400008437</v>
      </c>
      <c r="CW433" t="s">
        <v>987</v>
      </c>
      <c r="CX433" t="s">
        <v>3895</v>
      </c>
      <c r="CY433" t="s">
        <v>989</v>
      </c>
    </row>
    <row r="434" spans="1:103" hidden="1" x14ac:dyDescent="0.25">
      <c r="A434">
        <v>410000438</v>
      </c>
      <c r="B434" t="s">
        <v>3896</v>
      </c>
      <c r="C434" t="s">
        <v>3897</v>
      </c>
      <c r="D434">
        <v>401100000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1</v>
      </c>
      <c r="Y434" t="s">
        <v>972</v>
      </c>
      <c r="Z434" t="s">
        <v>3898</v>
      </c>
      <c r="AA434" t="s">
        <v>3899</v>
      </c>
      <c r="AB434" t="s">
        <v>975</v>
      </c>
      <c r="AC434">
        <v>4053</v>
      </c>
      <c r="AD434" t="s">
        <v>2077</v>
      </c>
      <c r="AE434">
        <v>3243654424</v>
      </c>
      <c r="AF434" t="s">
        <v>979</v>
      </c>
      <c r="AG434" t="s">
        <v>3900</v>
      </c>
      <c r="AH434">
        <v>431165493</v>
      </c>
      <c r="AI434" t="s">
        <v>3901</v>
      </c>
      <c r="AJ434" t="s">
        <v>978</v>
      </c>
      <c r="AK434" t="s">
        <v>978</v>
      </c>
      <c r="AL434" t="s">
        <v>978</v>
      </c>
      <c r="AM434" t="s">
        <v>979</v>
      </c>
      <c r="AN434">
        <v>0</v>
      </c>
      <c r="AO434" t="s">
        <v>257</v>
      </c>
      <c r="AP434">
        <v>0</v>
      </c>
      <c r="AQ434">
        <v>1</v>
      </c>
      <c r="AR434">
        <v>43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1</v>
      </c>
      <c r="AZ434" t="s">
        <v>257</v>
      </c>
      <c r="BA434" t="s">
        <v>980</v>
      </c>
      <c r="BB434" t="s">
        <v>981</v>
      </c>
      <c r="BC434" t="s">
        <v>257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 t="s">
        <v>998</v>
      </c>
      <c r="BK434" t="s">
        <v>981</v>
      </c>
      <c r="BL434" t="s">
        <v>3896</v>
      </c>
      <c r="BM434">
        <v>20171130</v>
      </c>
      <c r="BN434">
        <v>20221201</v>
      </c>
      <c r="BO434">
        <v>0</v>
      </c>
      <c r="BP434" t="s">
        <v>257</v>
      </c>
      <c r="BQ434" t="s">
        <v>983</v>
      </c>
      <c r="BR434" t="s">
        <v>978</v>
      </c>
      <c r="BS434">
        <v>32479875876</v>
      </c>
      <c r="BT434">
        <v>0</v>
      </c>
      <c r="BU434">
        <v>0</v>
      </c>
      <c r="BV434" t="s">
        <v>984</v>
      </c>
      <c r="BW434" t="s">
        <v>257</v>
      </c>
      <c r="BX434">
        <v>0</v>
      </c>
      <c r="BY434" t="s">
        <v>980</v>
      </c>
      <c r="BZ434" t="s">
        <v>257</v>
      </c>
      <c r="CA434">
        <v>0</v>
      </c>
      <c r="CB434">
        <v>0</v>
      </c>
      <c r="CC434" t="s">
        <v>1113</v>
      </c>
      <c r="CD434">
        <v>0</v>
      </c>
      <c r="CE434">
        <v>0</v>
      </c>
      <c r="CF434">
        <v>0</v>
      </c>
      <c r="CG434">
        <v>0</v>
      </c>
      <c r="CH434">
        <v>0</v>
      </c>
      <c r="CI434" t="s">
        <v>983</v>
      </c>
      <c r="CJ434" t="s">
        <v>972</v>
      </c>
      <c r="CK434" t="s">
        <v>986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 t="s">
        <v>987</v>
      </c>
      <c r="CV434">
        <v>400008438</v>
      </c>
      <c r="CW434" t="s">
        <v>987</v>
      </c>
      <c r="CX434" t="s">
        <v>3902</v>
      </c>
      <c r="CY434" t="s">
        <v>989</v>
      </c>
    </row>
    <row r="435" spans="1:103" hidden="1" x14ac:dyDescent="0.25">
      <c r="A435">
        <v>410000439</v>
      </c>
      <c r="B435" t="s">
        <v>3903</v>
      </c>
      <c r="C435" t="s">
        <v>3904</v>
      </c>
      <c r="D435">
        <v>401100000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1</v>
      </c>
      <c r="Y435" t="s">
        <v>972</v>
      </c>
      <c r="Z435" t="s">
        <v>3905</v>
      </c>
      <c r="AA435" t="s">
        <v>3906</v>
      </c>
      <c r="AB435" t="s">
        <v>975</v>
      </c>
      <c r="AC435">
        <v>4700</v>
      </c>
      <c r="AD435" t="s">
        <v>1610</v>
      </c>
      <c r="AE435">
        <v>3287553148</v>
      </c>
      <c r="AF435">
        <v>3287556128</v>
      </c>
      <c r="AG435" t="s">
        <v>977</v>
      </c>
      <c r="AH435" t="s">
        <v>977</v>
      </c>
      <c r="AI435" t="s">
        <v>977</v>
      </c>
      <c r="AJ435" t="s">
        <v>978</v>
      </c>
      <c r="AK435" t="s">
        <v>978</v>
      </c>
      <c r="AL435" t="s">
        <v>978</v>
      </c>
      <c r="AM435" t="s">
        <v>979</v>
      </c>
      <c r="AN435">
        <v>0</v>
      </c>
      <c r="AO435" t="s">
        <v>257</v>
      </c>
      <c r="AP435">
        <v>0</v>
      </c>
      <c r="AQ435">
        <v>1</v>
      </c>
      <c r="AR435">
        <v>43</v>
      </c>
      <c r="AS435">
        <v>1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1</v>
      </c>
      <c r="AZ435" t="s">
        <v>257</v>
      </c>
      <c r="BA435" t="s">
        <v>980</v>
      </c>
      <c r="BB435" t="s">
        <v>981</v>
      </c>
      <c r="BC435" t="s">
        <v>257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 t="s">
        <v>998</v>
      </c>
      <c r="BK435" t="s">
        <v>981</v>
      </c>
      <c r="BL435" t="s">
        <v>3903</v>
      </c>
      <c r="BM435">
        <v>20171218</v>
      </c>
      <c r="BN435">
        <v>20181119</v>
      </c>
      <c r="BO435">
        <v>0</v>
      </c>
      <c r="BP435" t="s">
        <v>257</v>
      </c>
      <c r="BQ435" t="s">
        <v>983</v>
      </c>
      <c r="BR435" t="s">
        <v>978</v>
      </c>
      <c r="BS435" t="s">
        <v>979</v>
      </c>
      <c r="BT435">
        <v>0</v>
      </c>
      <c r="BU435">
        <v>0</v>
      </c>
      <c r="BV435" t="s">
        <v>1013</v>
      </c>
      <c r="BW435" t="s">
        <v>257</v>
      </c>
      <c r="BX435">
        <v>0</v>
      </c>
      <c r="BY435" t="s">
        <v>980</v>
      </c>
      <c r="BZ435" t="s">
        <v>257</v>
      </c>
      <c r="CA435">
        <v>0</v>
      </c>
      <c r="CB435">
        <v>0</v>
      </c>
      <c r="CC435" t="s">
        <v>2366</v>
      </c>
      <c r="CD435">
        <v>0</v>
      </c>
      <c r="CE435">
        <v>0</v>
      </c>
      <c r="CF435">
        <v>0</v>
      </c>
      <c r="CG435">
        <v>0</v>
      </c>
      <c r="CH435">
        <v>0</v>
      </c>
      <c r="CI435" t="s">
        <v>983</v>
      </c>
      <c r="CJ435" t="s">
        <v>972</v>
      </c>
      <c r="CK435" t="s">
        <v>986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 t="s">
        <v>987</v>
      </c>
      <c r="CV435">
        <v>400008439</v>
      </c>
      <c r="CW435" t="s">
        <v>987</v>
      </c>
      <c r="CX435" t="s">
        <v>3907</v>
      </c>
      <c r="CY435" t="s">
        <v>989</v>
      </c>
    </row>
    <row r="436" spans="1:103" hidden="1" x14ac:dyDescent="0.25">
      <c r="A436">
        <v>410000440</v>
      </c>
      <c r="B436" t="s">
        <v>3908</v>
      </c>
      <c r="C436" t="s">
        <v>971</v>
      </c>
      <c r="D436">
        <v>401100000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1</v>
      </c>
      <c r="Y436" t="s">
        <v>972</v>
      </c>
      <c r="Z436" t="s">
        <v>3909</v>
      </c>
      <c r="AA436" t="s">
        <v>3910</v>
      </c>
      <c r="AB436" t="s">
        <v>975</v>
      </c>
      <c r="AC436">
        <v>1070</v>
      </c>
      <c r="AD436" t="s">
        <v>3911</v>
      </c>
      <c r="AE436">
        <v>32476262639</v>
      </c>
      <c r="AF436" t="s">
        <v>979</v>
      </c>
      <c r="AG436" t="s">
        <v>977</v>
      </c>
      <c r="AH436" t="s">
        <v>977</v>
      </c>
      <c r="AI436" t="s">
        <v>977</v>
      </c>
      <c r="AJ436" t="s">
        <v>978</v>
      </c>
      <c r="AK436" t="s">
        <v>978</v>
      </c>
      <c r="AL436" t="s">
        <v>978</v>
      </c>
      <c r="AM436" t="s">
        <v>979</v>
      </c>
      <c r="AN436">
        <v>0</v>
      </c>
      <c r="AO436" t="s">
        <v>257</v>
      </c>
      <c r="AP436">
        <v>0</v>
      </c>
      <c r="AQ436">
        <v>1</v>
      </c>
      <c r="AR436">
        <v>43</v>
      </c>
      <c r="AS436">
        <v>1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1</v>
      </c>
      <c r="AZ436" t="s">
        <v>257</v>
      </c>
      <c r="BA436" t="s">
        <v>980</v>
      </c>
      <c r="BB436" t="s">
        <v>981</v>
      </c>
      <c r="BC436" t="s">
        <v>257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410000001</v>
      </c>
      <c r="BJ436" t="s">
        <v>1021</v>
      </c>
      <c r="BK436" t="s">
        <v>981</v>
      </c>
      <c r="BL436" t="s">
        <v>3908</v>
      </c>
      <c r="BM436">
        <v>20171220</v>
      </c>
      <c r="BN436">
        <v>20211130</v>
      </c>
      <c r="BO436">
        <v>0</v>
      </c>
      <c r="BP436" t="s">
        <v>257</v>
      </c>
      <c r="BQ436" t="s">
        <v>983</v>
      </c>
      <c r="BR436" t="s">
        <v>978</v>
      </c>
      <c r="BS436">
        <v>32476262639</v>
      </c>
      <c r="BT436">
        <v>0</v>
      </c>
      <c r="BU436">
        <v>0</v>
      </c>
      <c r="BV436" t="s">
        <v>984</v>
      </c>
      <c r="BW436" t="s">
        <v>257</v>
      </c>
      <c r="BX436">
        <v>0</v>
      </c>
      <c r="BY436" t="s">
        <v>980</v>
      </c>
      <c r="BZ436" t="s">
        <v>257</v>
      </c>
      <c r="CA436">
        <v>0</v>
      </c>
      <c r="CB436">
        <v>0</v>
      </c>
      <c r="CC436" t="s">
        <v>1033</v>
      </c>
      <c r="CD436">
        <v>0</v>
      </c>
      <c r="CE436">
        <v>0</v>
      </c>
      <c r="CF436">
        <v>0</v>
      </c>
      <c r="CG436">
        <v>0</v>
      </c>
      <c r="CH436">
        <v>0</v>
      </c>
      <c r="CI436" t="s">
        <v>983</v>
      </c>
      <c r="CJ436" t="s">
        <v>972</v>
      </c>
      <c r="CK436" t="s">
        <v>986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 t="s">
        <v>987</v>
      </c>
      <c r="CV436">
        <v>400008440</v>
      </c>
      <c r="CW436" t="s">
        <v>987</v>
      </c>
      <c r="CX436" t="s">
        <v>1023</v>
      </c>
      <c r="CY436" t="s">
        <v>989</v>
      </c>
    </row>
    <row r="437" spans="1:103" hidden="1" x14ac:dyDescent="0.25">
      <c r="A437">
        <v>410000441</v>
      </c>
      <c r="B437" t="s">
        <v>3912</v>
      </c>
      <c r="C437" t="s">
        <v>3913</v>
      </c>
      <c r="D437">
        <v>401100000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1</v>
      </c>
      <c r="Y437" t="s">
        <v>972</v>
      </c>
      <c r="Z437" t="s">
        <v>3914</v>
      </c>
      <c r="AA437" t="s">
        <v>3915</v>
      </c>
      <c r="AB437" t="s">
        <v>975</v>
      </c>
      <c r="AC437">
        <v>4053</v>
      </c>
      <c r="AD437" t="s">
        <v>2739</v>
      </c>
      <c r="AE437">
        <v>3242680229</v>
      </c>
      <c r="AF437">
        <v>3242680230</v>
      </c>
      <c r="AG437" t="s">
        <v>977</v>
      </c>
      <c r="AH437" t="s">
        <v>977</v>
      </c>
      <c r="AI437" t="s">
        <v>977</v>
      </c>
      <c r="AJ437" t="s">
        <v>978</v>
      </c>
      <c r="AK437" t="s">
        <v>978</v>
      </c>
      <c r="AL437" t="s">
        <v>978</v>
      </c>
      <c r="AM437" t="s">
        <v>979</v>
      </c>
      <c r="AN437">
        <v>0</v>
      </c>
      <c r="AO437" t="s">
        <v>257</v>
      </c>
      <c r="AP437">
        <v>0</v>
      </c>
      <c r="AQ437">
        <v>1</v>
      </c>
      <c r="AR437">
        <v>43</v>
      </c>
      <c r="AS437">
        <v>1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1</v>
      </c>
      <c r="AZ437" t="s">
        <v>257</v>
      </c>
      <c r="BA437" t="s">
        <v>980</v>
      </c>
      <c r="BB437" t="s">
        <v>981</v>
      </c>
      <c r="BC437" t="s">
        <v>257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 t="s">
        <v>998</v>
      </c>
      <c r="BK437" t="s">
        <v>981</v>
      </c>
      <c r="BL437" t="s">
        <v>3912</v>
      </c>
      <c r="BM437">
        <v>20171220</v>
      </c>
      <c r="BN437">
        <v>20181119</v>
      </c>
      <c r="BO437">
        <v>0</v>
      </c>
      <c r="BP437" t="s">
        <v>257</v>
      </c>
      <c r="BQ437" t="s">
        <v>983</v>
      </c>
      <c r="BR437" t="s">
        <v>978</v>
      </c>
      <c r="BS437" t="s">
        <v>979</v>
      </c>
      <c r="BT437">
        <v>0</v>
      </c>
      <c r="BU437">
        <v>0</v>
      </c>
      <c r="BV437" t="s">
        <v>1013</v>
      </c>
      <c r="BW437" t="s">
        <v>257</v>
      </c>
      <c r="BX437">
        <v>0</v>
      </c>
      <c r="BY437" t="s">
        <v>980</v>
      </c>
      <c r="BZ437" t="s">
        <v>257</v>
      </c>
      <c r="CA437">
        <v>0</v>
      </c>
      <c r="CB437">
        <v>0</v>
      </c>
      <c r="CC437" t="s">
        <v>1491</v>
      </c>
      <c r="CD437">
        <v>0</v>
      </c>
      <c r="CE437">
        <v>0</v>
      </c>
      <c r="CF437">
        <v>0</v>
      </c>
      <c r="CG437">
        <v>0</v>
      </c>
      <c r="CH437">
        <v>0</v>
      </c>
      <c r="CI437" t="s">
        <v>983</v>
      </c>
      <c r="CJ437" t="s">
        <v>972</v>
      </c>
      <c r="CK437" t="s">
        <v>986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 t="s">
        <v>987</v>
      </c>
      <c r="CV437">
        <v>400008441</v>
      </c>
      <c r="CW437" t="s">
        <v>987</v>
      </c>
      <c r="CX437" t="s">
        <v>3916</v>
      </c>
      <c r="CY437" t="s">
        <v>989</v>
      </c>
    </row>
    <row r="438" spans="1:103" hidden="1" x14ac:dyDescent="0.25">
      <c r="A438">
        <v>410000442</v>
      </c>
      <c r="B438" t="s">
        <v>3917</v>
      </c>
      <c r="C438" t="s">
        <v>3918</v>
      </c>
      <c r="D438">
        <v>401100000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1</v>
      </c>
      <c r="Y438" t="s">
        <v>972</v>
      </c>
      <c r="Z438" t="s">
        <v>987</v>
      </c>
      <c r="AA438" t="s">
        <v>3919</v>
      </c>
      <c r="AB438" t="s">
        <v>975</v>
      </c>
      <c r="AC438">
        <v>5030</v>
      </c>
      <c r="AD438" t="s">
        <v>1245</v>
      </c>
      <c r="AE438">
        <v>3281600675</v>
      </c>
      <c r="AF438" t="s">
        <v>979</v>
      </c>
      <c r="AG438" t="s">
        <v>977</v>
      </c>
      <c r="AH438" t="s">
        <v>977</v>
      </c>
      <c r="AI438" t="s">
        <v>977</v>
      </c>
      <c r="AJ438" t="s">
        <v>978</v>
      </c>
      <c r="AK438" t="s">
        <v>978</v>
      </c>
      <c r="AL438" t="s">
        <v>978</v>
      </c>
      <c r="AM438" t="s">
        <v>979</v>
      </c>
      <c r="AN438">
        <v>0</v>
      </c>
      <c r="AO438" t="s">
        <v>257</v>
      </c>
      <c r="AP438">
        <v>0</v>
      </c>
      <c r="AQ438">
        <v>1</v>
      </c>
      <c r="AR438">
        <v>43</v>
      </c>
      <c r="AS438">
        <v>1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1</v>
      </c>
      <c r="AZ438" t="s">
        <v>257</v>
      </c>
      <c r="BA438" t="s">
        <v>980</v>
      </c>
      <c r="BB438" t="s">
        <v>981</v>
      </c>
      <c r="BC438" t="s">
        <v>257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 t="s">
        <v>998</v>
      </c>
      <c r="BK438" t="s">
        <v>981</v>
      </c>
      <c r="BL438" t="s">
        <v>3917</v>
      </c>
      <c r="BM438">
        <v>20171220</v>
      </c>
      <c r="BN438">
        <v>20181119</v>
      </c>
      <c r="BO438">
        <v>0</v>
      </c>
      <c r="BP438" t="s">
        <v>257</v>
      </c>
      <c r="BQ438" t="s">
        <v>983</v>
      </c>
      <c r="BR438" t="s">
        <v>978</v>
      </c>
      <c r="BS438">
        <v>32473503744</v>
      </c>
      <c r="BT438">
        <v>0</v>
      </c>
      <c r="BU438">
        <v>0</v>
      </c>
      <c r="BV438" t="s">
        <v>1013</v>
      </c>
      <c r="BW438" t="s">
        <v>257</v>
      </c>
      <c r="BX438">
        <v>0</v>
      </c>
      <c r="BY438" t="s">
        <v>980</v>
      </c>
      <c r="BZ438" t="s">
        <v>257</v>
      </c>
      <c r="CA438">
        <v>0</v>
      </c>
      <c r="CB438">
        <v>0</v>
      </c>
      <c r="CC438" t="s">
        <v>1033</v>
      </c>
      <c r="CD438">
        <v>0</v>
      </c>
      <c r="CE438">
        <v>0</v>
      </c>
      <c r="CF438">
        <v>0</v>
      </c>
      <c r="CG438">
        <v>0</v>
      </c>
      <c r="CH438">
        <v>0</v>
      </c>
      <c r="CI438" t="s">
        <v>983</v>
      </c>
      <c r="CJ438" t="s">
        <v>972</v>
      </c>
      <c r="CK438" t="s">
        <v>986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 t="s">
        <v>987</v>
      </c>
      <c r="CV438">
        <v>400008442</v>
      </c>
      <c r="CW438" t="s">
        <v>987</v>
      </c>
      <c r="CX438" t="s">
        <v>3920</v>
      </c>
      <c r="CY438" t="s">
        <v>989</v>
      </c>
    </row>
    <row r="439" spans="1:103" hidden="1" x14ac:dyDescent="0.25">
      <c r="A439">
        <v>410000443</v>
      </c>
      <c r="B439" t="s">
        <v>3921</v>
      </c>
      <c r="C439" t="s">
        <v>3922</v>
      </c>
      <c r="D439">
        <v>401100000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1</v>
      </c>
      <c r="Y439" t="s">
        <v>972</v>
      </c>
      <c r="Z439" t="s">
        <v>987</v>
      </c>
      <c r="AA439" t="s">
        <v>3923</v>
      </c>
      <c r="AB439" t="s">
        <v>975</v>
      </c>
      <c r="AC439">
        <v>4280</v>
      </c>
      <c r="AD439" t="s">
        <v>1743</v>
      </c>
      <c r="AE439">
        <v>3219697192</v>
      </c>
      <c r="AF439">
        <v>3219697190</v>
      </c>
      <c r="AG439" t="s">
        <v>977</v>
      </c>
      <c r="AH439" t="s">
        <v>977</v>
      </c>
      <c r="AI439" t="s">
        <v>977</v>
      </c>
      <c r="AJ439" t="s">
        <v>978</v>
      </c>
      <c r="AK439" t="s">
        <v>978</v>
      </c>
      <c r="AL439" t="s">
        <v>978</v>
      </c>
      <c r="AM439" t="s">
        <v>979</v>
      </c>
      <c r="AN439">
        <v>0</v>
      </c>
      <c r="AO439" t="s">
        <v>257</v>
      </c>
      <c r="AP439">
        <v>0</v>
      </c>
      <c r="AQ439">
        <v>1</v>
      </c>
      <c r="AR439">
        <v>43</v>
      </c>
      <c r="AS439">
        <v>1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1</v>
      </c>
      <c r="AZ439" t="s">
        <v>257</v>
      </c>
      <c r="BA439" t="s">
        <v>980</v>
      </c>
      <c r="BB439" t="s">
        <v>981</v>
      </c>
      <c r="BC439" t="s">
        <v>257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 t="s">
        <v>998</v>
      </c>
      <c r="BK439" t="s">
        <v>981</v>
      </c>
      <c r="BL439" t="s">
        <v>3921</v>
      </c>
      <c r="BM439">
        <v>20171220</v>
      </c>
      <c r="BN439">
        <v>20190305</v>
      </c>
      <c r="BO439">
        <v>0</v>
      </c>
      <c r="BP439" t="s">
        <v>257</v>
      </c>
      <c r="BQ439" t="s">
        <v>983</v>
      </c>
      <c r="BR439" t="s">
        <v>978</v>
      </c>
      <c r="BS439">
        <v>32474573216</v>
      </c>
      <c r="BT439">
        <v>0</v>
      </c>
      <c r="BU439">
        <v>0</v>
      </c>
      <c r="BV439" t="s">
        <v>984</v>
      </c>
      <c r="BW439" t="s">
        <v>257</v>
      </c>
      <c r="BX439">
        <v>0</v>
      </c>
      <c r="BY439" t="s">
        <v>980</v>
      </c>
      <c r="BZ439" t="s">
        <v>257</v>
      </c>
      <c r="CA439">
        <v>0</v>
      </c>
      <c r="CB439">
        <v>0</v>
      </c>
      <c r="CC439" t="s">
        <v>3924</v>
      </c>
      <c r="CD439">
        <v>0</v>
      </c>
      <c r="CE439">
        <v>0</v>
      </c>
      <c r="CF439">
        <v>0</v>
      </c>
      <c r="CG439">
        <v>0</v>
      </c>
      <c r="CH439">
        <v>0</v>
      </c>
      <c r="CI439" t="s">
        <v>983</v>
      </c>
      <c r="CJ439" t="s">
        <v>972</v>
      </c>
      <c r="CK439" t="s">
        <v>986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 t="s">
        <v>987</v>
      </c>
      <c r="CV439">
        <v>400008443</v>
      </c>
      <c r="CW439" t="s">
        <v>987</v>
      </c>
      <c r="CX439" t="s">
        <v>3925</v>
      </c>
      <c r="CY439" t="s">
        <v>989</v>
      </c>
    </row>
    <row r="440" spans="1:103" hidden="1" x14ac:dyDescent="0.25">
      <c r="A440">
        <v>410000444</v>
      </c>
      <c r="B440" t="s">
        <v>3926</v>
      </c>
      <c r="C440" t="s">
        <v>3927</v>
      </c>
      <c r="D440">
        <v>401100000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1</v>
      </c>
      <c r="Y440" t="s">
        <v>972</v>
      </c>
      <c r="Z440" t="s">
        <v>987</v>
      </c>
      <c r="AA440" t="s">
        <v>3928</v>
      </c>
      <c r="AB440" t="s">
        <v>975</v>
      </c>
      <c r="AC440">
        <v>6180</v>
      </c>
      <c r="AD440" t="s">
        <v>1058</v>
      </c>
      <c r="AE440">
        <v>3271535830</v>
      </c>
      <c r="AF440">
        <v>3271535831</v>
      </c>
      <c r="AG440" t="s">
        <v>977</v>
      </c>
      <c r="AH440" t="s">
        <v>977</v>
      </c>
      <c r="AI440" t="s">
        <v>977</v>
      </c>
      <c r="AJ440" t="s">
        <v>978</v>
      </c>
      <c r="AK440" t="s">
        <v>978</v>
      </c>
      <c r="AL440" t="s">
        <v>978</v>
      </c>
      <c r="AM440" t="s">
        <v>979</v>
      </c>
      <c r="AN440">
        <v>0</v>
      </c>
      <c r="AO440" t="s">
        <v>257</v>
      </c>
      <c r="AP440">
        <v>0</v>
      </c>
      <c r="AQ440">
        <v>1</v>
      </c>
      <c r="AR440">
        <v>43</v>
      </c>
      <c r="AS440">
        <v>1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1</v>
      </c>
      <c r="AZ440" t="s">
        <v>257</v>
      </c>
      <c r="BA440" t="s">
        <v>980</v>
      </c>
      <c r="BB440" t="s">
        <v>981</v>
      </c>
      <c r="BC440" t="s">
        <v>257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 t="s">
        <v>998</v>
      </c>
      <c r="BK440" t="s">
        <v>981</v>
      </c>
      <c r="BL440" t="s">
        <v>3926</v>
      </c>
      <c r="BM440">
        <v>20171220</v>
      </c>
      <c r="BN440">
        <v>20181119</v>
      </c>
      <c r="BO440">
        <v>0</v>
      </c>
      <c r="BP440" t="s">
        <v>257</v>
      </c>
      <c r="BQ440" t="s">
        <v>983</v>
      </c>
      <c r="BR440" t="s">
        <v>978</v>
      </c>
      <c r="BS440" t="s">
        <v>979</v>
      </c>
      <c r="BT440">
        <v>0</v>
      </c>
      <c r="BU440">
        <v>0</v>
      </c>
      <c r="BV440" t="s">
        <v>1013</v>
      </c>
      <c r="BW440" t="s">
        <v>257</v>
      </c>
      <c r="BX440">
        <v>0</v>
      </c>
      <c r="BY440" t="s">
        <v>980</v>
      </c>
      <c r="BZ440" t="s">
        <v>257</v>
      </c>
      <c r="CA440">
        <v>0</v>
      </c>
      <c r="CB440">
        <v>0</v>
      </c>
      <c r="CC440" t="s">
        <v>1033</v>
      </c>
      <c r="CD440">
        <v>0</v>
      </c>
      <c r="CE440">
        <v>0</v>
      </c>
      <c r="CF440">
        <v>0</v>
      </c>
      <c r="CG440">
        <v>0</v>
      </c>
      <c r="CH440">
        <v>0</v>
      </c>
      <c r="CI440" t="s">
        <v>983</v>
      </c>
      <c r="CJ440" t="s">
        <v>972</v>
      </c>
      <c r="CK440" t="s">
        <v>986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 t="s">
        <v>987</v>
      </c>
      <c r="CV440">
        <v>400008444</v>
      </c>
      <c r="CW440" t="s">
        <v>987</v>
      </c>
      <c r="CX440" t="s">
        <v>3929</v>
      </c>
      <c r="CY440" t="s">
        <v>989</v>
      </c>
    </row>
    <row r="441" spans="1:103" hidden="1" x14ac:dyDescent="0.25">
      <c r="A441">
        <v>410000445</v>
      </c>
      <c r="B441" t="s">
        <v>3930</v>
      </c>
      <c r="C441" t="s">
        <v>3931</v>
      </c>
      <c r="D441">
        <v>401100000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1</v>
      </c>
      <c r="Y441" t="s">
        <v>972</v>
      </c>
      <c r="Z441" t="s">
        <v>987</v>
      </c>
      <c r="AA441" t="s">
        <v>3932</v>
      </c>
      <c r="AB441" t="s">
        <v>975</v>
      </c>
      <c r="AC441">
        <v>4671</v>
      </c>
      <c r="AD441" t="s">
        <v>3208</v>
      </c>
      <c r="AE441">
        <v>32491736128</v>
      </c>
      <c r="AF441" t="s">
        <v>979</v>
      </c>
      <c r="AG441" t="s">
        <v>977</v>
      </c>
      <c r="AH441" t="s">
        <v>977</v>
      </c>
      <c r="AI441" t="s">
        <v>977</v>
      </c>
      <c r="AJ441" t="s">
        <v>978</v>
      </c>
      <c r="AK441" t="s">
        <v>978</v>
      </c>
      <c r="AL441" t="s">
        <v>978</v>
      </c>
      <c r="AM441" t="s">
        <v>979</v>
      </c>
      <c r="AN441">
        <v>0</v>
      </c>
      <c r="AO441" t="s">
        <v>257</v>
      </c>
      <c r="AP441">
        <v>0</v>
      </c>
      <c r="AQ441">
        <v>1</v>
      </c>
      <c r="AR441">
        <v>43</v>
      </c>
      <c r="AS441">
        <v>1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1</v>
      </c>
      <c r="AZ441" t="s">
        <v>257</v>
      </c>
      <c r="BA441" t="s">
        <v>980</v>
      </c>
      <c r="BB441" t="s">
        <v>981</v>
      </c>
      <c r="BC441" t="s">
        <v>257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 t="s">
        <v>998</v>
      </c>
      <c r="BK441" t="s">
        <v>981</v>
      </c>
      <c r="BL441" t="s">
        <v>3930</v>
      </c>
      <c r="BM441">
        <v>20171220</v>
      </c>
      <c r="BN441">
        <v>20181119</v>
      </c>
      <c r="BO441">
        <v>0</v>
      </c>
      <c r="BP441" t="s">
        <v>257</v>
      </c>
      <c r="BQ441" t="s">
        <v>983</v>
      </c>
      <c r="BR441" t="s">
        <v>978</v>
      </c>
      <c r="BS441">
        <v>32491736128</v>
      </c>
      <c r="BT441">
        <v>0</v>
      </c>
      <c r="BU441">
        <v>0</v>
      </c>
      <c r="BV441" t="s">
        <v>1013</v>
      </c>
      <c r="BW441" t="s">
        <v>257</v>
      </c>
      <c r="BX441">
        <v>0</v>
      </c>
      <c r="BY441" t="s">
        <v>980</v>
      </c>
      <c r="BZ441" t="s">
        <v>257</v>
      </c>
      <c r="CA441">
        <v>0</v>
      </c>
      <c r="CB441">
        <v>0</v>
      </c>
      <c r="CC441" t="s">
        <v>1317</v>
      </c>
      <c r="CD441">
        <v>0</v>
      </c>
      <c r="CE441">
        <v>0</v>
      </c>
      <c r="CF441">
        <v>0</v>
      </c>
      <c r="CG441">
        <v>0</v>
      </c>
      <c r="CH441">
        <v>0</v>
      </c>
      <c r="CI441" t="s">
        <v>983</v>
      </c>
      <c r="CJ441" t="s">
        <v>972</v>
      </c>
      <c r="CK441" t="s">
        <v>986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 t="s">
        <v>987</v>
      </c>
      <c r="CV441">
        <v>400008445</v>
      </c>
      <c r="CW441" t="s">
        <v>987</v>
      </c>
      <c r="CX441" t="s">
        <v>3933</v>
      </c>
      <c r="CY441" t="s">
        <v>989</v>
      </c>
    </row>
    <row r="442" spans="1:103" hidden="1" x14ac:dyDescent="0.25">
      <c r="A442">
        <v>410000446</v>
      </c>
      <c r="B442" t="s">
        <v>3934</v>
      </c>
      <c r="C442" t="s">
        <v>3935</v>
      </c>
      <c r="D442">
        <v>401100000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1</v>
      </c>
      <c r="Y442" t="s">
        <v>972</v>
      </c>
      <c r="Z442" t="s">
        <v>987</v>
      </c>
      <c r="AA442" t="s">
        <v>3936</v>
      </c>
      <c r="AB442" t="s">
        <v>975</v>
      </c>
      <c r="AC442">
        <v>1435</v>
      </c>
      <c r="AD442" t="s">
        <v>1978</v>
      </c>
      <c r="AE442">
        <v>3210650776</v>
      </c>
      <c r="AF442" t="s">
        <v>979</v>
      </c>
      <c r="AG442" t="s">
        <v>977</v>
      </c>
      <c r="AH442" t="s">
        <v>977</v>
      </c>
      <c r="AI442" t="s">
        <v>977</v>
      </c>
      <c r="AJ442" t="s">
        <v>978</v>
      </c>
      <c r="AK442" t="s">
        <v>978</v>
      </c>
      <c r="AL442" t="s">
        <v>978</v>
      </c>
      <c r="AM442" t="s">
        <v>979</v>
      </c>
      <c r="AN442">
        <v>0</v>
      </c>
      <c r="AO442" t="s">
        <v>257</v>
      </c>
      <c r="AP442">
        <v>0</v>
      </c>
      <c r="AQ442">
        <v>1</v>
      </c>
      <c r="AR442">
        <v>43</v>
      </c>
      <c r="AS442">
        <v>1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 t="s">
        <v>257</v>
      </c>
      <c r="BA442" t="s">
        <v>980</v>
      </c>
      <c r="BB442" t="s">
        <v>981</v>
      </c>
      <c r="BC442" t="s">
        <v>257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 t="s">
        <v>998</v>
      </c>
      <c r="BK442" t="s">
        <v>981</v>
      </c>
      <c r="BL442" t="s">
        <v>3934</v>
      </c>
      <c r="BM442">
        <v>20171220</v>
      </c>
      <c r="BN442">
        <v>20181119</v>
      </c>
      <c r="BO442">
        <v>0</v>
      </c>
      <c r="BP442" t="s">
        <v>257</v>
      </c>
      <c r="BQ442" t="s">
        <v>983</v>
      </c>
      <c r="BR442" t="s">
        <v>978</v>
      </c>
      <c r="BS442" t="s">
        <v>979</v>
      </c>
      <c r="BT442">
        <v>0</v>
      </c>
      <c r="BU442">
        <v>0</v>
      </c>
      <c r="BV442" t="s">
        <v>1013</v>
      </c>
      <c r="BW442" t="s">
        <v>257</v>
      </c>
      <c r="BX442">
        <v>0</v>
      </c>
      <c r="BY442" t="s">
        <v>980</v>
      </c>
      <c r="BZ442" t="s">
        <v>257</v>
      </c>
      <c r="CA442">
        <v>0</v>
      </c>
      <c r="CB442">
        <v>0</v>
      </c>
      <c r="CC442" t="s">
        <v>1033</v>
      </c>
      <c r="CD442">
        <v>0</v>
      </c>
      <c r="CE442">
        <v>0</v>
      </c>
      <c r="CF442">
        <v>0</v>
      </c>
      <c r="CG442">
        <v>0</v>
      </c>
      <c r="CH442">
        <v>0</v>
      </c>
      <c r="CI442" t="s">
        <v>983</v>
      </c>
      <c r="CJ442" t="s">
        <v>972</v>
      </c>
      <c r="CK442" t="s">
        <v>986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 t="s">
        <v>987</v>
      </c>
      <c r="CV442">
        <v>400008446</v>
      </c>
      <c r="CW442" t="s">
        <v>987</v>
      </c>
      <c r="CX442" t="s">
        <v>3937</v>
      </c>
      <c r="CY442" t="s">
        <v>989</v>
      </c>
    </row>
    <row r="443" spans="1:103" hidden="1" x14ac:dyDescent="0.25">
      <c r="A443">
        <v>410000447</v>
      </c>
      <c r="B443" t="s">
        <v>3938</v>
      </c>
      <c r="C443" t="s">
        <v>3939</v>
      </c>
      <c r="D443">
        <v>401100000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1</v>
      </c>
      <c r="Y443" t="s">
        <v>972</v>
      </c>
      <c r="Z443" t="s">
        <v>3940</v>
      </c>
      <c r="AA443" t="s">
        <v>3941</v>
      </c>
      <c r="AB443" t="s">
        <v>975</v>
      </c>
      <c r="AC443">
        <v>5030</v>
      </c>
      <c r="AD443" t="s">
        <v>1245</v>
      </c>
      <c r="AE443">
        <v>3281612991</v>
      </c>
      <c r="AF443">
        <v>3281625775</v>
      </c>
      <c r="AG443" t="s">
        <v>977</v>
      </c>
      <c r="AH443" t="s">
        <v>977</v>
      </c>
      <c r="AI443" t="s">
        <v>977</v>
      </c>
      <c r="AJ443" t="s">
        <v>978</v>
      </c>
      <c r="AK443" t="s">
        <v>978</v>
      </c>
      <c r="AL443" t="s">
        <v>978</v>
      </c>
      <c r="AM443" t="s">
        <v>979</v>
      </c>
      <c r="AN443">
        <v>0</v>
      </c>
      <c r="AO443" t="s">
        <v>257</v>
      </c>
      <c r="AP443">
        <v>0</v>
      </c>
      <c r="AQ443">
        <v>1</v>
      </c>
      <c r="AR443">
        <v>43</v>
      </c>
      <c r="AS443">
        <v>1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1</v>
      </c>
      <c r="AZ443" t="s">
        <v>257</v>
      </c>
      <c r="BA443" t="s">
        <v>980</v>
      </c>
      <c r="BB443" t="s">
        <v>981</v>
      </c>
      <c r="BC443" t="s">
        <v>257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 t="s">
        <v>998</v>
      </c>
      <c r="BK443" t="s">
        <v>981</v>
      </c>
      <c r="BL443" t="s">
        <v>3938</v>
      </c>
      <c r="BM443">
        <v>20171220</v>
      </c>
      <c r="BN443">
        <v>20181119</v>
      </c>
      <c r="BO443">
        <v>0</v>
      </c>
      <c r="BP443" t="s">
        <v>257</v>
      </c>
      <c r="BQ443" t="s">
        <v>983</v>
      </c>
      <c r="BR443" t="s">
        <v>978</v>
      </c>
      <c r="BS443" t="s">
        <v>979</v>
      </c>
      <c r="BT443">
        <v>0</v>
      </c>
      <c r="BU443">
        <v>0</v>
      </c>
      <c r="BV443" t="s">
        <v>1013</v>
      </c>
      <c r="BW443" t="s">
        <v>257</v>
      </c>
      <c r="BX443">
        <v>0</v>
      </c>
      <c r="BY443" t="s">
        <v>980</v>
      </c>
      <c r="BZ443" t="s">
        <v>257</v>
      </c>
      <c r="CA443">
        <v>0</v>
      </c>
      <c r="CB443">
        <v>0</v>
      </c>
      <c r="CC443" t="s">
        <v>1033</v>
      </c>
      <c r="CD443">
        <v>0</v>
      </c>
      <c r="CE443">
        <v>0</v>
      </c>
      <c r="CF443">
        <v>0</v>
      </c>
      <c r="CG443">
        <v>0</v>
      </c>
      <c r="CH443">
        <v>0</v>
      </c>
      <c r="CI443" t="s">
        <v>983</v>
      </c>
      <c r="CJ443" t="s">
        <v>972</v>
      </c>
      <c r="CK443" t="s">
        <v>986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 t="s">
        <v>987</v>
      </c>
      <c r="CV443">
        <v>400008447</v>
      </c>
      <c r="CW443" t="s">
        <v>987</v>
      </c>
      <c r="CX443" t="s">
        <v>3942</v>
      </c>
      <c r="CY443" t="s">
        <v>989</v>
      </c>
    </row>
    <row r="444" spans="1:103" hidden="1" x14ac:dyDescent="0.25">
      <c r="A444">
        <v>410000448</v>
      </c>
      <c r="B444" t="s">
        <v>3943</v>
      </c>
      <c r="C444" t="s">
        <v>3944</v>
      </c>
      <c r="D444">
        <v>401100000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1</v>
      </c>
      <c r="Y444" t="s">
        <v>972</v>
      </c>
      <c r="Z444" t="s">
        <v>987</v>
      </c>
      <c r="AA444" t="s">
        <v>3945</v>
      </c>
      <c r="AB444" t="s">
        <v>975</v>
      </c>
      <c r="AC444">
        <v>4960</v>
      </c>
      <c r="AD444" t="s">
        <v>1548</v>
      </c>
      <c r="AE444">
        <v>3280799136</v>
      </c>
      <c r="AF444">
        <v>3280799137</v>
      </c>
      <c r="AG444" t="s">
        <v>3946</v>
      </c>
      <c r="AH444" t="s">
        <v>977</v>
      </c>
      <c r="AI444" t="s">
        <v>977</v>
      </c>
      <c r="AJ444" t="s">
        <v>978</v>
      </c>
      <c r="AK444" t="s">
        <v>978</v>
      </c>
      <c r="AL444" t="s">
        <v>978</v>
      </c>
      <c r="AM444" t="s">
        <v>979</v>
      </c>
      <c r="AN444">
        <v>0</v>
      </c>
      <c r="AO444" t="s">
        <v>257</v>
      </c>
      <c r="AP444">
        <v>0</v>
      </c>
      <c r="AQ444">
        <v>1</v>
      </c>
      <c r="AR444">
        <v>43</v>
      </c>
      <c r="AS444">
        <v>1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1</v>
      </c>
      <c r="AZ444" t="s">
        <v>257</v>
      </c>
      <c r="BA444" t="s">
        <v>980</v>
      </c>
      <c r="BB444" t="s">
        <v>981</v>
      </c>
      <c r="BC444" t="s">
        <v>257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 t="s">
        <v>998</v>
      </c>
      <c r="BK444" t="s">
        <v>981</v>
      </c>
      <c r="BL444" t="s">
        <v>3943</v>
      </c>
      <c r="BM444">
        <v>20171220</v>
      </c>
      <c r="BN444">
        <v>20181119</v>
      </c>
      <c r="BO444">
        <v>0</v>
      </c>
      <c r="BP444" t="s">
        <v>257</v>
      </c>
      <c r="BQ444" t="s">
        <v>983</v>
      </c>
      <c r="BR444" t="s">
        <v>978</v>
      </c>
      <c r="BS444">
        <v>32499538554</v>
      </c>
      <c r="BT444">
        <v>0</v>
      </c>
      <c r="BU444">
        <v>0</v>
      </c>
      <c r="BV444" t="s">
        <v>1013</v>
      </c>
      <c r="BW444" t="s">
        <v>257</v>
      </c>
      <c r="BX444">
        <v>0</v>
      </c>
      <c r="BY444" t="s">
        <v>980</v>
      </c>
      <c r="BZ444" t="s">
        <v>257</v>
      </c>
      <c r="CA444">
        <v>0</v>
      </c>
      <c r="CB444">
        <v>0</v>
      </c>
      <c r="CC444" t="s">
        <v>1901</v>
      </c>
      <c r="CD444">
        <v>0</v>
      </c>
      <c r="CE444">
        <v>0</v>
      </c>
      <c r="CF444">
        <v>0</v>
      </c>
      <c r="CG444">
        <v>0</v>
      </c>
      <c r="CH444">
        <v>0</v>
      </c>
      <c r="CI444" t="s">
        <v>983</v>
      </c>
      <c r="CJ444" t="s">
        <v>972</v>
      </c>
      <c r="CK444" t="s">
        <v>986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 t="s">
        <v>987</v>
      </c>
      <c r="CV444">
        <v>400008448</v>
      </c>
      <c r="CW444" t="s">
        <v>987</v>
      </c>
      <c r="CX444" t="s">
        <v>3947</v>
      </c>
      <c r="CY444" t="s">
        <v>989</v>
      </c>
    </row>
    <row r="445" spans="1:103" hidden="1" x14ac:dyDescent="0.25">
      <c r="A445">
        <v>410000449</v>
      </c>
      <c r="B445" t="s">
        <v>3948</v>
      </c>
      <c r="C445" t="s">
        <v>3949</v>
      </c>
      <c r="D445">
        <v>401100000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1</v>
      </c>
      <c r="Y445" t="s">
        <v>972</v>
      </c>
      <c r="Z445" t="s">
        <v>987</v>
      </c>
      <c r="AA445" t="s">
        <v>3950</v>
      </c>
      <c r="AB445" t="s">
        <v>975</v>
      </c>
      <c r="AC445">
        <v>6000</v>
      </c>
      <c r="AD445" t="s">
        <v>993</v>
      </c>
      <c r="AE445" t="s">
        <v>979</v>
      </c>
      <c r="AF445" t="s">
        <v>979</v>
      </c>
      <c r="AG445" t="s">
        <v>3951</v>
      </c>
      <c r="AH445" t="s">
        <v>977</v>
      </c>
      <c r="AI445" t="s">
        <v>977</v>
      </c>
      <c r="AJ445" t="s">
        <v>978</v>
      </c>
      <c r="AK445" t="s">
        <v>978</v>
      </c>
      <c r="AL445" t="s">
        <v>978</v>
      </c>
      <c r="AM445" t="s">
        <v>979</v>
      </c>
      <c r="AN445">
        <v>0</v>
      </c>
      <c r="AO445" t="s">
        <v>257</v>
      </c>
      <c r="AP445">
        <v>0</v>
      </c>
      <c r="AQ445">
        <v>1</v>
      </c>
      <c r="AR445">
        <v>43</v>
      </c>
      <c r="AS445">
        <v>1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1</v>
      </c>
      <c r="AZ445" t="s">
        <v>257</v>
      </c>
      <c r="BA445" t="s">
        <v>980</v>
      </c>
      <c r="BB445" t="s">
        <v>1010</v>
      </c>
      <c r="BC445" t="s">
        <v>257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 t="s">
        <v>998</v>
      </c>
      <c r="BK445" t="s">
        <v>981</v>
      </c>
      <c r="BL445" t="s">
        <v>3948</v>
      </c>
      <c r="BM445">
        <v>20180126</v>
      </c>
      <c r="BN445">
        <v>20240325</v>
      </c>
      <c r="BO445">
        <v>20240325</v>
      </c>
      <c r="BP445" t="s">
        <v>257</v>
      </c>
      <c r="BQ445" t="s">
        <v>983</v>
      </c>
      <c r="BR445" t="s">
        <v>978</v>
      </c>
      <c r="BS445">
        <v>32498313841</v>
      </c>
      <c r="BT445">
        <v>0</v>
      </c>
      <c r="BU445">
        <v>0</v>
      </c>
      <c r="BV445" t="s">
        <v>984</v>
      </c>
      <c r="BW445" t="s">
        <v>257</v>
      </c>
      <c r="BX445">
        <v>0</v>
      </c>
      <c r="BY445" t="s">
        <v>980</v>
      </c>
      <c r="BZ445" t="s">
        <v>257</v>
      </c>
      <c r="CA445">
        <v>0</v>
      </c>
      <c r="CB445">
        <v>0</v>
      </c>
      <c r="CC445" t="s">
        <v>1033</v>
      </c>
      <c r="CD445">
        <v>0</v>
      </c>
      <c r="CE445">
        <v>0</v>
      </c>
      <c r="CF445">
        <v>0</v>
      </c>
      <c r="CG445">
        <v>0</v>
      </c>
      <c r="CH445">
        <v>0</v>
      </c>
      <c r="CI445" t="s">
        <v>983</v>
      </c>
      <c r="CJ445" t="s">
        <v>972</v>
      </c>
      <c r="CK445" t="s">
        <v>986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 t="s">
        <v>987</v>
      </c>
      <c r="CV445">
        <v>400008449</v>
      </c>
      <c r="CW445" t="s">
        <v>987</v>
      </c>
      <c r="CX445" t="s">
        <v>3952</v>
      </c>
      <c r="CY445" t="s">
        <v>989</v>
      </c>
    </row>
    <row r="446" spans="1:103" hidden="1" x14ac:dyDescent="0.25">
      <c r="A446">
        <v>410000450</v>
      </c>
      <c r="B446" t="s">
        <v>3953</v>
      </c>
      <c r="C446" t="s">
        <v>3954</v>
      </c>
      <c r="D446">
        <v>401100000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1</v>
      </c>
      <c r="Y446" t="s">
        <v>972</v>
      </c>
      <c r="Z446" t="s">
        <v>987</v>
      </c>
      <c r="AA446" t="s">
        <v>3955</v>
      </c>
      <c r="AB446" t="s">
        <v>975</v>
      </c>
      <c r="AC446">
        <v>4040</v>
      </c>
      <c r="AD446" t="s">
        <v>976</v>
      </c>
      <c r="AE446">
        <v>3242680941</v>
      </c>
      <c r="AF446" t="s">
        <v>979</v>
      </c>
      <c r="AG446" t="s">
        <v>977</v>
      </c>
      <c r="AH446" t="s">
        <v>977</v>
      </c>
      <c r="AI446" t="s">
        <v>977</v>
      </c>
      <c r="AJ446" t="s">
        <v>978</v>
      </c>
      <c r="AK446" t="s">
        <v>978</v>
      </c>
      <c r="AL446" t="s">
        <v>978</v>
      </c>
      <c r="AM446" t="s">
        <v>979</v>
      </c>
      <c r="AN446">
        <v>0</v>
      </c>
      <c r="AO446" t="s">
        <v>257</v>
      </c>
      <c r="AP446">
        <v>30</v>
      </c>
      <c r="AQ446">
        <v>1</v>
      </c>
      <c r="AR446">
        <v>43</v>
      </c>
      <c r="AS446">
        <v>1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1</v>
      </c>
      <c r="AZ446" t="s">
        <v>257</v>
      </c>
      <c r="BA446" t="s">
        <v>980</v>
      </c>
      <c r="BB446" t="s">
        <v>981</v>
      </c>
      <c r="BC446" t="s">
        <v>257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 t="s">
        <v>998</v>
      </c>
      <c r="BK446" t="s">
        <v>981</v>
      </c>
      <c r="BL446" t="s">
        <v>3953</v>
      </c>
      <c r="BM446">
        <v>20180206</v>
      </c>
      <c r="BN446">
        <v>20210526</v>
      </c>
      <c r="BO446">
        <v>0</v>
      </c>
      <c r="BP446" t="s">
        <v>257</v>
      </c>
      <c r="BQ446" t="s">
        <v>983</v>
      </c>
      <c r="BR446" t="s">
        <v>978</v>
      </c>
      <c r="BS446" t="s">
        <v>979</v>
      </c>
      <c r="BT446">
        <v>0</v>
      </c>
      <c r="BU446">
        <v>0</v>
      </c>
      <c r="BV446" t="s">
        <v>1013</v>
      </c>
      <c r="BW446" t="s">
        <v>257</v>
      </c>
      <c r="BX446">
        <v>0</v>
      </c>
      <c r="BY446" t="s">
        <v>980</v>
      </c>
      <c r="BZ446" t="s">
        <v>257</v>
      </c>
      <c r="CA446">
        <v>0</v>
      </c>
      <c r="CB446">
        <v>0</v>
      </c>
      <c r="CC446" t="s">
        <v>985</v>
      </c>
      <c r="CD446">
        <v>0</v>
      </c>
      <c r="CE446">
        <v>0</v>
      </c>
      <c r="CF446">
        <v>0</v>
      </c>
      <c r="CG446">
        <v>0</v>
      </c>
      <c r="CH446">
        <v>0</v>
      </c>
      <c r="CI446" t="s">
        <v>983</v>
      </c>
      <c r="CJ446" t="s">
        <v>972</v>
      </c>
      <c r="CK446" t="s">
        <v>986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 t="s">
        <v>987</v>
      </c>
      <c r="CV446">
        <v>400008450</v>
      </c>
      <c r="CW446" t="s">
        <v>987</v>
      </c>
      <c r="CX446" t="s">
        <v>1081</v>
      </c>
      <c r="CY446" t="s">
        <v>989</v>
      </c>
    </row>
    <row r="447" spans="1:103" hidden="1" x14ac:dyDescent="0.25">
      <c r="A447">
        <v>410000451</v>
      </c>
      <c r="B447" t="s">
        <v>3956</v>
      </c>
      <c r="C447" t="s">
        <v>3957</v>
      </c>
      <c r="D447">
        <v>401100000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1</v>
      </c>
      <c r="Y447" t="s">
        <v>972</v>
      </c>
      <c r="Z447" t="s">
        <v>987</v>
      </c>
      <c r="AA447" t="s">
        <v>3958</v>
      </c>
      <c r="AB447" t="s">
        <v>975</v>
      </c>
      <c r="AC447">
        <v>4040</v>
      </c>
      <c r="AD447" t="s">
        <v>976</v>
      </c>
      <c r="AE447">
        <v>3242482201</v>
      </c>
      <c r="AF447">
        <v>3242482901</v>
      </c>
      <c r="AG447" t="s">
        <v>977</v>
      </c>
      <c r="AH447" t="s">
        <v>977</v>
      </c>
      <c r="AI447" t="s">
        <v>977</v>
      </c>
      <c r="AJ447" t="s">
        <v>978</v>
      </c>
      <c r="AK447" t="s">
        <v>978</v>
      </c>
      <c r="AL447" t="s">
        <v>978</v>
      </c>
      <c r="AM447" t="s">
        <v>979</v>
      </c>
      <c r="AN447">
        <v>0</v>
      </c>
      <c r="AO447" t="s">
        <v>257</v>
      </c>
      <c r="AP447">
        <v>0</v>
      </c>
      <c r="AQ447">
        <v>1</v>
      </c>
      <c r="AR447">
        <v>43</v>
      </c>
      <c r="AS447">
        <v>1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1</v>
      </c>
      <c r="AZ447" t="s">
        <v>257</v>
      </c>
      <c r="BA447" t="s">
        <v>980</v>
      </c>
      <c r="BB447" t="s">
        <v>981</v>
      </c>
      <c r="BC447" t="s">
        <v>257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 t="s">
        <v>998</v>
      </c>
      <c r="BK447" t="s">
        <v>981</v>
      </c>
      <c r="BL447" t="s">
        <v>3956</v>
      </c>
      <c r="BM447">
        <v>20180209</v>
      </c>
      <c r="BN447">
        <v>20181119</v>
      </c>
      <c r="BO447">
        <v>0</v>
      </c>
      <c r="BP447" t="s">
        <v>257</v>
      </c>
      <c r="BQ447" t="s">
        <v>983</v>
      </c>
      <c r="BR447" t="s">
        <v>978</v>
      </c>
      <c r="BS447" t="s">
        <v>979</v>
      </c>
      <c r="BT447">
        <v>0</v>
      </c>
      <c r="BU447">
        <v>0</v>
      </c>
      <c r="BV447" t="s">
        <v>1013</v>
      </c>
      <c r="BW447" t="s">
        <v>257</v>
      </c>
      <c r="BX447">
        <v>0</v>
      </c>
      <c r="BY447" t="s">
        <v>980</v>
      </c>
      <c r="BZ447" t="s">
        <v>257</v>
      </c>
      <c r="CA447">
        <v>0</v>
      </c>
      <c r="CB447">
        <v>0</v>
      </c>
      <c r="CC447" t="s">
        <v>1507</v>
      </c>
      <c r="CD447">
        <v>0</v>
      </c>
      <c r="CE447">
        <v>0</v>
      </c>
      <c r="CF447">
        <v>0</v>
      </c>
      <c r="CG447">
        <v>0</v>
      </c>
      <c r="CH447">
        <v>0</v>
      </c>
      <c r="CI447" t="s">
        <v>983</v>
      </c>
      <c r="CJ447" t="s">
        <v>972</v>
      </c>
      <c r="CK447" t="s">
        <v>986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 t="s">
        <v>987</v>
      </c>
      <c r="CV447">
        <v>400008451</v>
      </c>
      <c r="CW447" t="s">
        <v>987</v>
      </c>
      <c r="CX447" t="s">
        <v>3809</v>
      </c>
      <c r="CY447" t="s">
        <v>989</v>
      </c>
    </row>
    <row r="448" spans="1:103" hidden="1" x14ac:dyDescent="0.25">
      <c r="A448">
        <v>410000452</v>
      </c>
      <c r="B448" t="s">
        <v>3959</v>
      </c>
      <c r="C448" t="s">
        <v>3960</v>
      </c>
      <c r="D448">
        <v>401100000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1</v>
      </c>
      <c r="Y448" t="s">
        <v>972</v>
      </c>
      <c r="Z448" t="s">
        <v>987</v>
      </c>
      <c r="AA448" t="s">
        <v>3961</v>
      </c>
      <c r="AB448" t="s">
        <v>975</v>
      </c>
      <c r="AC448">
        <v>4970</v>
      </c>
      <c r="AD448" t="s">
        <v>1028</v>
      </c>
      <c r="AE448">
        <v>3280685282</v>
      </c>
      <c r="AF448">
        <v>3280684844</v>
      </c>
      <c r="AG448" t="s">
        <v>977</v>
      </c>
      <c r="AH448" t="s">
        <v>977</v>
      </c>
      <c r="AI448">
        <v>41201</v>
      </c>
      <c r="AJ448" t="s">
        <v>978</v>
      </c>
      <c r="AK448" t="s">
        <v>978</v>
      </c>
      <c r="AL448" t="s">
        <v>978</v>
      </c>
      <c r="AM448" t="s">
        <v>979</v>
      </c>
      <c r="AN448">
        <v>0</v>
      </c>
      <c r="AO448" t="s">
        <v>257</v>
      </c>
      <c r="AP448">
        <v>0</v>
      </c>
      <c r="AQ448">
        <v>1</v>
      </c>
      <c r="AR448">
        <v>43</v>
      </c>
      <c r="AS448">
        <v>1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1</v>
      </c>
      <c r="AZ448" t="s">
        <v>257</v>
      </c>
      <c r="BA448" t="s">
        <v>980</v>
      </c>
      <c r="BB448" t="s">
        <v>981</v>
      </c>
      <c r="BC448" t="s">
        <v>257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 t="s">
        <v>998</v>
      </c>
      <c r="BK448" t="s">
        <v>981</v>
      </c>
      <c r="BL448" t="s">
        <v>3959</v>
      </c>
      <c r="BM448">
        <v>20180212</v>
      </c>
      <c r="BN448">
        <v>20240311</v>
      </c>
      <c r="BO448">
        <v>0</v>
      </c>
      <c r="BP448" t="s">
        <v>257</v>
      </c>
      <c r="BQ448" t="s">
        <v>983</v>
      </c>
      <c r="BR448" t="s">
        <v>978</v>
      </c>
      <c r="BS448">
        <v>32494623928</v>
      </c>
      <c r="BT448">
        <v>0</v>
      </c>
      <c r="BU448">
        <v>0</v>
      </c>
      <c r="BV448" t="s">
        <v>984</v>
      </c>
      <c r="BW448" t="s">
        <v>257</v>
      </c>
      <c r="BX448">
        <v>0</v>
      </c>
      <c r="BY448" t="s">
        <v>980</v>
      </c>
      <c r="BZ448" t="s">
        <v>257</v>
      </c>
      <c r="CA448">
        <v>0</v>
      </c>
      <c r="CB448">
        <v>0</v>
      </c>
      <c r="CC448" t="s">
        <v>1033</v>
      </c>
      <c r="CD448">
        <v>0</v>
      </c>
      <c r="CE448">
        <v>0</v>
      </c>
      <c r="CF448">
        <v>0</v>
      </c>
      <c r="CG448">
        <v>0</v>
      </c>
      <c r="CH448">
        <v>0</v>
      </c>
      <c r="CI448" t="s">
        <v>983</v>
      </c>
      <c r="CJ448" t="s">
        <v>972</v>
      </c>
      <c r="CK448" t="s">
        <v>986</v>
      </c>
      <c r="CL448">
        <v>0</v>
      </c>
      <c r="CM448">
        <v>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 t="s">
        <v>987</v>
      </c>
      <c r="CV448">
        <v>400008452</v>
      </c>
      <c r="CW448" t="s">
        <v>987</v>
      </c>
      <c r="CX448" t="s">
        <v>3962</v>
      </c>
      <c r="CY448" t="s">
        <v>989</v>
      </c>
    </row>
    <row r="449" spans="1:103" hidden="1" x14ac:dyDescent="0.25">
      <c r="A449">
        <v>410000453</v>
      </c>
      <c r="B449" t="s">
        <v>3963</v>
      </c>
      <c r="C449" t="s">
        <v>3964</v>
      </c>
      <c r="D449">
        <v>401100000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1</v>
      </c>
      <c r="X449">
        <v>1</v>
      </c>
      <c r="Y449" t="s">
        <v>972</v>
      </c>
      <c r="Z449" t="s">
        <v>987</v>
      </c>
      <c r="AA449" t="s">
        <v>3965</v>
      </c>
      <c r="AB449" t="s">
        <v>975</v>
      </c>
      <c r="AC449">
        <v>4890</v>
      </c>
      <c r="AD449" t="s">
        <v>2507</v>
      </c>
      <c r="AE449">
        <v>3287394530</v>
      </c>
      <c r="AF449">
        <v>3287445694</v>
      </c>
      <c r="AG449" t="s">
        <v>3966</v>
      </c>
      <c r="AH449" t="s">
        <v>977</v>
      </c>
      <c r="AI449" t="s">
        <v>977</v>
      </c>
      <c r="AJ449" t="s">
        <v>978</v>
      </c>
      <c r="AK449" t="s">
        <v>978</v>
      </c>
      <c r="AL449" t="s">
        <v>978</v>
      </c>
      <c r="AM449" t="s">
        <v>979</v>
      </c>
      <c r="AN449">
        <v>0</v>
      </c>
      <c r="AO449" t="s">
        <v>257</v>
      </c>
      <c r="AP449">
        <v>30</v>
      </c>
      <c r="AQ449">
        <v>1</v>
      </c>
      <c r="AR449">
        <v>43</v>
      </c>
      <c r="AS449">
        <v>1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1</v>
      </c>
      <c r="AZ449" t="s">
        <v>257</v>
      </c>
      <c r="BA449" t="s">
        <v>257</v>
      </c>
      <c r="BB449" t="s">
        <v>981</v>
      </c>
      <c r="BC449" t="s">
        <v>257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 t="s">
        <v>998</v>
      </c>
      <c r="BK449" t="s">
        <v>981</v>
      </c>
      <c r="BL449" t="s">
        <v>3963</v>
      </c>
      <c r="BM449">
        <v>20180215</v>
      </c>
      <c r="BN449">
        <v>20181119</v>
      </c>
      <c r="BO449">
        <v>0</v>
      </c>
      <c r="BP449" t="s">
        <v>257</v>
      </c>
      <c r="BQ449" t="s">
        <v>983</v>
      </c>
      <c r="BR449" t="s">
        <v>978</v>
      </c>
      <c r="BS449" t="s">
        <v>979</v>
      </c>
      <c r="BT449">
        <v>0</v>
      </c>
      <c r="BU449">
        <v>0</v>
      </c>
      <c r="BV449" t="s">
        <v>1013</v>
      </c>
      <c r="BW449" t="s">
        <v>257</v>
      </c>
      <c r="BX449">
        <v>0</v>
      </c>
      <c r="BY449" t="s">
        <v>980</v>
      </c>
      <c r="BZ449" t="s">
        <v>257</v>
      </c>
      <c r="CA449">
        <v>0</v>
      </c>
      <c r="CB449">
        <v>0</v>
      </c>
      <c r="CC449" t="s">
        <v>1329</v>
      </c>
      <c r="CD449">
        <v>0</v>
      </c>
      <c r="CE449">
        <v>0</v>
      </c>
      <c r="CF449">
        <v>0</v>
      </c>
      <c r="CG449">
        <v>0</v>
      </c>
      <c r="CH449">
        <v>0</v>
      </c>
      <c r="CI449" t="s">
        <v>983</v>
      </c>
      <c r="CJ449" t="s">
        <v>972</v>
      </c>
      <c r="CK449" t="s">
        <v>986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 t="s">
        <v>987</v>
      </c>
      <c r="CV449">
        <v>400008453</v>
      </c>
      <c r="CW449" t="s">
        <v>987</v>
      </c>
      <c r="CX449" t="s">
        <v>3967</v>
      </c>
      <c r="CY449" t="s">
        <v>989</v>
      </c>
    </row>
    <row r="450" spans="1:103" hidden="1" x14ac:dyDescent="0.25">
      <c r="A450">
        <v>410000454</v>
      </c>
      <c r="B450" t="s">
        <v>3968</v>
      </c>
      <c r="C450" t="s">
        <v>3969</v>
      </c>
      <c r="D450">
        <v>401100000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1</v>
      </c>
      <c r="Y450" t="s">
        <v>972</v>
      </c>
      <c r="Z450" t="s">
        <v>3970</v>
      </c>
      <c r="AA450" t="s">
        <v>3971</v>
      </c>
      <c r="AB450" t="s">
        <v>975</v>
      </c>
      <c r="AC450">
        <v>4040</v>
      </c>
      <c r="AD450" t="s">
        <v>976</v>
      </c>
      <c r="AE450">
        <v>3242279557</v>
      </c>
      <c r="AF450">
        <v>3242279524</v>
      </c>
      <c r="AG450" t="s">
        <v>977</v>
      </c>
      <c r="AH450" t="s">
        <v>977</v>
      </c>
      <c r="AI450" t="s">
        <v>977</v>
      </c>
      <c r="AJ450" t="s">
        <v>978</v>
      </c>
      <c r="AK450" t="s">
        <v>978</v>
      </c>
      <c r="AL450" t="s">
        <v>978</v>
      </c>
      <c r="AM450" t="s">
        <v>979</v>
      </c>
      <c r="AN450">
        <v>0</v>
      </c>
      <c r="AO450" t="s">
        <v>257</v>
      </c>
      <c r="AP450">
        <v>0</v>
      </c>
      <c r="AQ450">
        <v>1</v>
      </c>
      <c r="AR450">
        <v>43</v>
      </c>
      <c r="AS450">
        <v>1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1</v>
      </c>
      <c r="AZ450" t="s">
        <v>257</v>
      </c>
      <c r="BA450" t="s">
        <v>980</v>
      </c>
      <c r="BB450" t="s">
        <v>981</v>
      </c>
      <c r="BC450" t="s">
        <v>257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 t="s">
        <v>982</v>
      </c>
      <c r="BK450" t="s">
        <v>981</v>
      </c>
      <c r="BL450" t="s">
        <v>3968</v>
      </c>
      <c r="BM450">
        <v>20180228</v>
      </c>
      <c r="BN450">
        <v>20240304</v>
      </c>
      <c r="BO450">
        <v>0</v>
      </c>
      <c r="BP450" t="s">
        <v>257</v>
      </c>
      <c r="BQ450" t="s">
        <v>983</v>
      </c>
      <c r="BR450" t="s">
        <v>978</v>
      </c>
      <c r="BS450" t="s">
        <v>979</v>
      </c>
      <c r="BT450">
        <v>0</v>
      </c>
      <c r="BU450">
        <v>0</v>
      </c>
      <c r="BV450" t="s">
        <v>984</v>
      </c>
      <c r="BW450" t="s">
        <v>257</v>
      </c>
      <c r="BX450">
        <v>0</v>
      </c>
      <c r="BY450" t="s">
        <v>980</v>
      </c>
      <c r="BZ450" t="s">
        <v>980</v>
      </c>
      <c r="CA450">
        <v>0</v>
      </c>
      <c r="CB450">
        <v>0</v>
      </c>
      <c r="CC450" t="s">
        <v>985</v>
      </c>
      <c r="CD450">
        <v>0</v>
      </c>
      <c r="CE450">
        <v>0</v>
      </c>
      <c r="CF450">
        <v>0</v>
      </c>
      <c r="CG450">
        <v>0</v>
      </c>
      <c r="CH450">
        <v>0</v>
      </c>
      <c r="CI450" t="s">
        <v>983</v>
      </c>
      <c r="CJ450" t="s">
        <v>972</v>
      </c>
      <c r="CK450" t="s">
        <v>986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 t="s">
        <v>987</v>
      </c>
      <c r="CV450">
        <v>400008454</v>
      </c>
      <c r="CW450" t="s">
        <v>987</v>
      </c>
      <c r="CX450" t="s">
        <v>1034</v>
      </c>
      <c r="CY450" t="s">
        <v>989</v>
      </c>
    </row>
    <row r="451" spans="1:103" hidden="1" x14ac:dyDescent="0.25">
      <c r="A451">
        <v>410000455</v>
      </c>
      <c r="B451" t="s">
        <v>3972</v>
      </c>
      <c r="C451" t="s">
        <v>3973</v>
      </c>
      <c r="D451">
        <v>401100000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1</v>
      </c>
      <c r="Y451" t="s">
        <v>972</v>
      </c>
      <c r="Z451" t="s">
        <v>3974</v>
      </c>
      <c r="AA451" t="s">
        <v>3975</v>
      </c>
      <c r="AB451" t="s">
        <v>975</v>
      </c>
      <c r="AC451">
        <v>4350</v>
      </c>
      <c r="AD451" t="s">
        <v>3976</v>
      </c>
      <c r="AE451" t="s">
        <v>979</v>
      </c>
      <c r="AF451" t="s">
        <v>979</v>
      </c>
      <c r="AG451" t="s">
        <v>977</v>
      </c>
      <c r="AH451" t="s">
        <v>977</v>
      </c>
      <c r="AI451" t="s">
        <v>977</v>
      </c>
      <c r="AJ451" t="s">
        <v>3977</v>
      </c>
      <c r="AK451" t="s">
        <v>978</v>
      </c>
      <c r="AL451" t="s">
        <v>978</v>
      </c>
      <c r="AM451" t="s">
        <v>979</v>
      </c>
      <c r="AN451">
        <v>0</v>
      </c>
      <c r="AO451" t="s">
        <v>257</v>
      </c>
      <c r="AP451">
        <v>0</v>
      </c>
      <c r="AQ451">
        <v>1</v>
      </c>
      <c r="AR451">
        <v>43</v>
      </c>
      <c r="AS451">
        <v>1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1</v>
      </c>
      <c r="AZ451" t="s">
        <v>257</v>
      </c>
      <c r="BA451" t="s">
        <v>980</v>
      </c>
      <c r="BB451" t="s">
        <v>1010</v>
      </c>
      <c r="BC451" t="s">
        <v>257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 t="s">
        <v>998</v>
      </c>
      <c r="BK451" t="s">
        <v>981</v>
      </c>
      <c r="BL451" t="s">
        <v>3978</v>
      </c>
      <c r="BM451">
        <v>20180228</v>
      </c>
      <c r="BN451">
        <v>20210712</v>
      </c>
      <c r="BO451">
        <v>20210712</v>
      </c>
      <c r="BP451" t="s">
        <v>257</v>
      </c>
      <c r="BQ451" t="s">
        <v>983</v>
      </c>
      <c r="BR451" t="s">
        <v>978</v>
      </c>
      <c r="BS451">
        <v>32478731788</v>
      </c>
      <c r="BT451">
        <v>0</v>
      </c>
      <c r="BU451">
        <v>0</v>
      </c>
      <c r="BV451" t="s">
        <v>984</v>
      </c>
      <c r="BW451" t="s">
        <v>257</v>
      </c>
      <c r="BX451">
        <v>0</v>
      </c>
      <c r="BY451" t="s">
        <v>980</v>
      </c>
      <c r="BZ451" t="s">
        <v>257</v>
      </c>
      <c r="CA451">
        <v>0</v>
      </c>
      <c r="CB451">
        <v>0</v>
      </c>
      <c r="CC451" t="s">
        <v>3687</v>
      </c>
      <c r="CD451">
        <v>0</v>
      </c>
      <c r="CE451">
        <v>0</v>
      </c>
      <c r="CF451">
        <v>0</v>
      </c>
      <c r="CG451">
        <v>0</v>
      </c>
      <c r="CH451">
        <v>0</v>
      </c>
      <c r="CI451" t="s">
        <v>983</v>
      </c>
      <c r="CJ451" t="s">
        <v>972</v>
      </c>
      <c r="CK451" t="s">
        <v>986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 t="s">
        <v>987</v>
      </c>
      <c r="CV451">
        <v>400008455</v>
      </c>
      <c r="CW451" t="s">
        <v>987</v>
      </c>
      <c r="CX451" t="s">
        <v>3979</v>
      </c>
      <c r="CY451" t="s">
        <v>989</v>
      </c>
    </row>
    <row r="452" spans="1:103" hidden="1" x14ac:dyDescent="0.25">
      <c r="A452">
        <v>410000456</v>
      </c>
      <c r="B452" t="s">
        <v>3980</v>
      </c>
      <c r="C452" t="s">
        <v>3981</v>
      </c>
      <c r="D452">
        <v>401100000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1</v>
      </c>
      <c r="Y452" t="s">
        <v>972</v>
      </c>
      <c r="Z452" t="s">
        <v>3982</v>
      </c>
      <c r="AA452" t="s">
        <v>3983</v>
      </c>
      <c r="AB452" t="s">
        <v>975</v>
      </c>
      <c r="AC452">
        <v>4651</v>
      </c>
      <c r="AD452" t="s">
        <v>1204</v>
      </c>
      <c r="AE452">
        <v>3287678425</v>
      </c>
      <c r="AF452" t="s">
        <v>979</v>
      </c>
      <c r="AG452" t="s">
        <v>977</v>
      </c>
      <c r="AH452" t="s">
        <v>977</v>
      </c>
      <c r="AI452" t="s">
        <v>977</v>
      </c>
      <c r="AJ452" t="s">
        <v>978</v>
      </c>
      <c r="AK452" t="s">
        <v>978</v>
      </c>
      <c r="AL452" t="s">
        <v>978</v>
      </c>
      <c r="AM452" t="s">
        <v>979</v>
      </c>
      <c r="AN452">
        <v>0</v>
      </c>
      <c r="AO452" t="s">
        <v>257</v>
      </c>
      <c r="AP452">
        <v>0</v>
      </c>
      <c r="AQ452">
        <v>1</v>
      </c>
      <c r="AR452">
        <v>43</v>
      </c>
      <c r="AS452">
        <v>1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1</v>
      </c>
      <c r="AZ452" t="s">
        <v>257</v>
      </c>
      <c r="BA452" t="s">
        <v>980</v>
      </c>
      <c r="BB452" t="s">
        <v>981</v>
      </c>
      <c r="BC452" t="s">
        <v>257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 t="s">
        <v>998</v>
      </c>
      <c r="BK452" t="s">
        <v>981</v>
      </c>
      <c r="BL452" t="s">
        <v>3980</v>
      </c>
      <c r="BM452">
        <v>20180309</v>
      </c>
      <c r="BN452">
        <v>20181119</v>
      </c>
      <c r="BO452">
        <v>0</v>
      </c>
      <c r="BP452" t="s">
        <v>257</v>
      </c>
      <c r="BQ452" t="s">
        <v>983</v>
      </c>
      <c r="BR452" t="s">
        <v>978</v>
      </c>
      <c r="BS452" t="s">
        <v>979</v>
      </c>
      <c r="BT452">
        <v>0</v>
      </c>
      <c r="BU452">
        <v>0</v>
      </c>
      <c r="BV452" t="s">
        <v>1013</v>
      </c>
      <c r="BW452" t="s">
        <v>257</v>
      </c>
      <c r="BX452">
        <v>0</v>
      </c>
      <c r="BY452" t="s">
        <v>980</v>
      </c>
      <c r="BZ452" t="s">
        <v>257</v>
      </c>
      <c r="CA452">
        <v>0</v>
      </c>
      <c r="CB452">
        <v>0</v>
      </c>
      <c r="CC452" t="s">
        <v>1391</v>
      </c>
      <c r="CD452">
        <v>0</v>
      </c>
      <c r="CE452">
        <v>0</v>
      </c>
      <c r="CF452">
        <v>0</v>
      </c>
      <c r="CG452">
        <v>0</v>
      </c>
      <c r="CH452">
        <v>0</v>
      </c>
      <c r="CI452" t="s">
        <v>983</v>
      </c>
      <c r="CJ452" t="s">
        <v>972</v>
      </c>
      <c r="CK452" t="s">
        <v>986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 t="s">
        <v>987</v>
      </c>
      <c r="CV452">
        <v>400008456</v>
      </c>
      <c r="CW452" t="s">
        <v>987</v>
      </c>
      <c r="CX452" t="s">
        <v>1081</v>
      </c>
      <c r="CY452" t="s">
        <v>989</v>
      </c>
    </row>
    <row r="453" spans="1:103" hidden="1" x14ac:dyDescent="0.25">
      <c r="A453">
        <v>410000457</v>
      </c>
      <c r="B453" t="s">
        <v>3984</v>
      </c>
      <c r="C453" t="s">
        <v>3985</v>
      </c>
      <c r="D453">
        <v>401100000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1</v>
      </c>
      <c r="Y453" t="s">
        <v>972</v>
      </c>
      <c r="Z453" t="s">
        <v>987</v>
      </c>
      <c r="AA453" t="s">
        <v>3986</v>
      </c>
      <c r="AB453" t="s">
        <v>975</v>
      </c>
      <c r="AC453">
        <v>4041</v>
      </c>
      <c r="AD453" t="s">
        <v>1730</v>
      </c>
      <c r="AE453">
        <v>32497700538</v>
      </c>
      <c r="AF453" t="s">
        <v>979</v>
      </c>
      <c r="AG453" t="s">
        <v>977</v>
      </c>
      <c r="AH453" t="s">
        <v>977</v>
      </c>
      <c r="AI453" t="s">
        <v>977</v>
      </c>
      <c r="AJ453" t="s">
        <v>978</v>
      </c>
      <c r="AK453" t="s">
        <v>978</v>
      </c>
      <c r="AL453" t="s">
        <v>978</v>
      </c>
      <c r="AM453" t="s">
        <v>979</v>
      </c>
      <c r="AN453">
        <v>0</v>
      </c>
      <c r="AO453" t="s">
        <v>257</v>
      </c>
      <c r="AP453">
        <v>0</v>
      </c>
      <c r="AQ453">
        <v>1</v>
      </c>
      <c r="AR453">
        <v>43</v>
      </c>
      <c r="AS453">
        <v>1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1</v>
      </c>
      <c r="AZ453" t="s">
        <v>257</v>
      </c>
      <c r="BA453" t="s">
        <v>980</v>
      </c>
      <c r="BB453" t="s">
        <v>981</v>
      </c>
      <c r="BC453" t="s">
        <v>257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 t="s">
        <v>998</v>
      </c>
      <c r="BK453" t="s">
        <v>981</v>
      </c>
      <c r="BL453" t="s">
        <v>3984</v>
      </c>
      <c r="BM453">
        <v>20180309</v>
      </c>
      <c r="BN453">
        <v>20181119</v>
      </c>
      <c r="BO453">
        <v>0</v>
      </c>
      <c r="BP453" t="s">
        <v>257</v>
      </c>
      <c r="BQ453" t="s">
        <v>983</v>
      </c>
      <c r="BR453" t="s">
        <v>978</v>
      </c>
      <c r="BS453">
        <v>32497700538</v>
      </c>
      <c r="BT453">
        <v>0</v>
      </c>
      <c r="BU453">
        <v>0</v>
      </c>
      <c r="BV453" t="s">
        <v>1013</v>
      </c>
      <c r="BW453" t="s">
        <v>257</v>
      </c>
      <c r="BX453">
        <v>0</v>
      </c>
      <c r="BY453" t="s">
        <v>980</v>
      </c>
      <c r="BZ453" t="s">
        <v>257</v>
      </c>
      <c r="CA453">
        <v>0</v>
      </c>
      <c r="CB453">
        <v>0</v>
      </c>
      <c r="CC453" t="s">
        <v>3851</v>
      </c>
      <c r="CD453">
        <v>0</v>
      </c>
      <c r="CE453">
        <v>0</v>
      </c>
      <c r="CF453">
        <v>0</v>
      </c>
      <c r="CG453">
        <v>0</v>
      </c>
      <c r="CH453">
        <v>0</v>
      </c>
      <c r="CI453" t="s">
        <v>983</v>
      </c>
      <c r="CJ453" t="s">
        <v>972</v>
      </c>
      <c r="CK453" t="s">
        <v>986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 t="s">
        <v>987</v>
      </c>
      <c r="CV453">
        <v>400008457</v>
      </c>
      <c r="CW453" t="s">
        <v>987</v>
      </c>
      <c r="CX453" t="s">
        <v>3987</v>
      </c>
      <c r="CY453" t="s">
        <v>989</v>
      </c>
    </row>
    <row r="454" spans="1:103" hidden="1" x14ac:dyDescent="0.25">
      <c r="A454">
        <v>410000458</v>
      </c>
      <c r="B454" t="s">
        <v>3988</v>
      </c>
      <c r="C454" t="s">
        <v>3989</v>
      </c>
      <c r="D454">
        <v>401100000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1</v>
      </c>
      <c r="Y454" t="s">
        <v>972</v>
      </c>
      <c r="Z454" t="s">
        <v>987</v>
      </c>
      <c r="AA454" t="s">
        <v>3990</v>
      </c>
      <c r="AB454" t="s">
        <v>975</v>
      </c>
      <c r="AC454">
        <v>4671</v>
      </c>
      <c r="AD454" t="s">
        <v>3134</v>
      </c>
      <c r="AE454">
        <v>32472325579</v>
      </c>
      <c r="AF454" t="s">
        <v>979</v>
      </c>
      <c r="AG454" t="s">
        <v>977</v>
      </c>
      <c r="AH454" t="s">
        <v>977</v>
      </c>
      <c r="AI454" t="s">
        <v>977</v>
      </c>
      <c r="AJ454" t="s">
        <v>978</v>
      </c>
      <c r="AK454" t="s">
        <v>978</v>
      </c>
      <c r="AL454" t="s">
        <v>978</v>
      </c>
      <c r="AM454" t="s">
        <v>979</v>
      </c>
      <c r="AN454">
        <v>0</v>
      </c>
      <c r="AO454" t="s">
        <v>257</v>
      </c>
      <c r="AP454">
        <v>0</v>
      </c>
      <c r="AQ454">
        <v>1</v>
      </c>
      <c r="AR454">
        <v>43</v>
      </c>
      <c r="AS454">
        <v>1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1</v>
      </c>
      <c r="AZ454" t="s">
        <v>257</v>
      </c>
      <c r="BA454" t="s">
        <v>980</v>
      </c>
      <c r="BB454" t="s">
        <v>981</v>
      </c>
      <c r="BC454" t="s">
        <v>257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 t="s">
        <v>998</v>
      </c>
      <c r="BK454" t="s">
        <v>981</v>
      </c>
      <c r="BL454" t="s">
        <v>3988</v>
      </c>
      <c r="BM454">
        <v>20180309</v>
      </c>
      <c r="BN454">
        <v>20190129</v>
      </c>
      <c r="BO454">
        <v>0</v>
      </c>
      <c r="BP454" t="s">
        <v>257</v>
      </c>
      <c r="BQ454" t="s">
        <v>983</v>
      </c>
      <c r="BR454" t="s">
        <v>978</v>
      </c>
      <c r="BS454" t="s">
        <v>979</v>
      </c>
      <c r="BT454">
        <v>0</v>
      </c>
      <c r="BU454">
        <v>0</v>
      </c>
      <c r="BV454" t="s">
        <v>1013</v>
      </c>
      <c r="BW454" t="s">
        <v>257</v>
      </c>
      <c r="BX454">
        <v>0</v>
      </c>
      <c r="BY454" t="s">
        <v>980</v>
      </c>
      <c r="BZ454" t="s">
        <v>257</v>
      </c>
      <c r="CA454">
        <v>0</v>
      </c>
      <c r="CB454">
        <v>0</v>
      </c>
      <c r="CC454" t="s">
        <v>985</v>
      </c>
      <c r="CD454">
        <v>0</v>
      </c>
      <c r="CE454">
        <v>0</v>
      </c>
      <c r="CF454">
        <v>0</v>
      </c>
      <c r="CG454">
        <v>0</v>
      </c>
      <c r="CH454">
        <v>0</v>
      </c>
      <c r="CI454" t="s">
        <v>983</v>
      </c>
      <c r="CJ454" t="s">
        <v>972</v>
      </c>
      <c r="CK454" t="s">
        <v>986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 t="s">
        <v>987</v>
      </c>
      <c r="CV454">
        <v>400008458</v>
      </c>
      <c r="CW454" t="s">
        <v>987</v>
      </c>
      <c r="CX454" t="s">
        <v>3991</v>
      </c>
      <c r="CY454" t="s">
        <v>989</v>
      </c>
    </row>
    <row r="455" spans="1:103" hidden="1" x14ac:dyDescent="0.25">
      <c r="A455">
        <v>410000459</v>
      </c>
      <c r="B455" t="s">
        <v>3992</v>
      </c>
      <c r="C455" t="s">
        <v>3993</v>
      </c>
      <c r="D455">
        <v>401100000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1</v>
      </c>
      <c r="Y455" t="s">
        <v>972</v>
      </c>
      <c r="Z455" t="s">
        <v>3994</v>
      </c>
      <c r="AA455" t="s">
        <v>3995</v>
      </c>
      <c r="AB455" t="s">
        <v>975</v>
      </c>
      <c r="AC455">
        <v>4000</v>
      </c>
      <c r="AD455" t="s">
        <v>1019</v>
      </c>
      <c r="AE455" t="s">
        <v>3996</v>
      </c>
      <c r="AF455" t="s">
        <v>3997</v>
      </c>
      <c r="AG455" t="s">
        <v>977</v>
      </c>
      <c r="AH455" t="s">
        <v>977</v>
      </c>
      <c r="AI455">
        <v>69102</v>
      </c>
      <c r="AJ455" t="s">
        <v>978</v>
      </c>
      <c r="AK455" t="s">
        <v>978</v>
      </c>
      <c r="AL455" t="s">
        <v>978</v>
      </c>
      <c r="AM455" t="s">
        <v>979</v>
      </c>
      <c r="AN455">
        <v>0</v>
      </c>
      <c r="AO455" t="s">
        <v>257</v>
      </c>
      <c r="AP455">
        <v>0</v>
      </c>
      <c r="AQ455">
        <v>1</v>
      </c>
      <c r="AR455">
        <v>43</v>
      </c>
      <c r="AS455">
        <v>1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1</v>
      </c>
      <c r="AZ455" t="s">
        <v>257</v>
      </c>
      <c r="BA455" t="s">
        <v>980</v>
      </c>
      <c r="BB455" t="s">
        <v>981</v>
      </c>
      <c r="BC455" t="s">
        <v>257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 t="s">
        <v>998</v>
      </c>
      <c r="BK455" t="s">
        <v>981</v>
      </c>
      <c r="BL455" t="s">
        <v>3992</v>
      </c>
      <c r="BM455">
        <v>20180315</v>
      </c>
      <c r="BN455">
        <v>20241202</v>
      </c>
      <c r="BO455">
        <v>0</v>
      </c>
      <c r="BP455" t="s">
        <v>257</v>
      </c>
      <c r="BQ455" t="s">
        <v>983</v>
      </c>
      <c r="BR455" t="s">
        <v>978</v>
      </c>
      <c r="BS455" t="s">
        <v>979</v>
      </c>
      <c r="BT455">
        <v>0</v>
      </c>
      <c r="BU455">
        <v>0</v>
      </c>
      <c r="BV455" t="s">
        <v>984</v>
      </c>
      <c r="BW455" t="s">
        <v>257</v>
      </c>
      <c r="BX455">
        <v>0</v>
      </c>
      <c r="BY455" t="s">
        <v>980</v>
      </c>
      <c r="BZ455" t="s">
        <v>257</v>
      </c>
      <c r="CA455">
        <v>0</v>
      </c>
      <c r="CB455">
        <v>0</v>
      </c>
      <c r="CC455" t="s">
        <v>2099</v>
      </c>
      <c r="CD455">
        <v>0</v>
      </c>
      <c r="CE455">
        <v>0</v>
      </c>
      <c r="CF455">
        <v>0</v>
      </c>
      <c r="CG455">
        <v>0</v>
      </c>
      <c r="CH455">
        <v>0</v>
      </c>
      <c r="CI455" t="s">
        <v>983</v>
      </c>
      <c r="CJ455" t="s">
        <v>972</v>
      </c>
      <c r="CK455" t="s">
        <v>986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 t="s">
        <v>987</v>
      </c>
      <c r="CV455">
        <v>400008459</v>
      </c>
      <c r="CW455" t="s">
        <v>987</v>
      </c>
      <c r="CX455" t="s">
        <v>3998</v>
      </c>
      <c r="CY455" t="s">
        <v>989</v>
      </c>
    </row>
    <row r="456" spans="1:103" hidden="1" x14ac:dyDescent="0.25">
      <c r="A456">
        <v>410000460</v>
      </c>
      <c r="B456" t="s">
        <v>3999</v>
      </c>
      <c r="C456" t="s">
        <v>4000</v>
      </c>
      <c r="D456">
        <v>401100000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1</v>
      </c>
      <c r="Y456" t="s">
        <v>972</v>
      </c>
      <c r="Z456" t="s">
        <v>4001</v>
      </c>
      <c r="AA456" t="s">
        <v>4002</v>
      </c>
      <c r="AB456" t="s">
        <v>975</v>
      </c>
      <c r="AC456">
        <v>4020</v>
      </c>
      <c r="AD456" t="s">
        <v>1019</v>
      </c>
      <c r="AE456" t="s">
        <v>4003</v>
      </c>
      <c r="AF456" t="s">
        <v>4004</v>
      </c>
      <c r="AG456" t="s">
        <v>977</v>
      </c>
      <c r="AH456" t="s">
        <v>977</v>
      </c>
      <c r="AI456">
        <v>43291</v>
      </c>
      <c r="AJ456" t="s">
        <v>978</v>
      </c>
      <c r="AK456" t="s">
        <v>978</v>
      </c>
      <c r="AL456" t="s">
        <v>978</v>
      </c>
      <c r="AM456" t="s">
        <v>979</v>
      </c>
      <c r="AN456">
        <v>0</v>
      </c>
      <c r="AO456" t="s">
        <v>257</v>
      </c>
      <c r="AP456">
        <v>0</v>
      </c>
      <c r="AQ456">
        <v>1</v>
      </c>
      <c r="AR456">
        <v>43</v>
      </c>
      <c r="AS456">
        <v>1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1</v>
      </c>
      <c r="AZ456" t="s">
        <v>257</v>
      </c>
      <c r="BA456" t="s">
        <v>980</v>
      </c>
      <c r="BB456" t="s">
        <v>1010</v>
      </c>
      <c r="BC456" t="s">
        <v>257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 t="s">
        <v>998</v>
      </c>
      <c r="BK456" t="s">
        <v>981</v>
      </c>
      <c r="BL456" t="s">
        <v>3999</v>
      </c>
      <c r="BM456">
        <v>20180315</v>
      </c>
      <c r="BN456">
        <v>20240705</v>
      </c>
      <c r="BO456">
        <v>20240705</v>
      </c>
      <c r="BP456" t="s">
        <v>257</v>
      </c>
      <c r="BQ456" t="s">
        <v>983</v>
      </c>
      <c r="BR456" t="s">
        <v>978</v>
      </c>
      <c r="BS456" t="s">
        <v>979</v>
      </c>
      <c r="BT456">
        <v>0</v>
      </c>
      <c r="BU456">
        <v>0</v>
      </c>
      <c r="BV456" t="s">
        <v>984</v>
      </c>
      <c r="BW456" t="s">
        <v>257</v>
      </c>
      <c r="BX456">
        <v>0</v>
      </c>
      <c r="BY456" t="s">
        <v>980</v>
      </c>
      <c r="BZ456" t="s">
        <v>257</v>
      </c>
      <c r="CA456">
        <v>0</v>
      </c>
      <c r="CB456">
        <v>0</v>
      </c>
      <c r="CC456" t="s">
        <v>985</v>
      </c>
      <c r="CD456">
        <v>0</v>
      </c>
      <c r="CE456">
        <v>0</v>
      </c>
      <c r="CF456">
        <v>0</v>
      </c>
      <c r="CG456">
        <v>0</v>
      </c>
      <c r="CH456">
        <v>0</v>
      </c>
      <c r="CI456" t="s">
        <v>983</v>
      </c>
      <c r="CJ456" t="s">
        <v>972</v>
      </c>
      <c r="CK456" t="s">
        <v>986</v>
      </c>
      <c r="CL456">
        <v>0</v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 t="s">
        <v>987</v>
      </c>
      <c r="CV456">
        <v>400008460</v>
      </c>
      <c r="CW456" t="s">
        <v>987</v>
      </c>
      <c r="CX456" t="s">
        <v>4005</v>
      </c>
      <c r="CY456" t="s">
        <v>989</v>
      </c>
    </row>
    <row r="457" spans="1:103" hidden="1" x14ac:dyDescent="0.25">
      <c r="A457">
        <v>410000461</v>
      </c>
      <c r="B457" t="s">
        <v>4006</v>
      </c>
      <c r="C457" t="s">
        <v>4007</v>
      </c>
      <c r="D457">
        <v>401100000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1</v>
      </c>
      <c r="Y457" t="s">
        <v>972</v>
      </c>
      <c r="Z457" t="s">
        <v>987</v>
      </c>
      <c r="AA457" t="s">
        <v>4008</v>
      </c>
      <c r="AB457" t="s">
        <v>975</v>
      </c>
      <c r="AC457">
        <v>4877</v>
      </c>
      <c r="AD457" t="s">
        <v>1322</v>
      </c>
      <c r="AE457">
        <v>3287681463</v>
      </c>
      <c r="AF457" t="s">
        <v>979</v>
      </c>
      <c r="AG457" t="s">
        <v>4009</v>
      </c>
      <c r="AH457" t="s">
        <v>977</v>
      </c>
      <c r="AI457" t="s">
        <v>977</v>
      </c>
      <c r="AJ457" t="s">
        <v>978</v>
      </c>
      <c r="AK457" t="s">
        <v>978</v>
      </c>
      <c r="AL457" t="s">
        <v>978</v>
      </c>
      <c r="AM457" t="s">
        <v>979</v>
      </c>
      <c r="AN457">
        <v>0</v>
      </c>
      <c r="AO457" t="s">
        <v>257</v>
      </c>
      <c r="AP457">
        <v>0</v>
      </c>
      <c r="AQ457">
        <v>1</v>
      </c>
      <c r="AR457">
        <v>43</v>
      </c>
      <c r="AS457">
        <v>1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1</v>
      </c>
      <c r="AZ457" t="s">
        <v>257</v>
      </c>
      <c r="BA457" t="s">
        <v>980</v>
      </c>
      <c r="BB457" t="s">
        <v>981</v>
      </c>
      <c r="BC457" t="s">
        <v>257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 t="s">
        <v>998</v>
      </c>
      <c r="BK457" t="s">
        <v>981</v>
      </c>
      <c r="BL457" t="s">
        <v>4006</v>
      </c>
      <c r="BM457">
        <v>20180316</v>
      </c>
      <c r="BN457">
        <v>20181119</v>
      </c>
      <c r="BO457">
        <v>0</v>
      </c>
      <c r="BP457" t="s">
        <v>257</v>
      </c>
      <c r="BQ457" t="s">
        <v>983</v>
      </c>
      <c r="BR457" t="s">
        <v>978</v>
      </c>
      <c r="BS457">
        <v>32472035213</v>
      </c>
      <c r="BT457">
        <v>0</v>
      </c>
      <c r="BU457">
        <v>0</v>
      </c>
      <c r="BV457" t="s">
        <v>1013</v>
      </c>
      <c r="BW457" t="s">
        <v>257</v>
      </c>
      <c r="BX457">
        <v>0</v>
      </c>
      <c r="BY457" t="s">
        <v>980</v>
      </c>
      <c r="BZ457" t="s">
        <v>257</v>
      </c>
      <c r="CA457">
        <v>0</v>
      </c>
      <c r="CB457">
        <v>0</v>
      </c>
      <c r="CC457" t="s">
        <v>1080</v>
      </c>
      <c r="CD457">
        <v>0</v>
      </c>
      <c r="CE457">
        <v>0</v>
      </c>
      <c r="CF457">
        <v>0</v>
      </c>
      <c r="CG457">
        <v>0</v>
      </c>
      <c r="CH457">
        <v>0</v>
      </c>
      <c r="CI457" t="s">
        <v>983</v>
      </c>
      <c r="CJ457" t="s">
        <v>972</v>
      </c>
      <c r="CK457" t="s">
        <v>986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 t="s">
        <v>987</v>
      </c>
      <c r="CV457">
        <v>400008461</v>
      </c>
      <c r="CW457" t="s">
        <v>987</v>
      </c>
      <c r="CX457" t="s">
        <v>4010</v>
      </c>
      <c r="CY457" t="s">
        <v>989</v>
      </c>
    </row>
    <row r="458" spans="1:103" hidden="1" x14ac:dyDescent="0.25">
      <c r="A458">
        <v>410000462</v>
      </c>
      <c r="B458" t="s">
        <v>4011</v>
      </c>
      <c r="C458" t="s">
        <v>4012</v>
      </c>
      <c r="D458">
        <v>401100000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1</v>
      </c>
      <c r="Y458" t="s">
        <v>972</v>
      </c>
      <c r="Z458" t="s">
        <v>987</v>
      </c>
      <c r="AA458" t="s">
        <v>4013</v>
      </c>
      <c r="AB458" t="s">
        <v>975</v>
      </c>
      <c r="AC458">
        <v>1180</v>
      </c>
      <c r="AD458" t="s">
        <v>4014</v>
      </c>
      <c r="AE458">
        <v>3242399710</v>
      </c>
      <c r="AF458" t="s">
        <v>979</v>
      </c>
      <c r="AG458" t="s">
        <v>977</v>
      </c>
      <c r="AH458" t="s">
        <v>977</v>
      </c>
      <c r="AI458">
        <v>71121</v>
      </c>
      <c r="AJ458" t="s">
        <v>978</v>
      </c>
      <c r="AK458" t="s">
        <v>978</v>
      </c>
      <c r="AL458" t="s">
        <v>978</v>
      </c>
      <c r="AM458" t="s">
        <v>979</v>
      </c>
      <c r="AN458">
        <v>0</v>
      </c>
      <c r="AO458" t="s">
        <v>257</v>
      </c>
      <c r="AP458">
        <v>0</v>
      </c>
      <c r="AQ458">
        <v>1</v>
      </c>
      <c r="AR458">
        <v>43</v>
      </c>
      <c r="AS458">
        <v>1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1</v>
      </c>
      <c r="AZ458" t="s">
        <v>257</v>
      </c>
      <c r="BA458" t="s">
        <v>980</v>
      </c>
      <c r="BB458" t="s">
        <v>259</v>
      </c>
      <c r="BC458" t="s">
        <v>257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 t="s">
        <v>998</v>
      </c>
      <c r="BK458" t="s">
        <v>981</v>
      </c>
      <c r="BL458" t="s">
        <v>4011</v>
      </c>
      <c r="BM458">
        <v>20180326</v>
      </c>
      <c r="BN458">
        <v>20220201</v>
      </c>
      <c r="BO458">
        <v>20180713</v>
      </c>
      <c r="BP458" t="s">
        <v>257</v>
      </c>
      <c r="BQ458" t="s">
        <v>983</v>
      </c>
      <c r="BR458" t="s">
        <v>978</v>
      </c>
      <c r="BS458">
        <v>32495994004</v>
      </c>
      <c r="BT458">
        <v>0</v>
      </c>
      <c r="BU458">
        <v>0</v>
      </c>
      <c r="BV458" t="s">
        <v>1013</v>
      </c>
      <c r="BW458" t="s">
        <v>257</v>
      </c>
      <c r="BX458">
        <v>0</v>
      </c>
      <c r="BY458" t="s">
        <v>980</v>
      </c>
      <c r="BZ458" t="s">
        <v>257</v>
      </c>
      <c r="CA458">
        <v>0</v>
      </c>
      <c r="CB458">
        <v>0</v>
      </c>
      <c r="CC458" t="s">
        <v>1113</v>
      </c>
      <c r="CD458">
        <v>0</v>
      </c>
      <c r="CE458">
        <v>0</v>
      </c>
      <c r="CF458">
        <v>0</v>
      </c>
      <c r="CG458">
        <v>0</v>
      </c>
      <c r="CH458">
        <v>0</v>
      </c>
      <c r="CI458" t="s">
        <v>983</v>
      </c>
      <c r="CJ458" t="s">
        <v>972</v>
      </c>
      <c r="CK458" t="s">
        <v>986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 t="s">
        <v>987</v>
      </c>
      <c r="CV458">
        <v>400008462</v>
      </c>
      <c r="CW458" t="s">
        <v>987</v>
      </c>
      <c r="CX458" t="s">
        <v>4015</v>
      </c>
      <c r="CY458" t="s">
        <v>989</v>
      </c>
    </row>
    <row r="459" spans="1:103" hidden="1" x14ac:dyDescent="0.25">
      <c r="A459">
        <v>410000463</v>
      </c>
      <c r="B459" t="s">
        <v>4016</v>
      </c>
      <c r="C459" t="s">
        <v>4017</v>
      </c>
      <c r="D459">
        <v>401100000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1</v>
      </c>
      <c r="Y459" t="s">
        <v>972</v>
      </c>
      <c r="Z459" t="s">
        <v>987</v>
      </c>
      <c r="AA459" t="s">
        <v>4018</v>
      </c>
      <c r="AB459" t="s">
        <v>975</v>
      </c>
      <c r="AC459">
        <v>4190</v>
      </c>
      <c r="AD459" t="s">
        <v>4019</v>
      </c>
      <c r="AE459" t="s">
        <v>979</v>
      </c>
      <c r="AF459" t="s">
        <v>979</v>
      </c>
      <c r="AG459" t="s">
        <v>4020</v>
      </c>
      <c r="AH459" t="s">
        <v>977</v>
      </c>
      <c r="AI459">
        <v>27510</v>
      </c>
      <c r="AJ459" t="s">
        <v>978</v>
      </c>
      <c r="AK459" t="s">
        <v>978</v>
      </c>
      <c r="AL459" t="s">
        <v>978</v>
      </c>
      <c r="AM459" t="s">
        <v>979</v>
      </c>
      <c r="AN459">
        <v>0</v>
      </c>
      <c r="AO459" t="s">
        <v>257</v>
      </c>
      <c r="AP459">
        <v>0</v>
      </c>
      <c r="AQ459">
        <v>1</v>
      </c>
      <c r="AR459">
        <v>43</v>
      </c>
      <c r="AS459">
        <v>1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1</v>
      </c>
      <c r="AZ459" t="s">
        <v>257</v>
      </c>
      <c r="BA459" t="s">
        <v>980</v>
      </c>
      <c r="BB459" t="s">
        <v>981</v>
      </c>
      <c r="BC459" t="s">
        <v>257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 t="s">
        <v>998</v>
      </c>
      <c r="BK459" t="s">
        <v>981</v>
      </c>
      <c r="BL459" t="s">
        <v>4016</v>
      </c>
      <c r="BM459">
        <v>20180327</v>
      </c>
      <c r="BN459">
        <v>20220201</v>
      </c>
      <c r="BO459">
        <v>0</v>
      </c>
      <c r="BP459" t="s">
        <v>257</v>
      </c>
      <c r="BQ459" t="s">
        <v>983</v>
      </c>
      <c r="BR459" t="s">
        <v>978</v>
      </c>
      <c r="BS459">
        <v>352621240800</v>
      </c>
      <c r="BT459">
        <v>0</v>
      </c>
      <c r="BU459">
        <v>0</v>
      </c>
      <c r="BV459" t="s">
        <v>984</v>
      </c>
      <c r="BW459" t="s">
        <v>257</v>
      </c>
      <c r="BX459">
        <v>0</v>
      </c>
      <c r="BY459" t="s">
        <v>980</v>
      </c>
      <c r="BZ459" t="s">
        <v>257</v>
      </c>
      <c r="CA459">
        <v>0</v>
      </c>
      <c r="CB459">
        <v>0</v>
      </c>
      <c r="CC459" t="s">
        <v>1430</v>
      </c>
      <c r="CD459">
        <v>0</v>
      </c>
      <c r="CE459">
        <v>0</v>
      </c>
      <c r="CF459">
        <v>0</v>
      </c>
      <c r="CG459">
        <v>0</v>
      </c>
      <c r="CH459">
        <v>0</v>
      </c>
      <c r="CI459" t="s">
        <v>983</v>
      </c>
      <c r="CJ459" t="s">
        <v>972</v>
      </c>
      <c r="CK459" t="s">
        <v>986</v>
      </c>
      <c r="CL459">
        <v>0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 t="s">
        <v>987</v>
      </c>
      <c r="CV459">
        <v>400008463</v>
      </c>
      <c r="CW459" t="s">
        <v>987</v>
      </c>
      <c r="CX459" t="s">
        <v>4021</v>
      </c>
      <c r="CY459" t="s">
        <v>989</v>
      </c>
    </row>
    <row r="460" spans="1:103" hidden="1" x14ac:dyDescent="0.25">
      <c r="A460">
        <v>410000464</v>
      </c>
      <c r="B460" t="s">
        <v>4022</v>
      </c>
      <c r="C460" t="s">
        <v>4023</v>
      </c>
      <c r="D460">
        <v>401100000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1</v>
      </c>
      <c r="X460">
        <v>1</v>
      </c>
      <c r="Y460" t="s">
        <v>972</v>
      </c>
      <c r="Z460" t="s">
        <v>987</v>
      </c>
      <c r="AA460" t="s">
        <v>4024</v>
      </c>
      <c r="AB460" t="s">
        <v>975</v>
      </c>
      <c r="AC460">
        <v>1380</v>
      </c>
      <c r="AD460" t="s">
        <v>2836</v>
      </c>
      <c r="AE460">
        <v>3223523110</v>
      </c>
      <c r="AF460">
        <v>3223516421</v>
      </c>
      <c r="AG460" t="s">
        <v>977</v>
      </c>
      <c r="AH460" t="s">
        <v>977</v>
      </c>
      <c r="AI460" t="s">
        <v>977</v>
      </c>
      <c r="AJ460" t="s">
        <v>978</v>
      </c>
      <c r="AK460" t="s">
        <v>978</v>
      </c>
      <c r="AL460" t="s">
        <v>978</v>
      </c>
      <c r="AM460" t="s">
        <v>979</v>
      </c>
      <c r="AN460">
        <v>0</v>
      </c>
      <c r="AO460" t="s">
        <v>257</v>
      </c>
      <c r="AP460">
        <v>0</v>
      </c>
      <c r="AQ460">
        <v>1</v>
      </c>
      <c r="AR460">
        <v>43</v>
      </c>
      <c r="AS460">
        <v>1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1</v>
      </c>
      <c r="AZ460" t="s">
        <v>257</v>
      </c>
      <c r="BA460" t="s">
        <v>980</v>
      </c>
      <c r="BB460" t="s">
        <v>981</v>
      </c>
      <c r="BC460" t="s">
        <v>257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 t="s">
        <v>998</v>
      </c>
      <c r="BK460" t="s">
        <v>981</v>
      </c>
      <c r="BL460" t="s">
        <v>4022</v>
      </c>
      <c r="BM460">
        <v>20180329</v>
      </c>
      <c r="BN460">
        <v>20181119</v>
      </c>
      <c r="BO460">
        <v>0</v>
      </c>
      <c r="BP460" t="s">
        <v>257</v>
      </c>
      <c r="BQ460" t="s">
        <v>983</v>
      </c>
      <c r="BR460" t="s">
        <v>978</v>
      </c>
      <c r="BS460">
        <v>32471400805</v>
      </c>
      <c r="BT460">
        <v>0</v>
      </c>
      <c r="BU460">
        <v>0</v>
      </c>
      <c r="BV460" t="s">
        <v>1013</v>
      </c>
      <c r="BW460" t="s">
        <v>257</v>
      </c>
      <c r="BX460">
        <v>0</v>
      </c>
      <c r="BY460" t="s">
        <v>980</v>
      </c>
      <c r="BZ460" t="s">
        <v>257</v>
      </c>
      <c r="CA460">
        <v>0</v>
      </c>
      <c r="CB460">
        <v>0</v>
      </c>
      <c r="CC460" t="s">
        <v>1033</v>
      </c>
      <c r="CD460">
        <v>0</v>
      </c>
      <c r="CE460">
        <v>0</v>
      </c>
      <c r="CF460">
        <v>0</v>
      </c>
      <c r="CG460">
        <v>0</v>
      </c>
      <c r="CH460">
        <v>0</v>
      </c>
      <c r="CI460" t="s">
        <v>983</v>
      </c>
      <c r="CJ460" t="s">
        <v>972</v>
      </c>
      <c r="CK460" t="s">
        <v>986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 t="s">
        <v>987</v>
      </c>
      <c r="CV460">
        <v>400008464</v>
      </c>
      <c r="CW460" t="s">
        <v>987</v>
      </c>
      <c r="CX460" t="s">
        <v>4025</v>
      </c>
      <c r="CY460" t="s">
        <v>989</v>
      </c>
    </row>
    <row r="461" spans="1:103" hidden="1" x14ac:dyDescent="0.25">
      <c r="A461">
        <v>410000465</v>
      </c>
      <c r="B461" t="s">
        <v>4026</v>
      </c>
      <c r="C461" t="s">
        <v>4027</v>
      </c>
      <c r="D461">
        <v>401100000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1</v>
      </c>
      <c r="Y461" t="s">
        <v>972</v>
      </c>
      <c r="Z461" t="s">
        <v>987</v>
      </c>
      <c r="AA461" t="s">
        <v>4028</v>
      </c>
      <c r="AB461" t="s">
        <v>975</v>
      </c>
      <c r="AC461">
        <v>4300</v>
      </c>
      <c r="AD461" t="s">
        <v>1170</v>
      </c>
      <c r="AE461">
        <v>3219328878</v>
      </c>
      <c r="AF461">
        <v>3219328444</v>
      </c>
      <c r="AG461" t="s">
        <v>977</v>
      </c>
      <c r="AH461" t="s">
        <v>977</v>
      </c>
      <c r="AI461" t="s">
        <v>977</v>
      </c>
      <c r="AJ461" t="s">
        <v>978</v>
      </c>
      <c r="AK461" t="s">
        <v>978</v>
      </c>
      <c r="AL461" t="s">
        <v>978</v>
      </c>
      <c r="AM461" t="s">
        <v>979</v>
      </c>
      <c r="AN461">
        <v>0</v>
      </c>
      <c r="AO461" t="s">
        <v>257</v>
      </c>
      <c r="AP461">
        <v>0</v>
      </c>
      <c r="AQ461">
        <v>1</v>
      </c>
      <c r="AR461">
        <v>43</v>
      </c>
      <c r="AS461">
        <v>1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1</v>
      </c>
      <c r="AZ461" t="s">
        <v>257</v>
      </c>
      <c r="BA461" t="s">
        <v>980</v>
      </c>
      <c r="BB461" t="s">
        <v>981</v>
      </c>
      <c r="BC461" t="s">
        <v>257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 t="s">
        <v>998</v>
      </c>
      <c r="BK461" t="s">
        <v>981</v>
      </c>
      <c r="BL461" t="s">
        <v>4026</v>
      </c>
      <c r="BM461">
        <v>20180330</v>
      </c>
      <c r="BN461">
        <v>20181119</v>
      </c>
      <c r="BO461">
        <v>0</v>
      </c>
      <c r="BP461" t="s">
        <v>257</v>
      </c>
      <c r="BQ461" t="s">
        <v>983</v>
      </c>
      <c r="BR461" t="s">
        <v>978</v>
      </c>
      <c r="BS461">
        <v>32471400805</v>
      </c>
      <c r="BT461">
        <v>0</v>
      </c>
      <c r="BU461">
        <v>0</v>
      </c>
      <c r="BV461" t="s">
        <v>1013</v>
      </c>
      <c r="BW461" t="s">
        <v>257</v>
      </c>
      <c r="BX461">
        <v>0</v>
      </c>
      <c r="BY461" t="s">
        <v>980</v>
      </c>
      <c r="BZ461" t="s">
        <v>257</v>
      </c>
      <c r="CA461">
        <v>0</v>
      </c>
      <c r="CB461">
        <v>0</v>
      </c>
      <c r="CC461" t="s">
        <v>2709</v>
      </c>
      <c r="CD461">
        <v>0</v>
      </c>
      <c r="CE461">
        <v>0</v>
      </c>
      <c r="CF461">
        <v>0</v>
      </c>
      <c r="CG461">
        <v>0</v>
      </c>
      <c r="CH461">
        <v>0</v>
      </c>
      <c r="CI461" t="s">
        <v>983</v>
      </c>
      <c r="CJ461" t="s">
        <v>972</v>
      </c>
      <c r="CK461" t="s">
        <v>986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 t="s">
        <v>987</v>
      </c>
      <c r="CV461">
        <v>400008465</v>
      </c>
      <c r="CW461" t="s">
        <v>987</v>
      </c>
      <c r="CX461" t="s">
        <v>1081</v>
      </c>
      <c r="CY461" t="s">
        <v>989</v>
      </c>
    </row>
    <row r="462" spans="1:103" hidden="1" x14ac:dyDescent="0.25">
      <c r="A462">
        <v>410000466</v>
      </c>
      <c r="B462" t="s">
        <v>4029</v>
      </c>
      <c r="C462" t="s">
        <v>4030</v>
      </c>
      <c r="D462">
        <v>401100000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1</v>
      </c>
      <c r="Y462" t="s">
        <v>972</v>
      </c>
      <c r="Z462" t="s">
        <v>4031</v>
      </c>
      <c r="AA462" t="s">
        <v>4032</v>
      </c>
      <c r="AB462" t="s">
        <v>975</v>
      </c>
      <c r="AC462">
        <v>4030</v>
      </c>
      <c r="AD462" t="s">
        <v>2522</v>
      </c>
      <c r="AE462" t="s">
        <v>979</v>
      </c>
      <c r="AF462" t="s">
        <v>979</v>
      </c>
      <c r="AG462" t="s">
        <v>977</v>
      </c>
      <c r="AH462" t="s">
        <v>977</v>
      </c>
      <c r="AI462" t="s">
        <v>977</v>
      </c>
      <c r="AJ462" t="s">
        <v>978</v>
      </c>
      <c r="AK462" t="s">
        <v>978</v>
      </c>
      <c r="AL462" t="s">
        <v>978</v>
      </c>
      <c r="AM462" t="s">
        <v>979</v>
      </c>
      <c r="AN462">
        <v>0</v>
      </c>
      <c r="AO462" t="s">
        <v>257</v>
      </c>
      <c r="AP462">
        <v>0</v>
      </c>
      <c r="AQ462">
        <v>1</v>
      </c>
      <c r="AR462">
        <v>43</v>
      </c>
      <c r="AS462">
        <v>1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1</v>
      </c>
      <c r="AZ462" t="s">
        <v>257</v>
      </c>
      <c r="BA462" t="s">
        <v>980</v>
      </c>
      <c r="BB462" t="s">
        <v>981</v>
      </c>
      <c r="BC462" t="s">
        <v>257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 t="s">
        <v>998</v>
      </c>
      <c r="BK462" t="s">
        <v>981</v>
      </c>
      <c r="BL462" t="s">
        <v>4029</v>
      </c>
      <c r="BM462">
        <v>20180410</v>
      </c>
      <c r="BN462">
        <v>20181119</v>
      </c>
      <c r="BO462">
        <v>0</v>
      </c>
      <c r="BP462" t="s">
        <v>257</v>
      </c>
      <c r="BQ462" t="s">
        <v>983</v>
      </c>
      <c r="BR462" t="s">
        <v>978</v>
      </c>
      <c r="BS462">
        <v>32475717200</v>
      </c>
      <c r="BT462">
        <v>0</v>
      </c>
      <c r="BU462">
        <v>0</v>
      </c>
      <c r="BV462" t="s">
        <v>1013</v>
      </c>
      <c r="BW462" t="s">
        <v>257</v>
      </c>
      <c r="BX462">
        <v>0</v>
      </c>
      <c r="BY462" t="s">
        <v>980</v>
      </c>
      <c r="BZ462" t="s">
        <v>257</v>
      </c>
      <c r="CA462">
        <v>0</v>
      </c>
      <c r="CB462">
        <v>0</v>
      </c>
      <c r="CC462" t="s">
        <v>1848</v>
      </c>
      <c r="CD462">
        <v>0</v>
      </c>
      <c r="CE462">
        <v>0</v>
      </c>
      <c r="CF462">
        <v>0</v>
      </c>
      <c r="CG462">
        <v>0</v>
      </c>
      <c r="CH462">
        <v>0</v>
      </c>
      <c r="CI462" t="s">
        <v>983</v>
      </c>
      <c r="CJ462" t="s">
        <v>972</v>
      </c>
      <c r="CK462" t="s">
        <v>986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 t="s">
        <v>987</v>
      </c>
      <c r="CV462">
        <v>400008466</v>
      </c>
      <c r="CW462" t="s">
        <v>987</v>
      </c>
      <c r="CX462" t="s">
        <v>1081</v>
      </c>
      <c r="CY462" t="s">
        <v>989</v>
      </c>
    </row>
    <row r="463" spans="1:103" hidden="1" x14ac:dyDescent="0.25">
      <c r="A463">
        <v>410000467</v>
      </c>
      <c r="B463" t="s">
        <v>4033</v>
      </c>
      <c r="C463" t="s">
        <v>3954</v>
      </c>
      <c r="D463">
        <v>401100000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1</v>
      </c>
      <c r="Y463" t="s">
        <v>972</v>
      </c>
      <c r="Z463" t="s">
        <v>987</v>
      </c>
      <c r="AA463" t="s">
        <v>4034</v>
      </c>
      <c r="AB463" t="s">
        <v>975</v>
      </c>
      <c r="AC463">
        <v>4040</v>
      </c>
      <c r="AD463" t="s">
        <v>976</v>
      </c>
      <c r="AE463" t="s">
        <v>979</v>
      </c>
      <c r="AF463" t="s">
        <v>979</v>
      </c>
      <c r="AG463" t="s">
        <v>977</v>
      </c>
      <c r="AH463" t="s">
        <v>977</v>
      </c>
      <c r="AI463" t="s">
        <v>977</v>
      </c>
      <c r="AJ463" t="s">
        <v>978</v>
      </c>
      <c r="AK463" t="s">
        <v>978</v>
      </c>
      <c r="AL463" t="s">
        <v>978</v>
      </c>
      <c r="AM463" t="s">
        <v>979</v>
      </c>
      <c r="AN463">
        <v>0</v>
      </c>
      <c r="AO463" t="s">
        <v>257</v>
      </c>
      <c r="AP463">
        <v>0</v>
      </c>
      <c r="AQ463">
        <v>1</v>
      </c>
      <c r="AR463">
        <v>43</v>
      </c>
      <c r="AS463">
        <v>1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1</v>
      </c>
      <c r="AZ463" t="s">
        <v>257</v>
      </c>
      <c r="BA463" t="s">
        <v>257</v>
      </c>
      <c r="BB463" t="s">
        <v>981</v>
      </c>
      <c r="BC463" t="s">
        <v>257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 t="s">
        <v>998</v>
      </c>
      <c r="BK463" t="s">
        <v>981</v>
      </c>
      <c r="BL463" t="s">
        <v>4033</v>
      </c>
      <c r="BM463">
        <v>20180427</v>
      </c>
      <c r="BN463">
        <v>20181119</v>
      </c>
      <c r="BO463">
        <v>0</v>
      </c>
      <c r="BP463" t="s">
        <v>257</v>
      </c>
      <c r="BQ463" t="s">
        <v>983</v>
      </c>
      <c r="BR463" t="s">
        <v>978</v>
      </c>
      <c r="BS463" t="s">
        <v>979</v>
      </c>
      <c r="BT463">
        <v>0</v>
      </c>
      <c r="BU463">
        <v>0</v>
      </c>
      <c r="BV463" t="s">
        <v>1013</v>
      </c>
      <c r="BW463" t="s">
        <v>257</v>
      </c>
      <c r="BX463">
        <v>0</v>
      </c>
      <c r="BY463" t="s">
        <v>980</v>
      </c>
      <c r="BZ463" t="s">
        <v>257</v>
      </c>
      <c r="CA463">
        <v>0</v>
      </c>
      <c r="CB463">
        <v>0</v>
      </c>
      <c r="CC463" t="s">
        <v>985</v>
      </c>
      <c r="CD463">
        <v>0</v>
      </c>
      <c r="CE463">
        <v>0</v>
      </c>
      <c r="CF463">
        <v>0</v>
      </c>
      <c r="CG463">
        <v>0</v>
      </c>
      <c r="CH463">
        <v>0</v>
      </c>
      <c r="CI463" t="s">
        <v>983</v>
      </c>
      <c r="CJ463" t="s">
        <v>972</v>
      </c>
      <c r="CK463" t="s">
        <v>986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 t="s">
        <v>987</v>
      </c>
      <c r="CV463">
        <v>400008467</v>
      </c>
      <c r="CW463" t="s">
        <v>987</v>
      </c>
      <c r="CX463" t="s">
        <v>1081</v>
      </c>
      <c r="CY463" t="s">
        <v>989</v>
      </c>
    </row>
    <row r="464" spans="1:103" hidden="1" x14ac:dyDescent="0.25">
      <c r="A464">
        <v>410000468</v>
      </c>
      <c r="B464" t="s">
        <v>4035</v>
      </c>
      <c r="C464" t="s">
        <v>4036</v>
      </c>
      <c r="D464">
        <v>401100000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1</v>
      </c>
      <c r="Y464" t="s">
        <v>1091</v>
      </c>
      <c r="Z464" t="s">
        <v>987</v>
      </c>
      <c r="AA464" t="s">
        <v>4037</v>
      </c>
      <c r="AB464" t="s">
        <v>975</v>
      </c>
      <c r="AC464">
        <v>4032</v>
      </c>
      <c r="AD464" t="s">
        <v>4038</v>
      </c>
      <c r="AE464" t="s">
        <v>979</v>
      </c>
      <c r="AF464" t="s">
        <v>979</v>
      </c>
      <c r="AG464" t="s">
        <v>4039</v>
      </c>
      <c r="AH464" t="s">
        <v>977</v>
      </c>
      <c r="AI464" t="s">
        <v>977</v>
      </c>
      <c r="AJ464" t="s">
        <v>978</v>
      </c>
      <c r="AK464" t="s">
        <v>978</v>
      </c>
      <c r="AL464" t="s">
        <v>978</v>
      </c>
      <c r="AM464" t="s">
        <v>979</v>
      </c>
      <c r="AN464">
        <v>0</v>
      </c>
      <c r="AO464" t="s">
        <v>257</v>
      </c>
      <c r="AP464">
        <v>0</v>
      </c>
      <c r="AQ464">
        <v>1</v>
      </c>
      <c r="AR464">
        <v>43</v>
      </c>
      <c r="AS464">
        <v>1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1</v>
      </c>
      <c r="AZ464" t="s">
        <v>257</v>
      </c>
      <c r="BA464" t="s">
        <v>980</v>
      </c>
      <c r="BB464" t="s">
        <v>981</v>
      </c>
      <c r="BC464" t="s">
        <v>257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 t="s">
        <v>998</v>
      </c>
      <c r="BK464" t="s">
        <v>981</v>
      </c>
      <c r="BL464" t="s">
        <v>4035</v>
      </c>
      <c r="BM464">
        <v>20180509</v>
      </c>
      <c r="BN464">
        <v>20181119</v>
      </c>
      <c r="BO464">
        <v>0</v>
      </c>
      <c r="BP464" t="s">
        <v>257</v>
      </c>
      <c r="BQ464" t="s">
        <v>983</v>
      </c>
      <c r="BR464" t="s">
        <v>978</v>
      </c>
      <c r="BS464" t="s">
        <v>4040</v>
      </c>
      <c r="BT464">
        <v>0</v>
      </c>
      <c r="BU464">
        <v>0</v>
      </c>
      <c r="BV464" t="s">
        <v>3489</v>
      </c>
      <c r="BW464" t="s">
        <v>257</v>
      </c>
      <c r="BX464">
        <v>0</v>
      </c>
      <c r="BY464" t="s">
        <v>980</v>
      </c>
      <c r="BZ464" t="s">
        <v>257</v>
      </c>
      <c r="CA464">
        <v>0</v>
      </c>
      <c r="CB464">
        <v>0</v>
      </c>
      <c r="CC464" t="s">
        <v>1317</v>
      </c>
      <c r="CD464">
        <v>0</v>
      </c>
      <c r="CE464">
        <v>0</v>
      </c>
      <c r="CF464">
        <v>0</v>
      </c>
      <c r="CG464">
        <v>0</v>
      </c>
      <c r="CH464">
        <v>0</v>
      </c>
      <c r="CI464" t="s">
        <v>983</v>
      </c>
      <c r="CJ464" t="s">
        <v>972</v>
      </c>
      <c r="CK464" t="s">
        <v>986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 t="s">
        <v>987</v>
      </c>
      <c r="CV464">
        <v>400008468</v>
      </c>
      <c r="CW464" t="s">
        <v>987</v>
      </c>
      <c r="CX464" t="s">
        <v>4041</v>
      </c>
      <c r="CY464" t="s">
        <v>989</v>
      </c>
    </row>
    <row r="465" spans="1:103" hidden="1" x14ac:dyDescent="0.25">
      <c r="A465">
        <v>410000469</v>
      </c>
      <c r="B465" t="s">
        <v>4042</v>
      </c>
      <c r="C465" t="s">
        <v>4043</v>
      </c>
      <c r="D465">
        <v>401100000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1</v>
      </c>
      <c r="X465">
        <v>1</v>
      </c>
      <c r="Y465" t="s">
        <v>972</v>
      </c>
      <c r="Z465" t="s">
        <v>987</v>
      </c>
      <c r="AA465" t="s">
        <v>4044</v>
      </c>
      <c r="AB465" t="s">
        <v>975</v>
      </c>
      <c r="AC465">
        <v>4861</v>
      </c>
      <c r="AD465" t="s">
        <v>4045</v>
      </c>
      <c r="AE465" t="s">
        <v>979</v>
      </c>
      <c r="AF465" t="s">
        <v>979</v>
      </c>
      <c r="AG465" t="s">
        <v>977</v>
      </c>
      <c r="AH465" t="s">
        <v>977</v>
      </c>
      <c r="AI465" t="s">
        <v>977</v>
      </c>
      <c r="AJ465" t="s">
        <v>978</v>
      </c>
      <c r="AK465" t="s">
        <v>978</v>
      </c>
      <c r="AL465" t="s">
        <v>978</v>
      </c>
      <c r="AM465" t="s">
        <v>979</v>
      </c>
      <c r="AN465">
        <v>0</v>
      </c>
      <c r="AO465" t="s">
        <v>257</v>
      </c>
      <c r="AP465">
        <v>0</v>
      </c>
      <c r="AQ465">
        <v>1</v>
      </c>
      <c r="AR465">
        <v>43</v>
      </c>
      <c r="AS465">
        <v>1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1</v>
      </c>
      <c r="AZ465" t="s">
        <v>257</v>
      </c>
      <c r="BA465" t="s">
        <v>257</v>
      </c>
      <c r="BB465" t="s">
        <v>981</v>
      </c>
      <c r="BC465" t="s">
        <v>257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 t="s">
        <v>998</v>
      </c>
      <c r="BK465" t="s">
        <v>981</v>
      </c>
      <c r="BL465" t="s">
        <v>4042</v>
      </c>
      <c r="BM465">
        <v>20180509</v>
      </c>
      <c r="BN465">
        <v>20181119</v>
      </c>
      <c r="BO465">
        <v>0</v>
      </c>
      <c r="BP465" t="s">
        <v>257</v>
      </c>
      <c r="BQ465" t="s">
        <v>983</v>
      </c>
      <c r="BR465" t="s">
        <v>978</v>
      </c>
      <c r="BS465">
        <v>32497640880</v>
      </c>
      <c r="BT465">
        <v>0</v>
      </c>
      <c r="BU465">
        <v>0</v>
      </c>
      <c r="BV465" t="s">
        <v>1013</v>
      </c>
      <c r="BW465" t="s">
        <v>257</v>
      </c>
      <c r="BX465">
        <v>0</v>
      </c>
      <c r="BY465" t="s">
        <v>980</v>
      </c>
      <c r="BZ465" t="s">
        <v>257</v>
      </c>
      <c r="CA465">
        <v>0</v>
      </c>
      <c r="CB465">
        <v>0</v>
      </c>
      <c r="CC465" t="s">
        <v>1220</v>
      </c>
      <c r="CD465">
        <v>0</v>
      </c>
      <c r="CE465">
        <v>0</v>
      </c>
      <c r="CF465">
        <v>0</v>
      </c>
      <c r="CG465">
        <v>0</v>
      </c>
      <c r="CH465">
        <v>0</v>
      </c>
      <c r="CI465" t="s">
        <v>983</v>
      </c>
      <c r="CJ465" t="s">
        <v>972</v>
      </c>
      <c r="CK465" t="s">
        <v>986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 t="s">
        <v>987</v>
      </c>
      <c r="CV465">
        <v>400008469</v>
      </c>
      <c r="CW465" t="s">
        <v>987</v>
      </c>
      <c r="CX465" t="s">
        <v>1081</v>
      </c>
      <c r="CY465" t="s">
        <v>989</v>
      </c>
    </row>
    <row r="466" spans="1:103" hidden="1" x14ac:dyDescent="0.25">
      <c r="A466">
        <v>410000470</v>
      </c>
      <c r="B466" t="s">
        <v>4046</v>
      </c>
      <c r="C466" t="s">
        <v>4047</v>
      </c>
      <c r="D466">
        <v>401100000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1</v>
      </c>
      <c r="Y466" t="s">
        <v>972</v>
      </c>
      <c r="Z466" t="s">
        <v>4048</v>
      </c>
      <c r="AA466" t="s">
        <v>4049</v>
      </c>
      <c r="AB466" t="s">
        <v>975</v>
      </c>
      <c r="AC466">
        <v>1420</v>
      </c>
      <c r="AD466" t="s">
        <v>2333</v>
      </c>
      <c r="AE466">
        <v>3223847883</v>
      </c>
      <c r="AF466" t="s">
        <v>979</v>
      </c>
      <c r="AG466" t="s">
        <v>977</v>
      </c>
      <c r="AH466" t="s">
        <v>977</v>
      </c>
      <c r="AI466" t="s">
        <v>977</v>
      </c>
      <c r="AJ466" t="s">
        <v>978</v>
      </c>
      <c r="AK466" t="s">
        <v>978</v>
      </c>
      <c r="AL466" t="s">
        <v>978</v>
      </c>
      <c r="AM466" t="s">
        <v>979</v>
      </c>
      <c r="AN466">
        <v>0</v>
      </c>
      <c r="AO466" t="s">
        <v>257</v>
      </c>
      <c r="AP466">
        <v>0</v>
      </c>
      <c r="AQ466">
        <v>1</v>
      </c>
      <c r="AR466">
        <v>43</v>
      </c>
      <c r="AS466">
        <v>1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1</v>
      </c>
      <c r="AZ466" t="s">
        <v>257</v>
      </c>
      <c r="BA466" t="s">
        <v>980</v>
      </c>
      <c r="BB466" t="s">
        <v>981</v>
      </c>
      <c r="BC466" t="s">
        <v>257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 t="s">
        <v>998</v>
      </c>
      <c r="BK466" t="s">
        <v>981</v>
      </c>
      <c r="BL466" t="s">
        <v>4046</v>
      </c>
      <c r="BM466">
        <v>20180525</v>
      </c>
      <c r="BN466">
        <v>20181119</v>
      </c>
      <c r="BO466">
        <v>0</v>
      </c>
      <c r="BP466" t="s">
        <v>257</v>
      </c>
      <c r="BQ466" t="s">
        <v>983</v>
      </c>
      <c r="BR466" t="s">
        <v>978</v>
      </c>
      <c r="BS466">
        <v>32489512484</v>
      </c>
      <c r="BT466">
        <v>0</v>
      </c>
      <c r="BU466">
        <v>0</v>
      </c>
      <c r="BV466" t="s">
        <v>1013</v>
      </c>
      <c r="BW466" t="s">
        <v>257</v>
      </c>
      <c r="BX466">
        <v>0</v>
      </c>
      <c r="BY466" t="s">
        <v>980</v>
      </c>
      <c r="BZ466" t="s">
        <v>257</v>
      </c>
      <c r="CA466">
        <v>0</v>
      </c>
      <c r="CB466">
        <v>0</v>
      </c>
      <c r="CC466" t="s">
        <v>1033</v>
      </c>
      <c r="CD466">
        <v>0</v>
      </c>
      <c r="CE466">
        <v>0</v>
      </c>
      <c r="CF466">
        <v>0</v>
      </c>
      <c r="CG466">
        <v>0</v>
      </c>
      <c r="CH466">
        <v>0</v>
      </c>
      <c r="CI466" t="s">
        <v>983</v>
      </c>
      <c r="CJ466" t="s">
        <v>972</v>
      </c>
      <c r="CK466" t="s">
        <v>986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 t="s">
        <v>987</v>
      </c>
      <c r="CV466">
        <v>400008470</v>
      </c>
      <c r="CW466" t="s">
        <v>987</v>
      </c>
      <c r="CX466" t="s">
        <v>1081</v>
      </c>
      <c r="CY466" t="s">
        <v>989</v>
      </c>
    </row>
    <row r="467" spans="1:103" hidden="1" x14ac:dyDescent="0.25">
      <c r="A467">
        <v>410000471</v>
      </c>
      <c r="B467" t="s">
        <v>4050</v>
      </c>
      <c r="C467" t="s">
        <v>4051</v>
      </c>
      <c r="D467">
        <v>401100000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1</v>
      </c>
      <c r="Y467" t="s">
        <v>972</v>
      </c>
      <c r="Z467" t="s">
        <v>4052</v>
      </c>
      <c r="AA467" t="s">
        <v>4053</v>
      </c>
      <c r="AB467" t="s">
        <v>975</v>
      </c>
      <c r="AC467">
        <v>6210</v>
      </c>
      <c r="AD467" t="s">
        <v>4054</v>
      </c>
      <c r="AE467">
        <v>3271879389</v>
      </c>
      <c r="AF467" t="s">
        <v>979</v>
      </c>
      <c r="AG467" t="s">
        <v>977</v>
      </c>
      <c r="AH467" t="s">
        <v>977</v>
      </c>
      <c r="AI467">
        <v>69202</v>
      </c>
      <c r="AJ467" t="s">
        <v>978</v>
      </c>
      <c r="AK467" t="s">
        <v>978</v>
      </c>
      <c r="AL467" t="s">
        <v>978</v>
      </c>
      <c r="AM467" t="s">
        <v>979</v>
      </c>
      <c r="AN467">
        <v>0</v>
      </c>
      <c r="AO467" t="s">
        <v>257</v>
      </c>
      <c r="AP467">
        <v>0</v>
      </c>
      <c r="AQ467">
        <v>1</v>
      </c>
      <c r="AR467">
        <v>43</v>
      </c>
      <c r="AS467">
        <v>1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1</v>
      </c>
      <c r="AZ467" t="s">
        <v>257</v>
      </c>
      <c r="BA467" t="s">
        <v>980</v>
      </c>
      <c r="BB467" t="s">
        <v>981</v>
      </c>
      <c r="BC467" t="s">
        <v>257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 t="s">
        <v>998</v>
      </c>
      <c r="BK467" t="s">
        <v>981</v>
      </c>
      <c r="BL467" t="s">
        <v>4050</v>
      </c>
      <c r="BM467">
        <v>20180605</v>
      </c>
      <c r="BN467">
        <v>20250310</v>
      </c>
      <c r="BO467">
        <v>0</v>
      </c>
      <c r="BP467" t="s">
        <v>257</v>
      </c>
      <c r="BQ467" t="s">
        <v>983</v>
      </c>
      <c r="BR467" t="s">
        <v>978</v>
      </c>
      <c r="BS467">
        <v>32475245797</v>
      </c>
      <c r="BT467">
        <v>0</v>
      </c>
      <c r="BU467">
        <v>0</v>
      </c>
      <c r="BV467" t="s">
        <v>984</v>
      </c>
      <c r="BW467" t="s">
        <v>257</v>
      </c>
      <c r="BX467">
        <v>0</v>
      </c>
      <c r="BY467" t="s">
        <v>980</v>
      </c>
      <c r="BZ467" t="s">
        <v>257</v>
      </c>
      <c r="CA467">
        <v>0</v>
      </c>
      <c r="CB467">
        <v>0</v>
      </c>
      <c r="CC467" t="s">
        <v>1033</v>
      </c>
      <c r="CD467">
        <v>0</v>
      </c>
      <c r="CE467">
        <v>0</v>
      </c>
      <c r="CF467">
        <v>0</v>
      </c>
      <c r="CG467">
        <v>0</v>
      </c>
      <c r="CH467">
        <v>0</v>
      </c>
      <c r="CI467" t="s">
        <v>983</v>
      </c>
      <c r="CJ467" t="s">
        <v>972</v>
      </c>
      <c r="CK467" t="s">
        <v>986</v>
      </c>
      <c r="CL467">
        <v>0</v>
      </c>
      <c r="CM467">
        <v>1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 t="s">
        <v>987</v>
      </c>
      <c r="CV467">
        <v>400008471</v>
      </c>
      <c r="CW467" t="s">
        <v>987</v>
      </c>
      <c r="CX467" t="s">
        <v>4055</v>
      </c>
      <c r="CY467" t="s">
        <v>989</v>
      </c>
    </row>
    <row r="468" spans="1:103" hidden="1" x14ac:dyDescent="0.25">
      <c r="A468">
        <v>410000472</v>
      </c>
      <c r="B468" t="s">
        <v>4056</v>
      </c>
      <c r="C468" t="s">
        <v>4057</v>
      </c>
      <c r="D468">
        <v>401100000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1</v>
      </c>
      <c r="Y468" t="s">
        <v>972</v>
      </c>
      <c r="Z468" t="s">
        <v>987</v>
      </c>
      <c r="AA468" t="s">
        <v>4058</v>
      </c>
      <c r="AB468" t="s">
        <v>975</v>
      </c>
      <c r="AC468">
        <v>4800</v>
      </c>
      <c r="AD468" t="s">
        <v>1124</v>
      </c>
      <c r="AE468" t="s">
        <v>4059</v>
      </c>
      <c r="AF468" t="s">
        <v>4060</v>
      </c>
      <c r="AG468" t="s">
        <v>977</v>
      </c>
      <c r="AH468" t="s">
        <v>977</v>
      </c>
      <c r="AI468" t="s">
        <v>977</v>
      </c>
      <c r="AJ468" t="s">
        <v>978</v>
      </c>
      <c r="AK468" t="s">
        <v>978</v>
      </c>
      <c r="AL468" t="s">
        <v>978</v>
      </c>
      <c r="AM468" t="s">
        <v>979</v>
      </c>
      <c r="AN468">
        <v>0</v>
      </c>
      <c r="AO468" t="s">
        <v>257</v>
      </c>
      <c r="AP468">
        <v>0</v>
      </c>
      <c r="AQ468">
        <v>1</v>
      </c>
      <c r="AR468">
        <v>43</v>
      </c>
      <c r="AS468">
        <v>1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1</v>
      </c>
      <c r="AZ468" t="s">
        <v>257</v>
      </c>
      <c r="BA468" t="s">
        <v>980</v>
      </c>
      <c r="BB468" t="s">
        <v>981</v>
      </c>
      <c r="BC468" t="s">
        <v>257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 t="s">
        <v>998</v>
      </c>
      <c r="BK468" t="s">
        <v>981</v>
      </c>
      <c r="BL468" t="s">
        <v>4056</v>
      </c>
      <c r="BM468">
        <v>20180611</v>
      </c>
      <c r="BN468">
        <v>20181119</v>
      </c>
      <c r="BO468">
        <v>0</v>
      </c>
      <c r="BP468" t="s">
        <v>257</v>
      </c>
      <c r="BQ468" t="s">
        <v>983</v>
      </c>
      <c r="BR468" t="s">
        <v>978</v>
      </c>
      <c r="BS468" t="s">
        <v>979</v>
      </c>
      <c r="BT468">
        <v>0</v>
      </c>
      <c r="BU468">
        <v>0</v>
      </c>
      <c r="BV468" t="s">
        <v>1013</v>
      </c>
      <c r="BW468" t="s">
        <v>257</v>
      </c>
      <c r="BX468">
        <v>0</v>
      </c>
      <c r="BY468" t="s">
        <v>980</v>
      </c>
      <c r="BZ468" t="s">
        <v>257</v>
      </c>
      <c r="CA468">
        <v>0</v>
      </c>
      <c r="CB468">
        <v>0</v>
      </c>
      <c r="CC468" t="s">
        <v>2144</v>
      </c>
      <c r="CD468">
        <v>0</v>
      </c>
      <c r="CE468">
        <v>0</v>
      </c>
      <c r="CF468">
        <v>0</v>
      </c>
      <c r="CG468">
        <v>0</v>
      </c>
      <c r="CH468">
        <v>0</v>
      </c>
      <c r="CI468" t="s">
        <v>983</v>
      </c>
      <c r="CJ468" t="s">
        <v>972</v>
      </c>
      <c r="CK468" t="s">
        <v>986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 t="s">
        <v>987</v>
      </c>
      <c r="CV468">
        <v>400008472</v>
      </c>
      <c r="CW468" t="s">
        <v>987</v>
      </c>
      <c r="CX468" t="s">
        <v>1081</v>
      </c>
      <c r="CY468" t="s">
        <v>989</v>
      </c>
    </row>
    <row r="469" spans="1:103" hidden="1" x14ac:dyDescent="0.25">
      <c r="A469">
        <v>410000473</v>
      </c>
      <c r="B469" t="s">
        <v>4061</v>
      </c>
      <c r="C469" t="s">
        <v>4062</v>
      </c>
      <c r="D469">
        <v>401100000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1</v>
      </c>
      <c r="Y469" t="s">
        <v>972</v>
      </c>
      <c r="Z469" t="s">
        <v>987</v>
      </c>
      <c r="AA469" t="s">
        <v>4063</v>
      </c>
      <c r="AB469" t="s">
        <v>975</v>
      </c>
      <c r="AC469">
        <v>4000</v>
      </c>
      <c r="AD469" t="s">
        <v>1019</v>
      </c>
      <c r="AE469">
        <v>3242521840</v>
      </c>
      <c r="AF469" t="s">
        <v>979</v>
      </c>
      <c r="AG469" t="s">
        <v>977</v>
      </c>
      <c r="AH469" t="s">
        <v>977</v>
      </c>
      <c r="AI469" t="s">
        <v>977</v>
      </c>
      <c r="AJ469" t="s">
        <v>978</v>
      </c>
      <c r="AK469" t="s">
        <v>978</v>
      </c>
      <c r="AL469" t="s">
        <v>978</v>
      </c>
      <c r="AM469" t="s">
        <v>979</v>
      </c>
      <c r="AN469">
        <v>0</v>
      </c>
      <c r="AO469" t="s">
        <v>257</v>
      </c>
      <c r="AP469">
        <v>0</v>
      </c>
      <c r="AQ469">
        <v>1</v>
      </c>
      <c r="AR469">
        <v>43</v>
      </c>
      <c r="AS469">
        <v>1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1</v>
      </c>
      <c r="AZ469" t="s">
        <v>257</v>
      </c>
      <c r="BA469" t="s">
        <v>257</v>
      </c>
      <c r="BB469" t="s">
        <v>259</v>
      </c>
      <c r="BC469" t="s">
        <v>257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 t="s">
        <v>998</v>
      </c>
      <c r="BK469" t="s">
        <v>981</v>
      </c>
      <c r="BL469" t="s">
        <v>4061</v>
      </c>
      <c r="BM469">
        <v>20180613</v>
      </c>
      <c r="BN469">
        <v>20240212</v>
      </c>
      <c r="BO469">
        <v>20240208</v>
      </c>
      <c r="BP469" t="s">
        <v>257</v>
      </c>
      <c r="BQ469" t="s">
        <v>983</v>
      </c>
      <c r="BR469" t="s">
        <v>978</v>
      </c>
      <c r="BS469">
        <v>32478993428</v>
      </c>
      <c r="BT469">
        <v>0</v>
      </c>
      <c r="BU469">
        <v>0</v>
      </c>
      <c r="BV469" t="s">
        <v>984</v>
      </c>
      <c r="BW469" t="s">
        <v>257</v>
      </c>
      <c r="BX469">
        <v>0</v>
      </c>
      <c r="BY469" t="s">
        <v>980</v>
      </c>
      <c r="BZ469" t="s">
        <v>257</v>
      </c>
      <c r="CA469">
        <v>0</v>
      </c>
      <c r="CB469">
        <v>0</v>
      </c>
      <c r="CC469" t="s">
        <v>2322</v>
      </c>
      <c r="CD469">
        <v>0</v>
      </c>
      <c r="CE469">
        <v>0</v>
      </c>
      <c r="CF469">
        <v>0</v>
      </c>
      <c r="CG469">
        <v>0</v>
      </c>
      <c r="CH469">
        <v>0</v>
      </c>
      <c r="CI469" t="s">
        <v>983</v>
      </c>
      <c r="CJ469" t="s">
        <v>972</v>
      </c>
      <c r="CK469" t="s">
        <v>986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 t="s">
        <v>987</v>
      </c>
      <c r="CV469">
        <v>400008473</v>
      </c>
      <c r="CW469" t="s">
        <v>987</v>
      </c>
      <c r="CX469" t="s">
        <v>4064</v>
      </c>
      <c r="CY469" t="s">
        <v>989</v>
      </c>
    </row>
    <row r="470" spans="1:103" hidden="1" x14ac:dyDescent="0.25">
      <c r="A470">
        <v>410000474</v>
      </c>
      <c r="B470" t="s">
        <v>4065</v>
      </c>
      <c r="C470" t="s">
        <v>4066</v>
      </c>
      <c r="D470">
        <v>401100000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1</v>
      </c>
      <c r="Y470" t="s">
        <v>972</v>
      </c>
      <c r="Z470" t="s">
        <v>987</v>
      </c>
      <c r="AA470" t="s">
        <v>4067</v>
      </c>
      <c r="AB470" t="s">
        <v>975</v>
      </c>
      <c r="AC470">
        <v>1050</v>
      </c>
      <c r="AD470" t="s">
        <v>2200</v>
      </c>
      <c r="AE470" t="s">
        <v>979</v>
      </c>
      <c r="AF470" t="s">
        <v>979</v>
      </c>
      <c r="AG470" t="s">
        <v>977</v>
      </c>
      <c r="AH470" t="s">
        <v>977</v>
      </c>
      <c r="AI470" t="s">
        <v>977</v>
      </c>
      <c r="AJ470" t="s">
        <v>978</v>
      </c>
      <c r="AK470" t="s">
        <v>978</v>
      </c>
      <c r="AL470" t="s">
        <v>978</v>
      </c>
      <c r="AM470" t="s">
        <v>979</v>
      </c>
      <c r="AN470">
        <v>0</v>
      </c>
      <c r="AO470" t="s">
        <v>257</v>
      </c>
      <c r="AP470">
        <v>0</v>
      </c>
      <c r="AQ470">
        <v>1</v>
      </c>
      <c r="AR470">
        <v>43</v>
      </c>
      <c r="AS470">
        <v>1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1</v>
      </c>
      <c r="AZ470" t="s">
        <v>257</v>
      </c>
      <c r="BA470" t="s">
        <v>980</v>
      </c>
      <c r="BB470" t="s">
        <v>981</v>
      </c>
      <c r="BC470" t="s">
        <v>257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 t="s">
        <v>998</v>
      </c>
      <c r="BK470" t="s">
        <v>981</v>
      </c>
      <c r="BL470" t="s">
        <v>4065</v>
      </c>
      <c r="BM470">
        <v>20180620</v>
      </c>
      <c r="BN470">
        <v>20181119</v>
      </c>
      <c r="BO470">
        <v>0</v>
      </c>
      <c r="BP470" t="s">
        <v>257</v>
      </c>
      <c r="BQ470" t="s">
        <v>983</v>
      </c>
      <c r="BR470" t="s">
        <v>978</v>
      </c>
      <c r="BS470">
        <v>32474652221</v>
      </c>
      <c r="BT470">
        <v>0</v>
      </c>
      <c r="BU470">
        <v>0</v>
      </c>
      <c r="BV470" t="s">
        <v>1013</v>
      </c>
      <c r="BW470" t="s">
        <v>257</v>
      </c>
      <c r="BX470">
        <v>0</v>
      </c>
      <c r="BY470" t="s">
        <v>980</v>
      </c>
      <c r="BZ470" t="s">
        <v>257</v>
      </c>
      <c r="CA470">
        <v>0</v>
      </c>
      <c r="CB470">
        <v>0</v>
      </c>
      <c r="CC470" t="s">
        <v>1033</v>
      </c>
      <c r="CD470">
        <v>0</v>
      </c>
      <c r="CE470">
        <v>0</v>
      </c>
      <c r="CF470">
        <v>0</v>
      </c>
      <c r="CG470">
        <v>0</v>
      </c>
      <c r="CH470">
        <v>0</v>
      </c>
      <c r="CI470" t="s">
        <v>983</v>
      </c>
      <c r="CJ470" t="s">
        <v>972</v>
      </c>
      <c r="CK470" t="s">
        <v>986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 t="s">
        <v>987</v>
      </c>
      <c r="CV470">
        <v>400008474</v>
      </c>
      <c r="CW470" t="s">
        <v>987</v>
      </c>
      <c r="CX470" t="s">
        <v>1081</v>
      </c>
      <c r="CY470" t="s">
        <v>989</v>
      </c>
    </row>
    <row r="471" spans="1:103" hidden="1" x14ac:dyDescent="0.25">
      <c r="A471">
        <v>410000475</v>
      </c>
      <c r="B471" t="s">
        <v>4068</v>
      </c>
      <c r="C471" t="s">
        <v>4069</v>
      </c>
      <c r="D471">
        <v>401100000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1</v>
      </c>
      <c r="Y471" t="s">
        <v>4070</v>
      </c>
      <c r="Z471" t="s">
        <v>4071</v>
      </c>
      <c r="AA471" t="s">
        <v>4072</v>
      </c>
      <c r="AB471" t="s">
        <v>975</v>
      </c>
      <c r="AC471">
        <v>4032</v>
      </c>
      <c r="AD471" t="s">
        <v>4038</v>
      </c>
      <c r="AE471" t="s">
        <v>979</v>
      </c>
      <c r="AF471" t="s">
        <v>979</v>
      </c>
      <c r="AG471" t="s">
        <v>977</v>
      </c>
      <c r="AH471" t="s">
        <v>977</v>
      </c>
      <c r="AI471" t="s">
        <v>977</v>
      </c>
      <c r="AJ471" t="s">
        <v>978</v>
      </c>
      <c r="AK471" t="s">
        <v>978</v>
      </c>
      <c r="AL471" t="s">
        <v>978</v>
      </c>
      <c r="AM471" t="s">
        <v>979</v>
      </c>
      <c r="AN471">
        <v>0</v>
      </c>
      <c r="AO471" t="s">
        <v>257</v>
      </c>
      <c r="AP471">
        <v>0</v>
      </c>
      <c r="AQ471">
        <v>1</v>
      </c>
      <c r="AR471">
        <v>43</v>
      </c>
      <c r="AS471">
        <v>1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1</v>
      </c>
      <c r="AZ471" t="s">
        <v>257</v>
      </c>
      <c r="BA471" t="s">
        <v>980</v>
      </c>
      <c r="BB471" t="s">
        <v>981</v>
      </c>
      <c r="BC471" t="s">
        <v>257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 t="s">
        <v>998</v>
      </c>
      <c r="BK471" t="s">
        <v>981</v>
      </c>
      <c r="BL471" t="s">
        <v>4068</v>
      </c>
      <c r="BM471">
        <v>20180620</v>
      </c>
      <c r="BN471">
        <v>20181119</v>
      </c>
      <c r="BO471">
        <v>0</v>
      </c>
      <c r="BP471" t="s">
        <v>257</v>
      </c>
      <c r="BQ471" t="s">
        <v>983</v>
      </c>
      <c r="BR471" t="s">
        <v>978</v>
      </c>
      <c r="BS471">
        <v>32496267716</v>
      </c>
      <c r="BT471">
        <v>0</v>
      </c>
      <c r="BU471">
        <v>0</v>
      </c>
      <c r="BV471" t="s">
        <v>1013</v>
      </c>
      <c r="BW471" t="s">
        <v>257</v>
      </c>
      <c r="BX471">
        <v>0</v>
      </c>
      <c r="BY471" t="s">
        <v>980</v>
      </c>
      <c r="BZ471" t="s">
        <v>257</v>
      </c>
      <c r="CA471">
        <v>0</v>
      </c>
      <c r="CB471">
        <v>0</v>
      </c>
      <c r="CC471" t="s">
        <v>1286</v>
      </c>
      <c r="CD471">
        <v>0</v>
      </c>
      <c r="CE471">
        <v>0</v>
      </c>
      <c r="CF471">
        <v>0</v>
      </c>
      <c r="CG471">
        <v>0</v>
      </c>
      <c r="CH471">
        <v>0</v>
      </c>
      <c r="CI471" t="s">
        <v>983</v>
      </c>
      <c r="CJ471" t="s">
        <v>972</v>
      </c>
      <c r="CK471" t="s">
        <v>986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 t="s">
        <v>987</v>
      </c>
      <c r="CV471">
        <v>400008475</v>
      </c>
      <c r="CW471" t="s">
        <v>987</v>
      </c>
      <c r="CX471" t="s">
        <v>1081</v>
      </c>
      <c r="CY471" t="s">
        <v>989</v>
      </c>
    </row>
    <row r="472" spans="1:103" hidden="1" x14ac:dyDescent="0.25">
      <c r="A472">
        <v>410000476</v>
      </c>
      <c r="B472" t="s">
        <v>4073</v>
      </c>
      <c r="C472" t="s">
        <v>978</v>
      </c>
      <c r="D472">
        <v>401100000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</v>
      </c>
      <c r="W472">
        <v>1</v>
      </c>
      <c r="X472">
        <v>1</v>
      </c>
      <c r="Y472" t="s">
        <v>972</v>
      </c>
      <c r="Z472" t="s">
        <v>4074</v>
      </c>
      <c r="AA472" t="s">
        <v>4075</v>
      </c>
      <c r="AB472" t="s">
        <v>975</v>
      </c>
      <c r="AC472">
        <v>4000</v>
      </c>
      <c r="AD472" t="s">
        <v>1019</v>
      </c>
      <c r="AE472" t="s">
        <v>979</v>
      </c>
      <c r="AF472" t="s">
        <v>979</v>
      </c>
      <c r="AG472" t="s">
        <v>977</v>
      </c>
      <c r="AH472" t="s">
        <v>977</v>
      </c>
      <c r="AI472" t="s">
        <v>977</v>
      </c>
      <c r="AJ472" t="s">
        <v>978</v>
      </c>
      <c r="AK472" t="s">
        <v>978</v>
      </c>
      <c r="AL472" t="s">
        <v>978</v>
      </c>
      <c r="AM472" t="s">
        <v>979</v>
      </c>
      <c r="AN472">
        <v>0</v>
      </c>
      <c r="AO472" t="s">
        <v>257</v>
      </c>
      <c r="AP472">
        <v>0</v>
      </c>
      <c r="AQ472">
        <v>1</v>
      </c>
      <c r="AR472">
        <v>43</v>
      </c>
      <c r="AS472">
        <v>1</v>
      </c>
      <c r="AT472">
        <v>0</v>
      </c>
      <c r="AU472">
        <v>1</v>
      </c>
      <c r="AV472">
        <v>0</v>
      </c>
      <c r="AW472">
        <v>0</v>
      </c>
      <c r="AX472">
        <v>0</v>
      </c>
      <c r="AY472">
        <v>1</v>
      </c>
      <c r="AZ472" t="s">
        <v>257</v>
      </c>
      <c r="BA472" t="s">
        <v>980</v>
      </c>
      <c r="BB472" t="s">
        <v>981</v>
      </c>
      <c r="BC472" t="s">
        <v>257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 t="s">
        <v>998</v>
      </c>
      <c r="BK472" t="s">
        <v>981</v>
      </c>
      <c r="BL472" t="s">
        <v>4073</v>
      </c>
      <c r="BM472">
        <v>20180622</v>
      </c>
      <c r="BN472">
        <v>20180622</v>
      </c>
      <c r="BO472">
        <v>0</v>
      </c>
      <c r="BP472" t="s">
        <v>257</v>
      </c>
      <c r="BQ472" t="s">
        <v>983</v>
      </c>
      <c r="BR472" t="s">
        <v>978</v>
      </c>
      <c r="BS472" t="s">
        <v>4076</v>
      </c>
      <c r="BT472">
        <v>0</v>
      </c>
      <c r="BU472">
        <v>0</v>
      </c>
      <c r="BV472" t="s">
        <v>1013</v>
      </c>
      <c r="BW472" t="s">
        <v>257</v>
      </c>
      <c r="BX472">
        <v>0</v>
      </c>
      <c r="BY472" t="s">
        <v>980</v>
      </c>
      <c r="BZ472" t="s">
        <v>257</v>
      </c>
      <c r="CA472">
        <v>0</v>
      </c>
      <c r="CB472">
        <v>0</v>
      </c>
      <c r="CC472" t="s">
        <v>1119</v>
      </c>
      <c r="CD472">
        <v>0</v>
      </c>
      <c r="CE472">
        <v>0</v>
      </c>
      <c r="CF472">
        <v>0</v>
      </c>
      <c r="CG472">
        <v>0</v>
      </c>
      <c r="CH472">
        <v>0</v>
      </c>
      <c r="CI472" t="s">
        <v>983</v>
      </c>
      <c r="CJ472" t="s">
        <v>972</v>
      </c>
      <c r="CK472" t="s">
        <v>986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 t="s">
        <v>987</v>
      </c>
      <c r="CV472">
        <v>400008476</v>
      </c>
      <c r="CW472" t="s">
        <v>987</v>
      </c>
      <c r="CX472" t="s">
        <v>4077</v>
      </c>
      <c r="CY472" t="s">
        <v>989</v>
      </c>
    </row>
    <row r="473" spans="1:103" hidden="1" x14ac:dyDescent="0.25">
      <c r="A473">
        <v>410000477</v>
      </c>
      <c r="B473" t="s">
        <v>4011</v>
      </c>
      <c r="C473" t="s">
        <v>4012</v>
      </c>
      <c r="D473">
        <v>401100000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1</v>
      </c>
      <c r="Y473" t="s">
        <v>972</v>
      </c>
      <c r="Z473" t="s">
        <v>4078</v>
      </c>
      <c r="AA473" t="s">
        <v>4079</v>
      </c>
      <c r="AB473" t="s">
        <v>975</v>
      </c>
      <c r="AC473">
        <v>4460</v>
      </c>
      <c r="AD473" t="s">
        <v>1946</v>
      </c>
      <c r="AE473" t="s">
        <v>4080</v>
      </c>
      <c r="AF473" t="s">
        <v>979</v>
      </c>
      <c r="AG473" t="s">
        <v>977</v>
      </c>
      <c r="AH473" t="s">
        <v>977</v>
      </c>
      <c r="AI473" t="s">
        <v>977</v>
      </c>
      <c r="AJ473" t="s">
        <v>978</v>
      </c>
      <c r="AK473" t="s">
        <v>978</v>
      </c>
      <c r="AL473" t="s">
        <v>978</v>
      </c>
      <c r="AM473" t="s">
        <v>979</v>
      </c>
      <c r="AN473">
        <v>0</v>
      </c>
      <c r="AO473" t="s">
        <v>257</v>
      </c>
      <c r="AP473">
        <v>0</v>
      </c>
      <c r="AQ473">
        <v>1</v>
      </c>
      <c r="AR473">
        <v>43</v>
      </c>
      <c r="AS473">
        <v>1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1</v>
      </c>
      <c r="AZ473" t="s">
        <v>257</v>
      </c>
      <c r="BA473" t="s">
        <v>257</v>
      </c>
      <c r="BB473" t="s">
        <v>1010</v>
      </c>
      <c r="BC473" t="s">
        <v>257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 t="s">
        <v>998</v>
      </c>
      <c r="BK473" t="s">
        <v>981</v>
      </c>
      <c r="BL473" t="s">
        <v>4011</v>
      </c>
      <c r="BM473">
        <v>20180628</v>
      </c>
      <c r="BN473">
        <v>20250613</v>
      </c>
      <c r="BO473">
        <v>20250613</v>
      </c>
      <c r="BP473" t="s">
        <v>257</v>
      </c>
      <c r="BQ473" t="s">
        <v>983</v>
      </c>
      <c r="BR473" t="s">
        <v>978</v>
      </c>
      <c r="BS473" t="s">
        <v>979</v>
      </c>
      <c r="BT473">
        <v>0</v>
      </c>
      <c r="BU473">
        <v>0</v>
      </c>
      <c r="BV473" t="s">
        <v>984</v>
      </c>
      <c r="BW473" t="s">
        <v>257</v>
      </c>
      <c r="BX473">
        <v>0</v>
      </c>
      <c r="BY473" t="s">
        <v>980</v>
      </c>
      <c r="BZ473" t="s">
        <v>257</v>
      </c>
      <c r="CA473">
        <v>0</v>
      </c>
      <c r="CB473">
        <v>0</v>
      </c>
      <c r="CC473" t="s">
        <v>1317</v>
      </c>
      <c r="CD473">
        <v>0</v>
      </c>
      <c r="CE473">
        <v>0</v>
      </c>
      <c r="CF473">
        <v>0</v>
      </c>
      <c r="CG473">
        <v>0</v>
      </c>
      <c r="CH473">
        <v>0</v>
      </c>
      <c r="CI473" t="s">
        <v>983</v>
      </c>
      <c r="CJ473" t="s">
        <v>972</v>
      </c>
      <c r="CK473" t="s">
        <v>986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 t="s">
        <v>987</v>
      </c>
      <c r="CV473">
        <v>400008477</v>
      </c>
      <c r="CW473" t="s">
        <v>987</v>
      </c>
      <c r="CX473" t="s">
        <v>4081</v>
      </c>
      <c r="CY473" t="s">
        <v>989</v>
      </c>
    </row>
    <row r="474" spans="1:103" hidden="1" x14ac:dyDescent="0.25">
      <c r="A474">
        <v>410000478</v>
      </c>
      <c r="B474" t="s">
        <v>4082</v>
      </c>
      <c r="C474" t="s">
        <v>4083</v>
      </c>
      <c r="D474">
        <v>401100000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1</v>
      </c>
      <c r="Y474" t="s">
        <v>972</v>
      </c>
      <c r="Z474" t="s">
        <v>4084</v>
      </c>
      <c r="AA474" t="s">
        <v>4085</v>
      </c>
      <c r="AB474" t="s">
        <v>975</v>
      </c>
      <c r="AC474">
        <v>1300</v>
      </c>
      <c r="AD474" t="s">
        <v>2390</v>
      </c>
      <c r="AE474" t="s">
        <v>979</v>
      </c>
      <c r="AF474" t="s">
        <v>979</v>
      </c>
      <c r="AG474" t="s">
        <v>977</v>
      </c>
      <c r="AH474" t="s">
        <v>977</v>
      </c>
      <c r="AI474" t="s">
        <v>977</v>
      </c>
      <c r="AJ474" t="s">
        <v>978</v>
      </c>
      <c r="AK474" t="s">
        <v>978</v>
      </c>
      <c r="AL474" t="s">
        <v>978</v>
      </c>
      <c r="AM474" t="s">
        <v>979</v>
      </c>
      <c r="AN474">
        <v>0</v>
      </c>
      <c r="AO474" t="s">
        <v>257</v>
      </c>
      <c r="AP474">
        <v>0</v>
      </c>
      <c r="AQ474">
        <v>1</v>
      </c>
      <c r="AR474">
        <v>43</v>
      </c>
      <c r="AS474">
        <v>1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1</v>
      </c>
      <c r="AZ474" t="s">
        <v>257</v>
      </c>
      <c r="BA474" t="s">
        <v>980</v>
      </c>
      <c r="BB474" t="s">
        <v>981</v>
      </c>
      <c r="BC474" t="s">
        <v>257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 t="s">
        <v>982</v>
      </c>
      <c r="BK474" t="s">
        <v>981</v>
      </c>
      <c r="BL474" t="s">
        <v>4082</v>
      </c>
      <c r="BM474">
        <v>20180703</v>
      </c>
      <c r="BN474">
        <v>20220218</v>
      </c>
      <c r="BO474">
        <v>0</v>
      </c>
      <c r="BP474" t="s">
        <v>257</v>
      </c>
      <c r="BQ474" t="s">
        <v>983</v>
      </c>
      <c r="BR474" t="s">
        <v>978</v>
      </c>
      <c r="BS474">
        <v>32471052497</v>
      </c>
      <c r="BT474">
        <v>0</v>
      </c>
      <c r="BU474">
        <v>0</v>
      </c>
      <c r="BV474" t="s">
        <v>984</v>
      </c>
      <c r="BW474" t="s">
        <v>257</v>
      </c>
      <c r="BX474">
        <v>0</v>
      </c>
      <c r="BY474" t="s">
        <v>980</v>
      </c>
      <c r="BZ474" t="s">
        <v>257</v>
      </c>
      <c r="CA474">
        <v>0</v>
      </c>
      <c r="CB474">
        <v>0</v>
      </c>
      <c r="CC474" t="s">
        <v>1033</v>
      </c>
      <c r="CD474">
        <v>0</v>
      </c>
      <c r="CE474">
        <v>0</v>
      </c>
      <c r="CF474">
        <v>0</v>
      </c>
      <c r="CG474">
        <v>0</v>
      </c>
      <c r="CH474">
        <v>0</v>
      </c>
      <c r="CI474" t="s">
        <v>983</v>
      </c>
      <c r="CJ474" t="s">
        <v>972</v>
      </c>
      <c r="CK474" t="s">
        <v>986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 t="s">
        <v>987</v>
      </c>
      <c r="CV474">
        <v>400008478</v>
      </c>
      <c r="CW474" t="s">
        <v>987</v>
      </c>
      <c r="CX474" t="s">
        <v>4086</v>
      </c>
      <c r="CY474" t="s">
        <v>989</v>
      </c>
    </row>
    <row r="475" spans="1:103" hidden="1" x14ac:dyDescent="0.25">
      <c r="A475">
        <v>410000479</v>
      </c>
      <c r="B475" t="s">
        <v>4087</v>
      </c>
      <c r="C475" t="s">
        <v>4088</v>
      </c>
      <c r="D475">
        <v>401100000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1</v>
      </c>
      <c r="Y475" t="s">
        <v>972</v>
      </c>
      <c r="Z475" t="s">
        <v>987</v>
      </c>
      <c r="AA475" t="s">
        <v>4089</v>
      </c>
      <c r="AB475" t="s">
        <v>975</v>
      </c>
      <c r="AC475">
        <v>1410</v>
      </c>
      <c r="AD475" t="s">
        <v>2472</v>
      </c>
      <c r="AE475" t="s">
        <v>979</v>
      </c>
      <c r="AF475" t="s">
        <v>979</v>
      </c>
      <c r="AG475" t="s">
        <v>977</v>
      </c>
      <c r="AH475" t="s">
        <v>977</v>
      </c>
      <c r="AI475" t="s">
        <v>977</v>
      </c>
      <c r="AJ475" t="s">
        <v>978</v>
      </c>
      <c r="AK475" t="s">
        <v>978</v>
      </c>
      <c r="AL475" t="s">
        <v>978</v>
      </c>
      <c r="AM475" t="s">
        <v>979</v>
      </c>
      <c r="AN475">
        <v>0</v>
      </c>
      <c r="AO475" t="s">
        <v>257</v>
      </c>
      <c r="AP475">
        <v>0</v>
      </c>
      <c r="AQ475">
        <v>1</v>
      </c>
      <c r="AR475">
        <v>43</v>
      </c>
      <c r="AS475">
        <v>1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1</v>
      </c>
      <c r="AZ475" t="s">
        <v>257</v>
      </c>
      <c r="BA475" t="s">
        <v>980</v>
      </c>
      <c r="BB475" t="s">
        <v>981</v>
      </c>
      <c r="BC475" t="s">
        <v>257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 t="s">
        <v>998</v>
      </c>
      <c r="BK475" t="s">
        <v>981</v>
      </c>
      <c r="BL475" t="s">
        <v>4087</v>
      </c>
      <c r="BM475">
        <v>20180703</v>
      </c>
      <c r="BN475">
        <v>20190204</v>
      </c>
      <c r="BO475">
        <v>0</v>
      </c>
      <c r="BP475" t="s">
        <v>257</v>
      </c>
      <c r="BQ475" t="s">
        <v>983</v>
      </c>
      <c r="BR475" t="s">
        <v>978</v>
      </c>
      <c r="BS475">
        <v>32497482834</v>
      </c>
      <c r="BT475">
        <v>0</v>
      </c>
      <c r="BU475">
        <v>0</v>
      </c>
      <c r="BV475" t="s">
        <v>984</v>
      </c>
      <c r="BW475" t="s">
        <v>257</v>
      </c>
      <c r="BX475">
        <v>0</v>
      </c>
      <c r="BY475" t="s">
        <v>980</v>
      </c>
      <c r="BZ475" t="s">
        <v>257</v>
      </c>
      <c r="CA475">
        <v>0</v>
      </c>
      <c r="CB475">
        <v>0</v>
      </c>
      <c r="CC475" t="s">
        <v>1033</v>
      </c>
      <c r="CD475">
        <v>0</v>
      </c>
      <c r="CE475">
        <v>0</v>
      </c>
      <c r="CF475">
        <v>0</v>
      </c>
      <c r="CG475">
        <v>0</v>
      </c>
      <c r="CH475">
        <v>0</v>
      </c>
      <c r="CI475" t="s">
        <v>983</v>
      </c>
      <c r="CJ475" t="s">
        <v>972</v>
      </c>
      <c r="CK475" t="s">
        <v>986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 t="s">
        <v>987</v>
      </c>
      <c r="CV475">
        <v>400008479</v>
      </c>
      <c r="CW475" t="s">
        <v>987</v>
      </c>
      <c r="CX475" t="s">
        <v>4090</v>
      </c>
      <c r="CY475" t="s">
        <v>989</v>
      </c>
    </row>
    <row r="476" spans="1:103" hidden="1" x14ac:dyDescent="0.25">
      <c r="A476">
        <v>410000480</v>
      </c>
      <c r="B476" t="s">
        <v>4091</v>
      </c>
      <c r="C476" t="s">
        <v>3969</v>
      </c>
      <c r="D476">
        <v>401100000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 t="s">
        <v>972</v>
      </c>
      <c r="Z476" t="s">
        <v>987</v>
      </c>
      <c r="AA476" t="s">
        <v>4092</v>
      </c>
      <c r="AB476" t="s">
        <v>975</v>
      </c>
      <c r="AC476">
        <v>5080</v>
      </c>
      <c r="AD476" t="s">
        <v>4093</v>
      </c>
      <c r="AE476" t="s">
        <v>979</v>
      </c>
      <c r="AF476" t="s">
        <v>979</v>
      </c>
      <c r="AG476" t="s">
        <v>977</v>
      </c>
      <c r="AH476" t="s">
        <v>977</v>
      </c>
      <c r="AI476" t="s">
        <v>977</v>
      </c>
      <c r="AJ476" t="s">
        <v>978</v>
      </c>
      <c r="AK476" t="s">
        <v>978</v>
      </c>
      <c r="AL476" t="s">
        <v>978</v>
      </c>
      <c r="AM476" t="s">
        <v>979</v>
      </c>
      <c r="AN476">
        <v>0</v>
      </c>
      <c r="AO476" t="s">
        <v>257</v>
      </c>
      <c r="AP476">
        <v>0</v>
      </c>
      <c r="AQ476">
        <v>1</v>
      </c>
      <c r="AR476">
        <v>43</v>
      </c>
      <c r="AS476">
        <v>1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1</v>
      </c>
      <c r="AZ476" t="s">
        <v>257</v>
      </c>
      <c r="BA476" t="s">
        <v>980</v>
      </c>
      <c r="BB476" t="s">
        <v>981</v>
      </c>
      <c r="BC476" t="s">
        <v>257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410000001</v>
      </c>
      <c r="BJ476" t="s">
        <v>1021</v>
      </c>
      <c r="BK476" t="s">
        <v>981</v>
      </c>
      <c r="BL476" t="s">
        <v>4091</v>
      </c>
      <c r="BM476">
        <v>20180704</v>
      </c>
      <c r="BN476">
        <v>20211130</v>
      </c>
      <c r="BO476">
        <v>0</v>
      </c>
      <c r="BP476" t="s">
        <v>257</v>
      </c>
      <c r="BQ476" t="s">
        <v>983</v>
      </c>
      <c r="BR476" t="s">
        <v>978</v>
      </c>
      <c r="BS476">
        <v>32474781303</v>
      </c>
      <c r="BT476">
        <v>0</v>
      </c>
      <c r="BU476">
        <v>0</v>
      </c>
      <c r="BV476" t="s">
        <v>984</v>
      </c>
      <c r="BW476" t="s">
        <v>257</v>
      </c>
      <c r="BX476">
        <v>0</v>
      </c>
      <c r="BY476" t="s">
        <v>980</v>
      </c>
      <c r="BZ476" t="s">
        <v>257</v>
      </c>
      <c r="CA476">
        <v>0</v>
      </c>
      <c r="CB476">
        <v>0</v>
      </c>
      <c r="CC476" t="s">
        <v>1033</v>
      </c>
      <c r="CD476">
        <v>0</v>
      </c>
      <c r="CE476">
        <v>0</v>
      </c>
      <c r="CF476">
        <v>0</v>
      </c>
      <c r="CG476">
        <v>0</v>
      </c>
      <c r="CH476">
        <v>0</v>
      </c>
      <c r="CI476" t="s">
        <v>983</v>
      </c>
      <c r="CJ476" t="s">
        <v>972</v>
      </c>
      <c r="CK476" t="s">
        <v>986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 t="s">
        <v>987</v>
      </c>
      <c r="CV476">
        <v>400008480</v>
      </c>
      <c r="CW476" t="s">
        <v>987</v>
      </c>
      <c r="CX476" t="s">
        <v>1023</v>
      </c>
      <c r="CY476" t="s">
        <v>989</v>
      </c>
    </row>
    <row r="477" spans="1:103" hidden="1" x14ac:dyDescent="0.25">
      <c r="A477">
        <v>410000481</v>
      </c>
      <c r="B477" t="s">
        <v>4094</v>
      </c>
      <c r="C477" t="s">
        <v>978</v>
      </c>
      <c r="D477">
        <v>401100000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</v>
      </c>
      <c r="W477">
        <v>1</v>
      </c>
      <c r="X477">
        <v>1</v>
      </c>
      <c r="Y477" t="s">
        <v>972</v>
      </c>
      <c r="Z477" t="s">
        <v>987</v>
      </c>
      <c r="AA477" t="s">
        <v>4095</v>
      </c>
      <c r="AB477" t="s">
        <v>975</v>
      </c>
      <c r="AC477">
        <v>3770</v>
      </c>
      <c r="AD477" t="s">
        <v>4096</v>
      </c>
      <c r="AE477" t="s">
        <v>979</v>
      </c>
      <c r="AF477" t="s">
        <v>979</v>
      </c>
      <c r="AG477" t="s">
        <v>977</v>
      </c>
      <c r="AH477" t="s">
        <v>977</v>
      </c>
      <c r="AI477" t="s">
        <v>977</v>
      </c>
      <c r="AJ477" t="s">
        <v>4097</v>
      </c>
      <c r="AK477" t="s">
        <v>4098</v>
      </c>
      <c r="AL477" t="s">
        <v>978</v>
      </c>
      <c r="AM477" t="s">
        <v>979</v>
      </c>
      <c r="AN477">
        <v>0</v>
      </c>
      <c r="AO477" t="s">
        <v>257</v>
      </c>
      <c r="AP477">
        <v>0</v>
      </c>
      <c r="AQ477">
        <v>1</v>
      </c>
      <c r="AR477">
        <v>43</v>
      </c>
      <c r="AS477">
        <v>1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1</v>
      </c>
      <c r="AZ477" t="s">
        <v>257</v>
      </c>
      <c r="BA477" t="s">
        <v>980</v>
      </c>
      <c r="BB477" t="s">
        <v>981</v>
      </c>
      <c r="BC477" t="s">
        <v>257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 t="s">
        <v>998</v>
      </c>
      <c r="BK477" t="s">
        <v>981</v>
      </c>
      <c r="BL477" t="s">
        <v>4094</v>
      </c>
      <c r="BM477">
        <v>20180711</v>
      </c>
      <c r="BN477">
        <v>0</v>
      </c>
      <c r="BO477">
        <v>0</v>
      </c>
      <c r="BP477" t="s">
        <v>257</v>
      </c>
      <c r="BQ477" t="s">
        <v>983</v>
      </c>
      <c r="BR477" t="s">
        <v>978</v>
      </c>
      <c r="BS477" t="s">
        <v>4099</v>
      </c>
      <c r="BT477">
        <v>0</v>
      </c>
      <c r="BU477">
        <v>0</v>
      </c>
      <c r="BV477" t="s">
        <v>3489</v>
      </c>
      <c r="BW477" t="s">
        <v>257</v>
      </c>
      <c r="BX477">
        <v>0</v>
      </c>
      <c r="BY477" t="s">
        <v>980</v>
      </c>
      <c r="BZ477" t="s">
        <v>257</v>
      </c>
      <c r="CA477">
        <v>0</v>
      </c>
      <c r="CB477">
        <v>0</v>
      </c>
      <c r="CC477" t="s">
        <v>1022</v>
      </c>
      <c r="CD477">
        <v>0</v>
      </c>
      <c r="CE477">
        <v>0</v>
      </c>
      <c r="CF477">
        <v>0</v>
      </c>
      <c r="CG477">
        <v>0</v>
      </c>
      <c r="CH477">
        <v>0</v>
      </c>
      <c r="CI477" t="s">
        <v>983</v>
      </c>
      <c r="CJ477" t="s">
        <v>972</v>
      </c>
      <c r="CK477" t="s">
        <v>986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 t="s">
        <v>987</v>
      </c>
      <c r="CV477">
        <v>400008481</v>
      </c>
      <c r="CW477" t="s">
        <v>987</v>
      </c>
      <c r="CX477" t="s">
        <v>1081</v>
      </c>
      <c r="CY477" t="s">
        <v>989</v>
      </c>
    </row>
    <row r="478" spans="1:103" hidden="1" x14ac:dyDescent="0.25">
      <c r="A478">
        <v>410000482</v>
      </c>
      <c r="B478" t="s">
        <v>4100</v>
      </c>
      <c r="C478" t="s">
        <v>4101</v>
      </c>
      <c r="D478">
        <v>401100000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1</v>
      </c>
      <c r="Y478" t="s">
        <v>972</v>
      </c>
      <c r="Z478" t="s">
        <v>987</v>
      </c>
      <c r="AA478" t="s">
        <v>4102</v>
      </c>
      <c r="AB478" t="s">
        <v>975</v>
      </c>
      <c r="AC478">
        <v>4140</v>
      </c>
      <c r="AD478" t="s">
        <v>3265</v>
      </c>
      <c r="AE478" t="s">
        <v>4103</v>
      </c>
      <c r="AF478" t="s">
        <v>979</v>
      </c>
      <c r="AG478" t="s">
        <v>977</v>
      </c>
      <c r="AH478" t="s">
        <v>977</v>
      </c>
      <c r="AI478" t="s">
        <v>977</v>
      </c>
      <c r="AJ478" t="s">
        <v>978</v>
      </c>
      <c r="AK478" t="s">
        <v>978</v>
      </c>
      <c r="AL478" t="s">
        <v>978</v>
      </c>
      <c r="AM478" t="s">
        <v>979</v>
      </c>
      <c r="AN478">
        <v>0</v>
      </c>
      <c r="AO478" t="s">
        <v>257</v>
      </c>
      <c r="AP478">
        <v>0</v>
      </c>
      <c r="AQ478">
        <v>1</v>
      </c>
      <c r="AR478">
        <v>43</v>
      </c>
      <c r="AS478">
        <v>1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1</v>
      </c>
      <c r="AZ478" t="s">
        <v>257</v>
      </c>
      <c r="BA478" t="s">
        <v>980</v>
      </c>
      <c r="BB478" t="s">
        <v>981</v>
      </c>
      <c r="BC478" t="s">
        <v>257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 t="s">
        <v>998</v>
      </c>
      <c r="BK478" t="s">
        <v>981</v>
      </c>
      <c r="BL478" t="s">
        <v>4100</v>
      </c>
      <c r="BM478">
        <v>20180713</v>
      </c>
      <c r="BN478">
        <v>20200723</v>
      </c>
      <c r="BO478">
        <v>0</v>
      </c>
      <c r="BP478" t="s">
        <v>257</v>
      </c>
      <c r="BQ478" t="s">
        <v>983</v>
      </c>
      <c r="BR478" t="s">
        <v>978</v>
      </c>
      <c r="BS478" t="s">
        <v>979</v>
      </c>
      <c r="BT478">
        <v>0</v>
      </c>
      <c r="BU478">
        <v>0</v>
      </c>
      <c r="BV478" t="s">
        <v>984</v>
      </c>
      <c r="BW478" t="s">
        <v>257</v>
      </c>
      <c r="BX478">
        <v>0</v>
      </c>
      <c r="BY478" t="s">
        <v>980</v>
      </c>
      <c r="BZ478" t="s">
        <v>257</v>
      </c>
      <c r="CA478">
        <v>0</v>
      </c>
      <c r="CB478">
        <v>0</v>
      </c>
      <c r="CC478" t="s">
        <v>1871</v>
      </c>
      <c r="CD478">
        <v>0</v>
      </c>
      <c r="CE478">
        <v>0</v>
      </c>
      <c r="CF478">
        <v>0</v>
      </c>
      <c r="CG478">
        <v>0</v>
      </c>
      <c r="CH478">
        <v>0</v>
      </c>
      <c r="CI478" t="s">
        <v>983</v>
      </c>
      <c r="CJ478" t="s">
        <v>972</v>
      </c>
      <c r="CK478" t="s">
        <v>986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 t="s">
        <v>987</v>
      </c>
      <c r="CV478">
        <v>400008482</v>
      </c>
      <c r="CW478" t="s">
        <v>987</v>
      </c>
      <c r="CX478" t="s">
        <v>4104</v>
      </c>
      <c r="CY478" t="s">
        <v>989</v>
      </c>
    </row>
    <row r="479" spans="1:103" hidden="1" x14ac:dyDescent="0.25">
      <c r="A479">
        <v>410000483</v>
      </c>
      <c r="B479" t="s">
        <v>4105</v>
      </c>
      <c r="C479" t="s">
        <v>4106</v>
      </c>
      <c r="D479">
        <v>401100000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1</v>
      </c>
      <c r="Y479" t="s">
        <v>972</v>
      </c>
      <c r="Z479" t="s">
        <v>987</v>
      </c>
      <c r="AA479" t="s">
        <v>4107</v>
      </c>
      <c r="AB479" t="s">
        <v>975</v>
      </c>
      <c r="AC479">
        <v>4630</v>
      </c>
      <c r="AD479" t="s">
        <v>4108</v>
      </c>
      <c r="AE479">
        <v>3287693100</v>
      </c>
      <c r="AF479">
        <v>3287693119</v>
      </c>
      <c r="AG479" t="s">
        <v>977</v>
      </c>
      <c r="AH479" t="s">
        <v>977</v>
      </c>
      <c r="AI479" t="s">
        <v>977</v>
      </c>
      <c r="AJ479" t="s">
        <v>978</v>
      </c>
      <c r="AK479" t="s">
        <v>978</v>
      </c>
      <c r="AL479" t="s">
        <v>978</v>
      </c>
      <c r="AM479" t="s">
        <v>979</v>
      </c>
      <c r="AN479">
        <v>0</v>
      </c>
      <c r="AO479" t="s">
        <v>257</v>
      </c>
      <c r="AP479">
        <v>0</v>
      </c>
      <c r="AQ479">
        <v>1</v>
      </c>
      <c r="AR479">
        <v>43</v>
      </c>
      <c r="AS479">
        <v>1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1</v>
      </c>
      <c r="AZ479" t="s">
        <v>257</v>
      </c>
      <c r="BA479" t="s">
        <v>980</v>
      </c>
      <c r="BB479" t="s">
        <v>981</v>
      </c>
      <c r="BC479" t="s">
        <v>257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 t="s">
        <v>998</v>
      </c>
      <c r="BK479" t="s">
        <v>981</v>
      </c>
      <c r="BL479" t="s">
        <v>4105</v>
      </c>
      <c r="BM479">
        <v>20180808</v>
      </c>
      <c r="BN479">
        <v>20181119</v>
      </c>
      <c r="BO479">
        <v>0</v>
      </c>
      <c r="BP479" t="s">
        <v>257</v>
      </c>
      <c r="BQ479" t="s">
        <v>983</v>
      </c>
      <c r="BR479" t="s">
        <v>978</v>
      </c>
      <c r="BS479" t="s">
        <v>979</v>
      </c>
      <c r="BT479">
        <v>0</v>
      </c>
      <c r="BU479">
        <v>0</v>
      </c>
      <c r="BV479" t="s">
        <v>1013</v>
      </c>
      <c r="BW479" t="s">
        <v>257</v>
      </c>
      <c r="BX479">
        <v>0</v>
      </c>
      <c r="BY479" t="s">
        <v>980</v>
      </c>
      <c r="BZ479" t="s">
        <v>257</v>
      </c>
      <c r="CA479">
        <v>0</v>
      </c>
      <c r="CB479">
        <v>0</v>
      </c>
      <c r="CC479" t="s">
        <v>1848</v>
      </c>
      <c r="CD479">
        <v>0</v>
      </c>
      <c r="CE479">
        <v>0</v>
      </c>
      <c r="CF479">
        <v>0</v>
      </c>
      <c r="CG479">
        <v>0</v>
      </c>
      <c r="CH479">
        <v>0</v>
      </c>
      <c r="CI479" t="s">
        <v>983</v>
      </c>
      <c r="CJ479" t="s">
        <v>972</v>
      </c>
      <c r="CK479" t="s">
        <v>986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 t="s">
        <v>987</v>
      </c>
      <c r="CV479">
        <v>400008483</v>
      </c>
      <c r="CW479" t="s">
        <v>987</v>
      </c>
      <c r="CX479" t="s">
        <v>4109</v>
      </c>
      <c r="CY479" t="s">
        <v>989</v>
      </c>
    </row>
    <row r="480" spans="1:103" hidden="1" x14ac:dyDescent="0.25">
      <c r="A480">
        <v>410000484</v>
      </c>
      <c r="B480" t="s">
        <v>4110</v>
      </c>
      <c r="C480" t="s">
        <v>4111</v>
      </c>
      <c r="D480">
        <v>401100000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1</v>
      </c>
      <c r="X480">
        <v>1</v>
      </c>
      <c r="Y480" t="s">
        <v>972</v>
      </c>
      <c r="Z480" t="s">
        <v>987</v>
      </c>
      <c r="AA480" t="s">
        <v>4112</v>
      </c>
      <c r="AB480" t="s">
        <v>975</v>
      </c>
      <c r="AC480">
        <v>4830</v>
      </c>
      <c r="AD480" t="s">
        <v>4113</v>
      </c>
      <c r="AE480" t="s">
        <v>4114</v>
      </c>
      <c r="AF480" t="s">
        <v>979</v>
      </c>
      <c r="AG480" t="s">
        <v>977</v>
      </c>
      <c r="AH480" t="s">
        <v>977</v>
      </c>
      <c r="AI480" t="s">
        <v>977</v>
      </c>
      <c r="AJ480" t="s">
        <v>978</v>
      </c>
      <c r="AK480" t="s">
        <v>978</v>
      </c>
      <c r="AL480" t="s">
        <v>978</v>
      </c>
      <c r="AM480" t="s">
        <v>979</v>
      </c>
      <c r="AN480">
        <v>0</v>
      </c>
      <c r="AO480" t="s">
        <v>257</v>
      </c>
      <c r="AP480">
        <v>0</v>
      </c>
      <c r="AQ480">
        <v>1</v>
      </c>
      <c r="AR480">
        <v>43</v>
      </c>
      <c r="AS480">
        <v>1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1</v>
      </c>
      <c r="AZ480" t="s">
        <v>257</v>
      </c>
      <c r="BA480" t="s">
        <v>980</v>
      </c>
      <c r="BB480" t="s">
        <v>981</v>
      </c>
      <c r="BC480" t="s">
        <v>257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 t="s">
        <v>998</v>
      </c>
      <c r="BK480" t="s">
        <v>981</v>
      </c>
      <c r="BL480" t="s">
        <v>4110</v>
      </c>
      <c r="BM480">
        <v>20180809</v>
      </c>
      <c r="BN480">
        <v>20181119</v>
      </c>
      <c r="BO480">
        <v>0</v>
      </c>
      <c r="BP480" t="s">
        <v>257</v>
      </c>
      <c r="BQ480" t="s">
        <v>983</v>
      </c>
      <c r="BR480" t="s">
        <v>978</v>
      </c>
      <c r="BS480" t="s">
        <v>979</v>
      </c>
      <c r="BT480">
        <v>0</v>
      </c>
      <c r="BU480">
        <v>0</v>
      </c>
      <c r="BV480" t="s">
        <v>1013</v>
      </c>
      <c r="BW480" t="s">
        <v>257</v>
      </c>
      <c r="BX480">
        <v>0</v>
      </c>
      <c r="BY480" t="s">
        <v>980</v>
      </c>
      <c r="BZ480" t="s">
        <v>257</v>
      </c>
      <c r="CA480">
        <v>0</v>
      </c>
      <c r="CB480">
        <v>0</v>
      </c>
      <c r="CC480" t="s">
        <v>4115</v>
      </c>
      <c r="CD480">
        <v>0</v>
      </c>
      <c r="CE480">
        <v>0</v>
      </c>
      <c r="CF480">
        <v>0</v>
      </c>
      <c r="CG480">
        <v>0</v>
      </c>
      <c r="CH480">
        <v>0</v>
      </c>
      <c r="CI480" t="s">
        <v>983</v>
      </c>
      <c r="CJ480" t="s">
        <v>972</v>
      </c>
      <c r="CK480" t="s">
        <v>986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 t="s">
        <v>987</v>
      </c>
      <c r="CV480">
        <v>400008484</v>
      </c>
      <c r="CW480" t="s">
        <v>987</v>
      </c>
      <c r="CX480" t="s">
        <v>1081</v>
      </c>
      <c r="CY480" t="s">
        <v>989</v>
      </c>
    </row>
    <row r="481" spans="1:103" hidden="1" x14ac:dyDescent="0.25">
      <c r="A481">
        <v>410000485</v>
      </c>
      <c r="B481" t="s">
        <v>4116</v>
      </c>
      <c r="C481" t="s">
        <v>4117</v>
      </c>
      <c r="D481">
        <v>401100000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1</v>
      </c>
      <c r="Y481" t="s">
        <v>972</v>
      </c>
      <c r="Z481" t="s">
        <v>987</v>
      </c>
      <c r="AA481" t="s">
        <v>4118</v>
      </c>
      <c r="AB481" t="s">
        <v>975</v>
      </c>
      <c r="AC481">
        <v>1325</v>
      </c>
      <c r="AD481" t="s">
        <v>4119</v>
      </c>
      <c r="AE481">
        <v>32497821223</v>
      </c>
      <c r="AF481" t="s">
        <v>979</v>
      </c>
      <c r="AG481" t="s">
        <v>977</v>
      </c>
      <c r="AH481" t="s">
        <v>977</v>
      </c>
      <c r="AI481" t="s">
        <v>977</v>
      </c>
      <c r="AJ481" t="s">
        <v>978</v>
      </c>
      <c r="AK481" t="s">
        <v>978</v>
      </c>
      <c r="AL481" t="s">
        <v>978</v>
      </c>
      <c r="AM481" t="s">
        <v>979</v>
      </c>
      <c r="AN481">
        <v>0</v>
      </c>
      <c r="AO481" t="s">
        <v>257</v>
      </c>
      <c r="AP481">
        <v>0</v>
      </c>
      <c r="AQ481">
        <v>1</v>
      </c>
      <c r="AR481">
        <v>43</v>
      </c>
      <c r="AS481">
        <v>1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1</v>
      </c>
      <c r="AZ481" t="s">
        <v>257</v>
      </c>
      <c r="BA481" t="s">
        <v>980</v>
      </c>
      <c r="BB481" t="s">
        <v>981</v>
      </c>
      <c r="BC481" t="s">
        <v>257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 t="s">
        <v>998</v>
      </c>
      <c r="BK481" t="s">
        <v>981</v>
      </c>
      <c r="BL481" t="s">
        <v>4116</v>
      </c>
      <c r="BM481">
        <v>20180829</v>
      </c>
      <c r="BN481">
        <v>20181119</v>
      </c>
      <c r="BO481">
        <v>0</v>
      </c>
      <c r="BP481" t="s">
        <v>257</v>
      </c>
      <c r="BQ481" t="s">
        <v>983</v>
      </c>
      <c r="BR481" t="s">
        <v>978</v>
      </c>
      <c r="BS481">
        <v>32497811223</v>
      </c>
      <c r="BT481">
        <v>0</v>
      </c>
      <c r="BU481">
        <v>0</v>
      </c>
      <c r="BV481" t="s">
        <v>1013</v>
      </c>
      <c r="BW481" t="s">
        <v>257</v>
      </c>
      <c r="BX481">
        <v>0</v>
      </c>
      <c r="BY481" t="s">
        <v>980</v>
      </c>
      <c r="BZ481" t="s">
        <v>257</v>
      </c>
      <c r="CA481">
        <v>0</v>
      </c>
      <c r="CB481">
        <v>0</v>
      </c>
      <c r="CC481" t="s">
        <v>1901</v>
      </c>
      <c r="CD481">
        <v>0</v>
      </c>
      <c r="CE481">
        <v>0</v>
      </c>
      <c r="CF481">
        <v>0</v>
      </c>
      <c r="CG481">
        <v>0</v>
      </c>
      <c r="CH481">
        <v>0</v>
      </c>
      <c r="CI481" t="s">
        <v>983</v>
      </c>
      <c r="CJ481" t="s">
        <v>972</v>
      </c>
      <c r="CK481" t="s">
        <v>986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 t="s">
        <v>987</v>
      </c>
      <c r="CV481">
        <v>400008485</v>
      </c>
      <c r="CW481" t="s">
        <v>987</v>
      </c>
      <c r="CX481" t="s">
        <v>4120</v>
      </c>
      <c r="CY481" t="s">
        <v>989</v>
      </c>
    </row>
    <row r="482" spans="1:103" hidden="1" x14ac:dyDescent="0.25">
      <c r="A482">
        <v>410000486</v>
      </c>
      <c r="B482" t="s">
        <v>4121</v>
      </c>
      <c r="C482" t="s">
        <v>4122</v>
      </c>
      <c r="D482">
        <v>401100000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1</v>
      </c>
      <c r="Y482" t="s">
        <v>972</v>
      </c>
      <c r="Z482" t="s">
        <v>987</v>
      </c>
      <c r="AA482" t="s">
        <v>4123</v>
      </c>
      <c r="AB482" t="s">
        <v>975</v>
      </c>
      <c r="AC482">
        <v>4470</v>
      </c>
      <c r="AD482" t="s">
        <v>1913</v>
      </c>
      <c r="AE482">
        <v>32471456298</v>
      </c>
      <c r="AF482" t="s">
        <v>979</v>
      </c>
      <c r="AG482" t="s">
        <v>977</v>
      </c>
      <c r="AH482" t="s">
        <v>977</v>
      </c>
      <c r="AI482" t="s">
        <v>977</v>
      </c>
      <c r="AJ482" t="s">
        <v>978</v>
      </c>
      <c r="AK482" t="s">
        <v>978</v>
      </c>
      <c r="AL482" t="s">
        <v>978</v>
      </c>
      <c r="AM482" t="s">
        <v>979</v>
      </c>
      <c r="AN482">
        <v>0</v>
      </c>
      <c r="AO482" t="s">
        <v>257</v>
      </c>
      <c r="AP482">
        <v>0</v>
      </c>
      <c r="AQ482">
        <v>1</v>
      </c>
      <c r="AR482">
        <v>43</v>
      </c>
      <c r="AS482">
        <v>1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1</v>
      </c>
      <c r="AZ482" t="s">
        <v>257</v>
      </c>
      <c r="BA482" t="s">
        <v>980</v>
      </c>
      <c r="BB482" t="s">
        <v>981</v>
      </c>
      <c r="BC482" t="s">
        <v>257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 t="s">
        <v>998</v>
      </c>
      <c r="BK482" t="s">
        <v>981</v>
      </c>
      <c r="BL482" t="s">
        <v>4121</v>
      </c>
      <c r="BM482">
        <v>20180905</v>
      </c>
      <c r="BN482">
        <v>20181119</v>
      </c>
      <c r="BO482">
        <v>0</v>
      </c>
      <c r="BP482" t="s">
        <v>257</v>
      </c>
      <c r="BQ482" t="s">
        <v>983</v>
      </c>
      <c r="BR482" t="s">
        <v>978</v>
      </c>
      <c r="BS482">
        <v>32471456298</v>
      </c>
      <c r="BT482">
        <v>0</v>
      </c>
      <c r="BU482">
        <v>0</v>
      </c>
      <c r="BV482" t="s">
        <v>1013</v>
      </c>
      <c r="BW482" t="s">
        <v>257</v>
      </c>
      <c r="BX482">
        <v>0</v>
      </c>
      <c r="BY482" t="s">
        <v>980</v>
      </c>
      <c r="BZ482" t="s">
        <v>257</v>
      </c>
      <c r="CA482">
        <v>0</v>
      </c>
      <c r="CB482">
        <v>0</v>
      </c>
      <c r="CC482" t="s">
        <v>3687</v>
      </c>
      <c r="CD482">
        <v>0</v>
      </c>
      <c r="CE482">
        <v>0</v>
      </c>
      <c r="CF482">
        <v>0</v>
      </c>
      <c r="CG482">
        <v>0</v>
      </c>
      <c r="CH482">
        <v>0</v>
      </c>
      <c r="CI482" t="s">
        <v>983</v>
      </c>
      <c r="CJ482" t="s">
        <v>972</v>
      </c>
      <c r="CK482" t="s">
        <v>986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 t="s">
        <v>987</v>
      </c>
      <c r="CV482">
        <v>400008486</v>
      </c>
      <c r="CW482" t="s">
        <v>987</v>
      </c>
      <c r="CX482" t="s">
        <v>4124</v>
      </c>
      <c r="CY482" t="s">
        <v>989</v>
      </c>
    </row>
    <row r="483" spans="1:103" hidden="1" x14ac:dyDescent="0.25">
      <c r="A483">
        <v>410000487</v>
      </c>
      <c r="B483" t="s">
        <v>4125</v>
      </c>
      <c r="C483" t="s">
        <v>4126</v>
      </c>
      <c r="D483">
        <v>401100000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1</v>
      </c>
      <c r="Y483" t="s">
        <v>972</v>
      </c>
      <c r="Z483" t="s">
        <v>987</v>
      </c>
      <c r="AA483" t="s">
        <v>4127</v>
      </c>
      <c r="AB483" t="s">
        <v>975</v>
      </c>
      <c r="AC483">
        <v>4000</v>
      </c>
      <c r="AD483" t="s">
        <v>1019</v>
      </c>
      <c r="AE483">
        <v>3242532222</v>
      </c>
      <c r="AF483">
        <v>3242522030</v>
      </c>
      <c r="AG483" t="s">
        <v>4128</v>
      </c>
      <c r="AH483" t="s">
        <v>977</v>
      </c>
      <c r="AI483" t="s">
        <v>977</v>
      </c>
      <c r="AJ483" t="s">
        <v>978</v>
      </c>
      <c r="AK483" t="s">
        <v>978</v>
      </c>
      <c r="AL483" t="s">
        <v>978</v>
      </c>
      <c r="AM483" t="s">
        <v>979</v>
      </c>
      <c r="AN483">
        <v>0</v>
      </c>
      <c r="AO483" t="s">
        <v>257</v>
      </c>
      <c r="AP483">
        <v>0</v>
      </c>
      <c r="AQ483">
        <v>20</v>
      </c>
      <c r="AR483">
        <v>43</v>
      </c>
      <c r="AS483">
        <v>1</v>
      </c>
      <c r="AT483">
        <v>0</v>
      </c>
      <c r="AU483">
        <v>1</v>
      </c>
      <c r="AV483">
        <v>0</v>
      </c>
      <c r="AW483">
        <v>0</v>
      </c>
      <c r="AX483">
        <v>0</v>
      </c>
      <c r="AY483">
        <v>1</v>
      </c>
      <c r="AZ483" t="s">
        <v>257</v>
      </c>
      <c r="BA483" t="s">
        <v>980</v>
      </c>
      <c r="BB483" t="s">
        <v>981</v>
      </c>
      <c r="BC483" t="s">
        <v>257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 t="s">
        <v>1285</v>
      </c>
      <c r="BK483" t="s">
        <v>981</v>
      </c>
      <c r="BL483" t="s">
        <v>4125</v>
      </c>
      <c r="BM483">
        <v>20180910</v>
      </c>
      <c r="BN483">
        <v>20240625</v>
      </c>
      <c r="BO483">
        <v>0</v>
      </c>
      <c r="BP483" t="s">
        <v>257</v>
      </c>
      <c r="BQ483" t="s">
        <v>983</v>
      </c>
      <c r="BR483" t="s">
        <v>978</v>
      </c>
      <c r="BS483">
        <v>32476286214</v>
      </c>
      <c r="BT483">
        <v>0</v>
      </c>
      <c r="BU483">
        <v>0</v>
      </c>
      <c r="BV483" t="s">
        <v>984</v>
      </c>
      <c r="BW483" t="s">
        <v>257</v>
      </c>
      <c r="BX483">
        <v>0</v>
      </c>
      <c r="BY483" t="s">
        <v>980</v>
      </c>
      <c r="BZ483" t="s">
        <v>257</v>
      </c>
      <c r="CA483">
        <v>0</v>
      </c>
      <c r="CB483">
        <v>0</v>
      </c>
      <c r="CC483" t="s">
        <v>1152</v>
      </c>
      <c r="CD483">
        <v>0</v>
      </c>
      <c r="CE483">
        <v>0</v>
      </c>
      <c r="CF483">
        <v>0</v>
      </c>
      <c r="CG483">
        <v>0</v>
      </c>
      <c r="CH483">
        <v>0</v>
      </c>
      <c r="CI483" t="s">
        <v>983</v>
      </c>
      <c r="CJ483" t="s">
        <v>972</v>
      </c>
      <c r="CK483" t="s">
        <v>986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 t="s">
        <v>987</v>
      </c>
      <c r="CV483">
        <v>400008487</v>
      </c>
      <c r="CW483" t="s">
        <v>987</v>
      </c>
      <c r="CX483" t="s">
        <v>4129</v>
      </c>
      <c r="CY483" t="s">
        <v>989</v>
      </c>
    </row>
    <row r="484" spans="1:103" hidden="1" x14ac:dyDescent="0.25">
      <c r="A484">
        <v>410000488</v>
      </c>
      <c r="B484" t="s">
        <v>4130</v>
      </c>
      <c r="C484" t="s">
        <v>978</v>
      </c>
      <c r="D484">
        <v>401100000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1</v>
      </c>
      <c r="X484">
        <v>1</v>
      </c>
      <c r="Y484" t="s">
        <v>972</v>
      </c>
      <c r="Z484" t="s">
        <v>987</v>
      </c>
      <c r="AA484" t="s">
        <v>4131</v>
      </c>
      <c r="AB484" t="s">
        <v>1351</v>
      </c>
      <c r="AC484">
        <v>57290</v>
      </c>
      <c r="AD484" t="s">
        <v>6944</v>
      </c>
      <c r="AE484" t="s">
        <v>979</v>
      </c>
      <c r="AF484" t="s">
        <v>979</v>
      </c>
      <c r="AG484" t="s">
        <v>977</v>
      </c>
      <c r="AH484" t="s">
        <v>977</v>
      </c>
      <c r="AI484" t="s">
        <v>977</v>
      </c>
      <c r="AJ484" t="s">
        <v>978</v>
      </c>
      <c r="AK484" t="s">
        <v>978</v>
      </c>
      <c r="AL484" t="s">
        <v>978</v>
      </c>
      <c r="AM484" t="s">
        <v>979</v>
      </c>
      <c r="AN484">
        <v>0</v>
      </c>
      <c r="AO484" t="s">
        <v>257</v>
      </c>
      <c r="AP484">
        <v>0</v>
      </c>
      <c r="AQ484">
        <v>1</v>
      </c>
      <c r="AR484">
        <v>43</v>
      </c>
      <c r="AS484">
        <v>1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1</v>
      </c>
      <c r="AZ484" t="s">
        <v>257</v>
      </c>
      <c r="BA484" t="s">
        <v>257</v>
      </c>
      <c r="BB484" t="s">
        <v>981</v>
      </c>
      <c r="BC484" t="s">
        <v>257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 t="s">
        <v>998</v>
      </c>
      <c r="BK484" t="s">
        <v>981</v>
      </c>
      <c r="BL484" t="s">
        <v>4130</v>
      </c>
      <c r="BM484">
        <v>20180913</v>
      </c>
      <c r="BN484">
        <v>20250402</v>
      </c>
      <c r="BO484">
        <v>0</v>
      </c>
      <c r="BP484" t="s">
        <v>257</v>
      </c>
      <c r="BQ484" t="s">
        <v>983</v>
      </c>
      <c r="BR484" t="s">
        <v>978</v>
      </c>
      <c r="BS484" t="s">
        <v>979</v>
      </c>
      <c r="BT484">
        <v>0</v>
      </c>
      <c r="BU484">
        <v>0</v>
      </c>
      <c r="BV484" t="s">
        <v>1013</v>
      </c>
      <c r="BW484" t="s">
        <v>257</v>
      </c>
      <c r="BX484">
        <v>0</v>
      </c>
      <c r="BY484" t="s">
        <v>980</v>
      </c>
      <c r="BZ484" t="s">
        <v>257</v>
      </c>
      <c r="CA484">
        <v>0</v>
      </c>
      <c r="CB484">
        <v>0</v>
      </c>
      <c r="CC484" t="s">
        <v>985</v>
      </c>
      <c r="CD484">
        <v>0</v>
      </c>
      <c r="CE484">
        <v>0</v>
      </c>
      <c r="CF484">
        <v>0</v>
      </c>
      <c r="CG484">
        <v>0</v>
      </c>
      <c r="CH484">
        <v>0</v>
      </c>
      <c r="CI484" t="s">
        <v>983</v>
      </c>
      <c r="CJ484" t="s">
        <v>972</v>
      </c>
      <c r="CK484" t="s">
        <v>986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 t="s">
        <v>987</v>
      </c>
      <c r="CV484">
        <v>400008488</v>
      </c>
      <c r="CW484" t="s">
        <v>987</v>
      </c>
      <c r="CX484" t="s">
        <v>1081</v>
      </c>
      <c r="CY484" t="s">
        <v>989</v>
      </c>
    </row>
    <row r="485" spans="1:103" hidden="1" x14ac:dyDescent="0.25">
      <c r="A485">
        <v>410000489</v>
      </c>
      <c r="B485" t="s">
        <v>4133</v>
      </c>
      <c r="C485" t="s">
        <v>4134</v>
      </c>
      <c r="D485">
        <v>401100000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1</v>
      </c>
      <c r="Y485" t="s">
        <v>972</v>
      </c>
      <c r="Z485" t="s">
        <v>4135</v>
      </c>
      <c r="AA485" t="s">
        <v>4136</v>
      </c>
      <c r="AB485" t="s">
        <v>975</v>
      </c>
      <c r="AC485">
        <v>4040</v>
      </c>
      <c r="AD485" t="s">
        <v>976</v>
      </c>
      <c r="AE485" t="s">
        <v>4137</v>
      </c>
      <c r="AF485" t="s">
        <v>979</v>
      </c>
      <c r="AG485" t="s">
        <v>977</v>
      </c>
      <c r="AH485" t="s">
        <v>977</v>
      </c>
      <c r="AI485">
        <v>43999</v>
      </c>
      <c r="AJ485" t="s">
        <v>978</v>
      </c>
      <c r="AK485" t="s">
        <v>978</v>
      </c>
      <c r="AL485" t="s">
        <v>978</v>
      </c>
      <c r="AM485" t="s">
        <v>979</v>
      </c>
      <c r="AN485">
        <v>0</v>
      </c>
      <c r="AO485" t="s">
        <v>257</v>
      </c>
      <c r="AP485">
        <v>0</v>
      </c>
      <c r="AQ485">
        <v>1</v>
      </c>
      <c r="AR485">
        <v>43</v>
      </c>
      <c r="AS485">
        <v>1</v>
      </c>
      <c r="AT485">
        <v>0</v>
      </c>
      <c r="AU485">
        <v>1</v>
      </c>
      <c r="AV485">
        <v>0</v>
      </c>
      <c r="AW485">
        <v>0</v>
      </c>
      <c r="AX485">
        <v>0</v>
      </c>
      <c r="AY485">
        <v>1</v>
      </c>
      <c r="AZ485" t="s">
        <v>257</v>
      </c>
      <c r="BA485" t="s">
        <v>980</v>
      </c>
      <c r="BB485" t="s">
        <v>1010</v>
      </c>
      <c r="BC485" t="s">
        <v>257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 t="s">
        <v>998</v>
      </c>
      <c r="BK485" t="s">
        <v>981</v>
      </c>
      <c r="BL485" t="s">
        <v>4133</v>
      </c>
      <c r="BM485">
        <v>20180921</v>
      </c>
      <c r="BN485">
        <v>20250306</v>
      </c>
      <c r="BO485">
        <v>20250306</v>
      </c>
      <c r="BP485" t="s">
        <v>257</v>
      </c>
      <c r="BQ485" t="s">
        <v>983</v>
      </c>
      <c r="BR485" t="s">
        <v>978</v>
      </c>
      <c r="BS485" t="s">
        <v>979</v>
      </c>
      <c r="BT485">
        <v>0</v>
      </c>
      <c r="BU485">
        <v>0</v>
      </c>
      <c r="BV485" t="s">
        <v>984</v>
      </c>
      <c r="BW485" t="s">
        <v>257</v>
      </c>
      <c r="BX485">
        <v>0</v>
      </c>
      <c r="BY485" t="s">
        <v>980</v>
      </c>
      <c r="BZ485" t="s">
        <v>257</v>
      </c>
      <c r="CA485">
        <v>0</v>
      </c>
      <c r="CB485">
        <v>0</v>
      </c>
      <c r="CC485" t="s">
        <v>4138</v>
      </c>
      <c r="CD485">
        <v>0</v>
      </c>
      <c r="CE485">
        <v>0</v>
      </c>
      <c r="CF485">
        <v>0</v>
      </c>
      <c r="CG485">
        <v>0</v>
      </c>
      <c r="CH485">
        <v>0</v>
      </c>
      <c r="CI485" t="s">
        <v>983</v>
      </c>
      <c r="CJ485" t="s">
        <v>972</v>
      </c>
      <c r="CK485" t="s">
        <v>986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 t="s">
        <v>987</v>
      </c>
      <c r="CV485">
        <v>400008489</v>
      </c>
      <c r="CW485" t="s">
        <v>987</v>
      </c>
      <c r="CX485" t="s">
        <v>4139</v>
      </c>
      <c r="CY485" t="s">
        <v>989</v>
      </c>
    </row>
    <row r="486" spans="1:103" hidden="1" x14ac:dyDescent="0.25">
      <c r="A486">
        <v>410000490</v>
      </c>
      <c r="B486" t="s">
        <v>4140</v>
      </c>
      <c r="C486" t="s">
        <v>4141</v>
      </c>
      <c r="D486">
        <v>401100000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1</v>
      </c>
      <c r="Y486" t="s">
        <v>972</v>
      </c>
      <c r="Z486" t="s">
        <v>987</v>
      </c>
      <c r="AA486" t="s">
        <v>4142</v>
      </c>
      <c r="AB486" t="s">
        <v>975</v>
      </c>
      <c r="AC486">
        <v>1342</v>
      </c>
      <c r="AD486" t="s">
        <v>2193</v>
      </c>
      <c r="AE486">
        <v>32479926944</v>
      </c>
      <c r="AF486" t="s">
        <v>979</v>
      </c>
      <c r="AG486" t="s">
        <v>977</v>
      </c>
      <c r="AH486" t="s">
        <v>977</v>
      </c>
      <c r="AI486" t="s">
        <v>977</v>
      </c>
      <c r="AJ486" t="s">
        <v>978</v>
      </c>
      <c r="AK486" t="s">
        <v>978</v>
      </c>
      <c r="AL486" t="s">
        <v>978</v>
      </c>
      <c r="AM486" t="s">
        <v>979</v>
      </c>
      <c r="AN486">
        <v>0</v>
      </c>
      <c r="AO486" t="s">
        <v>257</v>
      </c>
      <c r="AP486">
        <v>0</v>
      </c>
      <c r="AQ486">
        <v>1</v>
      </c>
      <c r="AR486">
        <v>43</v>
      </c>
      <c r="AS486">
        <v>1</v>
      </c>
      <c r="AT486">
        <v>0</v>
      </c>
      <c r="AU486">
        <v>1</v>
      </c>
      <c r="AV486">
        <v>0</v>
      </c>
      <c r="AW486">
        <v>0</v>
      </c>
      <c r="AX486">
        <v>0</v>
      </c>
      <c r="AY486">
        <v>1</v>
      </c>
      <c r="AZ486" t="s">
        <v>257</v>
      </c>
      <c r="BA486" t="s">
        <v>980</v>
      </c>
      <c r="BB486" t="s">
        <v>981</v>
      </c>
      <c r="BC486" t="s">
        <v>257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 t="s">
        <v>998</v>
      </c>
      <c r="BK486" t="s">
        <v>981</v>
      </c>
      <c r="BL486" t="s">
        <v>4140</v>
      </c>
      <c r="BM486">
        <v>20181002</v>
      </c>
      <c r="BN486">
        <v>20181002</v>
      </c>
      <c r="BO486">
        <v>0</v>
      </c>
      <c r="BP486" t="s">
        <v>257</v>
      </c>
      <c r="BQ486" t="s">
        <v>983</v>
      </c>
      <c r="BR486" t="s">
        <v>978</v>
      </c>
      <c r="BS486" t="s">
        <v>979</v>
      </c>
      <c r="BT486">
        <v>0</v>
      </c>
      <c r="BU486">
        <v>0</v>
      </c>
      <c r="BV486" t="s">
        <v>1013</v>
      </c>
      <c r="BW486" t="s">
        <v>257</v>
      </c>
      <c r="BX486">
        <v>0</v>
      </c>
      <c r="BY486" t="s">
        <v>980</v>
      </c>
      <c r="BZ486" t="s">
        <v>257</v>
      </c>
      <c r="CA486">
        <v>0</v>
      </c>
      <c r="CB486">
        <v>0</v>
      </c>
      <c r="CC486" t="s">
        <v>1033</v>
      </c>
      <c r="CD486">
        <v>0</v>
      </c>
      <c r="CE486">
        <v>0</v>
      </c>
      <c r="CF486">
        <v>0</v>
      </c>
      <c r="CG486">
        <v>0</v>
      </c>
      <c r="CH486">
        <v>0</v>
      </c>
      <c r="CI486" t="s">
        <v>983</v>
      </c>
      <c r="CJ486" t="s">
        <v>972</v>
      </c>
      <c r="CK486" t="s">
        <v>986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 t="s">
        <v>987</v>
      </c>
      <c r="CV486">
        <v>400008490</v>
      </c>
      <c r="CW486" t="s">
        <v>987</v>
      </c>
      <c r="CX486" t="s">
        <v>1081</v>
      </c>
      <c r="CY486" t="s">
        <v>989</v>
      </c>
    </row>
    <row r="487" spans="1:103" hidden="1" x14ac:dyDescent="0.25">
      <c r="A487">
        <v>410000491</v>
      </c>
      <c r="B487" t="s">
        <v>4143</v>
      </c>
      <c r="C487" t="s">
        <v>4144</v>
      </c>
      <c r="D487">
        <v>401100000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</v>
      </c>
      <c r="X487">
        <v>1</v>
      </c>
      <c r="Y487" t="s">
        <v>972</v>
      </c>
      <c r="Z487" t="s">
        <v>4145</v>
      </c>
      <c r="AA487" t="s">
        <v>4146</v>
      </c>
      <c r="AB487" t="s">
        <v>975</v>
      </c>
      <c r="AC487">
        <v>1350</v>
      </c>
      <c r="AD487" t="s">
        <v>4147</v>
      </c>
      <c r="AE487">
        <v>32477620382</v>
      </c>
      <c r="AF487" t="s">
        <v>979</v>
      </c>
      <c r="AG487" t="s">
        <v>977</v>
      </c>
      <c r="AH487" t="s">
        <v>977</v>
      </c>
      <c r="AI487">
        <v>69202</v>
      </c>
      <c r="AJ487" t="s">
        <v>978</v>
      </c>
      <c r="AK487" t="s">
        <v>978</v>
      </c>
      <c r="AL487" t="s">
        <v>978</v>
      </c>
      <c r="AM487" t="s">
        <v>979</v>
      </c>
      <c r="AN487">
        <v>0</v>
      </c>
      <c r="AO487" t="s">
        <v>257</v>
      </c>
      <c r="AP487">
        <v>0</v>
      </c>
      <c r="AQ487">
        <v>1</v>
      </c>
      <c r="AR487">
        <v>43</v>
      </c>
      <c r="AS487">
        <v>1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1</v>
      </c>
      <c r="AZ487" t="s">
        <v>257</v>
      </c>
      <c r="BA487" t="s">
        <v>980</v>
      </c>
      <c r="BB487" t="s">
        <v>981</v>
      </c>
      <c r="BC487" t="s">
        <v>257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 t="s">
        <v>998</v>
      </c>
      <c r="BK487" t="s">
        <v>981</v>
      </c>
      <c r="BL487" t="s">
        <v>4143</v>
      </c>
      <c r="BM487">
        <v>20181002</v>
      </c>
      <c r="BN487">
        <v>20220201</v>
      </c>
      <c r="BO487">
        <v>0</v>
      </c>
      <c r="BP487" t="s">
        <v>257</v>
      </c>
      <c r="BQ487" t="s">
        <v>983</v>
      </c>
      <c r="BR487" t="s">
        <v>978</v>
      </c>
      <c r="BS487" t="s">
        <v>979</v>
      </c>
      <c r="BT487">
        <v>0</v>
      </c>
      <c r="BU487">
        <v>0</v>
      </c>
      <c r="BV487" t="s">
        <v>1013</v>
      </c>
      <c r="BW487" t="s">
        <v>257</v>
      </c>
      <c r="BX487">
        <v>0</v>
      </c>
      <c r="BY487" t="s">
        <v>980</v>
      </c>
      <c r="BZ487" t="s">
        <v>257</v>
      </c>
      <c r="CA487">
        <v>0</v>
      </c>
      <c r="CB487">
        <v>0</v>
      </c>
      <c r="CC487" t="s">
        <v>3924</v>
      </c>
      <c r="CD487">
        <v>0</v>
      </c>
      <c r="CE487">
        <v>0</v>
      </c>
      <c r="CF487">
        <v>0</v>
      </c>
      <c r="CG487">
        <v>0</v>
      </c>
      <c r="CH487">
        <v>0</v>
      </c>
      <c r="CI487" t="s">
        <v>983</v>
      </c>
      <c r="CJ487" t="s">
        <v>972</v>
      </c>
      <c r="CK487" t="s">
        <v>986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 t="s">
        <v>987</v>
      </c>
      <c r="CV487">
        <v>400008491</v>
      </c>
      <c r="CW487" t="s">
        <v>987</v>
      </c>
      <c r="CX487" t="s">
        <v>4148</v>
      </c>
      <c r="CY487" t="s">
        <v>989</v>
      </c>
    </row>
    <row r="488" spans="1:103" hidden="1" x14ac:dyDescent="0.25">
      <c r="A488">
        <v>410000492</v>
      </c>
      <c r="B488" t="s">
        <v>4149</v>
      </c>
      <c r="C488" t="s">
        <v>4150</v>
      </c>
      <c r="D488">
        <v>401100000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1</v>
      </c>
      <c r="Y488" t="s">
        <v>972</v>
      </c>
      <c r="Z488" t="s">
        <v>987</v>
      </c>
      <c r="AA488" t="s">
        <v>6945</v>
      </c>
      <c r="AB488" t="s">
        <v>975</v>
      </c>
      <c r="AC488">
        <v>4340</v>
      </c>
      <c r="AD488" t="s">
        <v>1076</v>
      </c>
      <c r="AE488" t="s">
        <v>979</v>
      </c>
      <c r="AF488" t="s">
        <v>979</v>
      </c>
      <c r="AG488" t="s">
        <v>977</v>
      </c>
      <c r="AH488" t="s">
        <v>977</v>
      </c>
      <c r="AI488">
        <v>43332</v>
      </c>
      <c r="AJ488" t="s">
        <v>4152</v>
      </c>
      <c r="AK488" t="s">
        <v>978</v>
      </c>
      <c r="AL488" t="s">
        <v>978</v>
      </c>
      <c r="AM488" t="s">
        <v>979</v>
      </c>
      <c r="AN488">
        <v>0</v>
      </c>
      <c r="AO488" t="s">
        <v>257</v>
      </c>
      <c r="AP488">
        <v>0</v>
      </c>
      <c r="AQ488">
        <v>1</v>
      </c>
      <c r="AR488">
        <v>43</v>
      </c>
      <c r="AS488">
        <v>1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1</v>
      </c>
      <c r="AZ488" t="s">
        <v>257</v>
      </c>
      <c r="BA488" t="s">
        <v>980</v>
      </c>
      <c r="BB488" t="s">
        <v>981</v>
      </c>
      <c r="BC488" t="s">
        <v>257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 t="s">
        <v>998</v>
      </c>
      <c r="BK488" t="s">
        <v>981</v>
      </c>
      <c r="BL488" t="s">
        <v>4149</v>
      </c>
      <c r="BM488">
        <v>20181002</v>
      </c>
      <c r="BN488">
        <v>20250310</v>
      </c>
      <c r="BO488">
        <v>0</v>
      </c>
      <c r="BP488" t="s">
        <v>257</v>
      </c>
      <c r="BQ488" t="s">
        <v>983</v>
      </c>
      <c r="BR488" t="s">
        <v>978</v>
      </c>
      <c r="BS488">
        <v>32485250250</v>
      </c>
      <c r="BT488">
        <v>0</v>
      </c>
      <c r="BU488">
        <v>0</v>
      </c>
      <c r="BV488" t="s">
        <v>984</v>
      </c>
      <c r="BW488" t="s">
        <v>257</v>
      </c>
      <c r="BX488">
        <v>0</v>
      </c>
      <c r="BY488" t="s">
        <v>980</v>
      </c>
      <c r="BZ488" t="s">
        <v>257</v>
      </c>
      <c r="CA488">
        <v>0</v>
      </c>
      <c r="CB488">
        <v>0</v>
      </c>
      <c r="CC488" t="s">
        <v>1022</v>
      </c>
      <c r="CD488">
        <v>0</v>
      </c>
      <c r="CE488">
        <v>0</v>
      </c>
      <c r="CF488">
        <v>0</v>
      </c>
      <c r="CG488">
        <v>0</v>
      </c>
      <c r="CH488">
        <v>0</v>
      </c>
      <c r="CI488" t="s">
        <v>983</v>
      </c>
      <c r="CJ488" t="s">
        <v>972</v>
      </c>
      <c r="CK488" t="s">
        <v>986</v>
      </c>
      <c r="CL488">
        <v>0</v>
      </c>
      <c r="CM488">
        <v>1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 t="s">
        <v>987</v>
      </c>
      <c r="CV488">
        <v>400008492</v>
      </c>
      <c r="CW488" t="s">
        <v>987</v>
      </c>
      <c r="CX488" t="s">
        <v>4153</v>
      </c>
      <c r="CY488" t="s">
        <v>989</v>
      </c>
    </row>
    <row r="489" spans="1:103" hidden="1" x14ac:dyDescent="0.25">
      <c r="A489">
        <v>410000493</v>
      </c>
      <c r="B489" t="s">
        <v>4154</v>
      </c>
      <c r="C489" t="s">
        <v>4155</v>
      </c>
      <c r="D489">
        <v>401100000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1</v>
      </c>
      <c r="Y489" t="s">
        <v>972</v>
      </c>
      <c r="Z489" t="s">
        <v>4156</v>
      </c>
      <c r="AA489" t="s">
        <v>4157</v>
      </c>
      <c r="AB489" t="s">
        <v>975</v>
      </c>
      <c r="AC489">
        <v>1350</v>
      </c>
      <c r="AD489" t="s">
        <v>4147</v>
      </c>
      <c r="AE489">
        <v>3242777530</v>
      </c>
      <c r="AF489">
        <v>3243440500</v>
      </c>
      <c r="AG489" t="s">
        <v>977</v>
      </c>
      <c r="AH489" t="s">
        <v>977</v>
      </c>
      <c r="AI489" t="s">
        <v>977</v>
      </c>
      <c r="AJ489" t="s">
        <v>978</v>
      </c>
      <c r="AK489" t="s">
        <v>978</v>
      </c>
      <c r="AL489" t="s">
        <v>978</v>
      </c>
      <c r="AM489" t="s">
        <v>979</v>
      </c>
      <c r="AN489">
        <v>0</v>
      </c>
      <c r="AO489" t="s">
        <v>257</v>
      </c>
      <c r="AP489">
        <v>0</v>
      </c>
      <c r="AQ489">
        <v>1</v>
      </c>
      <c r="AR489">
        <v>43</v>
      </c>
      <c r="AS489">
        <v>1</v>
      </c>
      <c r="AT489">
        <v>0</v>
      </c>
      <c r="AU489">
        <v>1</v>
      </c>
      <c r="AV489">
        <v>0</v>
      </c>
      <c r="AW489">
        <v>0</v>
      </c>
      <c r="AX489">
        <v>0</v>
      </c>
      <c r="AY489">
        <v>1</v>
      </c>
      <c r="AZ489" t="s">
        <v>257</v>
      </c>
      <c r="BA489" t="s">
        <v>980</v>
      </c>
      <c r="BB489" t="s">
        <v>981</v>
      </c>
      <c r="BC489" t="s">
        <v>257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 t="s">
        <v>998</v>
      </c>
      <c r="BK489" t="s">
        <v>981</v>
      </c>
      <c r="BL489" t="s">
        <v>4154</v>
      </c>
      <c r="BM489">
        <v>20181003</v>
      </c>
      <c r="BN489">
        <v>20190522</v>
      </c>
      <c r="BO489">
        <v>0</v>
      </c>
      <c r="BP489" t="s">
        <v>257</v>
      </c>
      <c r="BQ489" t="s">
        <v>983</v>
      </c>
      <c r="BR489" t="s">
        <v>978</v>
      </c>
      <c r="BS489">
        <v>32474474238</v>
      </c>
      <c r="BT489">
        <v>0</v>
      </c>
      <c r="BU489">
        <v>0</v>
      </c>
      <c r="BV489" t="s">
        <v>984</v>
      </c>
      <c r="BW489" t="s">
        <v>257</v>
      </c>
      <c r="BX489">
        <v>0</v>
      </c>
      <c r="BY489" t="s">
        <v>980</v>
      </c>
      <c r="BZ489" t="s">
        <v>257</v>
      </c>
      <c r="CA489">
        <v>0</v>
      </c>
      <c r="CB489">
        <v>0</v>
      </c>
      <c r="CC489" t="s">
        <v>1901</v>
      </c>
      <c r="CD489">
        <v>0</v>
      </c>
      <c r="CE489">
        <v>0</v>
      </c>
      <c r="CF489">
        <v>0</v>
      </c>
      <c r="CG489">
        <v>0</v>
      </c>
      <c r="CH489">
        <v>0</v>
      </c>
      <c r="CI489" t="s">
        <v>983</v>
      </c>
      <c r="CJ489" t="s">
        <v>972</v>
      </c>
      <c r="CK489" t="s">
        <v>986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 t="s">
        <v>987</v>
      </c>
      <c r="CV489">
        <v>400008493</v>
      </c>
      <c r="CW489" t="s">
        <v>987</v>
      </c>
      <c r="CX489" t="s">
        <v>4158</v>
      </c>
      <c r="CY489" t="s">
        <v>989</v>
      </c>
    </row>
    <row r="490" spans="1:103" hidden="1" x14ac:dyDescent="0.25">
      <c r="A490">
        <v>410000494</v>
      </c>
      <c r="B490" t="s">
        <v>4159</v>
      </c>
      <c r="C490" t="s">
        <v>4160</v>
      </c>
      <c r="D490">
        <v>401100000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</v>
      </c>
      <c r="W490">
        <v>1</v>
      </c>
      <c r="X490">
        <v>1</v>
      </c>
      <c r="Y490" t="s">
        <v>972</v>
      </c>
      <c r="Z490" t="s">
        <v>987</v>
      </c>
      <c r="AA490" t="s">
        <v>4161</v>
      </c>
      <c r="AB490" t="s">
        <v>975</v>
      </c>
      <c r="AC490">
        <v>6061</v>
      </c>
      <c r="AD490" t="s">
        <v>4162</v>
      </c>
      <c r="AE490" t="s">
        <v>4163</v>
      </c>
      <c r="AF490" t="s">
        <v>979</v>
      </c>
      <c r="AG490" t="s">
        <v>977</v>
      </c>
      <c r="AH490" t="s">
        <v>977</v>
      </c>
      <c r="AI490" t="s">
        <v>4164</v>
      </c>
      <c r="AJ490" t="s">
        <v>978</v>
      </c>
      <c r="AK490" t="s">
        <v>978</v>
      </c>
      <c r="AL490" t="s">
        <v>978</v>
      </c>
      <c r="AM490" t="s">
        <v>979</v>
      </c>
      <c r="AN490">
        <v>0</v>
      </c>
      <c r="AO490" t="s">
        <v>257</v>
      </c>
      <c r="AP490">
        <v>0</v>
      </c>
      <c r="AQ490">
        <v>1</v>
      </c>
      <c r="AR490">
        <v>69</v>
      </c>
      <c r="AS490">
        <v>1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1</v>
      </c>
      <c r="AZ490" t="s">
        <v>257</v>
      </c>
      <c r="BA490" t="s">
        <v>980</v>
      </c>
      <c r="BB490" t="s">
        <v>981</v>
      </c>
      <c r="BC490" t="s">
        <v>257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 t="s">
        <v>998</v>
      </c>
      <c r="BK490" t="s">
        <v>981</v>
      </c>
      <c r="BL490" t="s">
        <v>4159</v>
      </c>
      <c r="BM490">
        <v>20181004</v>
      </c>
      <c r="BN490">
        <v>20250402</v>
      </c>
      <c r="BO490">
        <v>0</v>
      </c>
      <c r="BP490" t="s">
        <v>257</v>
      </c>
      <c r="BQ490" t="s">
        <v>983</v>
      </c>
      <c r="BR490" t="s">
        <v>978</v>
      </c>
      <c r="BS490">
        <v>32485341547</v>
      </c>
      <c r="BT490">
        <v>0</v>
      </c>
      <c r="BU490">
        <v>0</v>
      </c>
      <c r="BV490" t="s">
        <v>984</v>
      </c>
      <c r="BW490" t="s">
        <v>257</v>
      </c>
      <c r="BX490">
        <v>0</v>
      </c>
      <c r="BY490" t="s">
        <v>980</v>
      </c>
      <c r="BZ490" t="s">
        <v>257</v>
      </c>
      <c r="CA490">
        <v>0</v>
      </c>
      <c r="CB490">
        <v>0</v>
      </c>
      <c r="CC490" t="s">
        <v>1033</v>
      </c>
      <c r="CD490">
        <v>0</v>
      </c>
      <c r="CE490">
        <v>0</v>
      </c>
      <c r="CF490">
        <v>0</v>
      </c>
      <c r="CG490">
        <v>0</v>
      </c>
      <c r="CH490">
        <v>0</v>
      </c>
      <c r="CI490" t="s">
        <v>983</v>
      </c>
      <c r="CJ490" t="s">
        <v>972</v>
      </c>
      <c r="CK490" t="s">
        <v>986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 t="s">
        <v>987</v>
      </c>
      <c r="CV490">
        <v>400008494</v>
      </c>
      <c r="CW490" t="s">
        <v>987</v>
      </c>
      <c r="CX490" t="s">
        <v>4165</v>
      </c>
      <c r="CY490" t="s">
        <v>989</v>
      </c>
    </row>
    <row r="491" spans="1:103" hidden="1" x14ac:dyDescent="0.25">
      <c r="A491">
        <v>410000495</v>
      </c>
      <c r="B491" t="s">
        <v>4166</v>
      </c>
      <c r="C491" t="s">
        <v>4167</v>
      </c>
      <c r="D491">
        <v>401100000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1</v>
      </c>
      <c r="Y491" t="s">
        <v>972</v>
      </c>
      <c r="Z491" t="s">
        <v>4168</v>
      </c>
      <c r="AA491" t="s">
        <v>4169</v>
      </c>
      <c r="AB491" t="s">
        <v>975</v>
      </c>
      <c r="AC491">
        <v>4041</v>
      </c>
      <c r="AD491" t="s">
        <v>1730</v>
      </c>
      <c r="AE491" t="s">
        <v>4170</v>
      </c>
      <c r="AF491">
        <v>3242481620</v>
      </c>
      <c r="AG491" t="s">
        <v>977</v>
      </c>
      <c r="AH491" t="s">
        <v>977</v>
      </c>
      <c r="AI491" t="s">
        <v>977</v>
      </c>
      <c r="AJ491" t="s">
        <v>978</v>
      </c>
      <c r="AK491" t="s">
        <v>978</v>
      </c>
      <c r="AL491" t="s">
        <v>978</v>
      </c>
      <c r="AM491" t="s">
        <v>979</v>
      </c>
      <c r="AN491">
        <v>0</v>
      </c>
      <c r="AO491" t="s">
        <v>257</v>
      </c>
      <c r="AP491">
        <v>0</v>
      </c>
      <c r="AQ491">
        <v>1</v>
      </c>
      <c r="AR491">
        <v>43</v>
      </c>
      <c r="AS491">
        <v>1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1</v>
      </c>
      <c r="AZ491" t="s">
        <v>257</v>
      </c>
      <c r="BA491" t="s">
        <v>980</v>
      </c>
      <c r="BB491" t="s">
        <v>981</v>
      </c>
      <c r="BC491" t="s">
        <v>257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 t="s">
        <v>998</v>
      </c>
      <c r="BK491" t="s">
        <v>981</v>
      </c>
      <c r="BL491" t="s">
        <v>4166</v>
      </c>
      <c r="BM491">
        <v>20181004</v>
      </c>
      <c r="BN491">
        <v>20181119</v>
      </c>
      <c r="BO491">
        <v>0</v>
      </c>
      <c r="BP491" t="s">
        <v>257</v>
      </c>
      <c r="BQ491" t="s">
        <v>983</v>
      </c>
      <c r="BR491" t="s">
        <v>978</v>
      </c>
      <c r="BS491" t="s">
        <v>979</v>
      </c>
      <c r="BT491">
        <v>0</v>
      </c>
      <c r="BU491">
        <v>0</v>
      </c>
      <c r="BV491" t="s">
        <v>1013</v>
      </c>
      <c r="BW491" t="s">
        <v>257</v>
      </c>
      <c r="BX491">
        <v>0</v>
      </c>
      <c r="BY491" t="s">
        <v>980</v>
      </c>
      <c r="BZ491" t="s">
        <v>257</v>
      </c>
      <c r="CA491">
        <v>0</v>
      </c>
      <c r="CB491">
        <v>0</v>
      </c>
      <c r="CC491" t="s">
        <v>1038</v>
      </c>
      <c r="CD491">
        <v>0</v>
      </c>
      <c r="CE491">
        <v>0</v>
      </c>
      <c r="CF491">
        <v>0</v>
      </c>
      <c r="CG491">
        <v>0</v>
      </c>
      <c r="CH491">
        <v>0</v>
      </c>
      <c r="CI491" t="s">
        <v>983</v>
      </c>
      <c r="CJ491" t="s">
        <v>972</v>
      </c>
      <c r="CK491" t="s">
        <v>986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 t="s">
        <v>987</v>
      </c>
      <c r="CV491">
        <v>400008495</v>
      </c>
      <c r="CW491" t="s">
        <v>987</v>
      </c>
      <c r="CX491" t="s">
        <v>4171</v>
      </c>
      <c r="CY491" t="s">
        <v>989</v>
      </c>
    </row>
    <row r="492" spans="1:103" hidden="1" x14ac:dyDescent="0.25">
      <c r="A492">
        <v>410000496</v>
      </c>
      <c r="B492" t="s">
        <v>4172</v>
      </c>
      <c r="C492" t="s">
        <v>4173</v>
      </c>
      <c r="D492">
        <v>401100000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1</v>
      </c>
      <c r="Y492" t="s">
        <v>972</v>
      </c>
      <c r="Z492" t="s">
        <v>4174</v>
      </c>
      <c r="AA492" t="s">
        <v>4175</v>
      </c>
      <c r="AB492" t="s">
        <v>975</v>
      </c>
      <c r="AC492">
        <v>4020</v>
      </c>
      <c r="AD492" t="s">
        <v>1019</v>
      </c>
      <c r="AE492" t="s">
        <v>979</v>
      </c>
      <c r="AF492" t="s">
        <v>979</v>
      </c>
      <c r="AG492" t="s">
        <v>977</v>
      </c>
      <c r="AH492" t="s">
        <v>977</v>
      </c>
      <c r="AI492" t="s">
        <v>977</v>
      </c>
      <c r="AJ492" t="s">
        <v>978</v>
      </c>
      <c r="AK492" t="s">
        <v>978</v>
      </c>
      <c r="AL492" t="s">
        <v>978</v>
      </c>
      <c r="AM492" t="s">
        <v>979</v>
      </c>
      <c r="AN492">
        <v>0</v>
      </c>
      <c r="AO492" t="s">
        <v>257</v>
      </c>
      <c r="AP492">
        <v>0</v>
      </c>
      <c r="AQ492">
        <v>1</v>
      </c>
      <c r="AR492">
        <v>43</v>
      </c>
      <c r="AS492">
        <v>1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1</v>
      </c>
      <c r="AZ492" t="s">
        <v>257</v>
      </c>
      <c r="BA492" t="s">
        <v>980</v>
      </c>
      <c r="BB492" t="s">
        <v>981</v>
      </c>
      <c r="BC492" t="s">
        <v>257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 t="s">
        <v>998</v>
      </c>
      <c r="BK492" t="s">
        <v>981</v>
      </c>
      <c r="BL492" t="s">
        <v>4172</v>
      </c>
      <c r="BM492">
        <v>20181012</v>
      </c>
      <c r="BN492">
        <v>0</v>
      </c>
      <c r="BO492">
        <v>0</v>
      </c>
      <c r="BP492" t="s">
        <v>257</v>
      </c>
      <c r="BQ492" t="s">
        <v>983</v>
      </c>
      <c r="BR492" t="s">
        <v>978</v>
      </c>
      <c r="BS492" t="s">
        <v>4176</v>
      </c>
      <c r="BT492">
        <v>0</v>
      </c>
      <c r="BU492">
        <v>0</v>
      </c>
      <c r="BV492" t="s">
        <v>1013</v>
      </c>
      <c r="BW492" t="s">
        <v>257</v>
      </c>
      <c r="BX492">
        <v>0</v>
      </c>
      <c r="BY492" t="s">
        <v>980</v>
      </c>
      <c r="BZ492" t="s">
        <v>257</v>
      </c>
      <c r="CA492">
        <v>0</v>
      </c>
      <c r="CB492">
        <v>0</v>
      </c>
      <c r="CC492" t="s">
        <v>1572</v>
      </c>
      <c r="CD492">
        <v>0</v>
      </c>
      <c r="CE492">
        <v>0</v>
      </c>
      <c r="CF492">
        <v>0</v>
      </c>
      <c r="CG492">
        <v>0</v>
      </c>
      <c r="CH492">
        <v>0</v>
      </c>
      <c r="CI492" t="s">
        <v>983</v>
      </c>
      <c r="CJ492" t="s">
        <v>972</v>
      </c>
      <c r="CK492" t="s">
        <v>986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 t="s">
        <v>987</v>
      </c>
      <c r="CV492">
        <v>400008496</v>
      </c>
      <c r="CW492" t="s">
        <v>987</v>
      </c>
      <c r="CX492" t="s">
        <v>1081</v>
      </c>
      <c r="CY492" t="s">
        <v>989</v>
      </c>
    </row>
    <row r="493" spans="1:103" hidden="1" x14ac:dyDescent="0.25">
      <c r="A493">
        <v>410000497</v>
      </c>
      <c r="B493" t="s">
        <v>4177</v>
      </c>
      <c r="C493" t="s">
        <v>4178</v>
      </c>
      <c r="D493">
        <v>401100000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1</v>
      </c>
      <c r="Y493" t="s">
        <v>972</v>
      </c>
      <c r="Z493" t="s">
        <v>4179</v>
      </c>
      <c r="AA493" t="s">
        <v>4180</v>
      </c>
      <c r="AB493" t="s">
        <v>975</v>
      </c>
      <c r="AC493">
        <v>4300</v>
      </c>
      <c r="AD493" t="s">
        <v>1170</v>
      </c>
      <c r="AE493" t="s">
        <v>979</v>
      </c>
      <c r="AF493" t="s">
        <v>979</v>
      </c>
      <c r="AG493" t="s">
        <v>977</v>
      </c>
      <c r="AH493" t="s">
        <v>977</v>
      </c>
      <c r="AI493" t="s">
        <v>977</v>
      </c>
      <c r="AJ493" t="s">
        <v>978</v>
      </c>
      <c r="AK493" t="s">
        <v>978</v>
      </c>
      <c r="AL493" t="s">
        <v>978</v>
      </c>
      <c r="AM493" t="s">
        <v>979</v>
      </c>
      <c r="AN493">
        <v>0</v>
      </c>
      <c r="AO493" t="s">
        <v>257</v>
      </c>
      <c r="AP493">
        <v>0</v>
      </c>
      <c r="AQ493">
        <v>1</v>
      </c>
      <c r="AR493">
        <v>43</v>
      </c>
      <c r="AS493">
        <v>1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1</v>
      </c>
      <c r="AZ493" t="s">
        <v>257</v>
      </c>
      <c r="BA493" t="s">
        <v>980</v>
      </c>
      <c r="BB493" t="s">
        <v>981</v>
      </c>
      <c r="BC493" t="s">
        <v>257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 t="s">
        <v>998</v>
      </c>
      <c r="BK493" t="s">
        <v>981</v>
      </c>
      <c r="BL493" t="s">
        <v>4177</v>
      </c>
      <c r="BM493">
        <v>20181023</v>
      </c>
      <c r="BN493">
        <v>20200224</v>
      </c>
      <c r="BO493">
        <v>0</v>
      </c>
      <c r="BP493" t="s">
        <v>257</v>
      </c>
      <c r="BQ493" t="s">
        <v>983</v>
      </c>
      <c r="BR493" t="s">
        <v>978</v>
      </c>
      <c r="BS493">
        <v>473314724</v>
      </c>
      <c r="BT493">
        <v>0</v>
      </c>
      <c r="BU493">
        <v>0</v>
      </c>
      <c r="BV493" t="s">
        <v>2341</v>
      </c>
      <c r="BW493" t="s">
        <v>257</v>
      </c>
      <c r="BX493">
        <v>0</v>
      </c>
      <c r="BY493" t="s">
        <v>980</v>
      </c>
      <c r="BZ493" t="s">
        <v>257</v>
      </c>
      <c r="CA493">
        <v>0</v>
      </c>
      <c r="CB493">
        <v>0</v>
      </c>
      <c r="CC493" t="s">
        <v>3687</v>
      </c>
      <c r="CD493">
        <v>0</v>
      </c>
      <c r="CE493">
        <v>0</v>
      </c>
      <c r="CF493">
        <v>0</v>
      </c>
      <c r="CG493">
        <v>0</v>
      </c>
      <c r="CH493">
        <v>0</v>
      </c>
      <c r="CI493" t="s">
        <v>983</v>
      </c>
      <c r="CJ493" t="s">
        <v>972</v>
      </c>
      <c r="CK493" t="s">
        <v>986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 t="s">
        <v>987</v>
      </c>
      <c r="CV493">
        <v>400008497</v>
      </c>
      <c r="CW493" t="s">
        <v>987</v>
      </c>
      <c r="CX493" t="s">
        <v>1081</v>
      </c>
      <c r="CY493" t="s">
        <v>989</v>
      </c>
    </row>
    <row r="494" spans="1:103" hidden="1" x14ac:dyDescent="0.25">
      <c r="A494">
        <v>410000498</v>
      </c>
      <c r="B494" t="s">
        <v>4181</v>
      </c>
      <c r="C494" t="s">
        <v>4182</v>
      </c>
      <c r="D494">
        <v>401100000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1</v>
      </c>
      <c r="Y494" t="s">
        <v>972</v>
      </c>
      <c r="Z494" t="s">
        <v>4183</v>
      </c>
      <c r="AA494" t="s">
        <v>4184</v>
      </c>
      <c r="AB494" t="s">
        <v>975</v>
      </c>
      <c r="AC494">
        <v>4400</v>
      </c>
      <c r="AD494" t="s">
        <v>1237</v>
      </c>
      <c r="AE494" t="s">
        <v>4185</v>
      </c>
      <c r="AF494" t="s">
        <v>979</v>
      </c>
      <c r="AG494" t="s">
        <v>4186</v>
      </c>
      <c r="AH494" t="s">
        <v>977</v>
      </c>
      <c r="AI494" t="s">
        <v>977</v>
      </c>
      <c r="AJ494" t="s">
        <v>978</v>
      </c>
      <c r="AK494" t="s">
        <v>978</v>
      </c>
      <c r="AL494" t="s">
        <v>978</v>
      </c>
      <c r="AM494" t="s">
        <v>979</v>
      </c>
      <c r="AN494">
        <v>0</v>
      </c>
      <c r="AO494" t="s">
        <v>257</v>
      </c>
      <c r="AP494">
        <v>0</v>
      </c>
      <c r="AQ494">
        <v>1</v>
      </c>
      <c r="AR494">
        <v>43</v>
      </c>
      <c r="AS494">
        <v>1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1</v>
      </c>
      <c r="AZ494" t="s">
        <v>257</v>
      </c>
      <c r="BA494" t="s">
        <v>980</v>
      </c>
      <c r="BB494" t="s">
        <v>981</v>
      </c>
      <c r="BC494" t="s">
        <v>257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 t="s">
        <v>998</v>
      </c>
      <c r="BK494" t="s">
        <v>981</v>
      </c>
      <c r="BL494" t="s">
        <v>4181</v>
      </c>
      <c r="BM494">
        <v>20181031</v>
      </c>
      <c r="BN494">
        <v>20200224</v>
      </c>
      <c r="BO494">
        <v>0</v>
      </c>
      <c r="BP494" t="s">
        <v>257</v>
      </c>
      <c r="BQ494" t="s">
        <v>983</v>
      </c>
      <c r="BR494" t="s">
        <v>978</v>
      </c>
      <c r="BS494" t="s">
        <v>979</v>
      </c>
      <c r="BT494">
        <v>0</v>
      </c>
      <c r="BU494">
        <v>0</v>
      </c>
      <c r="BV494" t="s">
        <v>984</v>
      </c>
      <c r="BW494" t="s">
        <v>257</v>
      </c>
      <c r="BX494">
        <v>0</v>
      </c>
      <c r="BY494" t="s">
        <v>980</v>
      </c>
      <c r="BZ494" t="s">
        <v>257</v>
      </c>
      <c r="CA494">
        <v>0</v>
      </c>
      <c r="CB494">
        <v>0</v>
      </c>
      <c r="CC494" t="s">
        <v>1491</v>
      </c>
      <c r="CD494">
        <v>0</v>
      </c>
      <c r="CE494">
        <v>0</v>
      </c>
      <c r="CF494">
        <v>0</v>
      </c>
      <c r="CG494">
        <v>0</v>
      </c>
      <c r="CH494">
        <v>0</v>
      </c>
      <c r="CI494" t="s">
        <v>983</v>
      </c>
      <c r="CJ494" t="s">
        <v>972</v>
      </c>
      <c r="CK494" t="s">
        <v>986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 t="s">
        <v>987</v>
      </c>
      <c r="CV494">
        <v>400008498</v>
      </c>
      <c r="CW494" t="s">
        <v>987</v>
      </c>
      <c r="CX494" t="s">
        <v>4187</v>
      </c>
      <c r="CY494" t="s">
        <v>989</v>
      </c>
    </row>
    <row r="495" spans="1:103" hidden="1" x14ac:dyDescent="0.25">
      <c r="A495">
        <v>410000499</v>
      </c>
      <c r="B495" t="s">
        <v>4188</v>
      </c>
      <c r="C495" t="s">
        <v>4189</v>
      </c>
      <c r="D495">
        <v>401100000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1</v>
      </c>
      <c r="Y495" t="s">
        <v>972</v>
      </c>
      <c r="Z495" t="s">
        <v>987</v>
      </c>
      <c r="AA495" t="s">
        <v>4190</v>
      </c>
      <c r="AB495" t="s">
        <v>975</v>
      </c>
      <c r="AC495">
        <v>4000</v>
      </c>
      <c r="AD495" t="s">
        <v>1019</v>
      </c>
      <c r="AE495" t="s">
        <v>979</v>
      </c>
      <c r="AF495" t="s">
        <v>979</v>
      </c>
      <c r="AG495" t="s">
        <v>4191</v>
      </c>
      <c r="AH495" t="s">
        <v>977</v>
      </c>
      <c r="AI495" t="s">
        <v>977</v>
      </c>
      <c r="AJ495" t="s">
        <v>978</v>
      </c>
      <c r="AK495" t="s">
        <v>978</v>
      </c>
      <c r="AL495" t="s">
        <v>978</v>
      </c>
      <c r="AM495" t="s">
        <v>979</v>
      </c>
      <c r="AN495">
        <v>0</v>
      </c>
      <c r="AO495" t="s">
        <v>257</v>
      </c>
      <c r="AP495">
        <v>0</v>
      </c>
      <c r="AQ495">
        <v>1</v>
      </c>
      <c r="AR495">
        <v>43</v>
      </c>
      <c r="AS495">
        <v>1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1</v>
      </c>
      <c r="AZ495" t="s">
        <v>257</v>
      </c>
      <c r="BA495" t="s">
        <v>257</v>
      </c>
      <c r="BB495" t="s">
        <v>981</v>
      </c>
      <c r="BC495" t="s">
        <v>257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 t="s">
        <v>998</v>
      </c>
      <c r="BK495" t="s">
        <v>981</v>
      </c>
      <c r="BL495" t="s">
        <v>4188</v>
      </c>
      <c r="BM495">
        <v>20181113</v>
      </c>
      <c r="BN495">
        <v>20250402</v>
      </c>
      <c r="BO495">
        <v>0</v>
      </c>
      <c r="BP495" t="s">
        <v>257</v>
      </c>
      <c r="BQ495" t="s">
        <v>983</v>
      </c>
      <c r="BR495" t="s">
        <v>978</v>
      </c>
      <c r="BS495" t="s">
        <v>979</v>
      </c>
      <c r="BT495">
        <v>0</v>
      </c>
      <c r="BU495">
        <v>0</v>
      </c>
      <c r="BV495" t="s">
        <v>1013</v>
      </c>
      <c r="BW495" t="s">
        <v>257</v>
      </c>
      <c r="BX495">
        <v>0</v>
      </c>
      <c r="BY495" t="s">
        <v>980</v>
      </c>
      <c r="BZ495" t="s">
        <v>257</v>
      </c>
      <c r="CA495">
        <v>0</v>
      </c>
      <c r="CB495">
        <v>0</v>
      </c>
      <c r="CC495" t="s">
        <v>1080</v>
      </c>
      <c r="CD495">
        <v>0</v>
      </c>
      <c r="CE495">
        <v>0</v>
      </c>
      <c r="CF495">
        <v>0</v>
      </c>
      <c r="CG495">
        <v>0</v>
      </c>
      <c r="CH495">
        <v>0</v>
      </c>
      <c r="CI495" t="s">
        <v>983</v>
      </c>
      <c r="CJ495" t="s">
        <v>972</v>
      </c>
      <c r="CK495" t="s">
        <v>986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 t="s">
        <v>987</v>
      </c>
      <c r="CV495">
        <v>400008499</v>
      </c>
      <c r="CW495" t="s">
        <v>987</v>
      </c>
      <c r="CX495" t="s">
        <v>1081</v>
      </c>
      <c r="CY495" t="s">
        <v>989</v>
      </c>
    </row>
    <row r="496" spans="1:103" hidden="1" x14ac:dyDescent="0.25">
      <c r="A496">
        <v>410000500</v>
      </c>
      <c r="B496" t="s">
        <v>4192</v>
      </c>
      <c r="C496" t="s">
        <v>4193</v>
      </c>
      <c r="D496">
        <v>401100000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1</v>
      </c>
      <c r="Y496" t="s">
        <v>972</v>
      </c>
      <c r="Z496" t="s">
        <v>987</v>
      </c>
      <c r="AA496" t="s">
        <v>4194</v>
      </c>
      <c r="AB496" t="s">
        <v>975</v>
      </c>
      <c r="AC496">
        <v>4460</v>
      </c>
      <c r="AD496" t="s">
        <v>4195</v>
      </c>
      <c r="AE496" t="s">
        <v>4196</v>
      </c>
      <c r="AF496" t="s">
        <v>4197</v>
      </c>
      <c r="AG496" t="s">
        <v>977</v>
      </c>
      <c r="AH496" t="s">
        <v>977</v>
      </c>
      <c r="AI496" t="s">
        <v>977</v>
      </c>
      <c r="AJ496" t="s">
        <v>4198</v>
      </c>
      <c r="AK496" t="s">
        <v>978</v>
      </c>
      <c r="AL496" t="s">
        <v>978</v>
      </c>
      <c r="AM496" t="s">
        <v>979</v>
      </c>
      <c r="AN496">
        <v>0</v>
      </c>
      <c r="AO496" t="s">
        <v>257</v>
      </c>
      <c r="AP496">
        <v>0</v>
      </c>
      <c r="AQ496">
        <v>1</v>
      </c>
      <c r="AR496">
        <v>69</v>
      </c>
      <c r="AS496">
        <v>1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1</v>
      </c>
      <c r="AZ496" t="s">
        <v>257</v>
      </c>
      <c r="BA496" t="s">
        <v>257</v>
      </c>
      <c r="BB496" t="s">
        <v>981</v>
      </c>
      <c r="BC496" t="s">
        <v>257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 t="s">
        <v>998</v>
      </c>
      <c r="BK496" t="s">
        <v>981</v>
      </c>
      <c r="BL496" t="s">
        <v>4192</v>
      </c>
      <c r="BM496">
        <v>20181119</v>
      </c>
      <c r="BN496">
        <v>20240910</v>
      </c>
      <c r="BO496">
        <v>0</v>
      </c>
      <c r="BP496" t="s">
        <v>257</v>
      </c>
      <c r="BQ496" t="s">
        <v>983</v>
      </c>
      <c r="BR496" t="s">
        <v>978</v>
      </c>
      <c r="BS496" t="s">
        <v>4199</v>
      </c>
      <c r="BT496">
        <v>0</v>
      </c>
      <c r="BU496">
        <v>0</v>
      </c>
      <c r="BV496" t="s">
        <v>984</v>
      </c>
      <c r="BW496" t="s">
        <v>257</v>
      </c>
      <c r="BX496">
        <v>0</v>
      </c>
      <c r="BY496" t="s">
        <v>980</v>
      </c>
      <c r="BZ496" t="s">
        <v>257</v>
      </c>
      <c r="CA496">
        <v>0</v>
      </c>
      <c r="CB496">
        <v>0</v>
      </c>
      <c r="CC496" t="s">
        <v>1329</v>
      </c>
      <c r="CD496">
        <v>0</v>
      </c>
      <c r="CE496">
        <v>0</v>
      </c>
      <c r="CF496">
        <v>0</v>
      </c>
      <c r="CG496">
        <v>0</v>
      </c>
      <c r="CH496">
        <v>0</v>
      </c>
      <c r="CI496" t="s">
        <v>983</v>
      </c>
      <c r="CJ496" t="s">
        <v>972</v>
      </c>
      <c r="CK496" t="s">
        <v>986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 t="s">
        <v>987</v>
      </c>
      <c r="CV496">
        <v>400008500</v>
      </c>
      <c r="CW496" t="s">
        <v>987</v>
      </c>
      <c r="CX496" t="s">
        <v>4200</v>
      </c>
      <c r="CY496" t="s">
        <v>989</v>
      </c>
    </row>
    <row r="497" spans="1:103" hidden="1" x14ac:dyDescent="0.25">
      <c r="A497">
        <v>410000501</v>
      </c>
      <c r="B497" t="s">
        <v>4201</v>
      </c>
      <c r="C497" t="s">
        <v>4202</v>
      </c>
      <c r="D497">
        <v>401100000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1</v>
      </c>
      <c r="Y497" t="s">
        <v>972</v>
      </c>
      <c r="Z497" t="s">
        <v>987</v>
      </c>
      <c r="AA497" t="s">
        <v>4203</v>
      </c>
      <c r="AB497" t="s">
        <v>975</v>
      </c>
      <c r="AC497">
        <v>6280</v>
      </c>
      <c r="AD497" t="s">
        <v>4204</v>
      </c>
      <c r="AE497" t="s">
        <v>979</v>
      </c>
      <c r="AF497" t="s">
        <v>979</v>
      </c>
      <c r="AG497" t="s">
        <v>977</v>
      </c>
      <c r="AH497" t="s">
        <v>977</v>
      </c>
      <c r="AI497" t="s">
        <v>977</v>
      </c>
      <c r="AJ497" t="s">
        <v>978</v>
      </c>
      <c r="AK497" t="s">
        <v>978</v>
      </c>
      <c r="AL497" t="s">
        <v>978</v>
      </c>
      <c r="AM497" t="s">
        <v>979</v>
      </c>
      <c r="AN497">
        <v>0</v>
      </c>
      <c r="AO497" t="s">
        <v>257</v>
      </c>
      <c r="AP497">
        <v>0</v>
      </c>
      <c r="AQ497">
        <v>1</v>
      </c>
      <c r="AR497">
        <v>43</v>
      </c>
      <c r="AS497">
        <v>1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1</v>
      </c>
      <c r="AZ497" t="s">
        <v>257</v>
      </c>
      <c r="BA497" t="s">
        <v>980</v>
      </c>
      <c r="BB497" t="s">
        <v>981</v>
      </c>
      <c r="BC497" t="s">
        <v>257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 t="s">
        <v>998</v>
      </c>
      <c r="BK497" t="s">
        <v>981</v>
      </c>
      <c r="BL497" t="s">
        <v>4201</v>
      </c>
      <c r="BM497">
        <v>20181122</v>
      </c>
      <c r="BN497">
        <v>0</v>
      </c>
      <c r="BO497">
        <v>0</v>
      </c>
      <c r="BP497" t="s">
        <v>257</v>
      </c>
      <c r="BQ497" t="s">
        <v>983</v>
      </c>
      <c r="BR497" t="s">
        <v>978</v>
      </c>
      <c r="BS497">
        <v>32478782954</v>
      </c>
      <c r="BT497">
        <v>0</v>
      </c>
      <c r="BU497">
        <v>0</v>
      </c>
      <c r="BV497" t="s">
        <v>1013</v>
      </c>
      <c r="BW497" t="s">
        <v>257</v>
      </c>
      <c r="BX497">
        <v>0</v>
      </c>
      <c r="BY497" t="s">
        <v>980</v>
      </c>
      <c r="BZ497" t="s">
        <v>257</v>
      </c>
      <c r="CA497">
        <v>0</v>
      </c>
      <c r="CB497">
        <v>0</v>
      </c>
      <c r="CC497" t="s">
        <v>1033</v>
      </c>
      <c r="CD497">
        <v>0</v>
      </c>
      <c r="CE497">
        <v>0</v>
      </c>
      <c r="CF497">
        <v>0</v>
      </c>
      <c r="CG497">
        <v>0</v>
      </c>
      <c r="CH497">
        <v>0</v>
      </c>
      <c r="CI497" t="s">
        <v>983</v>
      </c>
      <c r="CJ497" t="s">
        <v>972</v>
      </c>
      <c r="CK497" t="s">
        <v>986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 t="s">
        <v>987</v>
      </c>
      <c r="CV497">
        <v>400008501</v>
      </c>
      <c r="CW497" t="s">
        <v>987</v>
      </c>
      <c r="CX497" t="s">
        <v>1081</v>
      </c>
      <c r="CY497" t="s">
        <v>989</v>
      </c>
    </row>
    <row r="498" spans="1:103" hidden="1" x14ac:dyDescent="0.25">
      <c r="A498">
        <v>410000502</v>
      </c>
      <c r="B498" t="s">
        <v>4205</v>
      </c>
      <c r="C498" t="s">
        <v>4206</v>
      </c>
      <c r="D498">
        <v>401100000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1</v>
      </c>
      <c r="Y498" t="s">
        <v>972</v>
      </c>
      <c r="Z498" t="s">
        <v>987</v>
      </c>
      <c r="AA498" t="s">
        <v>4207</v>
      </c>
      <c r="AB498" t="s">
        <v>975</v>
      </c>
      <c r="AC498">
        <v>4400</v>
      </c>
      <c r="AD498" t="s">
        <v>1237</v>
      </c>
      <c r="AE498" t="s">
        <v>4208</v>
      </c>
      <c r="AF498" t="s">
        <v>4209</v>
      </c>
      <c r="AG498" t="s">
        <v>4210</v>
      </c>
      <c r="AH498" t="s">
        <v>977</v>
      </c>
      <c r="AI498" t="s">
        <v>977</v>
      </c>
      <c r="AJ498" t="s">
        <v>978</v>
      </c>
      <c r="AK498" t="s">
        <v>978</v>
      </c>
      <c r="AL498" t="s">
        <v>978</v>
      </c>
      <c r="AM498" t="s">
        <v>979</v>
      </c>
      <c r="AN498">
        <v>0</v>
      </c>
      <c r="AO498" t="s">
        <v>257</v>
      </c>
      <c r="AP498">
        <v>0</v>
      </c>
      <c r="AQ498">
        <v>1</v>
      </c>
      <c r="AR498">
        <v>69</v>
      </c>
      <c r="AS498">
        <v>1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1</v>
      </c>
      <c r="AZ498" t="s">
        <v>257</v>
      </c>
      <c r="BA498" t="s">
        <v>257</v>
      </c>
      <c r="BB498" t="s">
        <v>981</v>
      </c>
      <c r="BC498" t="s">
        <v>257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 t="s">
        <v>998</v>
      </c>
      <c r="BK498" t="s">
        <v>981</v>
      </c>
      <c r="BL498" t="s">
        <v>4205</v>
      </c>
      <c r="BM498">
        <v>20181213</v>
      </c>
      <c r="BN498">
        <v>20250402</v>
      </c>
      <c r="BO498">
        <v>0</v>
      </c>
      <c r="BP498" t="s">
        <v>257</v>
      </c>
      <c r="BQ498" t="s">
        <v>983</v>
      </c>
      <c r="BR498" t="s">
        <v>978</v>
      </c>
      <c r="BS498" t="s">
        <v>4211</v>
      </c>
      <c r="BT498">
        <v>0</v>
      </c>
      <c r="BU498">
        <v>0</v>
      </c>
      <c r="BV498" t="s">
        <v>1013</v>
      </c>
      <c r="BW498" t="s">
        <v>257</v>
      </c>
      <c r="BX498">
        <v>0</v>
      </c>
      <c r="BY498" t="s">
        <v>980</v>
      </c>
      <c r="BZ498" t="s">
        <v>257</v>
      </c>
      <c r="CA498">
        <v>0</v>
      </c>
      <c r="CB498">
        <v>0</v>
      </c>
      <c r="CC498" t="s">
        <v>985</v>
      </c>
      <c r="CD498">
        <v>0</v>
      </c>
      <c r="CE498">
        <v>0</v>
      </c>
      <c r="CF498">
        <v>0</v>
      </c>
      <c r="CG498">
        <v>0</v>
      </c>
      <c r="CH498">
        <v>0</v>
      </c>
      <c r="CI498" t="s">
        <v>983</v>
      </c>
      <c r="CJ498" t="s">
        <v>972</v>
      </c>
      <c r="CK498" t="s">
        <v>986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 t="s">
        <v>987</v>
      </c>
      <c r="CV498">
        <v>400008502</v>
      </c>
      <c r="CW498" t="s">
        <v>987</v>
      </c>
      <c r="CX498" t="s">
        <v>4212</v>
      </c>
      <c r="CY498" t="s">
        <v>989</v>
      </c>
    </row>
    <row r="499" spans="1:103" hidden="1" x14ac:dyDescent="0.25">
      <c r="A499">
        <v>410000503</v>
      </c>
      <c r="B499" t="s">
        <v>4213</v>
      </c>
      <c r="C499" t="s">
        <v>4214</v>
      </c>
      <c r="D499">
        <v>401100000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1</v>
      </c>
      <c r="Y499" t="s">
        <v>972</v>
      </c>
      <c r="Z499" t="s">
        <v>987</v>
      </c>
      <c r="AA499" t="s">
        <v>4215</v>
      </c>
      <c r="AB499" t="s">
        <v>975</v>
      </c>
      <c r="AC499">
        <v>4000</v>
      </c>
      <c r="AD499" t="s">
        <v>1019</v>
      </c>
      <c r="AE499" t="s">
        <v>4216</v>
      </c>
      <c r="AF499" t="s">
        <v>979</v>
      </c>
      <c r="AG499" t="s">
        <v>977</v>
      </c>
      <c r="AH499" t="s">
        <v>977</v>
      </c>
      <c r="AI499">
        <v>46695</v>
      </c>
      <c r="AJ499" t="s">
        <v>978</v>
      </c>
      <c r="AK499" t="s">
        <v>978</v>
      </c>
      <c r="AL499" t="s">
        <v>978</v>
      </c>
      <c r="AM499" t="s">
        <v>979</v>
      </c>
      <c r="AN499">
        <v>0</v>
      </c>
      <c r="AO499" t="s">
        <v>257</v>
      </c>
      <c r="AP499">
        <v>0</v>
      </c>
      <c r="AQ499">
        <v>1</v>
      </c>
      <c r="AR499">
        <v>43</v>
      </c>
      <c r="AS499">
        <v>1</v>
      </c>
      <c r="AT499">
        <v>0</v>
      </c>
      <c r="AU499">
        <v>1</v>
      </c>
      <c r="AV499">
        <v>0</v>
      </c>
      <c r="AW499">
        <v>0</v>
      </c>
      <c r="AX499">
        <v>0</v>
      </c>
      <c r="AY499">
        <v>1</v>
      </c>
      <c r="AZ499" t="s">
        <v>257</v>
      </c>
      <c r="BA499" t="s">
        <v>257</v>
      </c>
      <c r="BB499" t="s">
        <v>1010</v>
      </c>
      <c r="BC499" t="s">
        <v>257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 t="s">
        <v>998</v>
      </c>
      <c r="BK499" t="s">
        <v>981</v>
      </c>
      <c r="BL499" t="s">
        <v>4213</v>
      </c>
      <c r="BM499">
        <v>20181213</v>
      </c>
      <c r="BN499">
        <v>20250402</v>
      </c>
      <c r="BO499">
        <v>20221219</v>
      </c>
      <c r="BP499" t="s">
        <v>257</v>
      </c>
      <c r="BQ499" t="s">
        <v>983</v>
      </c>
      <c r="BR499" t="s">
        <v>978</v>
      </c>
      <c r="BS499" t="s">
        <v>979</v>
      </c>
      <c r="BT499">
        <v>0</v>
      </c>
      <c r="BU499">
        <v>0</v>
      </c>
      <c r="BV499" t="s">
        <v>984</v>
      </c>
      <c r="BW499" t="s">
        <v>257</v>
      </c>
      <c r="BX499">
        <v>0</v>
      </c>
      <c r="BY499" t="s">
        <v>980</v>
      </c>
      <c r="BZ499" t="s">
        <v>257</v>
      </c>
      <c r="CA499">
        <v>0</v>
      </c>
      <c r="CB499">
        <v>0</v>
      </c>
      <c r="CC499" t="s">
        <v>985</v>
      </c>
      <c r="CD499">
        <v>0</v>
      </c>
      <c r="CE499">
        <v>0</v>
      </c>
      <c r="CF499">
        <v>0</v>
      </c>
      <c r="CG499">
        <v>0</v>
      </c>
      <c r="CH499">
        <v>0</v>
      </c>
      <c r="CI499" t="s">
        <v>983</v>
      </c>
      <c r="CJ499" t="s">
        <v>972</v>
      </c>
      <c r="CK499" t="s">
        <v>986</v>
      </c>
      <c r="CL499">
        <v>0</v>
      </c>
      <c r="CM499">
        <v>1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 t="s">
        <v>987</v>
      </c>
      <c r="CV499">
        <v>400008503</v>
      </c>
      <c r="CW499" t="s">
        <v>987</v>
      </c>
      <c r="CX499" t="s">
        <v>4217</v>
      </c>
      <c r="CY499" t="s">
        <v>989</v>
      </c>
    </row>
    <row r="500" spans="1:103" hidden="1" x14ac:dyDescent="0.25">
      <c r="A500">
        <v>410000504</v>
      </c>
      <c r="B500" t="s">
        <v>4218</v>
      </c>
      <c r="C500" t="s">
        <v>4219</v>
      </c>
      <c r="D500">
        <v>401100000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1</v>
      </c>
      <c r="Y500" t="s">
        <v>972</v>
      </c>
      <c r="Z500" t="s">
        <v>987</v>
      </c>
      <c r="AA500" t="s">
        <v>4220</v>
      </c>
      <c r="AB500" t="s">
        <v>975</v>
      </c>
      <c r="AC500">
        <v>5501</v>
      </c>
      <c r="AD500" t="s">
        <v>4221</v>
      </c>
      <c r="AE500">
        <v>32477242648</v>
      </c>
      <c r="AF500" t="s">
        <v>979</v>
      </c>
      <c r="AG500" t="s">
        <v>977</v>
      </c>
      <c r="AH500">
        <v>821489436</v>
      </c>
      <c r="AI500" t="s">
        <v>4222</v>
      </c>
      <c r="AJ500" t="s">
        <v>4223</v>
      </c>
      <c r="AK500" t="s">
        <v>4224</v>
      </c>
      <c r="AL500" t="s">
        <v>978</v>
      </c>
      <c r="AM500" t="s">
        <v>979</v>
      </c>
      <c r="AN500">
        <v>0</v>
      </c>
      <c r="AO500" t="s">
        <v>257</v>
      </c>
      <c r="AP500">
        <v>0</v>
      </c>
      <c r="AQ500">
        <v>1</v>
      </c>
      <c r="AR500">
        <v>69</v>
      </c>
      <c r="AS500">
        <v>1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1</v>
      </c>
      <c r="AZ500" t="s">
        <v>257</v>
      </c>
      <c r="BA500" t="s">
        <v>980</v>
      </c>
      <c r="BB500" t="s">
        <v>981</v>
      </c>
      <c r="BC500" t="s">
        <v>257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 t="s">
        <v>998</v>
      </c>
      <c r="BK500" t="s">
        <v>981</v>
      </c>
      <c r="BL500" t="s">
        <v>4218</v>
      </c>
      <c r="BM500">
        <v>20190117</v>
      </c>
      <c r="BN500">
        <v>20250418</v>
      </c>
      <c r="BO500">
        <v>0</v>
      </c>
      <c r="BP500" t="s">
        <v>257</v>
      </c>
      <c r="BQ500" t="s">
        <v>983</v>
      </c>
      <c r="BR500" t="s">
        <v>978</v>
      </c>
      <c r="BS500" t="s">
        <v>979</v>
      </c>
      <c r="BT500">
        <v>0</v>
      </c>
      <c r="BU500">
        <v>0</v>
      </c>
      <c r="BV500" t="s">
        <v>984</v>
      </c>
      <c r="BW500" t="s">
        <v>257</v>
      </c>
      <c r="BX500">
        <v>0</v>
      </c>
      <c r="BY500" t="s">
        <v>980</v>
      </c>
      <c r="BZ500" t="s">
        <v>257</v>
      </c>
      <c r="CA500">
        <v>0</v>
      </c>
      <c r="CB500">
        <v>0</v>
      </c>
      <c r="CC500" t="s">
        <v>4225</v>
      </c>
      <c r="CD500">
        <v>0</v>
      </c>
      <c r="CE500">
        <v>0</v>
      </c>
      <c r="CF500">
        <v>0</v>
      </c>
      <c r="CG500">
        <v>0</v>
      </c>
      <c r="CH500">
        <v>0</v>
      </c>
      <c r="CI500" t="s">
        <v>983</v>
      </c>
      <c r="CJ500" t="s">
        <v>972</v>
      </c>
      <c r="CK500" t="s">
        <v>986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 t="s">
        <v>987</v>
      </c>
      <c r="CV500">
        <v>400008504</v>
      </c>
      <c r="CW500" t="s">
        <v>987</v>
      </c>
      <c r="CX500" t="s">
        <v>7029</v>
      </c>
      <c r="CY500" t="s">
        <v>989</v>
      </c>
    </row>
    <row r="501" spans="1:103" hidden="1" x14ac:dyDescent="0.25">
      <c r="A501">
        <v>410000505</v>
      </c>
      <c r="B501" t="s">
        <v>4226</v>
      </c>
      <c r="C501" t="s">
        <v>4227</v>
      </c>
      <c r="D501">
        <v>401100000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1</v>
      </c>
      <c r="Y501" t="s">
        <v>1091</v>
      </c>
      <c r="Z501" t="s">
        <v>4052</v>
      </c>
      <c r="AA501" t="s">
        <v>4228</v>
      </c>
      <c r="AB501" t="s">
        <v>975</v>
      </c>
      <c r="AC501">
        <v>4890</v>
      </c>
      <c r="AD501" t="s">
        <v>2603</v>
      </c>
      <c r="AE501" t="s">
        <v>979</v>
      </c>
      <c r="AF501" t="s">
        <v>979</v>
      </c>
      <c r="AG501" t="s">
        <v>977</v>
      </c>
      <c r="AH501" t="s">
        <v>977</v>
      </c>
      <c r="AI501" t="s">
        <v>977</v>
      </c>
      <c r="AJ501" t="s">
        <v>978</v>
      </c>
      <c r="AK501" t="s">
        <v>978</v>
      </c>
      <c r="AL501" t="s">
        <v>978</v>
      </c>
      <c r="AM501" t="s">
        <v>979</v>
      </c>
      <c r="AN501">
        <v>0</v>
      </c>
      <c r="AO501" t="s">
        <v>257</v>
      </c>
      <c r="AP501">
        <v>0</v>
      </c>
      <c r="AQ501">
        <v>1</v>
      </c>
      <c r="AR501">
        <v>43</v>
      </c>
      <c r="AS501">
        <v>1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1</v>
      </c>
      <c r="AZ501" t="s">
        <v>257</v>
      </c>
      <c r="BA501" t="s">
        <v>980</v>
      </c>
      <c r="BB501" t="s">
        <v>981</v>
      </c>
      <c r="BC501" t="s">
        <v>257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 t="s">
        <v>998</v>
      </c>
      <c r="BK501" t="s">
        <v>981</v>
      </c>
      <c r="BL501" t="s">
        <v>4226</v>
      </c>
      <c r="BM501">
        <v>20190117</v>
      </c>
      <c r="BN501">
        <v>20190603</v>
      </c>
      <c r="BO501">
        <v>0</v>
      </c>
      <c r="BP501" t="s">
        <v>257</v>
      </c>
      <c r="BQ501" t="s">
        <v>983</v>
      </c>
      <c r="BR501" t="s">
        <v>978</v>
      </c>
      <c r="BS501">
        <v>32473260781</v>
      </c>
      <c r="BT501">
        <v>0</v>
      </c>
      <c r="BU501">
        <v>0</v>
      </c>
      <c r="BV501" t="s">
        <v>984</v>
      </c>
      <c r="BW501" t="s">
        <v>257</v>
      </c>
      <c r="BX501">
        <v>0</v>
      </c>
      <c r="BY501" t="s">
        <v>980</v>
      </c>
      <c r="BZ501" t="s">
        <v>257</v>
      </c>
      <c r="CA501">
        <v>0</v>
      </c>
      <c r="CB501">
        <v>0</v>
      </c>
      <c r="CC501" t="s">
        <v>3167</v>
      </c>
      <c r="CD501">
        <v>0</v>
      </c>
      <c r="CE501">
        <v>0</v>
      </c>
      <c r="CF501">
        <v>0</v>
      </c>
      <c r="CG501">
        <v>0</v>
      </c>
      <c r="CH501">
        <v>0</v>
      </c>
      <c r="CI501" t="s">
        <v>983</v>
      </c>
      <c r="CJ501" t="s">
        <v>972</v>
      </c>
      <c r="CK501" t="s">
        <v>986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 t="s">
        <v>987</v>
      </c>
      <c r="CV501">
        <v>400008505</v>
      </c>
      <c r="CW501" t="s">
        <v>987</v>
      </c>
      <c r="CX501" t="s">
        <v>4229</v>
      </c>
      <c r="CY501" t="s">
        <v>989</v>
      </c>
    </row>
    <row r="502" spans="1:103" hidden="1" x14ac:dyDescent="0.25">
      <c r="A502">
        <v>410000506</v>
      </c>
      <c r="B502" t="s">
        <v>4230</v>
      </c>
      <c r="C502" t="s">
        <v>4231</v>
      </c>
      <c r="D502">
        <v>401100000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1</v>
      </c>
      <c r="Y502" t="s">
        <v>972</v>
      </c>
      <c r="Z502" t="s">
        <v>987</v>
      </c>
      <c r="AA502" t="s">
        <v>4232</v>
      </c>
      <c r="AB502" t="s">
        <v>975</v>
      </c>
      <c r="AC502">
        <v>4040</v>
      </c>
      <c r="AD502" t="s">
        <v>976</v>
      </c>
      <c r="AE502" t="s">
        <v>4233</v>
      </c>
      <c r="AF502" t="s">
        <v>979</v>
      </c>
      <c r="AG502" t="s">
        <v>977</v>
      </c>
      <c r="AH502" t="s">
        <v>977</v>
      </c>
      <c r="AI502" t="s">
        <v>977</v>
      </c>
      <c r="AJ502" t="s">
        <v>978</v>
      </c>
      <c r="AK502" t="s">
        <v>978</v>
      </c>
      <c r="AL502" t="s">
        <v>978</v>
      </c>
      <c r="AM502" t="s">
        <v>979</v>
      </c>
      <c r="AN502">
        <v>0</v>
      </c>
      <c r="AO502" t="s">
        <v>257</v>
      </c>
      <c r="AP502">
        <v>0</v>
      </c>
      <c r="AQ502">
        <v>1</v>
      </c>
      <c r="AR502">
        <v>43</v>
      </c>
      <c r="AS502">
        <v>1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1</v>
      </c>
      <c r="AZ502" t="s">
        <v>257</v>
      </c>
      <c r="BA502" t="s">
        <v>257</v>
      </c>
      <c r="BB502" t="s">
        <v>981</v>
      </c>
      <c r="BC502" t="s">
        <v>257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 t="s">
        <v>998</v>
      </c>
      <c r="BK502" t="s">
        <v>981</v>
      </c>
      <c r="BL502" t="s">
        <v>4230</v>
      </c>
      <c r="BM502">
        <v>20190201</v>
      </c>
      <c r="BN502">
        <v>20250402</v>
      </c>
      <c r="BO502">
        <v>0</v>
      </c>
      <c r="BP502" t="s">
        <v>257</v>
      </c>
      <c r="BQ502" t="s">
        <v>983</v>
      </c>
      <c r="BR502" t="s">
        <v>978</v>
      </c>
      <c r="BS502" t="s">
        <v>979</v>
      </c>
      <c r="BT502">
        <v>0</v>
      </c>
      <c r="BU502">
        <v>0</v>
      </c>
      <c r="BV502" t="s">
        <v>984</v>
      </c>
      <c r="BW502" t="s">
        <v>257</v>
      </c>
      <c r="BX502">
        <v>0</v>
      </c>
      <c r="BY502" t="s">
        <v>980</v>
      </c>
      <c r="BZ502" t="s">
        <v>257</v>
      </c>
      <c r="CA502">
        <v>0</v>
      </c>
      <c r="CB502">
        <v>0</v>
      </c>
      <c r="CC502" t="s">
        <v>985</v>
      </c>
      <c r="CD502">
        <v>0</v>
      </c>
      <c r="CE502">
        <v>0</v>
      </c>
      <c r="CF502">
        <v>0</v>
      </c>
      <c r="CG502">
        <v>0</v>
      </c>
      <c r="CH502">
        <v>0</v>
      </c>
      <c r="CI502" t="s">
        <v>983</v>
      </c>
      <c r="CJ502" t="s">
        <v>972</v>
      </c>
      <c r="CK502" t="s">
        <v>986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 t="s">
        <v>987</v>
      </c>
      <c r="CV502">
        <v>400008506</v>
      </c>
      <c r="CW502" t="s">
        <v>987</v>
      </c>
      <c r="CX502" t="s">
        <v>4234</v>
      </c>
      <c r="CY502" t="s">
        <v>989</v>
      </c>
    </row>
    <row r="503" spans="1:103" hidden="1" x14ac:dyDescent="0.25">
      <c r="A503">
        <v>410000507</v>
      </c>
      <c r="B503" t="s">
        <v>4235</v>
      </c>
      <c r="C503" t="s">
        <v>4236</v>
      </c>
      <c r="D503">
        <v>401100000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</v>
      </c>
      <c r="X503">
        <v>1</v>
      </c>
      <c r="Y503" t="s">
        <v>972</v>
      </c>
      <c r="Z503" t="s">
        <v>4237</v>
      </c>
      <c r="AA503" t="s">
        <v>4238</v>
      </c>
      <c r="AB503" t="s">
        <v>1351</v>
      </c>
      <c r="AC503">
        <v>42300</v>
      </c>
      <c r="AD503" t="s">
        <v>4239</v>
      </c>
      <c r="AE503">
        <v>33477442220</v>
      </c>
      <c r="AF503" t="s">
        <v>979</v>
      </c>
      <c r="AG503" t="s">
        <v>977</v>
      </c>
      <c r="AH503" t="s">
        <v>977</v>
      </c>
      <c r="AI503" t="s">
        <v>977</v>
      </c>
      <c r="AJ503" t="s">
        <v>4240</v>
      </c>
      <c r="AK503" t="s">
        <v>4241</v>
      </c>
      <c r="AL503" t="s">
        <v>978</v>
      </c>
      <c r="AM503" t="s">
        <v>979</v>
      </c>
      <c r="AN503">
        <v>0</v>
      </c>
      <c r="AO503" t="s">
        <v>257</v>
      </c>
      <c r="AP503">
        <v>0</v>
      </c>
      <c r="AQ503">
        <v>1</v>
      </c>
      <c r="AR503">
        <v>43</v>
      </c>
      <c r="AS503">
        <v>1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1</v>
      </c>
      <c r="AZ503" t="s">
        <v>257</v>
      </c>
      <c r="BA503" t="s">
        <v>257</v>
      </c>
      <c r="BB503" t="s">
        <v>981</v>
      </c>
      <c r="BC503" t="s">
        <v>257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 t="s">
        <v>998</v>
      </c>
      <c r="BK503" t="s">
        <v>981</v>
      </c>
      <c r="BL503" t="s">
        <v>4235</v>
      </c>
      <c r="BM503">
        <v>20190207</v>
      </c>
      <c r="BN503">
        <v>20240503</v>
      </c>
      <c r="BO503">
        <v>0</v>
      </c>
      <c r="BP503" t="s">
        <v>257</v>
      </c>
      <c r="BQ503" t="s">
        <v>983</v>
      </c>
      <c r="BR503" t="s">
        <v>978</v>
      </c>
      <c r="BS503" t="s">
        <v>4242</v>
      </c>
      <c r="BT503">
        <v>0</v>
      </c>
      <c r="BU503">
        <v>0</v>
      </c>
      <c r="BV503" t="s">
        <v>984</v>
      </c>
      <c r="BW503" t="s">
        <v>257</v>
      </c>
      <c r="BX503">
        <v>0</v>
      </c>
      <c r="BY503" t="s">
        <v>980</v>
      </c>
      <c r="BZ503" t="s">
        <v>257</v>
      </c>
      <c r="CA503">
        <v>0</v>
      </c>
      <c r="CB503">
        <v>0</v>
      </c>
      <c r="CC503" t="s">
        <v>985</v>
      </c>
      <c r="CD503">
        <v>0</v>
      </c>
      <c r="CE503">
        <v>0</v>
      </c>
      <c r="CF503">
        <v>0</v>
      </c>
      <c r="CG503">
        <v>0</v>
      </c>
      <c r="CH503">
        <v>0</v>
      </c>
      <c r="CI503" t="s">
        <v>983</v>
      </c>
      <c r="CJ503" t="s">
        <v>972</v>
      </c>
      <c r="CK503" t="s">
        <v>986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 t="s">
        <v>987</v>
      </c>
      <c r="CV503">
        <v>400008507</v>
      </c>
      <c r="CW503" t="s">
        <v>987</v>
      </c>
      <c r="CX503" t="s">
        <v>4243</v>
      </c>
      <c r="CY503" t="s">
        <v>989</v>
      </c>
    </row>
    <row r="504" spans="1:103" hidden="1" x14ac:dyDescent="0.25">
      <c r="A504">
        <v>410000508</v>
      </c>
      <c r="B504" t="s">
        <v>4244</v>
      </c>
      <c r="C504" t="s">
        <v>971</v>
      </c>
      <c r="D504">
        <v>401100000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1</v>
      </c>
      <c r="Y504" t="s">
        <v>972</v>
      </c>
      <c r="Z504" t="s">
        <v>4245</v>
      </c>
      <c r="AA504" t="s">
        <v>4246</v>
      </c>
      <c r="AB504" t="s">
        <v>975</v>
      </c>
      <c r="AC504">
        <v>4780</v>
      </c>
      <c r="AD504" t="s">
        <v>3328</v>
      </c>
      <c r="AE504">
        <v>3280280220</v>
      </c>
      <c r="AF504" t="s">
        <v>979</v>
      </c>
      <c r="AG504" t="s">
        <v>977</v>
      </c>
      <c r="AH504" t="s">
        <v>977</v>
      </c>
      <c r="AI504" t="s">
        <v>977</v>
      </c>
      <c r="AJ504" t="s">
        <v>978</v>
      </c>
      <c r="AK504" t="s">
        <v>978</v>
      </c>
      <c r="AL504" t="s">
        <v>978</v>
      </c>
      <c r="AM504" t="s">
        <v>979</v>
      </c>
      <c r="AN504">
        <v>0</v>
      </c>
      <c r="AO504" t="s">
        <v>257</v>
      </c>
      <c r="AP504">
        <v>0</v>
      </c>
      <c r="AQ504">
        <v>1</v>
      </c>
      <c r="AR504">
        <v>43</v>
      </c>
      <c r="AS504">
        <v>1</v>
      </c>
      <c r="AT504">
        <v>0</v>
      </c>
      <c r="AU504">
        <v>1</v>
      </c>
      <c r="AV504">
        <v>0</v>
      </c>
      <c r="AW504">
        <v>0</v>
      </c>
      <c r="AX504">
        <v>0</v>
      </c>
      <c r="AY504">
        <v>1</v>
      </c>
      <c r="AZ504" t="s">
        <v>257</v>
      </c>
      <c r="BA504" t="s">
        <v>980</v>
      </c>
      <c r="BB504" t="s">
        <v>981</v>
      </c>
      <c r="BC504" t="s">
        <v>257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410000001</v>
      </c>
      <c r="BJ504" t="s">
        <v>982</v>
      </c>
      <c r="BK504" t="s">
        <v>981</v>
      </c>
      <c r="BL504" t="s">
        <v>4244</v>
      </c>
      <c r="BM504">
        <v>20190214</v>
      </c>
      <c r="BN504">
        <v>20211130</v>
      </c>
      <c r="BO504">
        <v>0</v>
      </c>
      <c r="BP504" t="s">
        <v>257</v>
      </c>
      <c r="BQ504" t="s">
        <v>983</v>
      </c>
      <c r="BR504" t="s">
        <v>978</v>
      </c>
      <c r="BS504" t="s">
        <v>979</v>
      </c>
      <c r="BT504">
        <v>0</v>
      </c>
      <c r="BU504">
        <v>0</v>
      </c>
      <c r="BV504" t="s">
        <v>984</v>
      </c>
      <c r="BW504" t="s">
        <v>257</v>
      </c>
      <c r="BX504">
        <v>0</v>
      </c>
      <c r="BY504" t="s">
        <v>980</v>
      </c>
      <c r="BZ504" t="s">
        <v>257</v>
      </c>
      <c r="CA504">
        <v>0</v>
      </c>
      <c r="CB504">
        <v>0</v>
      </c>
      <c r="CC504" t="s">
        <v>1033</v>
      </c>
      <c r="CD504">
        <v>0</v>
      </c>
      <c r="CE504">
        <v>0</v>
      </c>
      <c r="CF504">
        <v>0</v>
      </c>
      <c r="CG504">
        <v>0</v>
      </c>
      <c r="CH504">
        <v>0</v>
      </c>
      <c r="CI504" t="s">
        <v>983</v>
      </c>
      <c r="CJ504" t="s">
        <v>972</v>
      </c>
      <c r="CK504" t="s">
        <v>986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 t="s">
        <v>987</v>
      </c>
      <c r="CV504">
        <v>400008508</v>
      </c>
      <c r="CW504" t="s">
        <v>987</v>
      </c>
      <c r="CX504" t="s">
        <v>1023</v>
      </c>
      <c r="CY504" t="s">
        <v>989</v>
      </c>
    </row>
    <row r="505" spans="1:103" hidden="1" x14ac:dyDescent="0.25">
      <c r="A505">
        <v>410000509</v>
      </c>
      <c r="B505" t="s">
        <v>4247</v>
      </c>
      <c r="C505" t="s">
        <v>4248</v>
      </c>
      <c r="D505">
        <v>401100000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1</v>
      </c>
      <c r="Y505" t="s">
        <v>972</v>
      </c>
      <c r="Z505" t="s">
        <v>987</v>
      </c>
      <c r="AA505" t="s">
        <v>4249</v>
      </c>
      <c r="AB505" t="s">
        <v>975</v>
      </c>
      <c r="AC505">
        <v>6700</v>
      </c>
      <c r="AD505" t="s">
        <v>4250</v>
      </c>
      <c r="AE505" t="s">
        <v>4251</v>
      </c>
      <c r="AF505" t="s">
        <v>979</v>
      </c>
      <c r="AG505" t="s">
        <v>977</v>
      </c>
      <c r="AH505" t="s">
        <v>977</v>
      </c>
      <c r="AI505" t="s">
        <v>977</v>
      </c>
      <c r="AJ505" t="s">
        <v>978</v>
      </c>
      <c r="AK505" t="s">
        <v>978</v>
      </c>
      <c r="AL505" t="s">
        <v>978</v>
      </c>
      <c r="AM505" t="s">
        <v>979</v>
      </c>
      <c r="AN505">
        <v>0</v>
      </c>
      <c r="AO505" t="s">
        <v>257</v>
      </c>
      <c r="AP505">
        <v>0</v>
      </c>
      <c r="AQ505">
        <v>1</v>
      </c>
      <c r="AR505">
        <v>43</v>
      </c>
      <c r="AS505">
        <v>1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1</v>
      </c>
      <c r="AZ505" t="s">
        <v>257</v>
      </c>
      <c r="BA505" t="s">
        <v>257</v>
      </c>
      <c r="BB505" t="s">
        <v>981</v>
      </c>
      <c r="BC505" t="s">
        <v>257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 t="s">
        <v>998</v>
      </c>
      <c r="BK505" t="s">
        <v>981</v>
      </c>
      <c r="BL505" t="s">
        <v>4247</v>
      </c>
      <c r="BM505">
        <v>20190219</v>
      </c>
      <c r="BN505">
        <v>20250402</v>
      </c>
      <c r="BO505">
        <v>0</v>
      </c>
      <c r="BP505" t="s">
        <v>257</v>
      </c>
      <c r="BQ505" t="s">
        <v>983</v>
      </c>
      <c r="BR505" t="s">
        <v>978</v>
      </c>
      <c r="BS505" t="s">
        <v>4252</v>
      </c>
      <c r="BT505">
        <v>0</v>
      </c>
      <c r="BU505">
        <v>0</v>
      </c>
      <c r="BV505" t="s">
        <v>2341</v>
      </c>
      <c r="BW505" t="s">
        <v>257</v>
      </c>
      <c r="BX505">
        <v>0</v>
      </c>
      <c r="BY505" t="s">
        <v>980</v>
      </c>
      <c r="BZ505" t="s">
        <v>257</v>
      </c>
      <c r="CA505">
        <v>0</v>
      </c>
      <c r="CB505">
        <v>0</v>
      </c>
      <c r="CC505" t="s">
        <v>985</v>
      </c>
      <c r="CD505">
        <v>0</v>
      </c>
      <c r="CE505">
        <v>0</v>
      </c>
      <c r="CF505">
        <v>0</v>
      </c>
      <c r="CG505">
        <v>0</v>
      </c>
      <c r="CH505">
        <v>0</v>
      </c>
      <c r="CI505" t="s">
        <v>983</v>
      </c>
      <c r="CJ505" t="s">
        <v>972</v>
      </c>
      <c r="CK505" t="s">
        <v>986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 t="s">
        <v>987</v>
      </c>
      <c r="CV505">
        <v>400008509</v>
      </c>
      <c r="CW505" t="s">
        <v>987</v>
      </c>
      <c r="CX505" t="s">
        <v>1081</v>
      </c>
      <c r="CY505" t="s">
        <v>989</v>
      </c>
    </row>
    <row r="506" spans="1:103" hidden="1" x14ac:dyDescent="0.25">
      <c r="A506">
        <v>410000510</v>
      </c>
      <c r="B506" t="s">
        <v>4253</v>
      </c>
      <c r="C506" t="s">
        <v>4254</v>
      </c>
      <c r="D506">
        <v>401100000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1</v>
      </c>
      <c r="Y506" t="s">
        <v>972</v>
      </c>
      <c r="Z506" t="s">
        <v>987</v>
      </c>
      <c r="AA506" t="s">
        <v>4255</v>
      </c>
      <c r="AB506" t="s">
        <v>975</v>
      </c>
      <c r="AC506">
        <v>4141</v>
      </c>
      <c r="AD506" t="s">
        <v>4256</v>
      </c>
      <c r="AE506" t="s">
        <v>4257</v>
      </c>
      <c r="AF506" t="s">
        <v>979</v>
      </c>
      <c r="AG506" t="s">
        <v>4258</v>
      </c>
      <c r="AH506" t="s">
        <v>977</v>
      </c>
      <c r="AI506" t="s">
        <v>977</v>
      </c>
      <c r="AJ506" t="s">
        <v>978</v>
      </c>
      <c r="AK506" t="s">
        <v>978</v>
      </c>
      <c r="AL506" t="s">
        <v>978</v>
      </c>
      <c r="AM506" t="s">
        <v>979</v>
      </c>
      <c r="AN506">
        <v>0</v>
      </c>
      <c r="AO506" t="s">
        <v>257</v>
      </c>
      <c r="AP506">
        <v>0</v>
      </c>
      <c r="AQ506">
        <v>1</v>
      </c>
      <c r="AR506">
        <v>43</v>
      </c>
      <c r="AS506">
        <v>1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1</v>
      </c>
      <c r="AZ506" t="s">
        <v>257</v>
      </c>
      <c r="BA506" t="s">
        <v>257</v>
      </c>
      <c r="BB506" t="s">
        <v>981</v>
      </c>
      <c r="BC506" t="s">
        <v>257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 t="s">
        <v>998</v>
      </c>
      <c r="BK506" t="s">
        <v>981</v>
      </c>
      <c r="BL506" t="s">
        <v>4253</v>
      </c>
      <c r="BM506">
        <v>20190219</v>
      </c>
      <c r="BN506">
        <v>20250402</v>
      </c>
      <c r="BO506">
        <v>0</v>
      </c>
      <c r="BP506" t="s">
        <v>257</v>
      </c>
      <c r="BQ506" t="s">
        <v>983</v>
      </c>
      <c r="BR506" t="s">
        <v>978</v>
      </c>
      <c r="BS506" t="s">
        <v>979</v>
      </c>
      <c r="BT506">
        <v>0</v>
      </c>
      <c r="BU506">
        <v>0</v>
      </c>
      <c r="BV506" t="s">
        <v>2341</v>
      </c>
      <c r="BW506" t="s">
        <v>257</v>
      </c>
      <c r="BX506">
        <v>0</v>
      </c>
      <c r="BY506" t="s">
        <v>980</v>
      </c>
      <c r="BZ506" t="s">
        <v>257</v>
      </c>
      <c r="CA506">
        <v>0</v>
      </c>
      <c r="CB506">
        <v>0</v>
      </c>
      <c r="CC506" t="s">
        <v>985</v>
      </c>
      <c r="CD506">
        <v>0</v>
      </c>
      <c r="CE506">
        <v>0</v>
      </c>
      <c r="CF506">
        <v>0</v>
      </c>
      <c r="CG506">
        <v>0</v>
      </c>
      <c r="CH506">
        <v>0</v>
      </c>
      <c r="CI506" t="s">
        <v>983</v>
      </c>
      <c r="CJ506" t="s">
        <v>972</v>
      </c>
      <c r="CK506" t="s">
        <v>986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 t="s">
        <v>987</v>
      </c>
      <c r="CV506">
        <v>400008510</v>
      </c>
      <c r="CW506" t="s">
        <v>987</v>
      </c>
      <c r="CX506" t="s">
        <v>1081</v>
      </c>
      <c r="CY506" t="s">
        <v>989</v>
      </c>
    </row>
    <row r="507" spans="1:103" hidden="1" x14ac:dyDescent="0.25">
      <c r="A507">
        <v>410000511</v>
      </c>
      <c r="B507" t="s">
        <v>4259</v>
      </c>
      <c r="C507" t="s">
        <v>4260</v>
      </c>
      <c r="D507">
        <v>401100000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1</v>
      </c>
      <c r="Y507" t="s">
        <v>972</v>
      </c>
      <c r="Z507" t="s">
        <v>987</v>
      </c>
      <c r="AA507" t="s">
        <v>7165</v>
      </c>
      <c r="AB507" t="s">
        <v>975</v>
      </c>
      <c r="AC507">
        <v>1160</v>
      </c>
      <c r="AD507" t="s">
        <v>1066</v>
      </c>
      <c r="AE507">
        <v>3225385461</v>
      </c>
      <c r="AF507" t="s">
        <v>979</v>
      </c>
      <c r="AG507" t="s">
        <v>4261</v>
      </c>
      <c r="AH507" t="s">
        <v>977</v>
      </c>
      <c r="AI507">
        <v>69201</v>
      </c>
      <c r="AJ507" t="s">
        <v>4262</v>
      </c>
      <c r="AK507" t="s">
        <v>978</v>
      </c>
      <c r="AL507" t="s">
        <v>978</v>
      </c>
      <c r="AM507" t="s">
        <v>979</v>
      </c>
      <c r="AN507">
        <v>0</v>
      </c>
      <c r="AO507" t="s">
        <v>257</v>
      </c>
      <c r="AP507">
        <v>0</v>
      </c>
      <c r="AQ507">
        <v>1</v>
      </c>
      <c r="AR507">
        <v>43</v>
      </c>
      <c r="AS507">
        <v>1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1</v>
      </c>
      <c r="AZ507" t="s">
        <v>257</v>
      </c>
      <c r="BA507" t="s">
        <v>980</v>
      </c>
      <c r="BB507" t="s">
        <v>981</v>
      </c>
      <c r="BC507" t="s">
        <v>257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 t="s">
        <v>998</v>
      </c>
      <c r="BK507" t="s">
        <v>981</v>
      </c>
      <c r="BL507" t="s">
        <v>4259</v>
      </c>
      <c r="BM507">
        <v>20190222</v>
      </c>
      <c r="BN507">
        <v>20250610</v>
      </c>
      <c r="BO507">
        <v>0</v>
      </c>
      <c r="BP507" t="s">
        <v>257</v>
      </c>
      <c r="BQ507" t="s">
        <v>983</v>
      </c>
      <c r="BR507" t="s">
        <v>978</v>
      </c>
      <c r="BS507">
        <v>32476263260</v>
      </c>
      <c r="BT507">
        <v>0</v>
      </c>
      <c r="BU507">
        <v>0</v>
      </c>
      <c r="BV507" t="s">
        <v>984</v>
      </c>
      <c r="BW507" t="s">
        <v>257</v>
      </c>
      <c r="BX507">
        <v>0</v>
      </c>
      <c r="BY507" t="s">
        <v>980</v>
      </c>
      <c r="BZ507" t="s">
        <v>257</v>
      </c>
      <c r="CA507">
        <v>0</v>
      </c>
      <c r="CB507">
        <v>0</v>
      </c>
      <c r="CC507" t="s">
        <v>1901</v>
      </c>
      <c r="CD507">
        <v>0</v>
      </c>
      <c r="CE507">
        <v>0</v>
      </c>
      <c r="CF507">
        <v>0</v>
      </c>
      <c r="CG507">
        <v>0</v>
      </c>
      <c r="CH507">
        <v>0</v>
      </c>
      <c r="CI507" t="s">
        <v>983</v>
      </c>
      <c r="CJ507" t="s">
        <v>972</v>
      </c>
      <c r="CK507" t="s">
        <v>986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 t="s">
        <v>987</v>
      </c>
      <c r="CV507">
        <v>400008511</v>
      </c>
      <c r="CW507" t="s">
        <v>987</v>
      </c>
      <c r="CX507" t="s">
        <v>7166</v>
      </c>
      <c r="CY507" t="s">
        <v>989</v>
      </c>
    </row>
    <row r="508" spans="1:103" hidden="1" x14ac:dyDescent="0.25">
      <c r="A508">
        <v>410000512</v>
      </c>
      <c r="B508" t="s">
        <v>4263</v>
      </c>
      <c r="C508" t="s">
        <v>4264</v>
      </c>
      <c r="D508">
        <v>401100000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1</v>
      </c>
      <c r="Y508" t="s">
        <v>972</v>
      </c>
      <c r="Z508" t="s">
        <v>4265</v>
      </c>
      <c r="AA508" t="s">
        <v>4266</v>
      </c>
      <c r="AB508" t="s">
        <v>975</v>
      </c>
      <c r="AC508">
        <v>5032</v>
      </c>
      <c r="AD508" t="s">
        <v>4267</v>
      </c>
      <c r="AE508" t="s">
        <v>979</v>
      </c>
      <c r="AF508" t="s">
        <v>979</v>
      </c>
      <c r="AG508" t="s">
        <v>977</v>
      </c>
      <c r="AH508" t="s">
        <v>977</v>
      </c>
      <c r="AI508" t="s">
        <v>977</v>
      </c>
      <c r="AJ508" t="s">
        <v>978</v>
      </c>
      <c r="AK508" t="s">
        <v>978</v>
      </c>
      <c r="AL508" t="s">
        <v>978</v>
      </c>
      <c r="AM508" t="s">
        <v>979</v>
      </c>
      <c r="AN508">
        <v>0</v>
      </c>
      <c r="AO508" t="s">
        <v>257</v>
      </c>
      <c r="AP508">
        <v>0</v>
      </c>
      <c r="AQ508">
        <v>1</v>
      </c>
      <c r="AR508">
        <v>43</v>
      </c>
      <c r="AS508">
        <v>1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1</v>
      </c>
      <c r="AZ508" t="s">
        <v>257</v>
      </c>
      <c r="BA508" t="s">
        <v>980</v>
      </c>
      <c r="BB508" t="s">
        <v>981</v>
      </c>
      <c r="BC508" t="s">
        <v>257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 t="s">
        <v>998</v>
      </c>
      <c r="BK508" t="s">
        <v>981</v>
      </c>
      <c r="BL508" t="s">
        <v>4263</v>
      </c>
      <c r="BM508">
        <v>20190301</v>
      </c>
      <c r="BN508">
        <v>0</v>
      </c>
      <c r="BO508">
        <v>0</v>
      </c>
      <c r="BP508" t="s">
        <v>257</v>
      </c>
      <c r="BQ508" t="s">
        <v>983</v>
      </c>
      <c r="BR508" t="s">
        <v>978</v>
      </c>
      <c r="BS508" t="s">
        <v>4268</v>
      </c>
      <c r="BT508">
        <v>0</v>
      </c>
      <c r="BU508">
        <v>0</v>
      </c>
      <c r="BV508" t="s">
        <v>984</v>
      </c>
      <c r="BW508" t="s">
        <v>257</v>
      </c>
      <c r="BX508">
        <v>0</v>
      </c>
      <c r="BY508" t="s">
        <v>980</v>
      </c>
      <c r="BZ508" t="s">
        <v>257</v>
      </c>
      <c r="CA508">
        <v>0</v>
      </c>
      <c r="CB508">
        <v>0</v>
      </c>
      <c r="CC508" t="s">
        <v>1033</v>
      </c>
      <c r="CD508">
        <v>0</v>
      </c>
      <c r="CE508">
        <v>0</v>
      </c>
      <c r="CF508">
        <v>0</v>
      </c>
      <c r="CG508">
        <v>0</v>
      </c>
      <c r="CH508">
        <v>0</v>
      </c>
      <c r="CI508" t="s">
        <v>983</v>
      </c>
      <c r="CJ508" t="s">
        <v>972</v>
      </c>
      <c r="CK508" t="s">
        <v>986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 t="s">
        <v>987</v>
      </c>
      <c r="CV508">
        <v>400008512</v>
      </c>
      <c r="CW508" t="s">
        <v>987</v>
      </c>
      <c r="CX508" t="s">
        <v>4269</v>
      </c>
      <c r="CY508" t="s">
        <v>989</v>
      </c>
    </row>
    <row r="509" spans="1:103" hidden="1" x14ac:dyDescent="0.25">
      <c r="A509">
        <v>410000513</v>
      </c>
      <c r="B509" t="s">
        <v>4270</v>
      </c>
      <c r="C509" t="s">
        <v>4271</v>
      </c>
      <c r="D509">
        <v>401100000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1</v>
      </c>
      <c r="X509">
        <v>1</v>
      </c>
      <c r="Y509" t="s">
        <v>972</v>
      </c>
      <c r="Z509" t="s">
        <v>987</v>
      </c>
      <c r="AA509" t="s">
        <v>4272</v>
      </c>
      <c r="AB509" t="s">
        <v>1626</v>
      </c>
      <c r="AC509">
        <v>9647</v>
      </c>
      <c r="AD509" t="s">
        <v>4274</v>
      </c>
      <c r="AE509" t="s">
        <v>979</v>
      </c>
      <c r="AF509" t="s">
        <v>979</v>
      </c>
      <c r="AG509" t="s">
        <v>977</v>
      </c>
      <c r="AH509" t="s">
        <v>977</v>
      </c>
      <c r="AI509" s="3">
        <v>71121</v>
      </c>
      <c r="AJ509" t="s">
        <v>978</v>
      </c>
      <c r="AK509" t="s">
        <v>978</v>
      </c>
      <c r="AL509" t="s">
        <v>978</v>
      </c>
      <c r="AM509" t="s">
        <v>979</v>
      </c>
      <c r="AN509">
        <v>0</v>
      </c>
      <c r="AO509" t="s">
        <v>257</v>
      </c>
      <c r="AP509">
        <v>0</v>
      </c>
      <c r="AQ509">
        <v>1</v>
      </c>
      <c r="AR509">
        <v>43</v>
      </c>
      <c r="AS509">
        <v>1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1</v>
      </c>
      <c r="AZ509" t="s">
        <v>257</v>
      </c>
      <c r="BA509" t="s">
        <v>257</v>
      </c>
      <c r="BB509" t="s">
        <v>1010</v>
      </c>
      <c r="BC509" t="s">
        <v>257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 t="s">
        <v>998</v>
      </c>
      <c r="BK509" t="s">
        <v>981</v>
      </c>
      <c r="BL509" t="s">
        <v>4270</v>
      </c>
      <c r="BM509">
        <v>20190307</v>
      </c>
      <c r="BN509">
        <v>20250402</v>
      </c>
      <c r="BO509">
        <v>20230427</v>
      </c>
      <c r="BP509" t="s">
        <v>257</v>
      </c>
      <c r="BQ509" t="s">
        <v>983</v>
      </c>
      <c r="BR509" t="s">
        <v>978</v>
      </c>
      <c r="BS509" t="s">
        <v>4275</v>
      </c>
      <c r="BT509">
        <v>0</v>
      </c>
      <c r="BU509">
        <v>0</v>
      </c>
      <c r="BV509" t="s">
        <v>2341</v>
      </c>
      <c r="BW509" t="s">
        <v>257</v>
      </c>
      <c r="BX509">
        <v>0</v>
      </c>
      <c r="BY509" t="s">
        <v>980</v>
      </c>
      <c r="BZ509" t="s">
        <v>257</v>
      </c>
      <c r="CA509">
        <v>0</v>
      </c>
      <c r="CB509">
        <v>0</v>
      </c>
      <c r="CC509" t="s">
        <v>985</v>
      </c>
      <c r="CD509">
        <v>0</v>
      </c>
      <c r="CE509">
        <v>0</v>
      </c>
      <c r="CF509">
        <v>0</v>
      </c>
      <c r="CG509">
        <v>0</v>
      </c>
      <c r="CH509">
        <v>0</v>
      </c>
      <c r="CI509" t="s">
        <v>983</v>
      </c>
      <c r="CJ509" t="s">
        <v>972</v>
      </c>
      <c r="CK509" t="s">
        <v>986</v>
      </c>
      <c r="CL509">
        <v>0</v>
      </c>
      <c r="CM509">
        <v>1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 t="s">
        <v>987</v>
      </c>
      <c r="CV509">
        <v>400008513</v>
      </c>
      <c r="CW509" t="s">
        <v>987</v>
      </c>
      <c r="CX509" t="s">
        <v>1081</v>
      </c>
      <c r="CY509" t="s">
        <v>989</v>
      </c>
    </row>
    <row r="510" spans="1:103" hidden="1" x14ac:dyDescent="0.25">
      <c r="A510">
        <v>410000514</v>
      </c>
      <c r="B510" t="s">
        <v>260</v>
      </c>
      <c r="C510" t="s">
        <v>4276</v>
      </c>
      <c r="D510">
        <v>401100000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1</v>
      </c>
      <c r="Y510" t="s">
        <v>972</v>
      </c>
      <c r="Z510" t="s">
        <v>4277</v>
      </c>
      <c r="AA510" t="s">
        <v>2750</v>
      </c>
      <c r="AB510" t="s">
        <v>975</v>
      </c>
      <c r="AC510">
        <v>5004</v>
      </c>
      <c r="AD510" t="s">
        <v>4278</v>
      </c>
      <c r="AE510" t="s">
        <v>4279</v>
      </c>
      <c r="AF510" t="s">
        <v>979</v>
      </c>
      <c r="AG510" t="s">
        <v>977</v>
      </c>
      <c r="AH510" t="s">
        <v>977</v>
      </c>
      <c r="AI510" t="s">
        <v>977</v>
      </c>
      <c r="AJ510" t="s">
        <v>2755</v>
      </c>
      <c r="AK510" t="s">
        <v>978</v>
      </c>
      <c r="AL510" t="s">
        <v>978</v>
      </c>
      <c r="AM510" t="s">
        <v>979</v>
      </c>
      <c r="AN510">
        <v>0</v>
      </c>
      <c r="AO510" t="s">
        <v>257</v>
      </c>
      <c r="AP510">
        <v>0</v>
      </c>
      <c r="AQ510">
        <v>1</v>
      </c>
      <c r="AR510">
        <v>69</v>
      </c>
      <c r="AS510">
        <v>1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1</v>
      </c>
      <c r="AZ510" t="s">
        <v>257</v>
      </c>
      <c r="BA510" t="s">
        <v>980</v>
      </c>
      <c r="BB510" t="s">
        <v>981</v>
      </c>
      <c r="BC510" t="s">
        <v>257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 t="s">
        <v>998</v>
      </c>
      <c r="BK510" t="s">
        <v>981</v>
      </c>
      <c r="BL510" t="s">
        <v>260</v>
      </c>
      <c r="BM510">
        <v>20190315</v>
      </c>
      <c r="BN510">
        <v>20240910</v>
      </c>
      <c r="BO510">
        <v>0</v>
      </c>
      <c r="BP510" t="s">
        <v>257</v>
      </c>
      <c r="BQ510" t="s">
        <v>983</v>
      </c>
      <c r="BR510" t="s">
        <v>978</v>
      </c>
      <c r="BS510" t="s">
        <v>979</v>
      </c>
      <c r="BT510">
        <v>0</v>
      </c>
      <c r="BU510">
        <v>0</v>
      </c>
      <c r="BV510" t="s">
        <v>984</v>
      </c>
      <c r="BW510" t="s">
        <v>257</v>
      </c>
      <c r="BX510">
        <v>0</v>
      </c>
      <c r="BY510" t="s">
        <v>980</v>
      </c>
      <c r="BZ510" t="s">
        <v>257</v>
      </c>
      <c r="CA510">
        <v>0</v>
      </c>
      <c r="CB510">
        <v>0</v>
      </c>
      <c r="CC510" t="s">
        <v>1901</v>
      </c>
      <c r="CD510">
        <v>0</v>
      </c>
      <c r="CE510">
        <v>0</v>
      </c>
      <c r="CF510">
        <v>0</v>
      </c>
      <c r="CG510">
        <v>0</v>
      </c>
      <c r="CH510">
        <v>0</v>
      </c>
      <c r="CI510" t="s">
        <v>983</v>
      </c>
      <c r="CJ510" t="s">
        <v>972</v>
      </c>
      <c r="CK510" t="s">
        <v>986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 t="s">
        <v>987</v>
      </c>
      <c r="CV510">
        <v>400008514</v>
      </c>
      <c r="CW510" t="s">
        <v>987</v>
      </c>
      <c r="CX510" t="s">
        <v>4280</v>
      </c>
      <c r="CY510" t="s">
        <v>989</v>
      </c>
    </row>
    <row r="511" spans="1:103" hidden="1" x14ac:dyDescent="0.25">
      <c r="A511">
        <v>410000515</v>
      </c>
      <c r="B511" t="s">
        <v>4281</v>
      </c>
      <c r="C511" t="s">
        <v>4282</v>
      </c>
      <c r="D511">
        <v>401100000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1</v>
      </c>
      <c r="Y511" t="s">
        <v>972</v>
      </c>
      <c r="Z511" t="s">
        <v>987</v>
      </c>
      <c r="AA511" t="s">
        <v>4283</v>
      </c>
      <c r="AB511" t="s">
        <v>975</v>
      </c>
      <c r="AC511">
        <v>4020</v>
      </c>
      <c r="AD511" t="s">
        <v>1019</v>
      </c>
      <c r="AE511" t="s">
        <v>4284</v>
      </c>
      <c r="AF511" t="s">
        <v>979</v>
      </c>
      <c r="AG511" t="s">
        <v>977</v>
      </c>
      <c r="AH511" t="s">
        <v>977</v>
      </c>
      <c r="AI511" t="s">
        <v>977</v>
      </c>
      <c r="AJ511" t="s">
        <v>978</v>
      </c>
      <c r="AK511" t="s">
        <v>978</v>
      </c>
      <c r="AL511" t="s">
        <v>978</v>
      </c>
      <c r="AM511" t="s">
        <v>979</v>
      </c>
      <c r="AN511">
        <v>0</v>
      </c>
      <c r="AO511" t="s">
        <v>257</v>
      </c>
      <c r="AP511">
        <v>0</v>
      </c>
      <c r="AQ511">
        <v>1</v>
      </c>
      <c r="AR511">
        <v>43</v>
      </c>
      <c r="AS511">
        <v>1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1</v>
      </c>
      <c r="AZ511" t="s">
        <v>257</v>
      </c>
      <c r="BA511" t="s">
        <v>257</v>
      </c>
      <c r="BB511" t="s">
        <v>981</v>
      </c>
      <c r="BC511" t="s">
        <v>257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 t="s">
        <v>998</v>
      </c>
      <c r="BK511" t="s">
        <v>981</v>
      </c>
      <c r="BL511" t="s">
        <v>4281</v>
      </c>
      <c r="BM511">
        <v>20190319</v>
      </c>
      <c r="BN511">
        <v>20190319</v>
      </c>
      <c r="BO511">
        <v>0</v>
      </c>
      <c r="BP511" t="s">
        <v>257</v>
      </c>
      <c r="BQ511" t="s">
        <v>983</v>
      </c>
      <c r="BR511" t="s">
        <v>978</v>
      </c>
      <c r="BS511" t="s">
        <v>979</v>
      </c>
      <c r="BT511">
        <v>0</v>
      </c>
      <c r="BU511">
        <v>0</v>
      </c>
      <c r="BV511" t="s">
        <v>984</v>
      </c>
      <c r="BW511" t="s">
        <v>257</v>
      </c>
      <c r="BX511">
        <v>0</v>
      </c>
      <c r="BY511" t="s">
        <v>980</v>
      </c>
      <c r="BZ511" t="s">
        <v>257</v>
      </c>
      <c r="CA511">
        <v>0</v>
      </c>
      <c r="CB511">
        <v>0</v>
      </c>
      <c r="CC511" t="s">
        <v>985</v>
      </c>
      <c r="CD511">
        <v>0</v>
      </c>
      <c r="CE511">
        <v>0</v>
      </c>
      <c r="CF511">
        <v>0</v>
      </c>
      <c r="CG511">
        <v>0</v>
      </c>
      <c r="CH511">
        <v>0</v>
      </c>
      <c r="CI511" t="s">
        <v>983</v>
      </c>
      <c r="CJ511" t="s">
        <v>972</v>
      </c>
      <c r="CK511" t="s">
        <v>986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 t="s">
        <v>987</v>
      </c>
      <c r="CV511">
        <v>400008515</v>
      </c>
      <c r="CW511" t="s">
        <v>987</v>
      </c>
      <c r="CX511" t="s">
        <v>4285</v>
      </c>
      <c r="CY511" t="s">
        <v>989</v>
      </c>
    </row>
    <row r="512" spans="1:103" hidden="1" x14ac:dyDescent="0.25">
      <c r="A512">
        <v>410000516</v>
      </c>
      <c r="B512" t="s">
        <v>4286</v>
      </c>
      <c r="C512" t="s">
        <v>4287</v>
      </c>
      <c r="D512">
        <v>401100000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1</v>
      </c>
      <c r="Y512" t="s">
        <v>972</v>
      </c>
      <c r="Z512" t="s">
        <v>4288</v>
      </c>
      <c r="AA512" t="s">
        <v>4289</v>
      </c>
      <c r="AB512" t="s">
        <v>975</v>
      </c>
      <c r="AC512">
        <v>7100</v>
      </c>
      <c r="AD512" t="s">
        <v>4290</v>
      </c>
      <c r="AE512" t="s">
        <v>4291</v>
      </c>
      <c r="AF512" t="s">
        <v>979</v>
      </c>
      <c r="AG512" t="s">
        <v>977</v>
      </c>
      <c r="AH512" t="s">
        <v>977</v>
      </c>
      <c r="AI512">
        <v>58130</v>
      </c>
      <c r="AJ512" t="s">
        <v>978</v>
      </c>
      <c r="AK512" t="s">
        <v>978</v>
      </c>
      <c r="AL512" t="s">
        <v>978</v>
      </c>
      <c r="AM512" t="s">
        <v>979</v>
      </c>
      <c r="AN512">
        <v>0</v>
      </c>
      <c r="AO512" t="s">
        <v>257</v>
      </c>
      <c r="AP512">
        <v>0</v>
      </c>
      <c r="AQ512">
        <v>1</v>
      </c>
      <c r="AR512">
        <v>43</v>
      </c>
      <c r="AS512">
        <v>1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1</v>
      </c>
      <c r="AZ512" t="s">
        <v>257</v>
      </c>
      <c r="BA512" t="s">
        <v>257</v>
      </c>
      <c r="BB512" t="s">
        <v>981</v>
      </c>
      <c r="BC512" t="s">
        <v>257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 t="s">
        <v>998</v>
      </c>
      <c r="BK512" t="s">
        <v>981</v>
      </c>
      <c r="BL512" t="s">
        <v>4286</v>
      </c>
      <c r="BM512">
        <v>20190319</v>
      </c>
      <c r="BN512">
        <v>20220201</v>
      </c>
      <c r="BO512">
        <v>0</v>
      </c>
      <c r="BP512" t="s">
        <v>257</v>
      </c>
      <c r="BQ512" t="s">
        <v>983</v>
      </c>
      <c r="BR512" t="s">
        <v>978</v>
      </c>
      <c r="BS512" t="s">
        <v>979</v>
      </c>
      <c r="BT512">
        <v>0</v>
      </c>
      <c r="BU512">
        <v>0</v>
      </c>
      <c r="BV512" t="s">
        <v>984</v>
      </c>
      <c r="BW512" t="s">
        <v>257</v>
      </c>
      <c r="BX512">
        <v>0</v>
      </c>
      <c r="BY512" t="s">
        <v>980</v>
      </c>
      <c r="BZ512" t="s">
        <v>257</v>
      </c>
      <c r="CA512">
        <v>0</v>
      </c>
      <c r="CB512">
        <v>0</v>
      </c>
      <c r="CC512" t="s">
        <v>1033</v>
      </c>
      <c r="CD512">
        <v>0</v>
      </c>
      <c r="CE512">
        <v>0</v>
      </c>
      <c r="CF512">
        <v>0</v>
      </c>
      <c r="CG512">
        <v>0</v>
      </c>
      <c r="CH512">
        <v>0</v>
      </c>
      <c r="CI512" t="s">
        <v>983</v>
      </c>
      <c r="CJ512" t="s">
        <v>972</v>
      </c>
      <c r="CK512" t="s">
        <v>986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 t="s">
        <v>987</v>
      </c>
      <c r="CV512">
        <v>400008516</v>
      </c>
      <c r="CW512" t="s">
        <v>987</v>
      </c>
      <c r="CX512" t="s">
        <v>4292</v>
      </c>
      <c r="CY512" t="s">
        <v>989</v>
      </c>
    </row>
    <row r="513" spans="1:103" hidden="1" x14ac:dyDescent="0.25">
      <c r="A513">
        <v>410000517</v>
      </c>
      <c r="B513" t="s">
        <v>4293</v>
      </c>
      <c r="C513" t="s">
        <v>4294</v>
      </c>
      <c r="D513">
        <v>401100000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 t="s">
        <v>972</v>
      </c>
      <c r="Z513" t="s">
        <v>4295</v>
      </c>
      <c r="AA513" t="s">
        <v>4136</v>
      </c>
      <c r="AB513" t="s">
        <v>975</v>
      </c>
      <c r="AC513">
        <v>4040</v>
      </c>
      <c r="AD513" t="s">
        <v>976</v>
      </c>
      <c r="AE513">
        <v>3243434233</v>
      </c>
      <c r="AF513" t="s">
        <v>979</v>
      </c>
      <c r="AG513" t="s">
        <v>977</v>
      </c>
      <c r="AH513" t="s">
        <v>977</v>
      </c>
      <c r="AI513" t="s">
        <v>977</v>
      </c>
      <c r="AJ513" t="s">
        <v>978</v>
      </c>
      <c r="AK513" t="s">
        <v>978</v>
      </c>
      <c r="AL513" t="s">
        <v>978</v>
      </c>
      <c r="AM513" t="s">
        <v>979</v>
      </c>
      <c r="AN513">
        <v>0</v>
      </c>
      <c r="AO513" t="s">
        <v>257</v>
      </c>
      <c r="AP513">
        <v>0</v>
      </c>
      <c r="AQ513">
        <v>1</v>
      </c>
      <c r="AR513">
        <v>43</v>
      </c>
      <c r="AS513">
        <v>1</v>
      </c>
      <c r="AT513">
        <v>0</v>
      </c>
      <c r="AU513">
        <v>1</v>
      </c>
      <c r="AV513">
        <v>0</v>
      </c>
      <c r="AW513">
        <v>0</v>
      </c>
      <c r="AX513">
        <v>0</v>
      </c>
      <c r="AY513">
        <v>1</v>
      </c>
      <c r="AZ513" t="s">
        <v>257</v>
      </c>
      <c r="BA513" t="s">
        <v>980</v>
      </c>
      <c r="BB513" t="s">
        <v>1010</v>
      </c>
      <c r="BC513" t="s">
        <v>257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 t="s">
        <v>998</v>
      </c>
      <c r="BK513" t="s">
        <v>981</v>
      </c>
      <c r="BL513" t="s">
        <v>4293</v>
      </c>
      <c r="BM513">
        <v>20190322</v>
      </c>
      <c r="BN513">
        <v>20251103</v>
      </c>
      <c r="BO513">
        <v>20251103</v>
      </c>
      <c r="BP513" t="s">
        <v>257</v>
      </c>
      <c r="BQ513" t="s">
        <v>983</v>
      </c>
      <c r="BR513" t="s">
        <v>978</v>
      </c>
      <c r="BS513">
        <v>32484996592</v>
      </c>
      <c r="BT513">
        <v>0</v>
      </c>
      <c r="BU513">
        <v>0</v>
      </c>
      <c r="BV513" t="s">
        <v>984</v>
      </c>
      <c r="BW513" t="s">
        <v>257</v>
      </c>
      <c r="BX513">
        <v>0</v>
      </c>
      <c r="BY513" t="s">
        <v>980</v>
      </c>
      <c r="BZ513" t="s">
        <v>257</v>
      </c>
      <c r="CA513">
        <v>0</v>
      </c>
      <c r="CB513">
        <v>0</v>
      </c>
      <c r="CC513" t="s">
        <v>2342</v>
      </c>
      <c r="CD513">
        <v>0</v>
      </c>
      <c r="CE513">
        <v>0</v>
      </c>
      <c r="CF513">
        <v>0</v>
      </c>
      <c r="CG513">
        <v>0</v>
      </c>
      <c r="CH513">
        <v>0</v>
      </c>
      <c r="CI513" t="s">
        <v>983</v>
      </c>
      <c r="CJ513" t="s">
        <v>972</v>
      </c>
      <c r="CK513" t="s">
        <v>986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 t="s">
        <v>987</v>
      </c>
      <c r="CV513">
        <v>400008517</v>
      </c>
      <c r="CW513" t="s">
        <v>987</v>
      </c>
      <c r="CX513" t="s">
        <v>6946</v>
      </c>
      <c r="CY513" t="s">
        <v>989</v>
      </c>
    </row>
    <row r="514" spans="1:103" hidden="1" x14ac:dyDescent="0.25">
      <c r="A514">
        <v>410000518</v>
      </c>
      <c r="B514" t="s">
        <v>4296</v>
      </c>
      <c r="C514" t="s">
        <v>4297</v>
      </c>
      <c r="D514">
        <v>401100000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 t="s">
        <v>972</v>
      </c>
      <c r="Z514" t="s">
        <v>4298</v>
      </c>
      <c r="AA514" t="s">
        <v>4299</v>
      </c>
      <c r="AB514" t="s">
        <v>975</v>
      </c>
      <c r="AC514">
        <v>4121</v>
      </c>
      <c r="AD514" t="s">
        <v>4300</v>
      </c>
      <c r="AE514" t="s">
        <v>979</v>
      </c>
      <c r="AF514" t="s">
        <v>4301</v>
      </c>
      <c r="AG514" t="s">
        <v>977</v>
      </c>
      <c r="AH514" t="s">
        <v>977</v>
      </c>
      <c r="AI514">
        <v>69202</v>
      </c>
      <c r="AJ514" t="s">
        <v>978</v>
      </c>
      <c r="AK514" t="s">
        <v>978</v>
      </c>
      <c r="AL514" t="s">
        <v>978</v>
      </c>
      <c r="AM514" t="s">
        <v>979</v>
      </c>
      <c r="AN514">
        <v>0</v>
      </c>
      <c r="AO514" t="s">
        <v>257</v>
      </c>
      <c r="AP514">
        <v>0</v>
      </c>
      <c r="AQ514">
        <v>1</v>
      </c>
      <c r="AR514">
        <v>43</v>
      </c>
      <c r="AS514">
        <v>1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1</v>
      </c>
      <c r="AZ514" t="s">
        <v>257</v>
      </c>
      <c r="BA514" t="s">
        <v>257</v>
      </c>
      <c r="BB514" t="s">
        <v>981</v>
      </c>
      <c r="BC514" t="s">
        <v>257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 t="s">
        <v>998</v>
      </c>
      <c r="BK514" t="s">
        <v>981</v>
      </c>
      <c r="BL514" t="s">
        <v>4296</v>
      </c>
      <c r="BM514">
        <v>20190326</v>
      </c>
      <c r="BN514">
        <v>20230918</v>
      </c>
      <c r="BO514">
        <v>0</v>
      </c>
      <c r="BP514" t="s">
        <v>257</v>
      </c>
      <c r="BQ514" t="s">
        <v>983</v>
      </c>
      <c r="BR514" t="s">
        <v>978</v>
      </c>
      <c r="BS514" t="s">
        <v>4302</v>
      </c>
      <c r="BT514">
        <v>0</v>
      </c>
      <c r="BU514">
        <v>0</v>
      </c>
      <c r="BV514" t="s">
        <v>984</v>
      </c>
      <c r="BW514" t="s">
        <v>257</v>
      </c>
      <c r="BX514">
        <v>0</v>
      </c>
      <c r="BY514" t="s">
        <v>980</v>
      </c>
      <c r="BZ514" t="s">
        <v>257</v>
      </c>
      <c r="CA514">
        <v>0</v>
      </c>
      <c r="CB514">
        <v>0</v>
      </c>
      <c r="CC514" t="s">
        <v>985</v>
      </c>
      <c r="CD514">
        <v>0</v>
      </c>
      <c r="CE514">
        <v>0</v>
      </c>
      <c r="CF514">
        <v>0</v>
      </c>
      <c r="CG514">
        <v>0</v>
      </c>
      <c r="CH514">
        <v>0</v>
      </c>
      <c r="CI514" t="s">
        <v>983</v>
      </c>
      <c r="CJ514" t="s">
        <v>972</v>
      </c>
      <c r="CK514" t="s">
        <v>986</v>
      </c>
      <c r="CL514">
        <v>0</v>
      </c>
      <c r="CM514">
        <v>1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 t="s">
        <v>987</v>
      </c>
      <c r="CV514">
        <v>400008518</v>
      </c>
      <c r="CW514" t="s">
        <v>987</v>
      </c>
      <c r="CX514" t="s">
        <v>4303</v>
      </c>
      <c r="CY514" t="s">
        <v>989</v>
      </c>
    </row>
    <row r="515" spans="1:103" hidden="1" x14ac:dyDescent="0.25">
      <c r="A515">
        <v>410000519</v>
      </c>
      <c r="B515" t="s">
        <v>4304</v>
      </c>
      <c r="C515" t="s">
        <v>4305</v>
      </c>
      <c r="D515">
        <v>401100000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1</v>
      </c>
      <c r="Y515" t="s">
        <v>4306</v>
      </c>
      <c r="Z515" t="s">
        <v>987</v>
      </c>
      <c r="AA515" t="s">
        <v>4307</v>
      </c>
      <c r="AB515" t="s">
        <v>975</v>
      </c>
      <c r="AC515">
        <v>1000</v>
      </c>
      <c r="AD515" t="s">
        <v>1066</v>
      </c>
      <c r="AE515" t="s">
        <v>4308</v>
      </c>
      <c r="AF515" t="s">
        <v>979</v>
      </c>
      <c r="AG515" t="s">
        <v>977</v>
      </c>
      <c r="AH515" t="s">
        <v>977</v>
      </c>
      <c r="AI515" t="s">
        <v>977</v>
      </c>
      <c r="AJ515" t="s">
        <v>978</v>
      </c>
      <c r="AK515" t="s">
        <v>978</v>
      </c>
      <c r="AL515" t="s">
        <v>978</v>
      </c>
      <c r="AM515" t="s">
        <v>979</v>
      </c>
      <c r="AN515">
        <v>0</v>
      </c>
      <c r="AO515" t="s">
        <v>257</v>
      </c>
      <c r="AP515">
        <v>0</v>
      </c>
      <c r="AQ515">
        <v>1</v>
      </c>
      <c r="AR515">
        <v>43</v>
      </c>
      <c r="AS515">
        <v>1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1</v>
      </c>
      <c r="AZ515" t="s">
        <v>257</v>
      </c>
      <c r="BA515" t="s">
        <v>257</v>
      </c>
      <c r="BB515" t="s">
        <v>981</v>
      </c>
      <c r="BC515" t="s">
        <v>257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 t="s">
        <v>998</v>
      </c>
      <c r="BK515" t="s">
        <v>981</v>
      </c>
      <c r="BL515" t="s">
        <v>4304</v>
      </c>
      <c r="BM515">
        <v>20190404</v>
      </c>
      <c r="BN515">
        <v>20250402</v>
      </c>
      <c r="BO515">
        <v>0</v>
      </c>
      <c r="BP515" t="s">
        <v>257</v>
      </c>
      <c r="BQ515" t="s">
        <v>983</v>
      </c>
      <c r="BR515" t="s">
        <v>978</v>
      </c>
      <c r="BS515" t="s">
        <v>4309</v>
      </c>
      <c r="BT515">
        <v>0</v>
      </c>
      <c r="BU515">
        <v>0</v>
      </c>
      <c r="BV515" t="s">
        <v>2341</v>
      </c>
      <c r="BW515" t="s">
        <v>257</v>
      </c>
      <c r="BX515">
        <v>0</v>
      </c>
      <c r="BY515" t="s">
        <v>980</v>
      </c>
      <c r="BZ515" t="s">
        <v>257</v>
      </c>
      <c r="CA515">
        <v>0</v>
      </c>
      <c r="CB515">
        <v>0</v>
      </c>
      <c r="CC515" t="s">
        <v>985</v>
      </c>
      <c r="CD515">
        <v>0</v>
      </c>
      <c r="CE515">
        <v>0</v>
      </c>
      <c r="CF515">
        <v>0</v>
      </c>
      <c r="CG515">
        <v>0</v>
      </c>
      <c r="CH515">
        <v>0</v>
      </c>
      <c r="CI515" t="s">
        <v>983</v>
      </c>
      <c r="CJ515" t="s">
        <v>972</v>
      </c>
      <c r="CK515" t="s">
        <v>986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 t="s">
        <v>987</v>
      </c>
      <c r="CV515">
        <v>400008519</v>
      </c>
      <c r="CW515" t="s">
        <v>987</v>
      </c>
      <c r="CX515" t="s">
        <v>1081</v>
      </c>
      <c r="CY515" t="s">
        <v>989</v>
      </c>
    </row>
    <row r="516" spans="1:103" hidden="1" x14ac:dyDescent="0.25">
      <c r="A516">
        <v>410000520</v>
      </c>
      <c r="B516" t="s">
        <v>4310</v>
      </c>
      <c r="C516" t="s">
        <v>4311</v>
      </c>
      <c r="D516">
        <v>401100000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1</v>
      </c>
      <c r="Y516" t="s">
        <v>1091</v>
      </c>
      <c r="Z516" t="s">
        <v>4312</v>
      </c>
      <c r="AA516" t="s">
        <v>4313</v>
      </c>
      <c r="AB516" t="s">
        <v>975</v>
      </c>
      <c r="AC516">
        <v>4420</v>
      </c>
      <c r="AD516" t="s">
        <v>4314</v>
      </c>
      <c r="AE516" t="s">
        <v>979</v>
      </c>
      <c r="AF516" t="s">
        <v>979</v>
      </c>
      <c r="AG516" t="s">
        <v>977</v>
      </c>
      <c r="AH516" t="s">
        <v>977</v>
      </c>
      <c r="AI516" t="s">
        <v>4315</v>
      </c>
      <c r="AJ516" t="s">
        <v>4316</v>
      </c>
      <c r="AK516" t="s">
        <v>4317</v>
      </c>
      <c r="AL516" t="s">
        <v>4318</v>
      </c>
      <c r="AM516" t="s">
        <v>979</v>
      </c>
      <c r="AN516">
        <v>0</v>
      </c>
      <c r="AO516" t="s">
        <v>257</v>
      </c>
      <c r="AP516">
        <v>0</v>
      </c>
      <c r="AQ516">
        <v>1</v>
      </c>
      <c r="AR516">
        <v>43</v>
      </c>
      <c r="AS516">
        <v>1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1</v>
      </c>
      <c r="AZ516" t="s">
        <v>257</v>
      </c>
      <c r="BA516" t="s">
        <v>980</v>
      </c>
      <c r="BB516" t="s">
        <v>1010</v>
      </c>
      <c r="BC516" t="s">
        <v>257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 t="s">
        <v>998</v>
      </c>
      <c r="BK516" t="s">
        <v>981</v>
      </c>
      <c r="BL516" t="s">
        <v>4319</v>
      </c>
      <c r="BM516">
        <v>20190410</v>
      </c>
      <c r="BN516">
        <v>20200428</v>
      </c>
      <c r="BO516">
        <v>20200401</v>
      </c>
      <c r="BP516" t="s">
        <v>257</v>
      </c>
      <c r="BQ516" t="s">
        <v>983</v>
      </c>
      <c r="BR516" t="s">
        <v>978</v>
      </c>
      <c r="BS516">
        <v>32475776266</v>
      </c>
      <c r="BT516">
        <v>0</v>
      </c>
      <c r="BU516">
        <v>0</v>
      </c>
      <c r="BV516" t="s">
        <v>984</v>
      </c>
      <c r="BW516" t="s">
        <v>257</v>
      </c>
      <c r="BX516">
        <v>0</v>
      </c>
      <c r="BY516" t="s">
        <v>980</v>
      </c>
      <c r="BZ516" t="s">
        <v>257</v>
      </c>
      <c r="CA516">
        <v>0</v>
      </c>
      <c r="CB516">
        <v>0</v>
      </c>
      <c r="CC516" t="s">
        <v>1371</v>
      </c>
      <c r="CD516">
        <v>0</v>
      </c>
      <c r="CE516">
        <v>0</v>
      </c>
      <c r="CF516">
        <v>0</v>
      </c>
      <c r="CG516">
        <v>0</v>
      </c>
      <c r="CH516">
        <v>0</v>
      </c>
      <c r="CI516" t="s">
        <v>983</v>
      </c>
      <c r="CJ516" t="s">
        <v>972</v>
      </c>
      <c r="CK516" t="s">
        <v>986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 t="s">
        <v>987</v>
      </c>
      <c r="CV516">
        <v>400008520</v>
      </c>
      <c r="CW516" t="s">
        <v>987</v>
      </c>
      <c r="CX516" t="s">
        <v>4320</v>
      </c>
      <c r="CY516" t="s">
        <v>989</v>
      </c>
    </row>
    <row r="517" spans="1:103" hidden="1" x14ac:dyDescent="0.25">
      <c r="A517">
        <v>410000521</v>
      </c>
      <c r="B517" t="s">
        <v>4321</v>
      </c>
      <c r="C517" t="s">
        <v>4322</v>
      </c>
      <c r="D517">
        <v>401100000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1</v>
      </c>
      <c r="Y517" t="s">
        <v>972</v>
      </c>
      <c r="Z517" t="s">
        <v>987</v>
      </c>
      <c r="AA517" t="s">
        <v>4323</v>
      </c>
      <c r="AB517" t="s">
        <v>975</v>
      </c>
      <c r="AC517">
        <v>1180</v>
      </c>
      <c r="AD517" t="s">
        <v>1066</v>
      </c>
      <c r="AE517" t="s">
        <v>979</v>
      </c>
      <c r="AF517" t="s">
        <v>979</v>
      </c>
      <c r="AG517" t="s">
        <v>977</v>
      </c>
      <c r="AH517" t="s">
        <v>977</v>
      </c>
      <c r="AI517" t="s">
        <v>977</v>
      </c>
      <c r="AJ517" t="s">
        <v>4324</v>
      </c>
      <c r="AK517" t="s">
        <v>978</v>
      </c>
      <c r="AL517" t="s">
        <v>978</v>
      </c>
      <c r="AM517" t="s">
        <v>979</v>
      </c>
      <c r="AN517">
        <v>0</v>
      </c>
      <c r="AO517" t="s">
        <v>257</v>
      </c>
      <c r="AP517">
        <v>0</v>
      </c>
      <c r="AQ517">
        <v>1</v>
      </c>
      <c r="AR517">
        <v>43</v>
      </c>
      <c r="AS517">
        <v>1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1</v>
      </c>
      <c r="AZ517" t="s">
        <v>257</v>
      </c>
      <c r="BA517" t="s">
        <v>980</v>
      </c>
      <c r="BB517" t="s">
        <v>981</v>
      </c>
      <c r="BC517" t="s">
        <v>257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 t="s">
        <v>998</v>
      </c>
      <c r="BK517" t="s">
        <v>981</v>
      </c>
      <c r="BL517" t="s">
        <v>4321</v>
      </c>
      <c r="BM517">
        <v>20190416</v>
      </c>
      <c r="BN517">
        <v>20201217</v>
      </c>
      <c r="BO517">
        <v>0</v>
      </c>
      <c r="BP517" t="s">
        <v>257</v>
      </c>
      <c r="BQ517" t="s">
        <v>983</v>
      </c>
      <c r="BR517" t="s">
        <v>978</v>
      </c>
      <c r="BS517" t="s">
        <v>4325</v>
      </c>
      <c r="BT517">
        <v>0</v>
      </c>
      <c r="BU517">
        <v>0</v>
      </c>
      <c r="BV517" t="s">
        <v>984</v>
      </c>
      <c r="BW517" t="s">
        <v>257</v>
      </c>
      <c r="BX517">
        <v>0</v>
      </c>
      <c r="BY517" t="s">
        <v>980</v>
      </c>
      <c r="BZ517" t="s">
        <v>257</v>
      </c>
      <c r="CA517">
        <v>0</v>
      </c>
      <c r="CB517">
        <v>0</v>
      </c>
      <c r="CC517" t="s">
        <v>985</v>
      </c>
      <c r="CD517">
        <v>0</v>
      </c>
      <c r="CE517">
        <v>0</v>
      </c>
      <c r="CF517">
        <v>0</v>
      </c>
      <c r="CG517">
        <v>0</v>
      </c>
      <c r="CH517">
        <v>0</v>
      </c>
      <c r="CI517" t="s">
        <v>983</v>
      </c>
      <c r="CJ517" t="s">
        <v>972</v>
      </c>
      <c r="CK517" t="s">
        <v>986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 t="s">
        <v>987</v>
      </c>
      <c r="CV517">
        <v>400008521</v>
      </c>
      <c r="CW517" t="s">
        <v>987</v>
      </c>
      <c r="CX517" t="s">
        <v>4326</v>
      </c>
      <c r="CY517" t="s">
        <v>989</v>
      </c>
    </row>
    <row r="518" spans="1:103" hidden="1" x14ac:dyDescent="0.25">
      <c r="A518">
        <v>410000522</v>
      </c>
      <c r="B518" t="s">
        <v>4327</v>
      </c>
      <c r="C518" t="s">
        <v>4328</v>
      </c>
      <c r="D518">
        <v>401100000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 t="s">
        <v>1091</v>
      </c>
      <c r="Z518" t="s">
        <v>4329</v>
      </c>
      <c r="AA518" t="s">
        <v>4330</v>
      </c>
      <c r="AB518" t="s">
        <v>975</v>
      </c>
      <c r="AC518">
        <v>5020</v>
      </c>
      <c r="AD518" t="s">
        <v>1789</v>
      </c>
      <c r="AE518">
        <v>3281739802</v>
      </c>
      <c r="AF518" t="s">
        <v>979</v>
      </c>
      <c r="AG518" t="s">
        <v>977</v>
      </c>
      <c r="AH518" t="s">
        <v>977</v>
      </c>
      <c r="AI518" t="s">
        <v>977</v>
      </c>
      <c r="AJ518" t="s">
        <v>978</v>
      </c>
      <c r="AK518" t="s">
        <v>978</v>
      </c>
      <c r="AL518" t="s">
        <v>978</v>
      </c>
      <c r="AM518" t="s">
        <v>979</v>
      </c>
      <c r="AN518">
        <v>0</v>
      </c>
      <c r="AO518" t="s">
        <v>257</v>
      </c>
      <c r="AP518">
        <v>0</v>
      </c>
      <c r="AQ518">
        <v>16</v>
      </c>
      <c r="AR518">
        <v>43</v>
      </c>
      <c r="AS518">
        <v>1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1</v>
      </c>
      <c r="AZ518" t="s">
        <v>257</v>
      </c>
      <c r="BA518" t="s">
        <v>980</v>
      </c>
      <c r="BB518" t="s">
        <v>981</v>
      </c>
      <c r="BC518" t="s">
        <v>257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 t="s">
        <v>998</v>
      </c>
      <c r="BK518" t="s">
        <v>981</v>
      </c>
      <c r="BL518" t="s">
        <v>4327</v>
      </c>
      <c r="BM518">
        <v>20190417</v>
      </c>
      <c r="BN518">
        <v>20190809</v>
      </c>
      <c r="BO518">
        <v>0</v>
      </c>
      <c r="BP518" t="s">
        <v>257</v>
      </c>
      <c r="BQ518" t="s">
        <v>983</v>
      </c>
      <c r="BR518" t="s">
        <v>978</v>
      </c>
      <c r="BS518" t="s">
        <v>979</v>
      </c>
      <c r="BT518">
        <v>0</v>
      </c>
      <c r="BU518">
        <v>0</v>
      </c>
      <c r="BV518" t="s">
        <v>984</v>
      </c>
      <c r="BW518" t="s">
        <v>257</v>
      </c>
      <c r="BX518">
        <v>0</v>
      </c>
      <c r="BY518" t="s">
        <v>980</v>
      </c>
      <c r="BZ518" t="s">
        <v>257</v>
      </c>
      <c r="CA518">
        <v>0</v>
      </c>
      <c r="CB518">
        <v>0</v>
      </c>
      <c r="CC518" t="s">
        <v>1901</v>
      </c>
      <c r="CD518">
        <v>0</v>
      </c>
      <c r="CE518">
        <v>0</v>
      </c>
      <c r="CF518">
        <v>0</v>
      </c>
      <c r="CG518">
        <v>0</v>
      </c>
      <c r="CH518">
        <v>0</v>
      </c>
      <c r="CI518" t="s">
        <v>983</v>
      </c>
      <c r="CJ518" t="s">
        <v>972</v>
      </c>
      <c r="CK518" t="s">
        <v>986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 t="s">
        <v>987</v>
      </c>
      <c r="CV518">
        <v>400008522</v>
      </c>
      <c r="CW518" t="s">
        <v>987</v>
      </c>
      <c r="CX518" t="s">
        <v>4331</v>
      </c>
      <c r="CY518" t="s">
        <v>989</v>
      </c>
    </row>
    <row r="519" spans="1:103" hidden="1" x14ac:dyDescent="0.25">
      <c r="A519">
        <v>410000523</v>
      </c>
      <c r="B519" t="s">
        <v>4332</v>
      </c>
      <c r="C519" t="s">
        <v>4333</v>
      </c>
      <c r="D519">
        <v>401100000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1</v>
      </c>
      <c r="Y519" t="s">
        <v>972</v>
      </c>
      <c r="Z519" t="s">
        <v>4334</v>
      </c>
      <c r="AA519" t="s">
        <v>4335</v>
      </c>
      <c r="AB519" t="s">
        <v>975</v>
      </c>
      <c r="AC519">
        <v>5030</v>
      </c>
      <c r="AD519" t="s">
        <v>1245</v>
      </c>
      <c r="AE519">
        <v>3281614660</v>
      </c>
      <c r="AF519" t="s">
        <v>979</v>
      </c>
      <c r="AG519" t="s">
        <v>977</v>
      </c>
      <c r="AH519" t="s">
        <v>977</v>
      </c>
      <c r="AI519" t="s">
        <v>977</v>
      </c>
      <c r="AJ519" t="s">
        <v>978</v>
      </c>
      <c r="AK519" t="s">
        <v>978</v>
      </c>
      <c r="AL519" t="s">
        <v>978</v>
      </c>
      <c r="AM519" t="s">
        <v>979</v>
      </c>
      <c r="AN519">
        <v>0</v>
      </c>
      <c r="AO519" t="s">
        <v>257</v>
      </c>
      <c r="AP519">
        <v>0</v>
      </c>
      <c r="AQ519">
        <v>16</v>
      </c>
      <c r="AR519">
        <v>43</v>
      </c>
      <c r="AS519">
        <v>1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1</v>
      </c>
      <c r="AZ519" t="s">
        <v>257</v>
      </c>
      <c r="BA519" t="s">
        <v>980</v>
      </c>
      <c r="BB519" t="s">
        <v>981</v>
      </c>
      <c r="BC519" t="s">
        <v>257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 t="s">
        <v>998</v>
      </c>
      <c r="BK519" t="s">
        <v>981</v>
      </c>
      <c r="BL519" t="s">
        <v>4332</v>
      </c>
      <c r="BM519">
        <v>20190417</v>
      </c>
      <c r="BN519">
        <v>20190809</v>
      </c>
      <c r="BO519">
        <v>0</v>
      </c>
      <c r="BP519" t="s">
        <v>257</v>
      </c>
      <c r="BQ519" t="s">
        <v>983</v>
      </c>
      <c r="BR519" t="s">
        <v>978</v>
      </c>
      <c r="BS519" t="s">
        <v>979</v>
      </c>
      <c r="BT519">
        <v>0</v>
      </c>
      <c r="BU519">
        <v>0</v>
      </c>
      <c r="BV519" t="s">
        <v>984</v>
      </c>
      <c r="BW519" t="s">
        <v>257</v>
      </c>
      <c r="BX519">
        <v>0</v>
      </c>
      <c r="BY519" t="s">
        <v>980</v>
      </c>
      <c r="BZ519" t="s">
        <v>257</v>
      </c>
      <c r="CA519">
        <v>0</v>
      </c>
      <c r="CB519">
        <v>0</v>
      </c>
      <c r="CC519" t="s">
        <v>1901</v>
      </c>
      <c r="CD519">
        <v>0</v>
      </c>
      <c r="CE519">
        <v>0</v>
      </c>
      <c r="CF519">
        <v>0</v>
      </c>
      <c r="CG519">
        <v>0</v>
      </c>
      <c r="CH519">
        <v>0</v>
      </c>
      <c r="CI519" t="s">
        <v>983</v>
      </c>
      <c r="CJ519" t="s">
        <v>972</v>
      </c>
      <c r="CK519" t="s">
        <v>986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 t="s">
        <v>987</v>
      </c>
      <c r="CV519">
        <v>400008523</v>
      </c>
      <c r="CW519" t="s">
        <v>987</v>
      </c>
      <c r="CX519" t="s">
        <v>4336</v>
      </c>
      <c r="CY519" t="s">
        <v>989</v>
      </c>
    </row>
    <row r="520" spans="1:103" hidden="1" x14ac:dyDescent="0.25">
      <c r="A520">
        <v>410000524</v>
      </c>
      <c r="B520" t="s">
        <v>4337</v>
      </c>
      <c r="C520" t="s">
        <v>4338</v>
      </c>
      <c r="D520">
        <v>401100000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1</v>
      </c>
      <c r="X520">
        <v>1</v>
      </c>
      <c r="Y520" t="s">
        <v>972</v>
      </c>
      <c r="Z520" t="s">
        <v>4339</v>
      </c>
      <c r="AA520" t="s">
        <v>4340</v>
      </c>
      <c r="AB520" t="s">
        <v>975</v>
      </c>
      <c r="AC520">
        <v>5310</v>
      </c>
      <c r="AD520" t="s">
        <v>4341</v>
      </c>
      <c r="AE520">
        <v>3281511403</v>
      </c>
      <c r="AF520" t="s">
        <v>979</v>
      </c>
      <c r="AG520" t="s">
        <v>977</v>
      </c>
      <c r="AH520" t="s">
        <v>977</v>
      </c>
      <c r="AI520">
        <v>66191</v>
      </c>
      <c r="AJ520" t="s">
        <v>978</v>
      </c>
      <c r="AK520" t="s">
        <v>978</v>
      </c>
      <c r="AL520" t="s">
        <v>978</v>
      </c>
      <c r="AM520" t="s">
        <v>979</v>
      </c>
      <c r="AN520">
        <v>0</v>
      </c>
      <c r="AO520" t="s">
        <v>257</v>
      </c>
      <c r="AP520">
        <v>0</v>
      </c>
      <c r="AQ520">
        <v>16</v>
      </c>
      <c r="AR520">
        <v>43</v>
      </c>
      <c r="AS520">
        <v>1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1</v>
      </c>
      <c r="AZ520" t="s">
        <v>257</v>
      </c>
      <c r="BA520" t="s">
        <v>980</v>
      </c>
      <c r="BB520" t="s">
        <v>981</v>
      </c>
      <c r="BC520" t="s">
        <v>257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 t="s">
        <v>998</v>
      </c>
      <c r="BK520" t="s">
        <v>981</v>
      </c>
      <c r="BL520" t="s">
        <v>4337</v>
      </c>
      <c r="BM520">
        <v>20190417</v>
      </c>
      <c r="BN520">
        <v>20220202</v>
      </c>
      <c r="BO520">
        <v>0</v>
      </c>
      <c r="BP520" t="s">
        <v>257</v>
      </c>
      <c r="BQ520" t="s">
        <v>983</v>
      </c>
      <c r="BR520" t="s">
        <v>978</v>
      </c>
      <c r="BS520" t="s">
        <v>979</v>
      </c>
      <c r="BT520">
        <v>0</v>
      </c>
      <c r="BU520">
        <v>0</v>
      </c>
      <c r="BV520" t="s">
        <v>984</v>
      </c>
      <c r="BW520" t="s">
        <v>257</v>
      </c>
      <c r="BX520">
        <v>0</v>
      </c>
      <c r="BY520" t="s">
        <v>980</v>
      </c>
      <c r="BZ520" t="s">
        <v>257</v>
      </c>
      <c r="CA520">
        <v>0</v>
      </c>
      <c r="CB520">
        <v>0</v>
      </c>
      <c r="CC520" t="s">
        <v>1901</v>
      </c>
      <c r="CD520">
        <v>0</v>
      </c>
      <c r="CE520">
        <v>0</v>
      </c>
      <c r="CF520">
        <v>0</v>
      </c>
      <c r="CG520">
        <v>0</v>
      </c>
      <c r="CH520">
        <v>0</v>
      </c>
      <c r="CI520" t="s">
        <v>983</v>
      </c>
      <c r="CJ520" t="s">
        <v>972</v>
      </c>
      <c r="CK520" t="s">
        <v>986</v>
      </c>
      <c r="CL520">
        <v>0</v>
      </c>
      <c r="CM520">
        <v>1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 t="s">
        <v>987</v>
      </c>
      <c r="CV520">
        <v>400008524</v>
      </c>
      <c r="CW520" t="s">
        <v>987</v>
      </c>
      <c r="CX520" t="s">
        <v>4342</v>
      </c>
      <c r="CY520" t="s">
        <v>989</v>
      </c>
    </row>
    <row r="521" spans="1:103" hidden="1" x14ac:dyDescent="0.25">
      <c r="A521">
        <v>410000525</v>
      </c>
      <c r="B521" t="s">
        <v>4343</v>
      </c>
      <c r="C521" t="s">
        <v>4344</v>
      </c>
      <c r="D521">
        <v>401100000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 t="s">
        <v>972</v>
      </c>
      <c r="Z521" t="s">
        <v>4345</v>
      </c>
      <c r="AA521" t="s">
        <v>4346</v>
      </c>
      <c r="AB521" t="s">
        <v>975</v>
      </c>
      <c r="AC521">
        <v>5310</v>
      </c>
      <c r="AD521" t="s">
        <v>4347</v>
      </c>
      <c r="AE521" t="s">
        <v>4348</v>
      </c>
      <c r="AF521" t="s">
        <v>979</v>
      </c>
      <c r="AG521" t="s">
        <v>977</v>
      </c>
      <c r="AH521" t="s">
        <v>977</v>
      </c>
      <c r="AI521" t="s">
        <v>977</v>
      </c>
      <c r="AJ521" t="s">
        <v>978</v>
      </c>
      <c r="AK521" t="s">
        <v>978</v>
      </c>
      <c r="AL521" t="s">
        <v>978</v>
      </c>
      <c r="AM521" t="s">
        <v>979</v>
      </c>
      <c r="AN521">
        <v>0</v>
      </c>
      <c r="AO521" t="s">
        <v>257</v>
      </c>
      <c r="AP521">
        <v>0</v>
      </c>
      <c r="AQ521">
        <v>16</v>
      </c>
      <c r="AR521">
        <v>43</v>
      </c>
      <c r="AS521">
        <v>1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1</v>
      </c>
      <c r="AZ521" t="s">
        <v>257</v>
      </c>
      <c r="BA521" t="s">
        <v>980</v>
      </c>
      <c r="BB521" t="s">
        <v>981</v>
      </c>
      <c r="BC521" t="s">
        <v>257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 t="s">
        <v>998</v>
      </c>
      <c r="BK521" t="s">
        <v>981</v>
      </c>
      <c r="BL521" t="s">
        <v>4343</v>
      </c>
      <c r="BM521">
        <v>20190417</v>
      </c>
      <c r="BN521">
        <v>20190809</v>
      </c>
      <c r="BO521">
        <v>0</v>
      </c>
      <c r="BP521" t="s">
        <v>257</v>
      </c>
      <c r="BQ521" t="s">
        <v>983</v>
      </c>
      <c r="BR521" t="s">
        <v>978</v>
      </c>
      <c r="BS521" t="s">
        <v>979</v>
      </c>
      <c r="BT521">
        <v>0</v>
      </c>
      <c r="BU521">
        <v>0</v>
      </c>
      <c r="BV521" t="s">
        <v>984</v>
      </c>
      <c r="BW521" t="s">
        <v>257</v>
      </c>
      <c r="BX521">
        <v>0</v>
      </c>
      <c r="BY521" t="s">
        <v>980</v>
      </c>
      <c r="BZ521" t="s">
        <v>257</v>
      </c>
      <c r="CA521">
        <v>0</v>
      </c>
      <c r="CB521">
        <v>0</v>
      </c>
      <c r="CC521" t="s">
        <v>1901</v>
      </c>
      <c r="CD521">
        <v>0</v>
      </c>
      <c r="CE521">
        <v>0</v>
      </c>
      <c r="CF521">
        <v>0</v>
      </c>
      <c r="CG521">
        <v>0</v>
      </c>
      <c r="CH521">
        <v>0</v>
      </c>
      <c r="CI521" t="s">
        <v>983</v>
      </c>
      <c r="CJ521" t="s">
        <v>972</v>
      </c>
      <c r="CK521" t="s">
        <v>986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 t="s">
        <v>987</v>
      </c>
      <c r="CV521">
        <v>400008525</v>
      </c>
      <c r="CW521" t="s">
        <v>987</v>
      </c>
      <c r="CX521" t="s">
        <v>4349</v>
      </c>
      <c r="CY521" t="s">
        <v>989</v>
      </c>
    </row>
    <row r="522" spans="1:103" hidden="1" x14ac:dyDescent="0.25">
      <c r="A522">
        <v>410000526</v>
      </c>
      <c r="B522" t="s">
        <v>4350</v>
      </c>
      <c r="C522" t="s">
        <v>4351</v>
      </c>
      <c r="D522">
        <v>401100000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1</v>
      </c>
      <c r="Y522" t="s">
        <v>972</v>
      </c>
      <c r="Z522" t="s">
        <v>4052</v>
      </c>
      <c r="AA522" t="s">
        <v>4352</v>
      </c>
      <c r="AB522" t="s">
        <v>975</v>
      </c>
      <c r="AC522">
        <v>5170</v>
      </c>
      <c r="AD522" t="s">
        <v>4353</v>
      </c>
      <c r="AE522">
        <v>3281412893</v>
      </c>
      <c r="AF522" t="s">
        <v>979</v>
      </c>
      <c r="AG522" t="s">
        <v>977</v>
      </c>
      <c r="AH522" t="s">
        <v>977</v>
      </c>
      <c r="AI522">
        <v>66220</v>
      </c>
      <c r="AJ522" t="s">
        <v>978</v>
      </c>
      <c r="AK522" t="s">
        <v>978</v>
      </c>
      <c r="AL522" t="s">
        <v>978</v>
      </c>
      <c r="AM522" t="s">
        <v>979</v>
      </c>
      <c r="AN522">
        <v>0</v>
      </c>
      <c r="AO522" t="s">
        <v>257</v>
      </c>
      <c r="AP522">
        <v>0</v>
      </c>
      <c r="AQ522">
        <v>16</v>
      </c>
      <c r="AR522">
        <v>43</v>
      </c>
      <c r="AS522">
        <v>1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1</v>
      </c>
      <c r="AZ522" t="s">
        <v>257</v>
      </c>
      <c r="BA522" t="s">
        <v>980</v>
      </c>
      <c r="BB522" t="s">
        <v>981</v>
      </c>
      <c r="BC522" t="s">
        <v>257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 t="s">
        <v>998</v>
      </c>
      <c r="BK522" t="s">
        <v>981</v>
      </c>
      <c r="BL522" t="s">
        <v>4350</v>
      </c>
      <c r="BM522">
        <v>20190417</v>
      </c>
      <c r="BN522">
        <v>20220201</v>
      </c>
      <c r="BO522">
        <v>0</v>
      </c>
      <c r="BP522" t="s">
        <v>257</v>
      </c>
      <c r="BQ522" t="s">
        <v>983</v>
      </c>
      <c r="BR522" t="s">
        <v>978</v>
      </c>
      <c r="BS522" t="s">
        <v>979</v>
      </c>
      <c r="BT522">
        <v>0</v>
      </c>
      <c r="BU522">
        <v>0</v>
      </c>
      <c r="BV522" t="s">
        <v>984</v>
      </c>
      <c r="BW522" t="s">
        <v>257</v>
      </c>
      <c r="BX522">
        <v>0</v>
      </c>
      <c r="BY522" t="s">
        <v>980</v>
      </c>
      <c r="BZ522" t="s">
        <v>257</v>
      </c>
      <c r="CA522">
        <v>0</v>
      </c>
      <c r="CB522">
        <v>0</v>
      </c>
      <c r="CC522" t="s">
        <v>1901</v>
      </c>
      <c r="CD522">
        <v>0</v>
      </c>
      <c r="CE522">
        <v>0</v>
      </c>
      <c r="CF522">
        <v>0</v>
      </c>
      <c r="CG522">
        <v>0</v>
      </c>
      <c r="CH522">
        <v>0</v>
      </c>
      <c r="CI522" t="s">
        <v>983</v>
      </c>
      <c r="CJ522" t="s">
        <v>972</v>
      </c>
      <c r="CK522" t="s">
        <v>986</v>
      </c>
      <c r="CL522">
        <v>0</v>
      </c>
      <c r="CM522">
        <v>1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 t="s">
        <v>987</v>
      </c>
      <c r="CV522">
        <v>400008526</v>
      </c>
      <c r="CW522" t="s">
        <v>987</v>
      </c>
      <c r="CX522" t="s">
        <v>4354</v>
      </c>
      <c r="CY522" t="s">
        <v>989</v>
      </c>
    </row>
    <row r="523" spans="1:103" hidden="1" x14ac:dyDescent="0.25">
      <c r="A523">
        <v>410000527</v>
      </c>
      <c r="B523" t="s">
        <v>4355</v>
      </c>
      <c r="C523" t="s">
        <v>4356</v>
      </c>
      <c r="D523">
        <v>401100000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1</v>
      </c>
      <c r="Y523" t="s">
        <v>972</v>
      </c>
      <c r="Z523" t="s">
        <v>4357</v>
      </c>
      <c r="AA523" t="s">
        <v>4358</v>
      </c>
      <c r="AB523" t="s">
        <v>975</v>
      </c>
      <c r="AC523">
        <v>5380</v>
      </c>
      <c r="AD523" t="s">
        <v>4359</v>
      </c>
      <c r="AE523">
        <v>3281402842</v>
      </c>
      <c r="AF523" t="s">
        <v>979</v>
      </c>
      <c r="AG523" t="s">
        <v>977</v>
      </c>
      <c r="AH523" t="s">
        <v>977</v>
      </c>
      <c r="AI523" t="s">
        <v>977</v>
      </c>
      <c r="AJ523" t="s">
        <v>978</v>
      </c>
      <c r="AK523" t="s">
        <v>978</v>
      </c>
      <c r="AL523" t="s">
        <v>978</v>
      </c>
      <c r="AM523" t="s">
        <v>979</v>
      </c>
      <c r="AN523">
        <v>0</v>
      </c>
      <c r="AO523" t="s">
        <v>257</v>
      </c>
      <c r="AP523">
        <v>0</v>
      </c>
      <c r="AQ523">
        <v>16</v>
      </c>
      <c r="AR523">
        <v>43</v>
      </c>
      <c r="AS523">
        <v>1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1</v>
      </c>
      <c r="AZ523" t="s">
        <v>257</v>
      </c>
      <c r="BA523" t="s">
        <v>980</v>
      </c>
      <c r="BB523" t="s">
        <v>1010</v>
      </c>
      <c r="BC523" t="s">
        <v>257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 t="s">
        <v>998</v>
      </c>
      <c r="BK523" t="s">
        <v>981</v>
      </c>
      <c r="BL523" t="s">
        <v>4355</v>
      </c>
      <c r="BM523">
        <v>20190417</v>
      </c>
      <c r="BN523">
        <v>20221202</v>
      </c>
      <c r="BO523">
        <v>20221202</v>
      </c>
      <c r="BP523" t="s">
        <v>257</v>
      </c>
      <c r="BQ523" t="s">
        <v>983</v>
      </c>
      <c r="BR523" t="s">
        <v>978</v>
      </c>
      <c r="BS523" t="s">
        <v>979</v>
      </c>
      <c r="BT523">
        <v>0</v>
      </c>
      <c r="BU523">
        <v>0</v>
      </c>
      <c r="BV523" t="s">
        <v>984</v>
      </c>
      <c r="BW523" t="s">
        <v>257</v>
      </c>
      <c r="BX523">
        <v>0</v>
      </c>
      <c r="BY523" t="s">
        <v>980</v>
      </c>
      <c r="BZ523" t="s">
        <v>257</v>
      </c>
      <c r="CA523">
        <v>0</v>
      </c>
      <c r="CB523">
        <v>0</v>
      </c>
      <c r="CC523" t="s">
        <v>1901</v>
      </c>
      <c r="CD523">
        <v>0</v>
      </c>
      <c r="CE523">
        <v>0</v>
      </c>
      <c r="CF523">
        <v>0</v>
      </c>
      <c r="CG523">
        <v>0</v>
      </c>
      <c r="CH523">
        <v>0</v>
      </c>
      <c r="CI523" t="s">
        <v>983</v>
      </c>
      <c r="CJ523" t="s">
        <v>972</v>
      </c>
      <c r="CK523" t="s">
        <v>986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 t="s">
        <v>987</v>
      </c>
      <c r="CV523">
        <v>400008527</v>
      </c>
      <c r="CW523" t="s">
        <v>987</v>
      </c>
      <c r="CX523" t="s">
        <v>4360</v>
      </c>
      <c r="CY523" t="s">
        <v>989</v>
      </c>
    </row>
    <row r="524" spans="1:103" hidden="1" x14ac:dyDescent="0.25">
      <c r="A524">
        <v>410000528</v>
      </c>
      <c r="B524" t="s">
        <v>4361</v>
      </c>
      <c r="C524" t="s">
        <v>4362</v>
      </c>
      <c r="D524">
        <v>401100000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1</v>
      </c>
      <c r="Y524" t="s">
        <v>972</v>
      </c>
      <c r="Z524" t="s">
        <v>987</v>
      </c>
      <c r="AA524" t="s">
        <v>4363</v>
      </c>
      <c r="AB524" t="s">
        <v>975</v>
      </c>
      <c r="AC524">
        <v>5000</v>
      </c>
      <c r="AD524" t="s">
        <v>1789</v>
      </c>
      <c r="AE524">
        <v>3281259290</v>
      </c>
      <c r="AF524" t="s">
        <v>979</v>
      </c>
      <c r="AG524" t="s">
        <v>977</v>
      </c>
      <c r="AH524" t="s">
        <v>977</v>
      </c>
      <c r="AI524" t="s">
        <v>977</v>
      </c>
      <c r="AJ524" t="s">
        <v>978</v>
      </c>
      <c r="AK524" t="s">
        <v>978</v>
      </c>
      <c r="AL524" t="s">
        <v>978</v>
      </c>
      <c r="AM524" t="s">
        <v>979</v>
      </c>
      <c r="AN524">
        <v>0</v>
      </c>
      <c r="AO524" t="s">
        <v>257</v>
      </c>
      <c r="AP524">
        <v>0</v>
      </c>
      <c r="AQ524">
        <v>16</v>
      </c>
      <c r="AR524">
        <v>43</v>
      </c>
      <c r="AS524">
        <v>1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1</v>
      </c>
      <c r="AZ524" t="s">
        <v>257</v>
      </c>
      <c r="BA524" t="s">
        <v>980</v>
      </c>
      <c r="BB524" t="s">
        <v>1010</v>
      </c>
      <c r="BC524" t="s">
        <v>257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 t="s">
        <v>998</v>
      </c>
      <c r="BK524" t="s">
        <v>981</v>
      </c>
      <c r="BL524" t="s">
        <v>4361</v>
      </c>
      <c r="BM524">
        <v>20190417</v>
      </c>
      <c r="BN524">
        <v>20210913</v>
      </c>
      <c r="BO524">
        <v>20210913</v>
      </c>
      <c r="BP524" t="s">
        <v>257</v>
      </c>
      <c r="BQ524" t="s">
        <v>983</v>
      </c>
      <c r="BR524" t="s">
        <v>978</v>
      </c>
      <c r="BS524" t="s">
        <v>979</v>
      </c>
      <c r="BT524">
        <v>0</v>
      </c>
      <c r="BU524">
        <v>0</v>
      </c>
      <c r="BV524" t="s">
        <v>984</v>
      </c>
      <c r="BW524" t="s">
        <v>257</v>
      </c>
      <c r="BX524">
        <v>0</v>
      </c>
      <c r="BY524" t="s">
        <v>980</v>
      </c>
      <c r="BZ524" t="s">
        <v>257</v>
      </c>
      <c r="CA524">
        <v>0</v>
      </c>
      <c r="CB524">
        <v>0</v>
      </c>
      <c r="CC524" t="s">
        <v>1901</v>
      </c>
      <c r="CD524">
        <v>0</v>
      </c>
      <c r="CE524">
        <v>0</v>
      </c>
      <c r="CF524">
        <v>0</v>
      </c>
      <c r="CG524">
        <v>0</v>
      </c>
      <c r="CH524">
        <v>0</v>
      </c>
      <c r="CI524" t="s">
        <v>983</v>
      </c>
      <c r="CJ524" t="s">
        <v>972</v>
      </c>
      <c r="CK524" t="s">
        <v>986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 t="s">
        <v>987</v>
      </c>
      <c r="CV524">
        <v>400008528</v>
      </c>
      <c r="CW524" t="s">
        <v>987</v>
      </c>
      <c r="CX524" t="s">
        <v>4364</v>
      </c>
      <c r="CY524" t="s">
        <v>989</v>
      </c>
    </row>
    <row r="525" spans="1:103" hidden="1" x14ac:dyDescent="0.25">
      <c r="A525">
        <v>410000529</v>
      </c>
      <c r="B525" t="s">
        <v>4365</v>
      </c>
      <c r="C525" t="s">
        <v>4366</v>
      </c>
      <c r="D525">
        <v>401100000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1</v>
      </c>
      <c r="Y525" t="s">
        <v>972</v>
      </c>
      <c r="Z525" t="s">
        <v>4367</v>
      </c>
      <c r="AA525" t="s">
        <v>4368</v>
      </c>
      <c r="AB525" t="s">
        <v>975</v>
      </c>
      <c r="AC525">
        <v>5101</v>
      </c>
      <c r="AD525" t="s">
        <v>1789</v>
      </c>
      <c r="AE525">
        <v>3281228959</v>
      </c>
      <c r="AF525" t="s">
        <v>979</v>
      </c>
      <c r="AG525" t="s">
        <v>977</v>
      </c>
      <c r="AH525" t="s">
        <v>977</v>
      </c>
      <c r="AI525" t="s">
        <v>977</v>
      </c>
      <c r="AJ525" t="s">
        <v>978</v>
      </c>
      <c r="AK525" t="s">
        <v>978</v>
      </c>
      <c r="AL525" t="s">
        <v>978</v>
      </c>
      <c r="AM525" t="s">
        <v>979</v>
      </c>
      <c r="AN525">
        <v>0</v>
      </c>
      <c r="AO525" t="s">
        <v>257</v>
      </c>
      <c r="AP525">
        <v>0</v>
      </c>
      <c r="AQ525">
        <v>16</v>
      </c>
      <c r="AR525">
        <v>43</v>
      </c>
      <c r="AS525">
        <v>1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1</v>
      </c>
      <c r="AZ525" t="s">
        <v>257</v>
      </c>
      <c r="BA525" t="s">
        <v>980</v>
      </c>
      <c r="BB525" t="s">
        <v>981</v>
      </c>
      <c r="BC525" t="s">
        <v>257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 t="s">
        <v>998</v>
      </c>
      <c r="BK525" t="s">
        <v>981</v>
      </c>
      <c r="BL525" t="s">
        <v>4365</v>
      </c>
      <c r="BM525">
        <v>20190417</v>
      </c>
      <c r="BN525">
        <v>20201005</v>
      </c>
      <c r="BO525">
        <v>0</v>
      </c>
      <c r="BP525" t="s">
        <v>257</v>
      </c>
      <c r="BQ525" t="s">
        <v>983</v>
      </c>
      <c r="BR525" t="s">
        <v>978</v>
      </c>
      <c r="BS525" t="s">
        <v>979</v>
      </c>
      <c r="BT525">
        <v>0</v>
      </c>
      <c r="BU525">
        <v>0</v>
      </c>
      <c r="BV525" t="s">
        <v>984</v>
      </c>
      <c r="BW525" t="s">
        <v>257</v>
      </c>
      <c r="BX525">
        <v>0</v>
      </c>
      <c r="BY525" t="s">
        <v>980</v>
      </c>
      <c r="BZ525" t="s">
        <v>257</v>
      </c>
      <c r="CA525">
        <v>0</v>
      </c>
      <c r="CB525">
        <v>0</v>
      </c>
      <c r="CC525" t="s">
        <v>1901</v>
      </c>
      <c r="CD525">
        <v>0</v>
      </c>
      <c r="CE525">
        <v>0</v>
      </c>
      <c r="CF525">
        <v>0</v>
      </c>
      <c r="CG525">
        <v>0</v>
      </c>
      <c r="CH525">
        <v>0</v>
      </c>
      <c r="CI525" t="s">
        <v>983</v>
      </c>
      <c r="CJ525" t="s">
        <v>972</v>
      </c>
      <c r="CK525" t="s">
        <v>986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 t="s">
        <v>987</v>
      </c>
      <c r="CV525">
        <v>400008529</v>
      </c>
      <c r="CW525" t="s">
        <v>987</v>
      </c>
      <c r="CX525" t="s">
        <v>4369</v>
      </c>
      <c r="CY525" t="s">
        <v>989</v>
      </c>
    </row>
    <row r="526" spans="1:103" hidden="1" x14ac:dyDescent="0.25">
      <c r="A526">
        <v>410000530</v>
      </c>
      <c r="B526" t="s">
        <v>4370</v>
      </c>
      <c r="C526" t="s">
        <v>4371</v>
      </c>
      <c r="D526">
        <v>401100000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1</v>
      </c>
      <c r="Y526" t="s">
        <v>972</v>
      </c>
      <c r="Z526" t="s">
        <v>4372</v>
      </c>
      <c r="AA526" t="s">
        <v>4373</v>
      </c>
      <c r="AB526" t="s">
        <v>975</v>
      </c>
      <c r="AC526">
        <v>5080</v>
      </c>
      <c r="AD526" t="s">
        <v>4093</v>
      </c>
      <c r="AE526">
        <v>3281228244</v>
      </c>
      <c r="AF526" t="s">
        <v>979</v>
      </c>
      <c r="AG526" t="s">
        <v>977</v>
      </c>
      <c r="AH526" t="s">
        <v>977</v>
      </c>
      <c r="AI526" t="s">
        <v>977</v>
      </c>
      <c r="AJ526" t="s">
        <v>978</v>
      </c>
      <c r="AK526" t="s">
        <v>978</v>
      </c>
      <c r="AL526" t="s">
        <v>978</v>
      </c>
      <c r="AM526" t="s">
        <v>979</v>
      </c>
      <c r="AN526">
        <v>0</v>
      </c>
      <c r="AO526" t="s">
        <v>257</v>
      </c>
      <c r="AP526">
        <v>0</v>
      </c>
      <c r="AQ526">
        <v>16</v>
      </c>
      <c r="AR526">
        <v>43</v>
      </c>
      <c r="AS526">
        <v>1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1</v>
      </c>
      <c r="AZ526" t="s">
        <v>257</v>
      </c>
      <c r="BA526" t="s">
        <v>980</v>
      </c>
      <c r="BB526" t="s">
        <v>981</v>
      </c>
      <c r="BC526" t="s">
        <v>257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 t="s">
        <v>998</v>
      </c>
      <c r="BK526" t="s">
        <v>981</v>
      </c>
      <c r="BL526" t="s">
        <v>4370</v>
      </c>
      <c r="BM526">
        <v>20190417</v>
      </c>
      <c r="BN526">
        <v>20241106</v>
      </c>
      <c r="BO526">
        <v>0</v>
      </c>
      <c r="BP526" t="s">
        <v>257</v>
      </c>
      <c r="BQ526" t="s">
        <v>983</v>
      </c>
      <c r="BR526" t="s">
        <v>978</v>
      </c>
      <c r="BS526" t="s">
        <v>979</v>
      </c>
      <c r="BT526">
        <v>0</v>
      </c>
      <c r="BU526">
        <v>0</v>
      </c>
      <c r="BV526" t="s">
        <v>984</v>
      </c>
      <c r="BW526" t="s">
        <v>257</v>
      </c>
      <c r="BX526">
        <v>0</v>
      </c>
      <c r="BY526" t="s">
        <v>980</v>
      </c>
      <c r="BZ526" t="s">
        <v>257</v>
      </c>
      <c r="CA526">
        <v>0</v>
      </c>
      <c r="CB526">
        <v>0</v>
      </c>
      <c r="CC526" t="s">
        <v>1901</v>
      </c>
      <c r="CD526">
        <v>0</v>
      </c>
      <c r="CE526">
        <v>0</v>
      </c>
      <c r="CF526">
        <v>0</v>
      </c>
      <c r="CG526">
        <v>0</v>
      </c>
      <c r="CH526">
        <v>0</v>
      </c>
      <c r="CI526" t="s">
        <v>983</v>
      </c>
      <c r="CJ526" t="s">
        <v>972</v>
      </c>
      <c r="CK526" t="s">
        <v>986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 t="s">
        <v>987</v>
      </c>
      <c r="CV526">
        <v>400008530</v>
      </c>
      <c r="CW526" t="s">
        <v>987</v>
      </c>
      <c r="CX526" t="s">
        <v>4374</v>
      </c>
      <c r="CY526" t="s">
        <v>989</v>
      </c>
    </row>
    <row r="527" spans="1:103" hidden="1" x14ac:dyDescent="0.25">
      <c r="A527">
        <v>410000531</v>
      </c>
      <c r="B527" t="s">
        <v>4375</v>
      </c>
      <c r="C527" t="s">
        <v>4376</v>
      </c>
      <c r="D527">
        <v>401100000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 t="s">
        <v>972</v>
      </c>
      <c r="Z527" t="s">
        <v>987</v>
      </c>
      <c r="AA527" t="s">
        <v>4377</v>
      </c>
      <c r="AB527" t="s">
        <v>975</v>
      </c>
      <c r="AC527">
        <v>5032</v>
      </c>
      <c r="AD527" t="s">
        <v>4267</v>
      </c>
      <c r="AE527">
        <v>3223954723</v>
      </c>
      <c r="AF527" t="s">
        <v>979</v>
      </c>
      <c r="AG527" t="s">
        <v>977</v>
      </c>
      <c r="AH527" t="s">
        <v>977</v>
      </c>
      <c r="AI527" t="s">
        <v>977</v>
      </c>
      <c r="AJ527" t="s">
        <v>978</v>
      </c>
      <c r="AK527" t="s">
        <v>978</v>
      </c>
      <c r="AL527" t="s">
        <v>978</v>
      </c>
      <c r="AM527" t="s">
        <v>979</v>
      </c>
      <c r="AN527">
        <v>0</v>
      </c>
      <c r="AO527" t="s">
        <v>257</v>
      </c>
      <c r="AP527">
        <v>0</v>
      </c>
      <c r="AQ527">
        <v>16</v>
      </c>
      <c r="AR527">
        <v>43</v>
      </c>
      <c r="AS527">
        <v>1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1</v>
      </c>
      <c r="AZ527" t="s">
        <v>257</v>
      </c>
      <c r="BA527" t="s">
        <v>980</v>
      </c>
      <c r="BB527" t="s">
        <v>259</v>
      </c>
      <c r="BC527" t="s">
        <v>257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 t="s">
        <v>998</v>
      </c>
      <c r="BK527" t="s">
        <v>981</v>
      </c>
      <c r="BL527" t="s">
        <v>4375</v>
      </c>
      <c r="BM527">
        <v>20190417</v>
      </c>
      <c r="BN527">
        <v>20200302</v>
      </c>
      <c r="BO527">
        <v>20190822</v>
      </c>
      <c r="BP527" t="s">
        <v>257</v>
      </c>
      <c r="BQ527" t="s">
        <v>983</v>
      </c>
      <c r="BR527" t="s">
        <v>978</v>
      </c>
      <c r="BS527" t="s">
        <v>979</v>
      </c>
      <c r="BT527">
        <v>0</v>
      </c>
      <c r="BU527">
        <v>0</v>
      </c>
      <c r="BV527" t="s">
        <v>984</v>
      </c>
      <c r="BW527" t="s">
        <v>257</v>
      </c>
      <c r="BX527">
        <v>0</v>
      </c>
      <c r="BY527" t="s">
        <v>980</v>
      </c>
      <c r="BZ527" t="s">
        <v>257</v>
      </c>
      <c r="CA527">
        <v>0</v>
      </c>
      <c r="CB527">
        <v>0</v>
      </c>
      <c r="CC527" t="s">
        <v>1901</v>
      </c>
      <c r="CD527">
        <v>0</v>
      </c>
      <c r="CE527">
        <v>0</v>
      </c>
      <c r="CF527">
        <v>0</v>
      </c>
      <c r="CG527">
        <v>0</v>
      </c>
      <c r="CH527">
        <v>0</v>
      </c>
      <c r="CI527" t="s">
        <v>983</v>
      </c>
      <c r="CJ527" t="s">
        <v>972</v>
      </c>
      <c r="CK527" t="s">
        <v>986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 t="s">
        <v>987</v>
      </c>
      <c r="CV527">
        <v>400008531</v>
      </c>
      <c r="CW527" t="s">
        <v>987</v>
      </c>
      <c r="CX527" t="s">
        <v>4378</v>
      </c>
      <c r="CY527" t="s">
        <v>989</v>
      </c>
    </row>
    <row r="528" spans="1:103" hidden="1" x14ac:dyDescent="0.25">
      <c r="A528">
        <v>410000532</v>
      </c>
      <c r="B528" t="s">
        <v>4379</v>
      </c>
      <c r="C528" t="s">
        <v>4380</v>
      </c>
      <c r="D528">
        <v>401100000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1</v>
      </c>
      <c r="Y528" t="s">
        <v>1091</v>
      </c>
      <c r="Z528" t="s">
        <v>987</v>
      </c>
      <c r="AA528" t="s">
        <v>4381</v>
      </c>
      <c r="AB528" t="s">
        <v>975</v>
      </c>
      <c r="AC528">
        <v>4100</v>
      </c>
      <c r="AD528" t="s">
        <v>1655</v>
      </c>
      <c r="AE528" t="s">
        <v>4382</v>
      </c>
      <c r="AF528" t="s">
        <v>979</v>
      </c>
      <c r="AG528" t="s">
        <v>977</v>
      </c>
      <c r="AH528" t="s">
        <v>977</v>
      </c>
      <c r="AI528" t="s">
        <v>977</v>
      </c>
      <c r="AJ528" t="s">
        <v>978</v>
      </c>
      <c r="AK528" t="s">
        <v>978</v>
      </c>
      <c r="AL528" t="s">
        <v>978</v>
      </c>
      <c r="AM528" t="s">
        <v>979</v>
      </c>
      <c r="AN528">
        <v>0</v>
      </c>
      <c r="AO528" t="s">
        <v>257</v>
      </c>
      <c r="AP528">
        <v>0</v>
      </c>
      <c r="AQ528">
        <v>16</v>
      </c>
      <c r="AR528">
        <v>43</v>
      </c>
      <c r="AS528">
        <v>1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1</v>
      </c>
      <c r="AZ528" t="s">
        <v>257</v>
      </c>
      <c r="BA528" t="s">
        <v>980</v>
      </c>
      <c r="BB528" t="s">
        <v>981</v>
      </c>
      <c r="BC528" t="s">
        <v>257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 t="s">
        <v>998</v>
      </c>
      <c r="BK528" t="s">
        <v>981</v>
      </c>
      <c r="BL528" t="s">
        <v>4379</v>
      </c>
      <c r="BM528">
        <v>20190417</v>
      </c>
      <c r="BN528">
        <v>20190809</v>
      </c>
      <c r="BO528">
        <v>0</v>
      </c>
      <c r="BP528" t="s">
        <v>257</v>
      </c>
      <c r="BQ528" t="s">
        <v>983</v>
      </c>
      <c r="BR528" t="s">
        <v>978</v>
      </c>
      <c r="BS528" t="s">
        <v>979</v>
      </c>
      <c r="BT528">
        <v>0</v>
      </c>
      <c r="BU528">
        <v>0</v>
      </c>
      <c r="BV528" t="s">
        <v>984</v>
      </c>
      <c r="BW528" t="s">
        <v>257</v>
      </c>
      <c r="BX528">
        <v>0</v>
      </c>
      <c r="BY528" t="s">
        <v>980</v>
      </c>
      <c r="BZ528" t="s">
        <v>257</v>
      </c>
      <c r="CA528">
        <v>0</v>
      </c>
      <c r="CB528">
        <v>0</v>
      </c>
      <c r="CC528" t="s">
        <v>2079</v>
      </c>
      <c r="CD528">
        <v>0</v>
      </c>
      <c r="CE528">
        <v>0</v>
      </c>
      <c r="CF528">
        <v>0</v>
      </c>
      <c r="CG528">
        <v>0</v>
      </c>
      <c r="CH528">
        <v>0</v>
      </c>
      <c r="CI528" t="s">
        <v>983</v>
      </c>
      <c r="CJ528" t="s">
        <v>972</v>
      </c>
      <c r="CK528" t="s">
        <v>986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 t="s">
        <v>987</v>
      </c>
      <c r="CV528">
        <v>400008532</v>
      </c>
      <c r="CW528" t="s">
        <v>987</v>
      </c>
      <c r="CX528" t="s">
        <v>4383</v>
      </c>
      <c r="CY528" t="s">
        <v>989</v>
      </c>
    </row>
    <row r="529" spans="1:103" hidden="1" x14ac:dyDescent="0.25">
      <c r="A529">
        <v>410000533</v>
      </c>
      <c r="B529" t="s">
        <v>4384</v>
      </c>
      <c r="C529" t="s">
        <v>4385</v>
      </c>
      <c r="D529">
        <v>401100000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1</v>
      </c>
      <c r="Y529" t="s">
        <v>972</v>
      </c>
      <c r="Z529" t="s">
        <v>4386</v>
      </c>
      <c r="AA529" t="s">
        <v>4387</v>
      </c>
      <c r="AB529" t="s">
        <v>975</v>
      </c>
      <c r="AC529">
        <v>1360</v>
      </c>
      <c r="AD529" t="s">
        <v>4388</v>
      </c>
      <c r="AE529">
        <v>3281657317</v>
      </c>
      <c r="AF529" t="s">
        <v>979</v>
      </c>
      <c r="AG529" t="s">
        <v>977</v>
      </c>
      <c r="AH529" t="s">
        <v>977</v>
      </c>
      <c r="AI529">
        <v>45320</v>
      </c>
      <c r="AJ529" t="s">
        <v>978</v>
      </c>
      <c r="AK529" t="s">
        <v>978</v>
      </c>
      <c r="AL529" t="s">
        <v>978</v>
      </c>
      <c r="AM529" t="s">
        <v>979</v>
      </c>
      <c r="AN529">
        <v>0</v>
      </c>
      <c r="AO529" t="s">
        <v>257</v>
      </c>
      <c r="AP529">
        <v>0</v>
      </c>
      <c r="AQ529">
        <v>16</v>
      </c>
      <c r="AR529">
        <v>69</v>
      </c>
      <c r="AS529">
        <v>1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1</v>
      </c>
      <c r="AZ529" t="s">
        <v>257</v>
      </c>
      <c r="BA529" t="s">
        <v>980</v>
      </c>
      <c r="BB529" t="s">
        <v>981</v>
      </c>
      <c r="BC529" t="s">
        <v>257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 t="s">
        <v>998</v>
      </c>
      <c r="BK529" t="s">
        <v>981</v>
      </c>
      <c r="BL529" t="s">
        <v>4384</v>
      </c>
      <c r="BM529">
        <v>20190417</v>
      </c>
      <c r="BN529">
        <v>20240910</v>
      </c>
      <c r="BO529">
        <v>0</v>
      </c>
      <c r="BP529" t="s">
        <v>257</v>
      </c>
      <c r="BQ529" t="s">
        <v>983</v>
      </c>
      <c r="BR529" t="s">
        <v>978</v>
      </c>
      <c r="BS529">
        <v>32470544065</v>
      </c>
      <c r="BT529">
        <v>0</v>
      </c>
      <c r="BU529">
        <v>0</v>
      </c>
      <c r="BV529" t="s">
        <v>984</v>
      </c>
      <c r="BW529" t="s">
        <v>257</v>
      </c>
      <c r="BX529">
        <v>0</v>
      </c>
      <c r="BY529" t="s">
        <v>980</v>
      </c>
      <c r="BZ529" t="s">
        <v>257</v>
      </c>
      <c r="CA529">
        <v>0</v>
      </c>
      <c r="CB529">
        <v>0</v>
      </c>
      <c r="CC529" t="s">
        <v>1901</v>
      </c>
      <c r="CD529">
        <v>0</v>
      </c>
      <c r="CE529">
        <v>0</v>
      </c>
      <c r="CF529">
        <v>0</v>
      </c>
      <c r="CG529">
        <v>0</v>
      </c>
      <c r="CH529">
        <v>0</v>
      </c>
      <c r="CI529" t="s">
        <v>983</v>
      </c>
      <c r="CJ529" t="s">
        <v>972</v>
      </c>
      <c r="CK529" t="s">
        <v>986</v>
      </c>
      <c r="CL529">
        <v>0</v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 t="s">
        <v>987</v>
      </c>
      <c r="CV529">
        <v>400008533</v>
      </c>
      <c r="CW529" t="s">
        <v>987</v>
      </c>
      <c r="CX529" t="s">
        <v>4389</v>
      </c>
      <c r="CY529" t="s">
        <v>989</v>
      </c>
    </row>
    <row r="530" spans="1:103" hidden="1" x14ac:dyDescent="0.25">
      <c r="A530">
        <v>410000534</v>
      </c>
      <c r="B530" t="s">
        <v>4390</v>
      </c>
      <c r="C530" t="s">
        <v>4391</v>
      </c>
      <c r="D530">
        <v>401100000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 t="s">
        <v>972</v>
      </c>
      <c r="Z530" t="s">
        <v>4392</v>
      </c>
      <c r="AA530" t="s">
        <v>4393</v>
      </c>
      <c r="AB530" t="s">
        <v>975</v>
      </c>
      <c r="AC530">
        <v>1180</v>
      </c>
      <c r="AD530" t="s">
        <v>4014</v>
      </c>
      <c r="AE530" t="s">
        <v>4394</v>
      </c>
      <c r="AF530" t="s">
        <v>979</v>
      </c>
      <c r="AG530" t="s">
        <v>977</v>
      </c>
      <c r="AH530" t="s">
        <v>977</v>
      </c>
      <c r="AI530" t="s">
        <v>977</v>
      </c>
      <c r="AJ530" t="s">
        <v>978</v>
      </c>
      <c r="AK530" t="s">
        <v>978</v>
      </c>
      <c r="AL530" t="s">
        <v>978</v>
      </c>
      <c r="AM530" t="s">
        <v>979</v>
      </c>
      <c r="AN530">
        <v>0</v>
      </c>
      <c r="AO530" t="s">
        <v>257</v>
      </c>
      <c r="AP530">
        <v>0</v>
      </c>
      <c r="AQ530">
        <v>16</v>
      </c>
      <c r="AR530">
        <v>43</v>
      </c>
      <c r="AS530">
        <v>1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1</v>
      </c>
      <c r="AZ530" t="s">
        <v>257</v>
      </c>
      <c r="BA530" t="s">
        <v>980</v>
      </c>
      <c r="BB530" t="s">
        <v>981</v>
      </c>
      <c r="BC530" t="s">
        <v>257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 t="s">
        <v>998</v>
      </c>
      <c r="BK530" t="s">
        <v>981</v>
      </c>
      <c r="BL530" t="s">
        <v>4390</v>
      </c>
      <c r="BM530">
        <v>20190417</v>
      </c>
      <c r="BN530">
        <v>20190809</v>
      </c>
      <c r="BO530">
        <v>0</v>
      </c>
      <c r="BP530" t="s">
        <v>257</v>
      </c>
      <c r="BQ530" t="s">
        <v>983</v>
      </c>
      <c r="BR530" t="s">
        <v>978</v>
      </c>
      <c r="BS530" t="s">
        <v>979</v>
      </c>
      <c r="BT530">
        <v>0</v>
      </c>
      <c r="BU530">
        <v>0</v>
      </c>
      <c r="BV530" t="s">
        <v>984</v>
      </c>
      <c r="BW530" t="s">
        <v>257</v>
      </c>
      <c r="BX530">
        <v>0</v>
      </c>
      <c r="BY530" t="s">
        <v>980</v>
      </c>
      <c r="BZ530" t="s">
        <v>257</v>
      </c>
      <c r="CA530">
        <v>0</v>
      </c>
      <c r="CB530">
        <v>0</v>
      </c>
      <c r="CC530" t="s">
        <v>1033</v>
      </c>
      <c r="CD530">
        <v>0</v>
      </c>
      <c r="CE530">
        <v>0</v>
      </c>
      <c r="CF530">
        <v>0</v>
      </c>
      <c r="CG530">
        <v>0</v>
      </c>
      <c r="CH530">
        <v>0</v>
      </c>
      <c r="CI530" t="s">
        <v>983</v>
      </c>
      <c r="CJ530" t="s">
        <v>972</v>
      </c>
      <c r="CK530" t="s">
        <v>986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 t="s">
        <v>987</v>
      </c>
      <c r="CV530">
        <v>400008534</v>
      </c>
      <c r="CW530" t="s">
        <v>987</v>
      </c>
      <c r="CX530" t="s">
        <v>4395</v>
      </c>
      <c r="CY530" t="s">
        <v>989</v>
      </c>
    </row>
    <row r="531" spans="1:103" hidden="1" x14ac:dyDescent="0.25">
      <c r="A531">
        <v>410000535</v>
      </c>
      <c r="B531" t="s">
        <v>4396</v>
      </c>
      <c r="C531" t="s">
        <v>4397</v>
      </c>
      <c r="D531">
        <v>401100000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1</v>
      </c>
      <c r="Y531" t="s">
        <v>972</v>
      </c>
      <c r="Z531" t="s">
        <v>987</v>
      </c>
      <c r="AA531" t="s">
        <v>4398</v>
      </c>
      <c r="AB531" t="s">
        <v>975</v>
      </c>
      <c r="AC531">
        <v>4800</v>
      </c>
      <c r="AD531" t="s">
        <v>1124</v>
      </c>
      <c r="AE531">
        <v>3287222830</v>
      </c>
      <c r="AF531">
        <v>3287222830</v>
      </c>
      <c r="AG531" t="s">
        <v>977</v>
      </c>
      <c r="AH531" t="s">
        <v>977</v>
      </c>
      <c r="AI531" t="s">
        <v>977</v>
      </c>
      <c r="AJ531" t="s">
        <v>978</v>
      </c>
      <c r="AK531" t="s">
        <v>978</v>
      </c>
      <c r="AL531" t="s">
        <v>978</v>
      </c>
      <c r="AM531" t="s">
        <v>979</v>
      </c>
      <c r="AN531">
        <v>0</v>
      </c>
      <c r="AO531" t="s">
        <v>257</v>
      </c>
      <c r="AP531">
        <v>0</v>
      </c>
      <c r="AQ531">
        <v>16</v>
      </c>
      <c r="AR531">
        <v>43</v>
      </c>
      <c r="AS531">
        <v>1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1</v>
      </c>
      <c r="AZ531" t="s">
        <v>257</v>
      </c>
      <c r="BA531" t="s">
        <v>980</v>
      </c>
      <c r="BB531" t="s">
        <v>981</v>
      </c>
      <c r="BC531" t="s">
        <v>257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 t="s">
        <v>998</v>
      </c>
      <c r="BK531" t="s">
        <v>981</v>
      </c>
      <c r="BL531" t="s">
        <v>4396</v>
      </c>
      <c r="BM531">
        <v>20190417</v>
      </c>
      <c r="BN531">
        <v>20220208</v>
      </c>
      <c r="BO531">
        <v>0</v>
      </c>
      <c r="BP531" t="s">
        <v>257</v>
      </c>
      <c r="BQ531" t="s">
        <v>983</v>
      </c>
      <c r="BR531" t="s">
        <v>978</v>
      </c>
      <c r="BS531" t="s">
        <v>979</v>
      </c>
      <c r="BT531">
        <v>0</v>
      </c>
      <c r="BU531">
        <v>0</v>
      </c>
      <c r="BV531" t="s">
        <v>984</v>
      </c>
      <c r="BW531" t="s">
        <v>257</v>
      </c>
      <c r="BX531">
        <v>0</v>
      </c>
      <c r="BY531" t="s">
        <v>980</v>
      </c>
      <c r="BZ531" t="s">
        <v>257</v>
      </c>
      <c r="CA531">
        <v>0</v>
      </c>
      <c r="CB531">
        <v>0</v>
      </c>
      <c r="CC531" t="s">
        <v>1559</v>
      </c>
      <c r="CD531">
        <v>0</v>
      </c>
      <c r="CE531">
        <v>0</v>
      </c>
      <c r="CF531">
        <v>0</v>
      </c>
      <c r="CG531">
        <v>0</v>
      </c>
      <c r="CH531">
        <v>0</v>
      </c>
      <c r="CI531" t="s">
        <v>983</v>
      </c>
      <c r="CJ531" t="s">
        <v>972</v>
      </c>
      <c r="CK531" t="s">
        <v>986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 t="s">
        <v>987</v>
      </c>
      <c r="CV531">
        <v>400008535</v>
      </c>
      <c r="CW531" t="s">
        <v>987</v>
      </c>
      <c r="CX531" t="s">
        <v>4399</v>
      </c>
      <c r="CY531" t="s">
        <v>989</v>
      </c>
    </row>
    <row r="532" spans="1:103" hidden="1" x14ac:dyDescent="0.25">
      <c r="A532">
        <v>410000536</v>
      </c>
      <c r="B532" t="s">
        <v>4400</v>
      </c>
      <c r="C532" t="s">
        <v>4401</v>
      </c>
      <c r="D532">
        <v>401100000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1</v>
      </c>
      <c r="Y532" t="s">
        <v>972</v>
      </c>
      <c r="Z532" t="s">
        <v>4402</v>
      </c>
      <c r="AA532" t="s">
        <v>4403</v>
      </c>
      <c r="AB532" t="s">
        <v>975</v>
      </c>
      <c r="AC532">
        <v>5002</v>
      </c>
      <c r="AD532" t="s">
        <v>1789</v>
      </c>
      <c r="AE532">
        <v>3281470744</v>
      </c>
      <c r="AF532" t="s">
        <v>979</v>
      </c>
      <c r="AG532" t="s">
        <v>977</v>
      </c>
      <c r="AH532" t="s">
        <v>977</v>
      </c>
      <c r="AI532" t="s">
        <v>977</v>
      </c>
      <c r="AJ532" t="s">
        <v>978</v>
      </c>
      <c r="AK532" t="s">
        <v>978</v>
      </c>
      <c r="AL532" t="s">
        <v>978</v>
      </c>
      <c r="AM532" t="s">
        <v>979</v>
      </c>
      <c r="AN532">
        <v>0</v>
      </c>
      <c r="AO532" t="s">
        <v>257</v>
      </c>
      <c r="AP532">
        <v>0</v>
      </c>
      <c r="AQ532">
        <v>16</v>
      </c>
      <c r="AR532">
        <v>43</v>
      </c>
      <c r="AS532">
        <v>1</v>
      </c>
      <c r="AT532">
        <v>0</v>
      </c>
      <c r="AU532">
        <v>1</v>
      </c>
      <c r="AV532">
        <v>0</v>
      </c>
      <c r="AW532">
        <v>0</v>
      </c>
      <c r="AX532">
        <v>0</v>
      </c>
      <c r="AY532">
        <v>1</v>
      </c>
      <c r="AZ532" t="s">
        <v>257</v>
      </c>
      <c r="BA532" t="s">
        <v>980</v>
      </c>
      <c r="BB532" t="s">
        <v>981</v>
      </c>
      <c r="BC532" t="s">
        <v>257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 t="s">
        <v>998</v>
      </c>
      <c r="BK532" t="s">
        <v>981</v>
      </c>
      <c r="BL532" t="s">
        <v>4400</v>
      </c>
      <c r="BM532">
        <v>20190417</v>
      </c>
      <c r="BN532">
        <v>20190809</v>
      </c>
      <c r="BO532">
        <v>0</v>
      </c>
      <c r="BP532" t="s">
        <v>257</v>
      </c>
      <c r="BQ532" t="s">
        <v>983</v>
      </c>
      <c r="BR532" t="s">
        <v>978</v>
      </c>
      <c r="BS532" t="s">
        <v>979</v>
      </c>
      <c r="BT532">
        <v>0</v>
      </c>
      <c r="BU532">
        <v>0</v>
      </c>
      <c r="BV532" t="s">
        <v>984</v>
      </c>
      <c r="BW532" t="s">
        <v>257</v>
      </c>
      <c r="BX532">
        <v>0</v>
      </c>
      <c r="BY532" t="s">
        <v>980</v>
      </c>
      <c r="BZ532" t="s">
        <v>257</v>
      </c>
      <c r="CA532">
        <v>0</v>
      </c>
      <c r="CB532">
        <v>0</v>
      </c>
      <c r="CC532" t="s">
        <v>1901</v>
      </c>
      <c r="CD532">
        <v>0</v>
      </c>
      <c r="CE532">
        <v>0</v>
      </c>
      <c r="CF532">
        <v>0</v>
      </c>
      <c r="CG532">
        <v>0</v>
      </c>
      <c r="CH532">
        <v>0</v>
      </c>
      <c r="CI532" t="s">
        <v>983</v>
      </c>
      <c r="CJ532" t="s">
        <v>972</v>
      </c>
      <c r="CK532" t="s">
        <v>986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 t="s">
        <v>987</v>
      </c>
      <c r="CV532">
        <v>400008536</v>
      </c>
      <c r="CW532" t="s">
        <v>987</v>
      </c>
      <c r="CX532" t="s">
        <v>4404</v>
      </c>
      <c r="CY532" t="s">
        <v>989</v>
      </c>
    </row>
    <row r="533" spans="1:103" hidden="1" x14ac:dyDescent="0.25">
      <c r="A533">
        <v>410000537</v>
      </c>
      <c r="B533" t="s">
        <v>4405</v>
      </c>
      <c r="C533" t="s">
        <v>4406</v>
      </c>
      <c r="D533">
        <v>401100000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 t="s">
        <v>972</v>
      </c>
      <c r="Z533" t="s">
        <v>987</v>
      </c>
      <c r="AA533" t="s">
        <v>4407</v>
      </c>
      <c r="AB533" t="s">
        <v>975</v>
      </c>
      <c r="AC533">
        <v>5020</v>
      </c>
      <c r="AD533" t="s">
        <v>4408</v>
      </c>
      <c r="AE533">
        <v>3281214949</v>
      </c>
      <c r="AF533" t="s">
        <v>979</v>
      </c>
      <c r="AG533" t="s">
        <v>977</v>
      </c>
      <c r="AH533" t="s">
        <v>977</v>
      </c>
      <c r="AI533" t="s">
        <v>977</v>
      </c>
      <c r="AJ533" t="s">
        <v>978</v>
      </c>
      <c r="AK533" t="s">
        <v>978</v>
      </c>
      <c r="AL533" t="s">
        <v>978</v>
      </c>
      <c r="AM533" t="s">
        <v>979</v>
      </c>
      <c r="AN533">
        <v>0</v>
      </c>
      <c r="AO533" t="s">
        <v>257</v>
      </c>
      <c r="AP533">
        <v>0</v>
      </c>
      <c r="AQ533">
        <v>16</v>
      </c>
      <c r="AR533">
        <v>43</v>
      </c>
      <c r="AS533">
        <v>1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1</v>
      </c>
      <c r="AZ533" t="s">
        <v>257</v>
      </c>
      <c r="BA533" t="s">
        <v>980</v>
      </c>
      <c r="BB533" t="s">
        <v>981</v>
      </c>
      <c r="BC533" t="s">
        <v>257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 t="s">
        <v>998</v>
      </c>
      <c r="BK533" t="s">
        <v>981</v>
      </c>
      <c r="BL533" t="s">
        <v>4405</v>
      </c>
      <c r="BM533">
        <v>20190417</v>
      </c>
      <c r="BN533">
        <v>20190809</v>
      </c>
      <c r="BO533">
        <v>0</v>
      </c>
      <c r="BP533" t="s">
        <v>257</v>
      </c>
      <c r="BQ533" t="s">
        <v>983</v>
      </c>
      <c r="BR533" t="s">
        <v>978</v>
      </c>
      <c r="BS533" t="s">
        <v>979</v>
      </c>
      <c r="BT533">
        <v>0</v>
      </c>
      <c r="BU533">
        <v>0</v>
      </c>
      <c r="BV533" t="s">
        <v>984</v>
      </c>
      <c r="BW533" t="s">
        <v>257</v>
      </c>
      <c r="BX533">
        <v>0</v>
      </c>
      <c r="BY533" t="s">
        <v>980</v>
      </c>
      <c r="BZ533" t="s">
        <v>257</v>
      </c>
      <c r="CA533">
        <v>0</v>
      </c>
      <c r="CB533">
        <v>0</v>
      </c>
      <c r="CC533" t="s">
        <v>1901</v>
      </c>
      <c r="CD533">
        <v>0</v>
      </c>
      <c r="CE533">
        <v>0</v>
      </c>
      <c r="CF533">
        <v>0</v>
      </c>
      <c r="CG533">
        <v>0</v>
      </c>
      <c r="CH533">
        <v>0</v>
      </c>
      <c r="CI533" t="s">
        <v>983</v>
      </c>
      <c r="CJ533" t="s">
        <v>972</v>
      </c>
      <c r="CK533" t="s">
        <v>986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 t="s">
        <v>987</v>
      </c>
      <c r="CV533">
        <v>400008537</v>
      </c>
      <c r="CW533" t="s">
        <v>987</v>
      </c>
      <c r="CX533" t="s">
        <v>4409</v>
      </c>
      <c r="CY533" t="s">
        <v>989</v>
      </c>
    </row>
    <row r="534" spans="1:103" hidden="1" x14ac:dyDescent="0.25">
      <c r="A534">
        <v>410000538</v>
      </c>
      <c r="B534" t="s">
        <v>4410</v>
      </c>
      <c r="C534" t="s">
        <v>4411</v>
      </c>
      <c r="D534">
        <v>401100000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1</v>
      </c>
      <c r="Y534" t="s">
        <v>972</v>
      </c>
      <c r="Z534" t="s">
        <v>987</v>
      </c>
      <c r="AA534" t="s">
        <v>4412</v>
      </c>
      <c r="AB534" t="s">
        <v>975</v>
      </c>
      <c r="AC534">
        <v>3090</v>
      </c>
      <c r="AD534" t="s">
        <v>4413</v>
      </c>
      <c r="AE534" t="s">
        <v>4414</v>
      </c>
      <c r="AF534" t="s">
        <v>979</v>
      </c>
      <c r="AG534" t="s">
        <v>977</v>
      </c>
      <c r="AH534" t="s">
        <v>977</v>
      </c>
      <c r="AI534">
        <v>43222</v>
      </c>
      <c r="AJ534" t="s">
        <v>978</v>
      </c>
      <c r="AK534" t="s">
        <v>978</v>
      </c>
      <c r="AL534" t="s">
        <v>978</v>
      </c>
      <c r="AM534" t="s">
        <v>979</v>
      </c>
      <c r="AN534">
        <v>0</v>
      </c>
      <c r="AO534" t="s">
        <v>257</v>
      </c>
      <c r="AP534">
        <v>0</v>
      </c>
      <c r="AQ534">
        <v>16</v>
      </c>
      <c r="AR534">
        <v>43</v>
      </c>
      <c r="AS534">
        <v>1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1</v>
      </c>
      <c r="AZ534" t="s">
        <v>257</v>
      </c>
      <c r="BA534" t="s">
        <v>980</v>
      </c>
      <c r="BB534" t="s">
        <v>981</v>
      </c>
      <c r="BC534" t="s">
        <v>257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 t="s">
        <v>998</v>
      </c>
      <c r="BK534" t="s">
        <v>981</v>
      </c>
      <c r="BL534" t="s">
        <v>4410</v>
      </c>
      <c r="BM534">
        <v>20190418</v>
      </c>
      <c r="BN534">
        <v>20220201</v>
      </c>
      <c r="BO534">
        <v>0</v>
      </c>
      <c r="BP534" t="s">
        <v>257</v>
      </c>
      <c r="BQ534" t="s">
        <v>983</v>
      </c>
      <c r="BR534" t="s">
        <v>978</v>
      </c>
      <c r="BS534" t="s">
        <v>979</v>
      </c>
      <c r="BT534">
        <v>0</v>
      </c>
      <c r="BU534">
        <v>0</v>
      </c>
      <c r="BV534" t="s">
        <v>984</v>
      </c>
      <c r="BW534" t="s">
        <v>257</v>
      </c>
      <c r="BX534">
        <v>0</v>
      </c>
      <c r="BY534" t="s">
        <v>980</v>
      </c>
      <c r="BZ534" t="s">
        <v>257</v>
      </c>
      <c r="CA534">
        <v>0</v>
      </c>
      <c r="CB534">
        <v>0</v>
      </c>
      <c r="CC534" t="s">
        <v>1901</v>
      </c>
      <c r="CD534">
        <v>0</v>
      </c>
      <c r="CE534">
        <v>0</v>
      </c>
      <c r="CF534">
        <v>0</v>
      </c>
      <c r="CG534">
        <v>0</v>
      </c>
      <c r="CH534">
        <v>0</v>
      </c>
      <c r="CI534" t="s">
        <v>983</v>
      </c>
      <c r="CJ534" t="s">
        <v>972</v>
      </c>
      <c r="CK534" t="s">
        <v>986</v>
      </c>
      <c r="CL534">
        <v>0</v>
      </c>
      <c r="CM534">
        <v>1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 t="s">
        <v>987</v>
      </c>
      <c r="CV534">
        <v>400008538</v>
      </c>
      <c r="CW534" t="s">
        <v>987</v>
      </c>
      <c r="CX534" t="s">
        <v>4415</v>
      </c>
      <c r="CY534" t="s">
        <v>989</v>
      </c>
    </row>
    <row r="535" spans="1:103" hidden="1" x14ac:dyDescent="0.25">
      <c r="A535">
        <v>410000539</v>
      </c>
      <c r="B535" t="s">
        <v>4416</v>
      </c>
      <c r="C535" t="s">
        <v>4417</v>
      </c>
      <c r="D535">
        <v>401100000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1</v>
      </c>
      <c r="Y535" t="s">
        <v>972</v>
      </c>
      <c r="Z535" t="s">
        <v>987</v>
      </c>
      <c r="AA535" t="s">
        <v>4418</v>
      </c>
      <c r="AB535" t="s">
        <v>975</v>
      </c>
      <c r="AC535">
        <v>6940</v>
      </c>
      <c r="AD535" t="s">
        <v>4419</v>
      </c>
      <c r="AE535">
        <v>3286219130</v>
      </c>
      <c r="AF535" t="s">
        <v>979</v>
      </c>
      <c r="AG535" t="s">
        <v>977</v>
      </c>
      <c r="AH535">
        <v>832993834</v>
      </c>
      <c r="AI535">
        <v>69201</v>
      </c>
      <c r="AJ535" t="s">
        <v>978</v>
      </c>
      <c r="AK535" t="s">
        <v>978</v>
      </c>
      <c r="AL535" t="s">
        <v>978</v>
      </c>
      <c r="AM535" t="s">
        <v>979</v>
      </c>
      <c r="AN535">
        <v>0</v>
      </c>
      <c r="AO535" t="s">
        <v>257</v>
      </c>
      <c r="AP535">
        <v>0</v>
      </c>
      <c r="AQ535">
        <v>16</v>
      </c>
      <c r="AR535">
        <v>43</v>
      </c>
      <c r="AS535">
        <v>1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1</v>
      </c>
      <c r="AZ535" t="s">
        <v>257</v>
      </c>
      <c r="BA535" t="s">
        <v>980</v>
      </c>
      <c r="BB535" t="s">
        <v>981</v>
      </c>
      <c r="BC535" t="s">
        <v>257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 t="s">
        <v>998</v>
      </c>
      <c r="BK535" t="s">
        <v>981</v>
      </c>
      <c r="BL535" t="s">
        <v>4416</v>
      </c>
      <c r="BM535">
        <v>20190418</v>
      </c>
      <c r="BN535">
        <v>20240516</v>
      </c>
      <c r="BO535">
        <v>0</v>
      </c>
      <c r="BP535" t="s">
        <v>257</v>
      </c>
      <c r="BQ535" t="s">
        <v>983</v>
      </c>
      <c r="BR535" t="s">
        <v>978</v>
      </c>
      <c r="BS535" t="s">
        <v>979</v>
      </c>
      <c r="BT535">
        <v>0</v>
      </c>
      <c r="BU535">
        <v>0</v>
      </c>
      <c r="BV535" t="s">
        <v>984</v>
      </c>
      <c r="BW535" t="s">
        <v>257</v>
      </c>
      <c r="BX535">
        <v>0</v>
      </c>
      <c r="BY535" t="s">
        <v>980</v>
      </c>
      <c r="BZ535" t="s">
        <v>257</v>
      </c>
      <c r="CA535">
        <v>0</v>
      </c>
      <c r="CB535">
        <v>0</v>
      </c>
      <c r="CC535" t="s">
        <v>1901</v>
      </c>
      <c r="CD535">
        <v>0</v>
      </c>
      <c r="CE535">
        <v>0</v>
      </c>
      <c r="CF535">
        <v>0</v>
      </c>
      <c r="CG535">
        <v>0</v>
      </c>
      <c r="CH535">
        <v>0</v>
      </c>
      <c r="CI535" t="s">
        <v>983</v>
      </c>
      <c r="CJ535" t="s">
        <v>972</v>
      </c>
      <c r="CK535" t="s">
        <v>986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 t="s">
        <v>987</v>
      </c>
      <c r="CV535">
        <v>400008539</v>
      </c>
      <c r="CW535" t="s">
        <v>987</v>
      </c>
      <c r="CX535" t="s">
        <v>4420</v>
      </c>
      <c r="CY535" t="s">
        <v>989</v>
      </c>
    </row>
    <row r="536" spans="1:103" hidden="1" x14ac:dyDescent="0.25">
      <c r="A536">
        <v>410000540</v>
      </c>
      <c r="B536" t="s">
        <v>4421</v>
      </c>
      <c r="C536" t="s">
        <v>4422</v>
      </c>
      <c r="D536">
        <v>401100000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1</v>
      </c>
      <c r="Y536" t="s">
        <v>972</v>
      </c>
      <c r="Z536" t="s">
        <v>987</v>
      </c>
      <c r="AA536" t="s">
        <v>4423</v>
      </c>
      <c r="AB536" t="s">
        <v>975</v>
      </c>
      <c r="AC536">
        <v>6940</v>
      </c>
      <c r="AD536" t="s">
        <v>4419</v>
      </c>
      <c r="AE536">
        <v>3286212696</v>
      </c>
      <c r="AF536" t="s">
        <v>979</v>
      </c>
      <c r="AG536" t="s">
        <v>977</v>
      </c>
      <c r="AH536" t="s">
        <v>977</v>
      </c>
      <c r="AI536" t="s">
        <v>977</v>
      </c>
      <c r="AJ536" t="s">
        <v>978</v>
      </c>
      <c r="AK536" t="s">
        <v>978</v>
      </c>
      <c r="AL536" t="s">
        <v>978</v>
      </c>
      <c r="AM536" t="s">
        <v>979</v>
      </c>
      <c r="AN536">
        <v>0</v>
      </c>
      <c r="AO536" t="s">
        <v>257</v>
      </c>
      <c r="AP536">
        <v>0</v>
      </c>
      <c r="AQ536">
        <v>16</v>
      </c>
      <c r="AR536">
        <v>43</v>
      </c>
      <c r="AS536">
        <v>1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1</v>
      </c>
      <c r="AZ536" t="s">
        <v>257</v>
      </c>
      <c r="BA536" t="s">
        <v>980</v>
      </c>
      <c r="BB536" t="s">
        <v>981</v>
      </c>
      <c r="BC536" t="s">
        <v>257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 t="s">
        <v>998</v>
      </c>
      <c r="BK536" t="s">
        <v>981</v>
      </c>
      <c r="BL536" t="s">
        <v>4421</v>
      </c>
      <c r="BM536">
        <v>20190418</v>
      </c>
      <c r="BN536">
        <v>20190809</v>
      </c>
      <c r="BO536">
        <v>0</v>
      </c>
      <c r="BP536" t="s">
        <v>257</v>
      </c>
      <c r="BQ536" t="s">
        <v>983</v>
      </c>
      <c r="BR536" t="s">
        <v>978</v>
      </c>
      <c r="BS536" t="s">
        <v>979</v>
      </c>
      <c r="BT536">
        <v>0</v>
      </c>
      <c r="BU536">
        <v>0</v>
      </c>
      <c r="BV536" t="s">
        <v>984</v>
      </c>
      <c r="BW536" t="s">
        <v>257</v>
      </c>
      <c r="BX536">
        <v>0</v>
      </c>
      <c r="BY536" t="s">
        <v>980</v>
      </c>
      <c r="BZ536" t="s">
        <v>257</v>
      </c>
      <c r="CA536">
        <v>0</v>
      </c>
      <c r="CB536">
        <v>0</v>
      </c>
      <c r="CC536" t="s">
        <v>1901</v>
      </c>
      <c r="CD536">
        <v>0</v>
      </c>
      <c r="CE536">
        <v>0</v>
      </c>
      <c r="CF536">
        <v>0</v>
      </c>
      <c r="CG536">
        <v>0</v>
      </c>
      <c r="CH536">
        <v>0</v>
      </c>
      <c r="CI536" t="s">
        <v>983</v>
      </c>
      <c r="CJ536" t="s">
        <v>972</v>
      </c>
      <c r="CK536" t="s">
        <v>986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 t="s">
        <v>987</v>
      </c>
      <c r="CV536">
        <v>400008540</v>
      </c>
      <c r="CW536" t="s">
        <v>987</v>
      </c>
      <c r="CX536" t="s">
        <v>4424</v>
      </c>
      <c r="CY536" t="s">
        <v>989</v>
      </c>
    </row>
    <row r="537" spans="1:103" hidden="1" x14ac:dyDescent="0.25">
      <c r="A537">
        <v>410000541</v>
      </c>
      <c r="B537" t="s">
        <v>4425</v>
      </c>
      <c r="C537" t="s">
        <v>4426</v>
      </c>
      <c r="D537">
        <v>401100000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1</v>
      </c>
      <c r="Y537" t="s">
        <v>972</v>
      </c>
      <c r="Z537" t="s">
        <v>4427</v>
      </c>
      <c r="AA537" t="s">
        <v>4428</v>
      </c>
      <c r="AB537" t="s">
        <v>975</v>
      </c>
      <c r="AC537">
        <v>1160</v>
      </c>
      <c r="AD537" t="s">
        <v>4429</v>
      </c>
      <c r="AE537">
        <v>3271298989</v>
      </c>
      <c r="AF537" t="s">
        <v>979</v>
      </c>
      <c r="AG537" t="s">
        <v>4430</v>
      </c>
      <c r="AH537" t="s">
        <v>977</v>
      </c>
      <c r="AI537" t="s">
        <v>977</v>
      </c>
      <c r="AJ537" t="s">
        <v>978</v>
      </c>
      <c r="AK537" t="s">
        <v>978</v>
      </c>
      <c r="AL537" t="s">
        <v>978</v>
      </c>
      <c r="AM537" t="s">
        <v>979</v>
      </c>
      <c r="AN537">
        <v>0</v>
      </c>
      <c r="AO537" t="s">
        <v>257</v>
      </c>
      <c r="AP537">
        <v>0</v>
      </c>
      <c r="AQ537">
        <v>16</v>
      </c>
      <c r="AR537">
        <v>43</v>
      </c>
      <c r="AS537">
        <v>1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1</v>
      </c>
      <c r="AZ537" t="s">
        <v>257</v>
      </c>
      <c r="BA537" t="s">
        <v>980</v>
      </c>
      <c r="BB537" t="s">
        <v>981</v>
      </c>
      <c r="BC537" t="s">
        <v>257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 t="s">
        <v>998</v>
      </c>
      <c r="BK537" t="s">
        <v>981</v>
      </c>
      <c r="BL537" t="s">
        <v>4425</v>
      </c>
      <c r="BM537">
        <v>20190418</v>
      </c>
      <c r="BN537">
        <v>20240411</v>
      </c>
      <c r="BO537">
        <v>0</v>
      </c>
      <c r="BP537" t="s">
        <v>257</v>
      </c>
      <c r="BQ537" t="s">
        <v>983</v>
      </c>
      <c r="BR537" t="s">
        <v>978</v>
      </c>
      <c r="BS537" t="s">
        <v>979</v>
      </c>
      <c r="BT537">
        <v>0</v>
      </c>
      <c r="BU537">
        <v>0</v>
      </c>
      <c r="BV537" t="s">
        <v>984</v>
      </c>
      <c r="BW537" t="s">
        <v>257</v>
      </c>
      <c r="BX537">
        <v>0</v>
      </c>
      <c r="BY537" t="s">
        <v>980</v>
      </c>
      <c r="BZ537" t="s">
        <v>257</v>
      </c>
      <c r="CA537">
        <v>0</v>
      </c>
      <c r="CB537">
        <v>0</v>
      </c>
      <c r="CC537" t="s">
        <v>1901</v>
      </c>
      <c r="CD537">
        <v>0</v>
      </c>
      <c r="CE537">
        <v>0</v>
      </c>
      <c r="CF537">
        <v>0</v>
      </c>
      <c r="CG537">
        <v>0</v>
      </c>
      <c r="CH537">
        <v>0</v>
      </c>
      <c r="CI537" t="s">
        <v>983</v>
      </c>
      <c r="CJ537" t="s">
        <v>972</v>
      </c>
      <c r="CK537" t="s">
        <v>986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 t="s">
        <v>987</v>
      </c>
      <c r="CV537">
        <v>400008541</v>
      </c>
      <c r="CW537" t="s">
        <v>987</v>
      </c>
      <c r="CX537" t="s">
        <v>4431</v>
      </c>
      <c r="CY537" t="s">
        <v>989</v>
      </c>
    </row>
    <row r="538" spans="1:103" hidden="1" x14ac:dyDescent="0.25">
      <c r="A538">
        <v>410000542</v>
      </c>
      <c r="B538" t="s">
        <v>4432</v>
      </c>
      <c r="C538" t="s">
        <v>4433</v>
      </c>
      <c r="D538">
        <v>401100000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1</v>
      </c>
      <c r="Y538" t="s">
        <v>972</v>
      </c>
      <c r="Z538" t="s">
        <v>4434</v>
      </c>
      <c r="AA538" t="s">
        <v>4435</v>
      </c>
      <c r="AB538" t="s">
        <v>975</v>
      </c>
      <c r="AC538">
        <v>5000</v>
      </c>
      <c r="AD538" t="s">
        <v>1789</v>
      </c>
      <c r="AE538">
        <v>3281220926</v>
      </c>
      <c r="AF538" t="s">
        <v>979</v>
      </c>
      <c r="AG538" t="s">
        <v>977</v>
      </c>
      <c r="AH538" t="s">
        <v>977</v>
      </c>
      <c r="AI538" t="s">
        <v>977</v>
      </c>
      <c r="AJ538" t="s">
        <v>978</v>
      </c>
      <c r="AK538" t="s">
        <v>978</v>
      </c>
      <c r="AL538" t="s">
        <v>978</v>
      </c>
      <c r="AM538" t="s">
        <v>979</v>
      </c>
      <c r="AN538">
        <v>0</v>
      </c>
      <c r="AO538" t="s">
        <v>257</v>
      </c>
      <c r="AP538">
        <v>0</v>
      </c>
      <c r="AQ538">
        <v>1</v>
      </c>
      <c r="AR538">
        <v>43</v>
      </c>
      <c r="AS538">
        <v>1</v>
      </c>
      <c r="AT538">
        <v>0</v>
      </c>
      <c r="AU538">
        <v>1</v>
      </c>
      <c r="AV538">
        <v>0</v>
      </c>
      <c r="AW538">
        <v>0</v>
      </c>
      <c r="AX538">
        <v>0</v>
      </c>
      <c r="AY538">
        <v>1</v>
      </c>
      <c r="AZ538" t="s">
        <v>257</v>
      </c>
      <c r="BA538" t="s">
        <v>980</v>
      </c>
      <c r="BB538" t="s">
        <v>981</v>
      </c>
      <c r="BC538" t="s">
        <v>257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 t="s">
        <v>998</v>
      </c>
      <c r="BK538" t="s">
        <v>981</v>
      </c>
      <c r="BL538" t="s">
        <v>4432</v>
      </c>
      <c r="BM538">
        <v>20190418</v>
      </c>
      <c r="BN538">
        <v>20190521</v>
      </c>
      <c r="BO538">
        <v>0</v>
      </c>
      <c r="BP538" t="s">
        <v>257</v>
      </c>
      <c r="BQ538" t="s">
        <v>983</v>
      </c>
      <c r="BR538" t="s">
        <v>978</v>
      </c>
      <c r="BS538">
        <v>32475614538</v>
      </c>
      <c r="BT538">
        <v>0</v>
      </c>
      <c r="BU538">
        <v>0</v>
      </c>
      <c r="BV538" t="s">
        <v>984</v>
      </c>
      <c r="BW538" t="s">
        <v>257</v>
      </c>
      <c r="BX538">
        <v>0</v>
      </c>
      <c r="BY538" t="s">
        <v>980</v>
      </c>
      <c r="BZ538" t="s">
        <v>257</v>
      </c>
      <c r="CA538">
        <v>0</v>
      </c>
      <c r="CB538">
        <v>0</v>
      </c>
      <c r="CC538" t="s">
        <v>1033</v>
      </c>
      <c r="CD538">
        <v>0</v>
      </c>
      <c r="CE538">
        <v>0</v>
      </c>
      <c r="CF538">
        <v>0</v>
      </c>
      <c r="CG538">
        <v>0</v>
      </c>
      <c r="CH538">
        <v>0</v>
      </c>
      <c r="CI538" t="s">
        <v>983</v>
      </c>
      <c r="CJ538" t="s">
        <v>972</v>
      </c>
      <c r="CK538" t="s">
        <v>986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 t="s">
        <v>987</v>
      </c>
      <c r="CV538">
        <v>400008542</v>
      </c>
      <c r="CW538" t="s">
        <v>987</v>
      </c>
      <c r="CX538" t="s">
        <v>4436</v>
      </c>
      <c r="CY538" t="s">
        <v>989</v>
      </c>
    </row>
    <row r="539" spans="1:103" hidden="1" x14ac:dyDescent="0.25">
      <c r="A539">
        <v>410000543</v>
      </c>
      <c r="B539" t="s">
        <v>4437</v>
      </c>
      <c r="C539" t="s">
        <v>4438</v>
      </c>
      <c r="D539">
        <v>401100000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1</v>
      </c>
      <c r="Y539" t="s">
        <v>972</v>
      </c>
      <c r="Z539" t="s">
        <v>4439</v>
      </c>
      <c r="AA539" t="s">
        <v>4440</v>
      </c>
      <c r="AB539" t="s">
        <v>975</v>
      </c>
      <c r="AC539">
        <v>8620</v>
      </c>
      <c r="AD539" t="s">
        <v>4441</v>
      </c>
      <c r="AE539">
        <v>3258585800</v>
      </c>
      <c r="AF539" t="s">
        <v>979</v>
      </c>
      <c r="AG539" t="s">
        <v>977</v>
      </c>
      <c r="AH539" t="s">
        <v>977</v>
      </c>
      <c r="AI539" t="s">
        <v>977</v>
      </c>
      <c r="AJ539" t="s">
        <v>978</v>
      </c>
      <c r="AK539" t="s">
        <v>978</v>
      </c>
      <c r="AL539" t="s">
        <v>978</v>
      </c>
      <c r="AM539" t="s">
        <v>979</v>
      </c>
      <c r="AN539">
        <v>0</v>
      </c>
      <c r="AO539" t="s">
        <v>257</v>
      </c>
      <c r="AP539">
        <v>0</v>
      </c>
      <c r="AQ539">
        <v>1</v>
      </c>
      <c r="AR539">
        <v>43</v>
      </c>
      <c r="AS539">
        <v>1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1</v>
      </c>
      <c r="AZ539" t="s">
        <v>257</v>
      </c>
      <c r="BA539" t="s">
        <v>980</v>
      </c>
      <c r="BB539" t="s">
        <v>981</v>
      </c>
      <c r="BC539" t="s">
        <v>257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 t="s">
        <v>998</v>
      </c>
      <c r="BK539" t="s">
        <v>981</v>
      </c>
      <c r="BL539" t="s">
        <v>4437</v>
      </c>
      <c r="BM539">
        <v>20190418</v>
      </c>
      <c r="BN539">
        <v>20190521</v>
      </c>
      <c r="BO539">
        <v>0</v>
      </c>
      <c r="BP539" t="s">
        <v>257</v>
      </c>
      <c r="BQ539" t="s">
        <v>983</v>
      </c>
      <c r="BR539" t="s">
        <v>978</v>
      </c>
      <c r="BS539" t="s">
        <v>979</v>
      </c>
      <c r="BT539">
        <v>0</v>
      </c>
      <c r="BU539">
        <v>0</v>
      </c>
      <c r="BV539" t="s">
        <v>984</v>
      </c>
      <c r="BW539" t="s">
        <v>257</v>
      </c>
      <c r="BX539">
        <v>0</v>
      </c>
      <c r="BY539" t="s">
        <v>980</v>
      </c>
      <c r="BZ539" t="s">
        <v>257</v>
      </c>
      <c r="CA539">
        <v>0</v>
      </c>
      <c r="CB539">
        <v>0</v>
      </c>
      <c r="CC539" t="s">
        <v>1033</v>
      </c>
      <c r="CD539">
        <v>0</v>
      </c>
      <c r="CE539">
        <v>0</v>
      </c>
      <c r="CF539">
        <v>0</v>
      </c>
      <c r="CG539">
        <v>0</v>
      </c>
      <c r="CH539">
        <v>0</v>
      </c>
      <c r="CI539" t="s">
        <v>983</v>
      </c>
      <c r="CJ539" t="s">
        <v>972</v>
      </c>
      <c r="CK539" t="s">
        <v>986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 t="s">
        <v>987</v>
      </c>
      <c r="CV539">
        <v>400008543</v>
      </c>
      <c r="CW539" t="s">
        <v>987</v>
      </c>
      <c r="CX539" t="s">
        <v>4442</v>
      </c>
      <c r="CY539" t="s">
        <v>989</v>
      </c>
    </row>
    <row r="540" spans="1:103" hidden="1" x14ac:dyDescent="0.25">
      <c r="A540">
        <v>410000544</v>
      </c>
      <c r="B540" t="s">
        <v>4443</v>
      </c>
      <c r="C540" t="s">
        <v>4444</v>
      </c>
      <c r="D540">
        <v>401100000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1</v>
      </c>
      <c r="X540">
        <v>1</v>
      </c>
      <c r="Y540" t="s">
        <v>972</v>
      </c>
      <c r="Z540" t="s">
        <v>4445</v>
      </c>
      <c r="AA540" t="s">
        <v>4446</v>
      </c>
      <c r="AB540" t="s">
        <v>4447</v>
      </c>
      <c r="AC540" t="s">
        <v>4448</v>
      </c>
      <c r="AD540" t="s">
        <v>4449</v>
      </c>
      <c r="AE540" t="s">
        <v>979</v>
      </c>
      <c r="AF540" t="s">
        <v>979</v>
      </c>
      <c r="AG540" t="s">
        <v>977</v>
      </c>
      <c r="AH540" t="s">
        <v>4450</v>
      </c>
      <c r="AI540" t="s">
        <v>977</v>
      </c>
      <c r="AJ540" t="s">
        <v>978</v>
      </c>
      <c r="AK540" t="s">
        <v>978</v>
      </c>
      <c r="AL540" t="s">
        <v>978</v>
      </c>
      <c r="AM540" t="s">
        <v>979</v>
      </c>
      <c r="AN540">
        <v>0</v>
      </c>
      <c r="AO540" t="s">
        <v>257</v>
      </c>
      <c r="AP540">
        <v>30</v>
      </c>
      <c r="AQ540">
        <v>1</v>
      </c>
      <c r="AR540">
        <v>43</v>
      </c>
      <c r="AS540">
        <v>1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1</v>
      </c>
      <c r="AZ540" t="s">
        <v>257</v>
      </c>
      <c r="BA540" t="s">
        <v>980</v>
      </c>
      <c r="BB540" t="s">
        <v>981</v>
      </c>
      <c r="BC540" t="s">
        <v>257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410000564</v>
      </c>
      <c r="BJ540" t="s">
        <v>998</v>
      </c>
      <c r="BK540" t="s">
        <v>981</v>
      </c>
      <c r="BL540" t="s">
        <v>4443</v>
      </c>
      <c r="BM540">
        <v>20190418</v>
      </c>
      <c r="BN540">
        <v>20220202</v>
      </c>
      <c r="BO540">
        <v>0</v>
      </c>
      <c r="BP540" t="s">
        <v>257</v>
      </c>
      <c r="BQ540" t="s">
        <v>983</v>
      </c>
      <c r="BR540" t="s">
        <v>978</v>
      </c>
      <c r="BS540">
        <v>352621240399</v>
      </c>
      <c r="BT540">
        <v>0</v>
      </c>
      <c r="BU540">
        <v>0</v>
      </c>
      <c r="BV540" t="s">
        <v>984</v>
      </c>
      <c r="BW540" t="s">
        <v>257</v>
      </c>
      <c r="BX540">
        <v>0</v>
      </c>
      <c r="BY540" t="s">
        <v>980</v>
      </c>
      <c r="BZ540" t="s">
        <v>257</v>
      </c>
      <c r="CA540">
        <v>0</v>
      </c>
      <c r="CB540">
        <v>0</v>
      </c>
      <c r="CC540" t="s">
        <v>1128</v>
      </c>
      <c r="CD540">
        <v>0</v>
      </c>
      <c r="CE540">
        <v>0</v>
      </c>
      <c r="CF540">
        <v>0</v>
      </c>
      <c r="CG540">
        <v>0</v>
      </c>
      <c r="CH540">
        <v>0</v>
      </c>
      <c r="CI540" t="s">
        <v>983</v>
      </c>
      <c r="CJ540" t="s">
        <v>972</v>
      </c>
      <c r="CK540" t="s">
        <v>986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 t="s">
        <v>987</v>
      </c>
      <c r="CV540">
        <v>400008544</v>
      </c>
      <c r="CW540" t="s">
        <v>987</v>
      </c>
      <c r="CX540" t="s">
        <v>4451</v>
      </c>
      <c r="CY540" t="s">
        <v>989</v>
      </c>
    </row>
    <row r="541" spans="1:103" hidden="1" x14ac:dyDescent="0.25">
      <c r="A541">
        <v>410000545</v>
      </c>
      <c r="B541" t="s">
        <v>4452</v>
      </c>
      <c r="C541" t="s">
        <v>4453</v>
      </c>
      <c r="D541">
        <v>401100000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1</v>
      </c>
      <c r="Y541" t="s">
        <v>972</v>
      </c>
      <c r="Z541" t="s">
        <v>987</v>
      </c>
      <c r="AA541" t="s">
        <v>4454</v>
      </c>
      <c r="AB541" t="s">
        <v>975</v>
      </c>
      <c r="AC541">
        <v>4040</v>
      </c>
      <c r="AD541" t="s">
        <v>976</v>
      </c>
      <c r="AE541">
        <v>3242770933</v>
      </c>
      <c r="AF541" t="s">
        <v>979</v>
      </c>
      <c r="AG541" t="s">
        <v>977</v>
      </c>
      <c r="AH541" t="s">
        <v>977</v>
      </c>
      <c r="AI541" t="s">
        <v>977</v>
      </c>
      <c r="AJ541" t="s">
        <v>978</v>
      </c>
      <c r="AK541" t="s">
        <v>978</v>
      </c>
      <c r="AL541" t="s">
        <v>978</v>
      </c>
      <c r="AM541" t="s">
        <v>979</v>
      </c>
      <c r="AN541">
        <v>0</v>
      </c>
      <c r="AO541" t="s">
        <v>257</v>
      </c>
      <c r="AP541">
        <v>0</v>
      </c>
      <c r="AQ541">
        <v>1</v>
      </c>
      <c r="AR541">
        <v>43</v>
      </c>
      <c r="AS541">
        <v>1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1</v>
      </c>
      <c r="AZ541" t="s">
        <v>257</v>
      </c>
      <c r="BA541" t="s">
        <v>980</v>
      </c>
      <c r="BB541" t="s">
        <v>981</v>
      </c>
      <c r="BC541" t="s">
        <v>257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 t="s">
        <v>998</v>
      </c>
      <c r="BK541" t="s">
        <v>981</v>
      </c>
      <c r="BL541" t="s">
        <v>4452</v>
      </c>
      <c r="BM541">
        <v>20190423</v>
      </c>
      <c r="BN541">
        <v>0</v>
      </c>
      <c r="BO541">
        <v>0</v>
      </c>
      <c r="BP541" t="s">
        <v>257</v>
      </c>
      <c r="BQ541" t="s">
        <v>983</v>
      </c>
      <c r="BR541" t="s">
        <v>978</v>
      </c>
      <c r="BS541" t="s">
        <v>979</v>
      </c>
      <c r="BT541">
        <v>0</v>
      </c>
      <c r="BU541">
        <v>0</v>
      </c>
      <c r="BV541" t="s">
        <v>984</v>
      </c>
      <c r="BW541" t="s">
        <v>257</v>
      </c>
      <c r="BX541">
        <v>0</v>
      </c>
      <c r="BY541" t="s">
        <v>980</v>
      </c>
      <c r="BZ541" t="s">
        <v>257</v>
      </c>
      <c r="CA541">
        <v>0</v>
      </c>
      <c r="CB541">
        <v>0</v>
      </c>
      <c r="CC541" t="s">
        <v>2998</v>
      </c>
      <c r="CD541">
        <v>0</v>
      </c>
      <c r="CE541">
        <v>0</v>
      </c>
      <c r="CF541">
        <v>0</v>
      </c>
      <c r="CG541">
        <v>0</v>
      </c>
      <c r="CH541">
        <v>0</v>
      </c>
      <c r="CI541" t="s">
        <v>983</v>
      </c>
      <c r="CJ541" t="s">
        <v>972</v>
      </c>
      <c r="CK541" t="s">
        <v>986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 t="s">
        <v>987</v>
      </c>
      <c r="CV541">
        <v>400008545</v>
      </c>
      <c r="CW541" t="s">
        <v>987</v>
      </c>
      <c r="CX541" t="s">
        <v>4455</v>
      </c>
      <c r="CY541" t="s">
        <v>989</v>
      </c>
    </row>
    <row r="542" spans="1:103" hidden="1" x14ac:dyDescent="0.25">
      <c r="A542">
        <v>410000546</v>
      </c>
      <c r="B542" t="s">
        <v>4456</v>
      </c>
      <c r="C542" t="s">
        <v>4457</v>
      </c>
      <c r="D542">
        <v>401100000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1</v>
      </c>
      <c r="Y542" t="s">
        <v>4458</v>
      </c>
      <c r="Z542" t="s">
        <v>4459</v>
      </c>
      <c r="AA542" t="s">
        <v>4460</v>
      </c>
      <c r="AB542" t="s">
        <v>975</v>
      </c>
      <c r="AC542">
        <v>6940</v>
      </c>
      <c r="AD542" t="s">
        <v>4461</v>
      </c>
      <c r="AE542">
        <v>3286212696</v>
      </c>
      <c r="AF542" t="s">
        <v>979</v>
      </c>
      <c r="AG542" t="s">
        <v>977</v>
      </c>
      <c r="AH542" t="s">
        <v>977</v>
      </c>
      <c r="AI542" t="s">
        <v>977</v>
      </c>
      <c r="AJ542" t="s">
        <v>978</v>
      </c>
      <c r="AK542" t="s">
        <v>978</v>
      </c>
      <c r="AL542" t="s">
        <v>978</v>
      </c>
      <c r="AM542" t="s">
        <v>979</v>
      </c>
      <c r="AN542">
        <v>0</v>
      </c>
      <c r="AO542" t="s">
        <v>257</v>
      </c>
      <c r="AP542">
        <v>0</v>
      </c>
      <c r="AQ542">
        <v>16</v>
      </c>
      <c r="AR542">
        <v>43</v>
      </c>
      <c r="AS542">
        <v>1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1</v>
      </c>
      <c r="AZ542" t="s">
        <v>257</v>
      </c>
      <c r="BA542" t="s">
        <v>980</v>
      </c>
      <c r="BB542" t="s">
        <v>981</v>
      </c>
      <c r="BC542" t="s">
        <v>257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 t="s">
        <v>998</v>
      </c>
      <c r="BK542" t="s">
        <v>981</v>
      </c>
      <c r="BL542" t="s">
        <v>4456</v>
      </c>
      <c r="BM542">
        <v>20190425</v>
      </c>
      <c r="BN542">
        <v>20230315</v>
      </c>
      <c r="BO542">
        <v>0</v>
      </c>
      <c r="BP542" t="s">
        <v>257</v>
      </c>
      <c r="BQ542" t="s">
        <v>983</v>
      </c>
      <c r="BR542" t="s">
        <v>978</v>
      </c>
      <c r="BS542" t="s">
        <v>979</v>
      </c>
      <c r="BT542">
        <v>0</v>
      </c>
      <c r="BU542">
        <v>0</v>
      </c>
      <c r="BV542" t="s">
        <v>984</v>
      </c>
      <c r="BW542" t="s">
        <v>257</v>
      </c>
      <c r="BX542">
        <v>0</v>
      </c>
      <c r="BY542" t="s">
        <v>980</v>
      </c>
      <c r="BZ542" t="s">
        <v>257</v>
      </c>
      <c r="CA542">
        <v>0</v>
      </c>
      <c r="CB542">
        <v>0</v>
      </c>
      <c r="CC542" t="s">
        <v>1901</v>
      </c>
      <c r="CD542">
        <v>0</v>
      </c>
      <c r="CE542">
        <v>0</v>
      </c>
      <c r="CF542">
        <v>0</v>
      </c>
      <c r="CG542">
        <v>0</v>
      </c>
      <c r="CH542">
        <v>0</v>
      </c>
      <c r="CI542" t="s">
        <v>983</v>
      </c>
      <c r="CJ542" t="s">
        <v>972</v>
      </c>
      <c r="CK542" t="s">
        <v>986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 t="s">
        <v>987</v>
      </c>
      <c r="CV542">
        <v>400008546</v>
      </c>
      <c r="CW542" t="s">
        <v>987</v>
      </c>
      <c r="CX542" t="s">
        <v>4462</v>
      </c>
      <c r="CY542" t="s">
        <v>989</v>
      </c>
    </row>
    <row r="543" spans="1:103" hidden="1" x14ac:dyDescent="0.25">
      <c r="A543">
        <v>410000547</v>
      </c>
      <c r="B543" t="s">
        <v>4463</v>
      </c>
      <c r="C543" t="s">
        <v>4464</v>
      </c>
      <c r="D543">
        <v>401100000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1</v>
      </c>
      <c r="Y543" t="s">
        <v>972</v>
      </c>
      <c r="Z543" t="s">
        <v>4465</v>
      </c>
      <c r="AA543" t="s">
        <v>4466</v>
      </c>
      <c r="AB543" t="s">
        <v>975</v>
      </c>
      <c r="AC543">
        <v>5580</v>
      </c>
      <c r="AD543" t="s">
        <v>3678</v>
      </c>
      <c r="AE543">
        <v>3284340894</v>
      </c>
      <c r="AF543">
        <v>3284211238</v>
      </c>
      <c r="AG543" t="s">
        <v>977</v>
      </c>
      <c r="AH543" t="s">
        <v>977</v>
      </c>
      <c r="AI543" t="s">
        <v>977</v>
      </c>
      <c r="AJ543" t="s">
        <v>4467</v>
      </c>
      <c r="AK543" t="s">
        <v>978</v>
      </c>
      <c r="AL543" t="s">
        <v>978</v>
      </c>
      <c r="AM543" t="s">
        <v>979</v>
      </c>
      <c r="AN543">
        <v>0</v>
      </c>
      <c r="AO543" t="s">
        <v>257</v>
      </c>
      <c r="AP543">
        <v>0</v>
      </c>
      <c r="AQ543">
        <v>1</v>
      </c>
      <c r="AR543">
        <v>43</v>
      </c>
      <c r="AS543">
        <v>1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1</v>
      </c>
      <c r="AZ543" t="s">
        <v>257</v>
      </c>
      <c r="BA543" t="s">
        <v>980</v>
      </c>
      <c r="BB543" t="s">
        <v>981</v>
      </c>
      <c r="BC543" t="s">
        <v>257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 t="s">
        <v>998</v>
      </c>
      <c r="BK543" t="s">
        <v>981</v>
      </c>
      <c r="BL543" t="s">
        <v>4463</v>
      </c>
      <c r="BM543">
        <v>20190506</v>
      </c>
      <c r="BN543">
        <v>20190506</v>
      </c>
      <c r="BO543">
        <v>0</v>
      </c>
      <c r="BP543" t="s">
        <v>257</v>
      </c>
      <c r="BQ543" t="s">
        <v>983</v>
      </c>
      <c r="BR543" t="s">
        <v>978</v>
      </c>
      <c r="BS543" t="s">
        <v>979</v>
      </c>
      <c r="BT543">
        <v>0</v>
      </c>
      <c r="BU543">
        <v>0</v>
      </c>
      <c r="BV543" t="s">
        <v>984</v>
      </c>
      <c r="BW543" t="s">
        <v>257</v>
      </c>
      <c r="BX543">
        <v>0</v>
      </c>
      <c r="BY543" t="s">
        <v>980</v>
      </c>
      <c r="BZ543" t="s">
        <v>257</v>
      </c>
      <c r="CA543">
        <v>0</v>
      </c>
      <c r="CB543">
        <v>0</v>
      </c>
      <c r="CC543" t="s">
        <v>1901</v>
      </c>
      <c r="CD543">
        <v>0</v>
      </c>
      <c r="CE543">
        <v>0</v>
      </c>
      <c r="CF543">
        <v>0</v>
      </c>
      <c r="CG543">
        <v>0</v>
      </c>
      <c r="CH543">
        <v>0</v>
      </c>
      <c r="CI543" t="s">
        <v>983</v>
      </c>
      <c r="CJ543" t="s">
        <v>972</v>
      </c>
      <c r="CK543" t="s">
        <v>986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 t="s">
        <v>987</v>
      </c>
      <c r="CV543">
        <v>400008547</v>
      </c>
      <c r="CW543" t="s">
        <v>987</v>
      </c>
      <c r="CX543" t="s">
        <v>4468</v>
      </c>
      <c r="CY543" t="s">
        <v>989</v>
      </c>
    </row>
    <row r="544" spans="1:103" hidden="1" x14ac:dyDescent="0.25">
      <c r="A544">
        <v>410000548</v>
      </c>
      <c r="B544" t="s">
        <v>4469</v>
      </c>
      <c r="C544" t="s">
        <v>4470</v>
      </c>
      <c r="D544">
        <v>401100000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1</v>
      </c>
      <c r="Y544" t="s">
        <v>972</v>
      </c>
      <c r="Z544" t="s">
        <v>987</v>
      </c>
      <c r="AA544" t="s">
        <v>4471</v>
      </c>
      <c r="AB544" t="s">
        <v>975</v>
      </c>
      <c r="AC544">
        <v>7000</v>
      </c>
      <c r="AD544" t="s">
        <v>4472</v>
      </c>
      <c r="AE544">
        <v>3265364585</v>
      </c>
      <c r="AF544">
        <v>3265723709</v>
      </c>
      <c r="AG544" t="s">
        <v>977</v>
      </c>
      <c r="AH544" t="s">
        <v>977</v>
      </c>
      <c r="AI544" t="s">
        <v>977</v>
      </c>
      <c r="AJ544" t="s">
        <v>978</v>
      </c>
      <c r="AK544" t="s">
        <v>978</v>
      </c>
      <c r="AL544" t="s">
        <v>978</v>
      </c>
      <c r="AM544" t="s">
        <v>979</v>
      </c>
      <c r="AN544">
        <v>0</v>
      </c>
      <c r="AO544" t="s">
        <v>257</v>
      </c>
      <c r="AP544">
        <v>0</v>
      </c>
      <c r="AQ544">
        <v>1</v>
      </c>
      <c r="AR544">
        <v>43</v>
      </c>
      <c r="AS544">
        <v>1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1</v>
      </c>
      <c r="AZ544" t="s">
        <v>257</v>
      </c>
      <c r="BA544" t="s">
        <v>257</v>
      </c>
      <c r="BB544" t="s">
        <v>981</v>
      </c>
      <c r="BC544" t="s">
        <v>257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 t="s">
        <v>998</v>
      </c>
      <c r="BK544" t="s">
        <v>981</v>
      </c>
      <c r="BL544" t="s">
        <v>4469</v>
      </c>
      <c r="BM544">
        <v>20190510</v>
      </c>
      <c r="BN544">
        <v>0</v>
      </c>
      <c r="BO544">
        <v>0</v>
      </c>
      <c r="BP544" t="s">
        <v>257</v>
      </c>
      <c r="BQ544" t="s">
        <v>983</v>
      </c>
      <c r="BR544" t="s">
        <v>978</v>
      </c>
      <c r="BS544" t="s">
        <v>979</v>
      </c>
      <c r="BT544">
        <v>0</v>
      </c>
      <c r="BU544">
        <v>0</v>
      </c>
      <c r="BV544" t="s">
        <v>984</v>
      </c>
      <c r="BW544" t="s">
        <v>257</v>
      </c>
      <c r="BX544">
        <v>0</v>
      </c>
      <c r="BY544" t="s">
        <v>980</v>
      </c>
      <c r="BZ544" t="s">
        <v>257</v>
      </c>
      <c r="CA544">
        <v>0</v>
      </c>
      <c r="CB544">
        <v>0</v>
      </c>
      <c r="CC544" t="s">
        <v>1033</v>
      </c>
      <c r="CD544">
        <v>0</v>
      </c>
      <c r="CE544">
        <v>0</v>
      </c>
      <c r="CF544">
        <v>0</v>
      </c>
      <c r="CG544">
        <v>0</v>
      </c>
      <c r="CH544">
        <v>0</v>
      </c>
      <c r="CI544" t="s">
        <v>983</v>
      </c>
      <c r="CJ544" t="s">
        <v>972</v>
      </c>
      <c r="CK544" t="s">
        <v>986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 t="s">
        <v>987</v>
      </c>
      <c r="CV544">
        <v>400008548</v>
      </c>
      <c r="CW544" t="s">
        <v>987</v>
      </c>
      <c r="CX544" t="s">
        <v>4473</v>
      </c>
      <c r="CY544" t="s">
        <v>989</v>
      </c>
    </row>
    <row r="545" spans="1:103" hidden="1" x14ac:dyDescent="0.25">
      <c r="A545">
        <v>410000549</v>
      </c>
      <c r="B545" t="s">
        <v>4474</v>
      </c>
      <c r="C545" t="s">
        <v>4475</v>
      </c>
      <c r="D545">
        <v>401100000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1</v>
      </c>
      <c r="X545">
        <v>1</v>
      </c>
      <c r="Y545" t="s">
        <v>972</v>
      </c>
      <c r="Z545" t="s">
        <v>987</v>
      </c>
      <c r="AA545" t="s">
        <v>4476</v>
      </c>
      <c r="AB545" t="s">
        <v>975</v>
      </c>
      <c r="AC545">
        <v>4460</v>
      </c>
      <c r="AD545" t="s">
        <v>1946</v>
      </c>
      <c r="AE545">
        <v>32498169977</v>
      </c>
      <c r="AF545" t="s">
        <v>979</v>
      </c>
      <c r="AG545" t="s">
        <v>977</v>
      </c>
      <c r="AH545" t="s">
        <v>977</v>
      </c>
      <c r="AI545" t="s">
        <v>977</v>
      </c>
      <c r="AJ545" t="s">
        <v>978</v>
      </c>
      <c r="AK545" t="s">
        <v>978</v>
      </c>
      <c r="AL545" t="s">
        <v>978</v>
      </c>
      <c r="AM545" t="s">
        <v>979</v>
      </c>
      <c r="AN545">
        <v>0</v>
      </c>
      <c r="AO545" t="s">
        <v>257</v>
      </c>
      <c r="AP545">
        <v>0</v>
      </c>
      <c r="AQ545">
        <v>1</v>
      </c>
      <c r="AR545">
        <v>43</v>
      </c>
      <c r="AS545">
        <v>1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1</v>
      </c>
      <c r="AZ545" t="s">
        <v>257</v>
      </c>
      <c r="BA545" t="s">
        <v>980</v>
      </c>
      <c r="BB545" t="s">
        <v>981</v>
      </c>
      <c r="BC545" t="s">
        <v>257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 t="s">
        <v>998</v>
      </c>
      <c r="BK545" t="s">
        <v>981</v>
      </c>
      <c r="BL545" t="s">
        <v>4474</v>
      </c>
      <c r="BM545">
        <v>20190515</v>
      </c>
      <c r="BN545">
        <v>20190515</v>
      </c>
      <c r="BO545">
        <v>0</v>
      </c>
      <c r="BP545" t="s">
        <v>257</v>
      </c>
      <c r="BQ545" t="s">
        <v>983</v>
      </c>
      <c r="BR545" t="s">
        <v>978</v>
      </c>
      <c r="BS545" t="s">
        <v>979</v>
      </c>
      <c r="BT545">
        <v>0</v>
      </c>
      <c r="BU545">
        <v>0</v>
      </c>
      <c r="BV545" t="s">
        <v>984</v>
      </c>
      <c r="BW545" t="s">
        <v>257</v>
      </c>
      <c r="BX545">
        <v>0</v>
      </c>
      <c r="BY545" t="s">
        <v>980</v>
      </c>
      <c r="BZ545" t="s">
        <v>257</v>
      </c>
      <c r="CA545">
        <v>0</v>
      </c>
      <c r="CB545">
        <v>0</v>
      </c>
      <c r="CC545" t="s">
        <v>1397</v>
      </c>
      <c r="CD545">
        <v>0</v>
      </c>
      <c r="CE545">
        <v>0</v>
      </c>
      <c r="CF545">
        <v>0</v>
      </c>
      <c r="CG545">
        <v>0</v>
      </c>
      <c r="CH545">
        <v>0</v>
      </c>
      <c r="CI545" t="s">
        <v>983</v>
      </c>
      <c r="CJ545" t="s">
        <v>972</v>
      </c>
      <c r="CK545" t="s">
        <v>986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 t="s">
        <v>987</v>
      </c>
      <c r="CV545">
        <v>400008549</v>
      </c>
      <c r="CW545" t="s">
        <v>987</v>
      </c>
      <c r="CX545" t="s">
        <v>4477</v>
      </c>
      <c r="CY545" t="s">
        <v>989</v>
      </c>
    </row>
    <row r="546" spans="1:103" hidden="1" x14ac:dyDescent="0.25">
      <c r="A546">
        <v>410000550</v>
      </c>
      <c r="B546" t="s">
        <v>4478</v>
      </c>
      <c r="C546" t="s">
        <v>4479</v>
      </c>
      <c r="D546">
        <v>401100000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1</v>
      </c>
      <c r="X546">
        <v>1</v>
      </c>
      <c r="Y546" t="s">
        <v>972</v>
      </c>
      <c r="Z546" t="s">
        <v>7167</v>
      </c>
      <c r="AA546" t="s">
        <v>7446</v>
      </c>
      <c r="AB546" t="s">
        <v>975</v>
      </c>
      <c r="AC546">
        <v>4120</v>
      </c>
      <c r="AD546" t="s">
        <v>4300</v>
      </c>
      <c r="AE546">
        <v>3243713888</v>
      </c>
      <c r="AF546" t="s">
        <v>979</v>
      </c>
      <c r="AG546" t="s">
        <v>977</v>
      </c>
      <c r="AH546" t="s">
        <v>977</v>
      </c>
      <c r="AI546" t="s">
        <v>977</v>
      </c>
      <c r="AJ546" t="s">
        <v>7168</v>
      </c>
      <c r="AK546" t="s">
        <v>978</v>
      </c>
      <c r="AL546" t="s">
        <v>978</v>
      </c>
      <c r="AM546" t="s">
        <v>979</v>
      </c>
      <c r="AN546">
        <v>0</v>
      </c>
      <c r="AO546" t="s">
        <v>257</v>
      </c>
      <c r="AP546">
        <v>0</v>
      </c>
      <c r="AQ546">
        <v>1</v>
      </c>
      <c r="AR546">
        <v>43</v>
      </c>
      <c r="AS546">
        <v>1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1</v>
      </c>
      <c r="AZ546" t="s">
        <v>257</v>
      </c>
      <c r="BA546" t="s">
        <v>980</v>
      </c>
      <c r="BB546" t="s">
        <v>981</v>
      </c>
      <c r="BC546" t="s">
        <v>257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 t="s">
        <v>998</v>
      </c>
      <c r="BK546" t="s">
        <v>981</v>
      </c>
      <c r="BL546" t="s">
        <v>4478</v>
      </c>
      <c r="BM546">
        <v>20190522</v>
      </c>
      <c r="BN546">
        <v>20251020</v>
      </c>
      <c r="BO546">
        <v>0</v>
      </c>
      <c r="BP546" t="s">
        <v>257</v>
      </c>
      <c r="BQ546" t="s">
        <v>983</v>
      </c>
      <c r="BR546" t="s">
        <v>978</v>
      </c>
      <c r="BS546" t="s">
        <v>979</v>
      </c>
      <c r="BT546">
        <v>0</v>
      </c>
      <c r="BU546">
        <v>0</v>
      </c>
      <c r="BV546" t="s">
        <v>984</v>
      </c>
      <c r="BW546" t="s">
        <v>257</v>
      </c>
      <c r="BX546">
        <v>0</v>
      </c>
      <c r="BY546" t="s">
        <v>980</v>
      </c>
      <c r="BZ546" t="s">
        <v>257</v>
      </c>
      <c r="CA546">
        <v>0</v>
      </c>
      <c r="CB546">
        <v>0</v>
      </c>
      <c r="CC546" t="s">
        <v>2356</v>
      </c>
      <c r="CD546">
        <v>0</v>
      </c>
      <c r="CE546">
        <v>0</v>
      </c>
      <c r="CF546">
        <v>0</v>
      </c>
      <c r="CG546">
        <v>0</v>
      </c>
      <c r="CH546">
        <v>0</v>
      </c>
      <c r="CI546" t="s">
        <v>983</v>
      </c>
      <c r="CJ546" t="s">
        <v>972</v>
      </c>
      <c r="CK546" t="s">
        <v>986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 t="s">
        <v>987</v>
      </c>
      <c r="CV546">
        <v>400008550</v>
      </c>
      <c r="CW546" t="s">
        <v>987</v>
      </c>
      <c r="CX546" t="s">
        <v>7447</v>
      </c>
      <c r="CY546" t="s">
        <v>989</v>
      </c>
    </row>
    <row r="547" spans="1:103" hidden="1" x14ac:dyDescent="0.25">
      <c r="A547">
        <v>410000551</v>
      </c>
      <c r="B547" t="s">
        <v>4480</v>
      </c>
      <c r="C547" t="s">
        <v>4481</v>
      </c>
      <c r="D547">
        <v>401100000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1</v>
      </c>
      <c r="Y547" t="s">
        <v>972</v>
      </c>
      <c r="Z547" t="s">
        <v>4482</v>
      </c>
      <c r="AA547" t="s">
        <v>4483</v>
      </c>
      <c r="AB547" t="s">
        <v>975</v>
      </c>
      <c r="AC547">
        <v>4020</v>
      </c>
      <c r="AD547" t="s">
        <v>1019</v>
      </c>
      <c r="AE547" t="s">
        <v>4484</v>
      </c>
      <c r="AF547" t="s">
        <v>4485</v>
      </c>
      <c r="AG547" t="s">
        <v>977</v>
      </c>
      <c r="AH547" t="s">
        <v>977</v>
      </c>
      <c r="AI547" t="s">
        <v>977</v>
      </c>
      <c r="AJ547" t="s">
        <v>978</v>
      </c>
      <c r="AK547" t="s">
        <v>978</v>
      </c>
      <c r="AL547" t="s">
        <v>978</v>
      </c>
      <c r="AM547" t="s">
        <v>979</v>
      </c>
      <c r="AN547">
        <v>0</v>
      </c>
      <c r="AO547" t="s">
        <v>257</v>
      </c>
      <c r="AP547">
        <v>0</v>
      </c>
      <c r="AQ547">
        <v>1</v>
      </c>
      <c r="AR547">
        <v>43</v>
      </c>
      <c r="AS547">
        <v>1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1</v>
      </c>
      <c r="AZ547" t="s">
        <v>257</v>
      </c>
      <c r="BA547" t="s">
        <v>980</v>
      </c>
      <c r="BB547" t="s">
        <v>981</v>
      </c>
      <c r="BC547" t="s">
        <v>257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 t="s">
        <v>998</v>
      </c>
      <c r="BK547" t="s">
        <v>981</v>
      </c>
      <c r="BL547" t="s">
        <v>4480</v>
      </c>
      <c r="BM547">
        <v>20190529</v>
      </c>
      <c r="BN547">
        <v>20190529</v>
      </c>
      <c r="BO547">
        <v>0</v>
      </c>
      <c r="BP547" t="s">
        <v>257</v>
      </c>
      <c r="BQ547" t="s">
        <v>983</v>
      </c>
      <c r="BR547" t="s">
        <v>978</v>
      </c>
      <c r="BS547" t="s">
        <v>979</v>
      </c>
      <c r="BT547">
        <v>0</v>
      </c>
      <c r="BU547">
        <v>0</v>
      </c>
      <c r="BV547" t="s">
        <v>984</v>
      </c>
      <c r="BW547" t="s">
        <v>257</v>
      </c>
      <c r="BX547">
        <v>0</v>
      </c>
      <c r="BY547" t="s">
        <v>980</v>
      </c>
      <c r="BZ547" t="s">
        <v>257</v>
      </c>
      <c r="CA547">
        <v>0</v>
      </c>
      <c r="CB547">
        <v>0</v>
      </c>
      <c r="CC547" t="s">
        <v>1371</v>
      </c>
      <c r="CD547">
        <v>0</v>
      </c>
      <c r="CE547">
        <v>0</v>
      </c>
      <c r="CF547">
        <v>0</v>
      </c>
      <c r="CG547">
        <v>0</v>
      </c>
      <c r="CH547">
        <v>0</v>
      </c>
      <c r="CI547" t="s">
        <v>983</v>
      </c>
      <c r="CJ547" t="s">
        <v>972</v>
      </c>
      <c r="CK547" t="s">
        <v>986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 t="s">
        <v>987</v>
      </c>
      <c r="CV547">
        <v>400008551</v>
      </c>
      <c r="CW547" t="s">
        <v>987</v>
      </c>
      <c r="CX547" t="s">
        <v>4486</v>
      </c>
      <c r="CY547" t="s">
        <v>989</v>
      </c>
    </row>
    <row r="548" spans="1:103" hidden="1" x14ac:dyDescent="0.25">
      <c r="A548">
        <v>410000552</v>
      </c>
      <c r="B548" t="s">
        <v>4487</v>
      </c>
      <c r="C548" t="s">
        <v>4488</v>
      </c>
      <c r="D548">
        <v>401100000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 t="s">
        <v>972</v>
      </c>
      <c r="Z548" t="s">
        <v>4489</v>
      </c>
      <c r="AA548" t="s">
        <v>4490</v>
      </c>
      <c r="AB548" t="s">
        <v>975</v>
      </c>
      <c r="AC548">
        <v>5555</v>
      </c>
      <c r="AD548" t="s">
        <v>4491</v>
      </c>
      <c r="AE548" t="s">
        <v>979</v>
      </c>
      <c r="AF548" t="s">
        <v>979</v>
      </c>
      <c r="AG548" t="s">
        <v>4492</v>
      </c>
      <c r="AH548" t="s">
        <v>977</v>
      </c>
      <c r="AI548" t="s">
        <v>977</v>
      </c>
      <c r="AJ548" t="s">
        <v>4493</v>
      </c>
      <c r="AK548" t="s">
        <v>978</v>
      </c>
      <c r="AL548" t="s">
        <v>978</v>
      </c>
      <c r="AM548" t="s">
        <v>979</v>
      </c>
      <c r="AN548">
        <v>0</v>
      </c>
      <c r="AO548" t="s">
        <v>257</v>
      </c>
      <c r="AP548">
        <v>0</v>
      </c>
      <c r="AQ548">
        <v>1</v>
      </c>
      <c r="AR548">
        <v>43</v>
      </c>
      <c r="AS548">
        <v>1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1</v>
      </c>
      <c r="AZ548" t="s">
        <v>257</v>
      </c>
      <c r="BA548" t="s">
        <v>980</v>
      </c>
      <c r="BB548" t="s">
        <v>981</v>
      </c>
      <c r="BC548" t="s">
        <v>257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 t="s">
        <v>998</v>
      </c>
      <c r="BK548" t="s">
        <v>981</v>
      </c>
      <c r="BL548" t="s">
        <v>4487</v>
      </c>
      <c r="BM548">
        <v>20190603</v>
      </c>
      <c r="BN548">
        <v>20240724</v>
      </c>
      <c r="BO548">
        <v>0</v>
      </c>
      <c r="BP548" t="s">
        <v>257</v>
      </c>
      <c r="BQ548" t="s">
        <v>983</v>
      </c>
      <c r="BR548" t="s">
        <v>978</v>
      </c>
      <c r="BS548">
        <v>32475300429</v>
      </c>
      <c r="BT548">
        <v>0</v>
      </c>
      <c r="BU548">
        <v>0</v>
      </c>
      <c r="BV548" t="s">
        <v>984</v>
      </c>
      <c r="BW548" t="s">
        <v>257</v>
      </c>
      <c r="BX548">
        <v>0</v>
      </c>
      <c r="BY548" t="s">
        <v>980</v>
      </c>
      <c r="BZ548" t="s">
        <v>257</v>
      </c>
      <c r="CA548">
        <v>0</v>
      </c>
      <c r="CB548">
        <v>0</v>
      </c>
      <c r="CC548" t="s">
        <v>1901</v>
      </c>
      <c r="CD548">
        <v>0</v>
      </c>
      <c r="CE548">
        <v>0</v>
      </c>
      <c r="CF548">
        <v>0</v>
      </c>
      <c r="CG548">
        <v>0</v>
      </c>
      <c r="CH548">
        <v>0</v>
      </c>
      <c r="CI548" t="s">
        <v>983</v>
      </c>
      <c r="CJ548" t="s">
        <v>972</v>
      </c>
      <c r="CK548" t="s">
        <v>986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 t="s">
        <v>987</v>
      </c>
      <c r="CV548">
        <v>400008552</v>
      </c>
      <c r="CW548" t="s">
        <v>987</v>
      </c>
      <c r="CX548" t="s">
        <v>4494</v>
      </c>
      <c r="CY548" t="s">
        <v>989</v>
      </c>
    </row>
    <row r="549" spans="1:103" hidden="1" x14ac:dyDescent="0.25">
      <c r="A549">
        <v>410000553</v>
      </c>
      <c r="B549" t="s">
        <v>4495</v>
      </c>
      <c r="C549" t="s">
        <v>4496</v>
      </c>
      <c r="D549">
        <v>401100000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1</v>
      </c>
      <c r="Y549" t="s">
        <v>972</v>
      </c>
      <c r="Z549" t="s">
        <v>4497</v>
      </c>
      <c r="AA549" t="s">
        <v>4498</v>
      </c>
      <c r="AB549" t="s">
        <v>975</v>
      </c>
      <c r="AC549">
        <v>4030</v>
      </c>
      <c r="AD549" t="s">
        <v>1019</v>
      </c>
      <c r="AE549">
        <v>3243675185</v>
      </c>
      <c r="AF549" t="s">
        <v>979</v>
      </c>
      <c r="AG549" t="s">
        <v>977</v>
      </c>
      <c r="AH549" t="s">
        <v>977</v>
      </c>
      <c r="AI549" t="s">
        <v>977</v>
      </c>
      <c r="AJ549" t="s">
        <v>978</v>
      </c>
      <c r="AK549" t="s">
        <v>978</v>
      </c>
      <c r="AL549" t="s">
        <v>978</v>
      </c>
      <c r="AM549" t="s">
        <v>979</v>
      </c>
      <c r="AN549">
        <v>0</v>
      </c>
      <c r="AO549" t="s">
        <v>257</v>
      </c>
      <c r="AP549">
        <v>0</v>
      </c>
      <c r="AQ549">
        <v>1</v>
      </c>
      <c r="AR549">
        <v>43</v>
      </c>
      <c r="AS549">
        <v>1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1</v>
      </c>
      <c r="AZ549" t="s">
        <v>257</v>
      </c>
      <c r="BA549" t="s">
        <v>980</v>
      </c>
      <c r="BB549" t="s">
        <v>981</v>
      </c>
      <c r="BC549" t="s">
        <v>257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 t="s">
        <v>998</v>
      </c>
      <c r="BK549" t="s">
        <v>981</v>
      </c>
      <c r="BL549" t="s">
        <v>4495</v>
      </c>
      <c r="BM549">
        <v>20190619</v>
      </c>
      <c r="BN549">
        <v>20200113</v>
      </c>
      <c r="BO549">
        <v>0</v>
      </c>
      <c r="BP549" t="s">
        <v>257</v>
      </c>
      <c r="BQ549" t="s">
        <v>983</v>
      </c>
      <c r="BR549" t="s">
        <v>978</v>
      </c>
      <c r="BS549" t="s">
        <v>979</v>
      </c>
      <c r="BT549">
        <v>0</v>
      </c>
      <c r="BU549">
        <v>0</v>
      </c>
      <c r="BV549" t="s">
        <v>984</v>
      </c>
      <c r="BW549" t="s">
        <v>257</v>
      </c>
      <c r="BX549">
        <v>0</v>
      </c>
      <c r="BY549" t="s">
        <v>980</v>
      </c>
      <c r="BZ549" t="s">
        <v>257</v>
      </c>
      <c r="CA549">
        <v>0</v>
      </c>
      <c r="CB549">
        <v>0</v>
      </c>
      <c r="CC549" t="s">
        <v>1119</v>
      </c>
      <c r="CD549">
        <v>0</v>
      </c>
      <c r="CE549">
        <v>0</v>
      </c>
      <c r="CF549">
        <v>0</v>
      </c>
      <c r="CG549">
        <v>0</v>
      </c>
      <c r="CH549">
        <v>0</v>
      </c>
      <c r="CI549" t="s">
        <v>983</v>
      </c>
      <c r="CJ549" t="s">
        <v>972</v>
      </c>
      <c r="CK549" t="s">
        <v>986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 t="s">
        <v>987</v>
      </c>
      <c r="CV549">
        <v>400008553</v>
      </c>
      <c r="CW549" t="s">
        <v>987</v>
      </c>
      <c r="CX549" t="s">
        <v>4499</v>
      </c>
      <c r="CY549" t="s">
        <v>989</v>
      </c>
    </row>
    <row r="550" spans="1:103" hidden="1" x14ac:dyDescent="0.25">
      <c r="A550">
        <v>410000554</v>
      </c>
      <c r="B550" t="s">
        <v>4500</v>
      </c>
      <c r="C550" t="s">
        <v>978</v>
      </c>
      <c r="D550">
        <v>401100000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1</v>
      </c>
      <c r="Y550" t="s">
        <v>972</v>
      </c>
      <c r="Z550" t="s">
        <v>4501</v>
      </c>
      <c r="AA550" t="s">
        <v>4502</v>
      </c>
      <c r="AB550" t="s">
        <v>975</v>
      </c>
      <c r="AC550">
        <v>4950</v>
      </c>
      <c r="AD550" t="s">
        <v>4503</v>
      </c>
      <c r="AE550" t="s">
        <v>979</v>
      </c>
      <c r="AF550" t="s">
        <v>979</v>
      </c>
      <c r="AG550" t="s">
        <v>4504</v>
      </c>
      <c r="AH550" t="s">
        <v>977</v>
      </c>
      <c r="AI550" t="s">
        <v>977</v>
      </c>
      <c r="AJ550" t="s">
        <v>4505</v>
      </c>
      <c r="AK550" t="s">
        <v>978</v>
      </c>
      <c r="AL550" t="s">
        <v>978</v>
      </c>
      <c r="AM550" t="s">
        <v>979</v>
      </c>
      <c r="AN550">
        <v>0</v>
      </c>
      <c r="AO550" t="s">
        <v>257</v>
      </c>
      <c r="AP550">
        <v>0</v>
      </c>
      <c r="AQ550">
        <v>1</v>
      </c>
      <c r="AR550">
        <v>43</v>
      </c>
      <c r="AS550">
        <v>1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1</v>
      </c>
      <c r="AZ550" t="s">
        <v>257</v>
      </c>
      <c r="BA550" t="s">
        <v>980</v>
      </c>
      <c r="BB550" t="s">
        <v>981</v>
      </c>
      <c r="BC550" t="s">
        <v>257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 t="s">
        <v>998</v>
      </c>
      <c r="BK550" t="s">
        <v>981</v>
      </c>
      <c r="BL550" t="s">
        <v>4500</v>
      </c>
      <c r="BM550">
        <v>20190619</v>
      </c>
      <c r="BN550">
        <v>20190619</v>
      </c>
      <c r="BO550">
        <v>0</v>
      </c>
      <c r="BP550" t="s">
        <v>257</v>
      </c>
      <c r="BQ550" t="s">
        <v>983</v>
      </c>
      <c r="BR550" t="s">
        <v>978</v>
      </c>
      <c r="BS550">
        <v>32470783315</v>
      </c>
      <c r="BT550">
        <v>0</v>
      </c>
      <c r="BU550">
        <v>0</v>
      </c>
      <c r="BV550" t="s">
        <v>984</v>
      </c>
      <c r="BW550" t="s">
        <v>257</v>
      </c>
      <c r="BX550">
        <v>0</v>
      </c>
      <c r="BY550" t="s">
        <v>980</v>
      </c>
      <c r="BZ550" t="s">
        <v>257</v>
      </c>
      <c r="CA550">
        <v>0</v>
      </c>
      <c r="CB550">
        <v>0</v>
      </c>
      <c r="CC550" t="s">
        <v>4506</v>
      </c>
      <c r="CD550">
        <v>0</v>
      </c>
      <c r="CE550">
        <v>0</v>
      </c>
      <c r="CF550">
        <v>0</v>
      </c>
      <c r="CG550">
        <v>0</v>
      </c>
      <c r="CH550">
        <v>0</v>
      </c>
      <c r="CI550" t="s">
        <v>983</v>
      </c>
      <c r="CJ550" t="s">
        <v>972</v>
      </c>
      <c r="CK550" t="s">
        <v>986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 t="s">
        <v>987</v>
      </c>
      <c r="CV550">
        <v>400008554</v>
      </c>
      <c r="CW550" t="s">
        <v>987</v>
      </c>
      <c r="CX550" t="s">
        <v>4507</v>
      </c>
      <c r="CY550" t="s">
        <v>989</v>
      </c>
    </row>
    <row r="551" spans="1:103" hidden="1" x14ac:dyDescent="0.25">
      <c r="A551">
        <v>410000555</v>
      </c>
      <c r="B551" t="s">
        <v>4508</v>
      </c>
      <c r="C551" t="s">
        <v>4509</v>
      </c>
      <c r="D551">
        <v>401100000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1</v>
      </c>
      <c r="Y551" t="s">
        <v>972</v>
      </c>
      <c r="Z551" t="s">
        <v>987</v>
      </c>
      <c r="AA551" t="s">
        <v>4510</v>
      </c>
      <c r="AB551" t="s">
        <v>975</v>
      </c>
      <c r="AC551">
        <v>4053</v>
      </c>
      <c r="AD551" t="s">
        <v>2739</v>
      </c>
      <c r="AE551">
        <v>32475492009</v>
      </c>
      <c r="AF551" t="s">
        <v>979</v>
      </c>
      <c r="AG551" t="s">
        <v>977</v>
      </c>
      <c r="AH551" t="s">
        <v>977</v>
      </c>
      <c r="AI551" t="s">
        <v>977</v>
      </c>
      <c r="AJ551" t="s">
        <v>978</v>
      </c>
      <c r="AK551" t="s">
        <v>978</v>
      </c>
      <c r="AL551" t="s">
        <v>978</v>
      </c>
      <c r="AM551" t="s">
        <v>979</v>
      </c>
      <c r="AN551">
        <v>0</v>
      </c>
      <c r="AO551" t="s">
        <v>257</v>
      </c>
      <c r="AP551">
        <v>0</v>
      </c>
      <c r="AQ551">
        <v>1</v>
      </c>
      <c r="AR551">
        <v>43</v>
      </c>
      <c r="AS551">
        <v>1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1</v>
      </c>
      <c r="AZ551" t="s">
        <v>257</v>
      </c>
      <c r="BA551" t="s">
        <v>980</v>
      </c>
      <c r="BB551" t="s">
        <v>981</v>
      </c>
      <c r="BC551" t="s">
        <v>257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 t="s">
        <v>998</v>
      </c>
      <c r="BK551" t="s">
        <v>981</v>
      </c>
      <c r="BL551" t="s">
        <v>4508</v>
      </c>
      <c r="BM551">
        <v>20190628</v>
      </c>
      <c r="BN551">
        <v>0</v>
      </c>
      <c r="BO551">
        <v>0</v>
      </c>
      <c r="BP551" t="s">
        <v>257</v>
      </c>
      <c r="BQ551" t="s">
        <v>983</v>
      </c>
      <c r="BR551" t="s">
        <v>978</v>
      </c>
      <c r="BS551">
        <v>32475492009</v>
      </c>
      <c r="BT551">
        <v>0</v>
      </c>
      <c r="BU551">
        <v>0</v>
      </c>
      <c r="BV551" t="s">
        <v>984</v>
      </c>
      <c r="BW551" t="s">
        <v>257</v>
      </c>
      <c r="BX551">
        <v>0</v>
      </c>
      <c r="BY551" t="s">
        <v>980</v>
      </c>
      <c r="BZ551" t="s">
        <v>257</v>
      </c>
      <c r="CA551">
        <v>0</v>
      </c>
      <c r="CB551">
        <v>0</v>
      </c>
      <c r="CC551" t="s">
        <v>1220</v>
      </c>
      <c r="CD551">
        <v>0</v>
      </c>
      <c r="CE551">
        <v>0</v>
      </c>
      <c r="CF551">
        <v>0</v>
      </c>
      <c r="CG551">
        <v>0</v>
      </c>
      <c r="CH551">
        <v>0</v>
      </c>
      <c r="CI551" t="s">
        <v>983</v>
      </c>
      <c r="CJ551" t="s">
        <v>972</v>
      </c>
      <c r="CK551" t="s">
        <v>986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 t="s">
        <v>987</v>
      </c>
      <c r="CV551">
        <v>400008555</v>
      </c>
      <c r="CW551" t="s">
        <v>987</v>
      </c>
      <c r="CX551" t="s">
        <v>4511</v>
      </c>
      <c r="CY551" t="s">
        <v>989</v>
      </c>
    </row>
    <row r="552" spans="1:103" hidden="1" x14ac:dyDescent="0.25">
      <c r="A552">
        <v>410000556</v>
      </c>
      <c r="B552" t="s">
        <v>4512</v>
      </c>
      <c r="C552" t="s">
        <v>3546</v>
      </c>
      <c r="D552">
        <v>401100000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1</v>
      </c>
      <c r="X552">
        <v>1</v>
      </c>
      <c r="Y552" t="s">
        <v>972</v>
      </c>
      <c r="Z552" t="s">
        <v>987</v>
      </c>
      <c r="AA552" t="s">
        <v>3548</v>
      </c>
      <c r="AB552" t="s">
        <v>975</v>
      </c>
      <c r="AC552">
        <v>6280</v>
      </c>
      <c r="AD552" t="s">
        <v>3549</v>
      </c>
      <c r="AE552">
        <v>3271303282</v>
      </c>
      <c r="AF552">
        <v>3271323282</v>
      </c>
      <c r="AG552" t="s">
        <v>977</v>
      </c>
      <c r="AH552" t="s">
        <v>977</v>
      </c>
      <c r="AI552">
        <v>69201</v>
      </c>
      <c r="AJ552" t="s">
        <v>978</v>
      </c>
      <c r="AK552" t="s">
        <v>978</v>
      </c>
      <c r="AL552" t="s">
        <v>978</v>
      </c>
      <c r="AM552" t="s">
        <v>979</v>
      </c>
      <c r="AN552">
        <v>0</v>
      </c>
      <c r="AO552" t="s">
        <v>257</v>
      </c>
      <c r="AP552">
        <v>0</v>
      </c>
      <c r="AQ552">
        <v>1</v>
      </c>
      <c r="AR552">
        <v>43</v>
      </c>
      <c r="AS552">
        <v>1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1</v>
      </c>
      <c r="AZ552" t="s">
        <v>257</v>
      </c>
      <c r="BA552" t="s">
        <v>980</v>
      </c>
      <c r="BB552" t="s">
        <v>981</v>
      </c>
      <c r="BC552" t="s">
        <v>257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 t="s">
        <v>998</v>
      </c>
      <c r="BK552" t="s">
        <v>981</v>
      </c>
      <c r="BL552" t="s">
        <v>4512</v>
      </c>
      <c r="BM552">
        <v>20190709</v>
      </c>
      <c r="BN552">
        <v>20220201</v>
      </c>
      <c r="BO552">
        <v>0</v>
      </c>
      <c r="BP552" t="s">
        <v>257</v>
      </c>
      <c r="BQ552" t="s">
        <v>983</v>
      </c>
      <c r="BR552" t="s">
        <v>978</v>
      </c>
      <c r="BS552" t="s">
        <v>979</v>
      </c>
      <c r="BT552">
        <v>0</v>
      </c>
      <c r="BU552">
        <v>0</v>
      </c>
      <c r="BV552" t="s">
        <v>984</v>
      </c>
      <c r="BW552" t="s">
        <v>257</v>
      </c>
      <c r="BX552">
        <v>0</v>
      </c>
      <c r="BY552" t="s">
        <v>980</v>
      </c>
      <c r="BZ552" t="s">
        <v>257</v>
      </c>
      <c r="CA552">
        <v>0</v>
      </c>
      <c r="CB552">
        <v>0</v>
      </c>
      <c r="CC552" t="s">
        <v>1033</v>
      </c>
      <c r="CD552">
        <v>0</v>
      </c>
      <c r="CE552">
        <v>0</v>
      </c>
      <c r="CF552">
        <v>0</v>
      </c>
      <c r="CG552">
        <v>0</v>
      </c>
      <c r="CH552">
        <v>0</v>
      </c>
      <c r="CI552" t="s">
        <v>983</v>
      </c>
      <c r="CJ552" t="s">
        <v>972</v>
      </c>
      <c r="CK552" t="s">
        <v>986</v>
      </c>
      <c r="CL552">
        <v>0</v>
      </c>
      <c r="CM552">
        <v>1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 t="s">
        <v>987</v>
      </c>
      <c r="CV552">
        <v>400008556</v>
      </c>
      <c r="CW552" t="s">
        <v>987</v>
      </c>
      <c r="CX552" t="s">
        <v>4513</v>
      </c>
      <c r="CY552" t="s">
        <v>989</v>
      </c>
    </row>
    <row r="553" spans="1:103" hidden="1" x14ac:dyDescent="0.25">
      <c r="A553">
        <v>410000557</v>
      </c>
      <c r="B553" t="s">
        <v>4514</v>
      </c>
      <c r="C553" t="s">
        <v>4515</v>
      </c>
      <c r="D553">
        <v>401100000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1</v>
      </c>
      <c r="Y553" t="s">
        <v>972</v>
      </c>
      <c r="Z553" t="s">
        <v>4516</v>
      </c>
      <c r="AA553" t="s">
        <v>4517</v>
      </c>
      <c r="AB553" t="s">
        <v>975</v>
      </c>
      <c r="AC553">
        <v>5032</v>
      </c>
      <c r="AD553" t="s">
        <v>4267</v>
      </c>
      <c r="AE553" t="s">
        <v>979</v>
      </c>
      <c r="AF553" t="s">
        <v>979</v>
      </c>
      <c r="AG553" t="s">
        <v>977</v>
      </c>
      <c r="AH553" t="s">
        <v>977</v>
      </c>
      <c r="AI553" t="s">
        <v>977</v>
      </c>
      <c r="AJ553" t="s">
        <v>4518</v>
      </c>
      <c r="AK553" t="s">
        <v>978</v>
      </c>
      <c r="AL553" t="s">
        <v>978</v>
      </c>
      <c r="AM553" t="s">
        <v>979</v>
      </c>
      <c r="AN553">
        <v>0</v>
      </c>
      <c r="AO553" t="s">
        <v>257</v>
      </c>
      <c r="AP553">
        <v>0</v>
      </c>
      <c r="AQ553">
        <v>1</v>
      </c>
      <c r="AR553">
        <v>43</v>
      </c>
      <c r="AS553">
        <v>1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1</v>
      </c>
      <c r="AZ553" t="s">
        <v>257</v>
      </c>
      <c r="BA553" t="s">
        <v>980</v>
      </c>
      <c r="BB553" t="s">
        <v>981</v>
      </c>
      <c r="BC553" t="s">
        <v>257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 t="s">
        <v>998</v>
      </c>
      <c r="BK553" t="s">
        <v>981</v>
      </c>
      <c r="BL553" t="s">
        <v>4514</v>
      </c>
      <c r="BM553">
        <v>20190726</v>
      </c>
      <c r="BN553">
        <v>20190726</v>
      </c>
      <c r="BO553">
        <v>0</v>
      </c>
      <c r="BP553" t="s">
        <v>257</v>
      </c>
      <c r="BQ553" t="s">
        <v>983</v>
      </c>
      <c r="BR553" t="s">
        <v>978</v>
      </c>
      <c r="BS553">
        <v>492727167</v>
      </c>
      <c r="BT553">
        <v>0</v>
      </c>
      <c r="BU553">
        <v>0</v>
      </c>
      <c r="BV553" t="s">
        <v>984</v>
      </c>
      <c r="BW553" t="s">
        <v>257</v>
      </c>
      <c r="BX553">
        <v>0</v>
      </c>
      <c r="BY553" t="s">
        <v>980</v>
      </c>
      <c r="BZ553" t="s">
        <v>257</v>
      </c>
      <c r="CA553">
        <v>0</v>
      </c>
      <c r="CB553">
        <v>0</v>
      </c>
      <c r="CC553" t="s">
        <v>1901</v>
      </c>
      <c r="CD553">
        <v>0</v>
      </c>
      <c r="CE553">
        <v>0</v>
      </c>
      <c r="CF553">
        <v>0</v>
      </c>
      <c r="CG553">
        <v>0</v>
      </c>
      <c r="CH553">
        <v>0</v>
      </c>
      <c r="CI553" t="s">
        <v>983</v>
      </c>
      <c r="CJ553" t="s">
        <v>972</v>
      </c>
      <c r="CK553" t="s">
        <v>986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 t="s">
        <v>987</v>
      </c>
      <c r="CV553">
        <v>400008557</v>
      </c>
      <c r="CW553" t="s">
        <v>987</v>
      </c>
      <c r="CX553" t="s">
        <v>4519</v>
      </c>
      <c r="CY553" t="s">
        <v>989</v>
      </c>
    </row>
    <row r="554" spans="1:103" hidden="1" x14ac:dyDescent="0.25">
      <c r="A554">
        <v>410000558</v>
      </c>
      <c r="B554" t="s">
        <v>4520</v>
      </c>
      <c r="C554" t="s">
        <v>4521</v>
      </c>
      <c r="D554">
        <v>401100000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1</v>
      </c>
      <c r="Y554" t="s">
        <v>972</v>
      </c>
      <c r="Z554" t="s">
        <v>4522</v>
      </c>
      <c r="AA554" t="s">
        <v>4523</v>
      </c>
      <c r="AB554" t="s">
        <v>975</v>
      </c>
      <c r="AC554">
        <v>4300</v>
      </c>
      <c r="AD554" t="s">
        <v>1170</v>
      </c>
      <c r="AE554">
        <v>3219330085</v>
      </c>
      <c r="AF554">
        <v>3219546678</v>
      </c>
      <c r="AG554" t="s">
        <v>977</v>
      </c>
      <c r="AH554" t="s">
        <v>977</v>
      </c>
      <c r="AI554" t="s">
        <v>977</v>
      </c>
      <c r="AJ554" t="s">
        <v>978</v>
      </c>
      <c r="AK554" t="s">
        <v>978</v>
      </c>
      <c r="AL554" t="s">
        <v>978</v>
      </c>
      <c r="AM554" t="s">
        <v>979</v>
      </c>
      <c r="AN554">
        <v>0</v>
      </c>
      <c r="AO554" t="s">
        <v>257</v>
      </c>
      <c r="AP554">
        <v>0</v>
      </c>
      <c r="AQ554">
        <v>1</v>
      </c>
      <c r="AR554">
        <v>43</v>
      </c>
      <c r="AS554">
        <v>1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1</v>
      </c>
      <c r="AZ554" t="s">
        <v>257</v>
      </c>
      <c r="BA554" t="s">
        <v>980</v>
      </c>
      <c r="BB554" t="s">
        <v>981</v>
      </c>
      <c r="BC554" t="s">
        <v>257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 t="s">
        <v>998</v>
      </c>
      <c r="BK554" t="s">
        <v>981</v>
      </c>
      <c r="BL554" t="s">
        <v>4520</v>
      </c>
      <c r="BM554">
        <v>20190802</v>
      </c>
      <c r="BN554">
        <v>0</v>
      </c>
      <c r="BO554">
        <v>0</v>
      </c>
      <c r="BP554" t="s">
        <v>257</v>
      </c>
      <c r="BQ554" t="s">
        <v>983</v>
      </c>
      <c r="BR554" t="s">
        <v>978</v>
      </c>
      <c r="BS554">
        <v>32496266417</v>
      </c>
      <c r="BT554">
        <v>0</v>
      </c>
      <c r="BU554">
        <v>0</v>
      </c>
      <c r="BV554" t="s">
        <v>984</v>
      </c>
      <c r="BW554" t="s">
        <v>257</v>
      </c>
      <c r="BX554">
        <v>0</v>
      </c>
      <c r="BY554" t="s">
        <v>980</v>
      </c>
      <c r="BZ554" t="s">
        <v>257</v>
      </c>
      <c r="CA554">
        <v>0</v>
      </c>
      <c r="CB554">
        <v>0</v>
      </c>
      <c r="CC554" t="s">
        <v>2356</v>
      </c>
      <c r="CD554">
        <v>0</v>
      </c>
      <c r="CE554">
        <v>0</v>
      </c>
      <c r="CF554">
        <v>0</v>
      </c>
      <c r="CG554">
        <v>0</v>
      </c>
      <c r="CH554">
        <v>0</v>
      </c>
      <c r="CI554" t="s">
        <v>983</v>
      </c>
      <c r="CJ554" t="s">
        <v>972</v>
      </c>
      <c r="CK554" t="s">
        <v>986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 t="s">
        <v>987</v>
      </c>
      <c r="CV554">
        <v>400008558</v>
      </c>
      <c r="CW554" t="s">
        <v>987</v>
      </c>
      <c r="CX554" t="s">
        <v>4524</v>
      </c>
      <c r="CY554" t="s">
        <v>989</v>
      </c>
    </row>
    <row r="555" spans="1:103" hidden="1" x14ac:dyDescent="0.25">
      <c r="A555">
        <v>410000559</v>
      </c>
      <c r="B555" t="s">
        <v>4525</v>
      </c>
      <c r="C555" t="s">
        <v>4526</v>
      </c>
      <c r="D555">
        <v>401100000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1</v>
      </c>
      <c r="X555">
        <v>1</v>
      </c>
      <c r="Y555" t="s">
        <v>972</v>
      </c>
      <c r="Z555" t="s">
        <v>987</v>
      </c>
      <c r="AA555" t="s">
        <v>4527</v>
      </c>
      <c r="AB555" t="s">
        <v>975</v>
      </c>
      <c r="AC555">
        <v>4400</v>
      </c>
      <c r="AD555" t="s">
        <v>1237</v>
      </c>
      <c r="AE555" t="s">
        <v>979</v>
      </c>
      <c r="AF555" t="s">
        <v>979</v>
      </c>
      <c r="AG555" t="s">
        <v>977</v>
      </c>
      <c r="AH555" t="s">
        <v>977</v>
      </c>
      <c r="AI555" t="s">
        <v>977</v>
      </c>
      <c r="AJ555" t="s">
        <v>978</v>
      </c>
      <c r="AK555" t="s">
        <v>978</v>
      </c>
      <c r="AL555" t="s">
        <v>978</v>
      </c>
      <c r="AM555" t="s">
        <v>979</v>
      </c>
      <c r="AN555">
        <v>0</v>
      </c>
      <c r="AO555" t="s">
        <v>257</v>
      </c>
      <c r="AP555">
        <v>0</v>
      </c>
      <c r="AQ555">
        <v>16</v>
      </c>
      <c r="AR555">
        <v>43</v>
      </c>
      <c r="AS555">
        <v>1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1</v>
      </c>
      <c r="AZ555" t="s">
        <v>257</v>
      </c>
      <c r="BA555" t="s">
        <v>980</v>
      </c>
      <c r="BB555" t="s">
        <v>981</v>
      </c>
      <c r="BC555" t="s">
        <v>257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 t="s">
        <v>998</v>
      </c>
      <c r="BK555" t="s">
        <v>981</v>
      </c>
      <c r="BL555" t="s">
        <v>4525</v>
      </c>
      <c r="BM555">
        <v>20190809</v>
      </c>
      <c r="BN555">
        <v>20190809</v>
      </c>
      <c r="BO555">
        <v>0</v>
      </c>
      <c r="BP555" t="s">
        <v>257</v>
      </c>
      <c r="BQ555" t="s">
        <v>983</v>
      </c>
      <c r="BR555" t="s">
        <v>978</v>
      </c>
      <c r="BS555">
        <v>32495315141</v>
      </c>
      <c r="BT555">
        <v>0</v>
      </c>
      <c r="BU555">
        <v>0</v>
      </c>
      <c r="BV555" t="s">
        <v>984</v>
      </c>
      <c r="BW555" t="s">
        <v>257</v>
      </c>
      <c r="BX555">
        <v>0</v>
      </c>
      <c r="BY555" t="s">
        <v>980</v>
      </c>
      <c r="BZ555" t="s">
        <v>257</v>
      </c>
      <c r="CA555">
        <v>0</v>
      </c>
      <c r="CB555">
        <v>0</v>
      </c>
      <c r="CC555" t="s">
        <v>1220</v>
      </c>
      <c r="CD555">
        <v>0</v>
      </c>
      <c r="CE555">
        <v>0</v>
      </c>
      <c r="CF555">
        <v>0</v>
      </c>
      <c r="CG555">
        <v>0</v>
      </c>
      <c r="CH555">
        <v>0</v>
      </c>
      <c r="CI555" t="s">
        <v>983</v>
      </c>
      <c r="CJ555" t="s">
        <v>972</v>
      </c>
      <c r="CK555" t="s">
        <v>986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 t="s">
        <v>987</v>
      </c>
      <c r="CV555">
        <v>400008559</v>
      </c>
      <c r="CW555" t="s">
        <v>987</v>
      </c>
      <c r="CX555" t="s">
        <v>4528</v>
      </c>
      <c r="CY555" t="s">
        <v>989</v>
      </c>
    </row>
    <row r="556" spans="1:103" hidden="1" x14ac:dyDescent="0.25">
      <c r="A556">
        <v>410000560</v>
      </c>
      <c r="B556" t="s">
        <v>4529</v>
      </c>
      <c r="C556" t="s">
        <v>4376</v>
      </c>
      <c r="D556">
        <v>401100000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1</v>
      </c>
      <c r="X556">
        <v>1</v>
      </c>
      <c r="Y556" t="s">
        <v>972</v>
      </c>
      <c r="Z556" t="s">
        <v>987</v>
      </c>
      <c r="AA556" t="s">
        <v>4530</v>
      </c>
      <c r="AB556" t="s">
        <v>975</v>
      </c>
      <c r="AC556">
        <v>5032</v>
      </c>
      <c r="AD556" t="s">
        <v>4531</v>
      </c>
      <c r="AE556">
        <v>3223954723</v>
      </c>
      <c r="AF556" t="s">
        <v>979</v>
      </c>
      <c r="AG556" t="s">
        <v>977</v>
      </c>
      <c r="AH556" t="s">
        <v>977</v>
      </c>
      <c r="AI556" t="s">
        <v>977</v>
      </c>
      <c r="AJ556" t="s">
        <v>978</v>
      </c>
      <c r="AK556" t="s">
        <v>978</v>
      </c>
      <c r="AL556" t="s">
        <v>978</v>
      </c>
      <c r="AM556" t="s">
        <v>979</v>
      </c>
      <c r="AN556">
        <v>0</v>
      </c>
      <c r="AO556" t="s">
        <v>257</v>
      </c>
      <c r="AP556">
        <v>0</v>
      </c>
      <c r="AQ556">
        <v>16</v>
      </c>
      <c r="AR556">
        <v>43</v>
      </c>
      <c r="AS556">
        <v>1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1</v>
      </c>
      <c r="AZ556" t="s">
        <v>257</v>
      </c>
      <c r="BA556" t="s">
        <v>980</v>
      </c>
      <c r="BB556" t="s">
        <v>981</v>
      </c>
      <c r="BC556" t="s">
        <v>257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 t="s">
        <v>998</v>
      </c>
      <c r="BK556" t="s">
        <v>981</v>
      </c>
      <c r="BL556" t="s">
        <v>4529</v>
      </c>
      <c r="BM556">
        <v>20190822</v>
      </c>
      <c r="BN556">
        <v>20190822</v>
      </c>
      <c r="BO556">
        <v>0</v>
      </c>
      <c r="BP556" t="s">
        <v>257</v>
      </c>
      <c r="BQ556" t="s">
        <v>983</v>
      </c>
      <c r="BR556" t="s">
        <v>978</v>
      </c>
      <c r="BS556">
        <v>32474284559</v>
      </c>
      <c r="BT556">
        <v>0</v>
      </c>
      <c r="BU556">
        <v>0</v>
      </c>
      <c r="BV556" t="s">
        <v>984</v>
      </c>
      <c r="BW556" t="s">
        <v>257</v>
      </c>
      <c r="BX556">
        <v>0</v>
      </c>
      <c r="BY556" t="s">
        <v>980</v>
      </c>
      <c r="BZ556" t="s">
        <v>257</v>
      </c>
      <c r="CA556">
        <v>0</v>
      </c>
      <c r="CB556">
        <v>0</v>
      </c>
      <c r="CC556" t="s">
        <v>1901</v>
      </c>
      <c r="CD556">
        <v>0</v>
      </c>
      <c r="CE556">
        <v>0</v>
      </c>
      <c r="CF556">
        <v>0</v>
      </c>
      <c r="CG556">
        <v>0</v>
      </c>
      <c r="CH556">
        <v>0</v>
      </c>
      <c r="CI556" t="s">
        <v>983</v>
      </c>
      <c r="CJ556" t="s">
        <v>972</v>
      </c>
      <c r="CK556" t="s">
        <v>986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 t="s">
        <v>987</v>
      </c>
      <c r="CV556">
        <v>400008560</v>
      </c>
      <c r="CW556" t="s">
        <v>987</v>
      </c>
      <c r="CX556" t="s">
        <v>4532</v>
      </c>
      <c r="CY556" t="s">
        <v>989</v>
      </c>
    </row>
    <row r="557" spans="1:103" hidden="1" x14ac:dyDescent="0.25">
      <c r="A557">
        <v>410000561</v>
      </c>
      <c r="B557" t="s">
        <v>4533</v>
      </c>
      <c r="C557" t="s">
        <v>4534</v>
      </c>
      <c r="D557">
        <v>401100000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1</v>
      </c>
      <c r="Y557" t="s">
        <v>972</v>
      </c>
      <c r="Z557" t="s">
        <v>4535</v>
      </c>
      <c r="AA557" t="s">
        <v>4536</v>
      </c>
      <c r="AB557" t="s">
        <v>975</v>
      </c>
      <c r="AC557">
        <v>5100</v>
      </c>
      <c r="AD557" t="s">
        <v>2417</v>
      </c>
      <c r="AE557" t="s">
        <v>4537</v>
      </c>
      <c r="AF557" t="s">
        <v>4538</v>
      </c>
      <c r="AG557" t="s">
        <v>977</v>
      </c>
      <c r="AH557" t="s">
        <v>977</v>
      </c>
      <c r="AI557" t="s">
        <v>977</v>
      </c>
      <c r="AJ557" t="s">
        <v>4539</v>
      </c>
      <c r="AK557" t="s">
        <v>978</v>
      </c>
      <c r="AL557" t="s">
        <v>978</v>
      </c>
      <c r="AM557" t="s">
        <v>979</v>
      </c>
      <c r="AN557">
        <v>0</v>
      </c>
      <c r="AO557" t="s">
        <v>257</v>
      </c>
      <c r="AP557">
        <v>0</v>
      </c>
      <c r="AQ557">
        <v>1</v>
      </c>
      <c r="AR557">
        <v>43</v>
      </c>
      <c r="AS557">
        <v>1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1</v>
      </c>
      <c r="AZ557" t="s">
        <v>257</v>
      </c>
      <c r="BA557" t="s">
        <v>980</v>
      </c>
      <c r="BB557" t="s">
        <v>981</v>
      </c>
      <c r="BC557" t="s">
        <v>257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 t="s">
        <v>998</v>
      </c>
      <c r="BK557" t="s">
        <v>981</v>
      </c>
      <c r="BL557" t="s">
        <v>4533</v>
      </c>
      <c r="BM557">
        <v>20190822</v>
      </c>
      <c r="BN557">
        <v>20230109</v>
      </c>
      <c r="BO557">
        <v>0</v>
      </c>
      <c r="BP557" t="s">
        <v>257</v>
      </c>
      <c r="BQ557" t="s">
        <v>983</v>
      </c>
      <c r="BR557" t="s">
        <v>978</v>
      </c>
      <c r="BS557" t="s">
        <v>979</v>
      </c>
      <c r="BT557">
        <v>0</v>
      </c>
      <c r="BU557">
        <v>0</v>
      </c>
      <c r="BV557" t="s">
        <v>984</v>
      </c>
      <c r="BW557" t="s">
        <v>257</v>
      </c>
      <c r="BX557">
        <v>0</v>
      </c>
      <c r="BY557" t="s">
        <v>980</v>
      </c>
      <c r="BZ557" t="s">
        <v>257</v>
      </c>
      <c r="CA557">
        <v>0</v>
      </c>
      <c r="CB557">
        <v>0</v>
      </c>
      <c r="CC557" t="s">
        <v>1901</v>
      </c>
      <c r="CD557">
        <v>0</v>
      </c>
      <c r="CE557">
        <v>0</v>
      </c>
      <c r="CF557">
        <v>0</v>
      </c>
      <c r="CG557">
        <v>0</v>
      </c>
      <c r="CH557">
        <v>0</v>
      </c>
      <c r="CI557" t="s">
        <v>983</v>
      </c>
      <c r="CJ557" t="s">
        <v>972</v>
      </c>
      <c r="CK557" t="s">
        <v>986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 t="s">
        <v>987</v>
      </c>
      <c r="CV557">
        <v>400008561</v>
      </c>
      <c r="CW557" t="s">
        <v>987</v>
      </c>
      <c r="CX557" t="s">
        <v>4360</v>
      </c>
      <c r="CY557" t="s">
        <v>989</v>
      </c>
    </row>
    <row r="558" spans="1:103" hidden="1" x14ac:dyDescent="0.25">
      <c r="A558">
        <v>410000562</v>
      </c>
      <c r="B558" t="s">
        <v>4540</v>
      </c>
      <c r="C558" t="s">
        <v>4541</v>
      </c>
      <c r="D558">
        <v>401100000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1</v>
      </c>
      <c r="Y558" t="s">
        <v>972</v>
      </c>
      <c r="Z558" t="s">
        <v>4542</v>
      </c>
      <c r="AA558" t="s">
        <v>4543</v>
      </c>
      <c r="AB558" t="s">
        <v>975</v>
      </c>
      <c r="AC558">
        <v>4000</v>
      </c>
      <c r="AD558" t="s">
        <v>1019</v>
      </c>
      <c r="AE558">
        <v>32478866640</v>
      </c>
      <c r="AF558" t="s">
        <v>979</v>
      </c>
      <c r="AG558" t="s">
        <v>977</v>
      </c>
      <c r="AH558" t="s">
        <v>977</v>
      </c>
      <c r="AI558" t="s">
        <v>977</v>
      </c>
      <c r="AJ558" t="s">
        <v>978</v>
      </c>
      <c r="AK558" t="s">
        <v>978</v>
      </c>
      <c r="AL558" t="s">
        <v>978</v>
      </c>
      <c r="AM558" t="s">
        <v>979</v>
      </c>
      <c r="AN558">
        <v>0</v>
      </c>
      <c r="AO558" t="s">
        <v>257</v>
      </c>
      <c r="AP558">
        <v>0</v>
      </c>
      <c r="AQ558">
        <v>1</v>
      </c>
      <c r="AR558">
        <v>43</v>
      </c>
      <c r="AS558">
        <v>1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1</v>
      </c>
      <c r="AZ558" t="s">
        <v>257</v>
      </c>
      <c r="BA558" t="s">
        <v>980</v>
      </c>
      <c r="BB558" t="s">
        <v>981</v>
      </c>
      <c r="BC558" t="s">
        <v>257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 t="s">
        <v>998</v>
      </c>
      <c r="BK558" t="s">
        <v>981</v>
      </c>
      <c r="BL558" t="s">
        <v>4540</v>
      </c>
      <c r="BM558">
        <v>20190904</v>
      </c>
      <c r="BN558">
        <v>0</v>
      </c>
      <c r="BO558">
        <v>0</v>
      </c>
      <c r="BP558" t="s">
        <v>257</v>
      </c>
      <c r="BQ558" t="s">
        <v>983</v>
      </c>
      <c r="BR558" t="s">
        <v>978</v>
      </c>
      <c r="BS558">
        <v>32478866640</v>
      </c>
      <c r="BT558">
        <v>0</v>
      </c>
      <c r="BU558">
        <v>0</v>
      </c>
      <c r="BV558" t="s">
        <v>984</v>
      </c>
      <c r="BW558" t="s">
        <v>257</v>
      </c>
      <c r="BX558">
        <v>0</v>
      </c>
      <c r="BY558" t="s">
        <v>980</v>
      </c>
      <c r="BZ558" t="s">
        <v>257</v>
      </c>
      <c r="CA558">
        <v>0</v>
      </c>
      <c r="CB558">
        <v>0</v>
      </c>
      <c r="CC558" t="s">
        <v>985</v>
      </c>
      <c r="CD558">
        <v>0</v>
      </c>
      <c r="CE558">
        <v>0</v>
      </c>
      <c r="CF558">
        <v>0</v>
      </c>
      <c r="CG558">
        <v>0</v>
      </c>
      <c r="CH558">
        <v>0</v>
      </c>
      <c r="CI558" t="s">
        <v>983</v>
      </c>
      <c r="CJ558" t="s">
        <v>972</v>
      </c>
      <c r="CK558" t="s">
        <v>986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 t="s">
        <v>987</v>
      </c>
      <c r="CV558">
        <v>400008562</v>
      </c>
      <c r="CW558" t="s">
        <v>987</v>
      </c>
      <c r="CX558" t="s">
        <v>4544</v>
      </c>
      <c r="CY558" t="s">
        <v>989</v>
      </c>
    </row>
    <row r="559" spans="1:103" hidden="1" x14ac:dyDescent="0.25">
      <c r="A559">
        <v>410000563</v>
      </c>
      <c r="B559" t="s">
        <v>4545</v>
      </c>
      <c r="C559" t="s">
        <v>4546</v>
      </c>
      <c r="D559">
        <v>401100000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</v>
      </c>
      <c r="X559">
        <v>1</v>
      </c>
      <c r="Y559" t="s">
        <v>972</v>
      </c>
      <c r="Z559" t="s">
        <v>987</v>
      </c>
      <c r="AA559" t="s">
        <v>4547</v>
      </c>
      <c r="AB559" t="s">
        <v>975</v>
      </c>
      <c r="AC559">
        <v>1410</v>
      </c>
      <c r="AD559" t="s">
        <v>2472</v>
      </c>
      <c r="AE559">
        <v>3226720771</v>
      </c>
      <c r="AF559" t="s">
        <v>979</v>
      </c>
      <c r="AG559" t="s">
        <v>977</v>
      </c>
      <c r="AH559" t="s">
        <v>977</v>
      </c>
      <c r="AI559" t="s">
        <v>977</v>
      </c>
      <c r="AJ559" t="s">
        <v>978</v>
      </c>
      <c r="AK559" t="s">
        <v>978</v>
      </c>
      <c r="AL559" t="s">
        <v>978</v>
      </c>
      <c r="AM559" t="s">
        <v>979</v>
      </c>
      <c r="AN559">
        <v>0</v>
      </c>
      <c r="AO559" t="s">
        <v>257</v>
      </c>
      <c r="AP559">
        <v>0</v>
      </c>
      <c r="AQ559">
        <v>1</v>
      </c>
      <c r="AR559">
        <v>43</v>
      </c>
      <c r="AS559">
        <v>1</v>
      </c>
      <c r="AT559">
        <v>0</v>
      </c>
      <c r="AU559">
        <v>1</v>
      </c>
      <c r="AV559">
        <v>0</v>
      </c>
      <c r="AW559">
        <v>0</v>
      </c>
      <c r="AX559">
        <v>0</v>
      </c>
      <c r="AY559">
        <v>1</v>
      </c>
      <c r="AZ559" t="s">
        <v>257</v>
      </c>
      <c r="BA559" t="s">
        <v>980</v>
      </c>
      <c r="BB559" t="s">
        <v>981</v>
      </c>
      <c r="BC559" t="s">
        <v>257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 t="s">
        <v>998</v>
      </c>
      <c r="BK559" t="s">
        <v>981</v>
      </c>
      <c r="BL559" t="s">
        <v>4545</v>
      </c>
      <c r="BM559">
        <v>20190905</v>
      </c>
      <c r="BN559">
        <v>20211122</v>
      </c>
      <c r="BO559">
        <v>0</v>
      </c>
      <c r="BP559" t="s">
        <v>257</v>
      </c>
      <c r="BQ559" t="s">
        <v>983</v>
      </c>
      <c r="BR559" t="s">
        <v>978</v>
      </c>
      <c r="BS559" t="s">
        <v>979</v>
      </c>
      <c r="BT559">
        <v>0</v>
      </c>
      <c r="BU559">
        <v>0</v>
      </c>
      <c r="BV559" t="s">
        <v>984</v>
      </c>
      <c r="BW559" t="s">
        <v>257</v>
      </c>
      <c r="BX559">
        <v>0</v>
      </c>
      <c r="BY559" t="s">
        <v>980</v>
      </c>
      <c r="BZ559" t="s">
        <v>257</v>
      </c>
      <c r="CA559">
        <v>0</v>
      </c>
      <c r="CB559">
        <v>0</v>
      </c>
      <c r="CC559" t="s">
        <v>1033</v>
      </c>
      <c r="CD559">
        <v>0</v>
      </c>
      <c r="CE559">
        <v>0</v>
      </c>
      <c r="CF559">
        <v>0</v>
      </c>
      <c r="CG559">
        <v>0</v>
      </c>
      <c r="CH559">
        <v>0</v>
      </c>
      <c r="CI559" t="s">
        <v>983</v>
      </c>
      <c r="CJ559" t="s">
        <v>972</v>
      </c>
      <c r="CK559" t="s">
        <v>986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 t="s">
        <v>987</v>
      </c>
      <c r="CV559">
        <v>400008563</v>
      </c>
      <c r="CW559" t="s">
        <v>987</v>
      </c>
      <c r="CX559" t="s">
        <v>4548</v>
      </c>
      <c r="CY559" t="s">
        <v>989</v>
      </c>
    </row>
    <row r="560" spans="1:103" hidden="1" x14ac:dyDescent="0.25">
      <c r="A560">
        <v>410000564</v>
      </c>
      <c r="B560" t="s">
        <v>4549</v>
      </c>
      <c r="C560" t="s">
        <v>4550</v>
      </c>
      <c r="D560">
        <v>401100000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</v>
      </c>
      <c r="W560">
        <v>1</v>
      </c>
      <c r="X560">
        <v>1</v>
      </c>
      <c r="Y560" t="s">
        <v>972</v>
      </c>
      <c r="Z560" t="s">
        <v>987</v>
      </c>
      <c r="AA560" t="s">
        <v>4446</v>
      </c>
      <c r="AB560" t="s">
        <v>4447</v>
      </c>
      <c r="AC560">
        <v>6221</v>
      </c>
      <c r="AD560" t="s">
        <v>4449</v>
      </c>
      <c r="AE560" t="s">
        <v>979</v>
      </c>
      <c r="AF560" t="s">
        <v>979</v>
      </c>
      <c r="AG560" t="s">
        <v>977</v>
      </c>
      <c r="AH560" t="s">
        <v>977</v>
      </c>
      <c r="AI560" t="s">
        <v>977</v>
      </c>
      <c r="AJ560" t="s">
        <v>978</v>
      </c>
      <c r="AK560" t="s">
        <v>978</v>
      </c>
      <c r="AL560" t="s">
        <v>978</v>
      </c>
      <c r="AM560" t="s">
        <v>979</v>
      </c>
      <c r="AN560">
        <v>0</v>
      </c>
      <c r="AO560" t="s">
        <v>257</v>
      </c>
      <c r="AP560">
        <v>30</v>
      </c>
      <c r="AQ560">
        <v>1</v>
      </c>
      <c r="AR560">
        <v>43</v>
      </c>
      <c r="AS560">
        <v>0</v>
      </c>
      <c r="AT560">
        <v>0</v>
      </c>
      <c r="AU560">
        <v>1</v>
      </c>
      <c r="AV560">
        <v>0</v>
      </c>
      <c r="AW560">
        <v>0</v>
      </c>
      <c r="AX560">
        <v>0</v>
      </c>
      <c r="AY560">
        <v>1</v>
      </c>
      <c r="AZ560" t="s">
        <v>257</v>
      </c>
      <c r="BA560" t="s">
        <v>980</v>
      </c>
      <c r="BB560" t="s">
        <v>981</v>
      </c>
      <c r="BC560" t="s">
        <v>257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 t="s">
        <v>998</v>
      </c>
      <c r="BK560" t="s">
        <v>981</v>
      </c>
      <c r="BL560" t="s">
        <v>4549</v>
      </c>
      <c r="BM560">
        <v>20190909</v>
      </c>
      <c r="BN560">
        <v>20190918</v>
      </c>
      <c r="BO560">
        <v>0</v>
      </c>
      <c r="BP560" t="s">
        <v>257</v>
      </c>
      <c r="BQ560" t="s">
        <v>983</v>
      </c>
      <c r="BR560" t="s">
        <v>978</v>
      </c>
      <c r="BS560" t="s">
        <v>979</v>
      </c>
      <c r="BT560">
        <v>0</v>
      </c>
      <c r="BU560">
        <v>0</v>
      </c>
      <c r="BV560" t="s">
        <v>984</v>
      </c>
      <c r="BW560" t="s">
        <v>257</v>
      </c>
      <c r="BX560">
        <v>0</v>
      </c>
      <c r="BY560" t="s">
        <v>980</v>
      </c>
      <c r="BZ560" t="s">
        <v>257</v>
      </c>
      <c r="CA560">
        <v>0</v>
      </c>
      <c r="CB560">
        <v>0</v>
      </c>
      <c r="CC560" t="s">
        <v>1033</v>
      </c>
      <c r="CD560">
        <v>0</v>
      </c>
      <c r="CE560">
        <v>0</v>
      </c>
      <c r="CF560">
        <v>0</v>
      </c>
      <c r="CG560">
        <v>0</v>
      </c>
      <c r="CH560">
        <v>0</v>
      </c>
      <c r="CI560" t="s">
        <v>983</v>
      </c>
      <c r="CJ560" t="s">
        <v>972</v>
      </c>
      <c r="CK560" t="s">
        <v>986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 t="s">
        <v>987</v>
      </c>
      <c r="CV560">
        <v>400008564</v>
      </c>
      <c r="CW560" t="s">
        <v>987</v>
      </c>
      <c r="CX560" t="s">
        <v>4451</v>
      </c>
      <c r="CY560" t="s">
        <v>989</v>
      </c>
    </row>
    <row r="561" spans="1:103" hidden="1" x14ac:dyDescent="0.25">
      <c r="A561">
        <v>410000565</v>
      </c>
      <c r="B561" t="s">
        <v>4551</v>
      </c>
      <c r="C561" t="s">
        <v>4552</v>
      </c>
      <c r="D561">
        <v>401100000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 t="s">
        <v>972</v>
      </c>
      <c r="Z561" t="s">
        <v>987</v>
      </c>
      <c r="AA561" t="s">
        <v>4553</v>
      </c>
      <c r="AB561" t="s">
        <v>975</v>
      </c>
      <c r="AC561">
        <v>4000</v>
      </c>
      <c r="AD561" t="s">
        <v>1019</v>
      </c>
      <c r="AE561" t="s">
        <v>979</v>
      </c>
      <c r="AF561" t="s">
        <v>979</v>
      </c>
      <c r="AG561" t="s">
        <v>4554</v>
      </c>
      <c r="AH561" t="s">
        <v>977</v>
      </c>
      <c r="AI561" t="s">
        <v>977</v>
      </c>
      <c r="AJ561" t="s">
        <v>978</v>
      </c>
      <c r="AK561" t="s">
        <v>978</v>
      </c>
      <c r="AL561" t="s">
        <v>978</v>
      </c>
      <c r="AM561" t="s">
        <v>979</v>
      </c>
      <c r="AN561">
        <v>0</v>
      </c>
      <c r="AO561" t="s">
        <v>257</v>
      </c>
      <c r="AP561">
        <v>0</v>
      </c>
      <c r="AQ561">
        <v>16</v>
      </c>
      <c r="AR561">
        <v>43</v>
      </c>
      <c r="AS561">
        <v>1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1</v>
      </c>
      <c r="AZ561" t="s">
        <v>257</v>
      </c>
      <c r="BA561" t="s">
        <v>980</v>
      </c>
      <c r="BB561" t="s">
        <v>981</v>
      </c>
      <c r="BC561" t="s">
        <v>257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 t="s">
        <v>998</v>
      </c>
      <c r="BK561" t="s">
        <v>981</v>
      </c>
      <c r="BL561" t="s">
        <v>4551</v>
      </c>
      <c r="BM561">
        <v>20190913</v>
      </c>
      <c r="BN561">
        <v>20211213</v>
      </c>
      <c r="BO561">
        <v>0</v>
      </c>
      <c r="BP561" t="s">
        <v>257</v>
      </c>
      <c r="BQ561" t="s">
        <v>983</v>
      </c>
      <c r="BR561" t="s">
        <v>978</v>
      </c>
      <c r="BS561" t="s">
        <v>979</v>
      </c>
      <c r="BT561">
        <v>0</v>
      </c>
      <c r="BU561">
        <v>0</v>
      </c>
      <c r="BV561" t="s">
        <v>984</v>
      </c>
      <c r="BW561" t="s">
        <v>257</v>
      </c>
      <c r="BX561">
        <v>0</v>
      </c>
      <c r="BY561" t="s">
        <v>980</v>
      </c>
      <c r="BZ561" t="s">
        <v>257</v>
      </c>
      <c r="CA561">
        <v>0</v>
      </c>
      <c r="CB561">
        <v>0</v>
      </c>
      <c r="CC561" t="s">
        <v>985</v>
      </c>
      <c r="CD561">
        <v>0</v>
      </c>
      <c r="CE561">
        <v>0</v>
      </c>
      <c r="CF561">
        <v>0</v>
      </c>
      <c r="CG561">
        <v>0</v>
      </c>
      <c r="CH561">
        <v>0</v>
      </c>
      <c r="CI561" t="s">
        <v>983</v>
      </c>
      <c r="CJ561" t="s">
        <v>972</v>
      </c>
      <c r="CK561" t="s">
        <v>986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 t="s">
        <v>987</v>
      </c>
      <c r="CV561">
        <v>400008565</v>
      </c>
      <c r="CW561" t="s">
        <v>987</v>
      </c>
      <c r="CX561" t="s">
        <v>4555</v>
      </c>
      <c r="CY561" t="s">
        <v>989</v>
      </c>
    </row>
    <row r="562" spans="1:103" hidden="1" x14ac:dyDescent="0.25">
      <c r="A562">
        <v>410000566</v>
      </c>
      <c r="B562" t="s">
        <v>4556</v>
      </c>
      <c r="C562" t="s">
        <v>4557</v>
      </c>
      <c r="D562">
        <v>401100000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1</v>
      </c>
      <c r="X562">
        <v>1</v>
      </c>
      <c r="Y562" t="s">
        <v>972</v>
      </c>
      <c r="Z562" t="s">
        <v>987</v>
      </c>
      <c r="AA562" t="s">
        <v>4558</v>
      </c>
      <c r="AB562" t="s">
        <v>975</v>
      </c>
      <c r="AC562">
        <v>4340</v>
      </c>
      <c r="AD562" t="s">
        <v>1076</v>
      </c>
      <c r="AE562">
        <v>3243877794</v>
      </c>
      <c r="AF562" t="s">
        <v>979</v>
      </c>
      <c r="AG562" t="s">
        <v>977</v>
      </c>
      <c r="AH562" t="s">
        <v>977</v>
      </c>
      <c r="AI562" t="s">
        <v>977</v>
      </c>
      <c r="AJ562" t="s">
        <v>978</v>
      </c>
      <c r="AK562" t="s">
        <v>978</v>
      </c>
      <c r="AL562" t="s">
        <v>978</v>
      </c>
      <c r="AM562" t="s">
        <v>979</v>
      </c>
      <c r="AN562">
        <v>0</v>
      </c>
      <c r="AO562" t="s">
        <v>257</v>
      </c>
      <c r="AP562">
        <v>90</v>
      </c>
      <c r="AQ562">
        <v>1</v>
      </c>
      <c r="AR562">
        <v>43</v>
      </c>
      <c r="AS562">
        <v>1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1</v>
      </c>
      <c r="AZ562" t="s">
        <v>257</v>
      </c>
      <c r="BA562" t="s">
        <v>980</v>
      </c>
      <c r="BB562" t="s">
        <v>981</v>
      </c>
      <c r="BC562" t="s">
        <v>257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 t="s">
        <v>998</v>
      </c>
      <c r="BK562" t="s">
        <v>981</v>
      </c>
      <c r="BL562" t="s">
        <v>4556</v>
      </c>
      <c r="BM562">
        <v>20190920</v>
      </c>
      <c r="BN562">
        <v>20230731</v>
      </c>
      <c r="BO562">
        <v>0</v>
      </c>
      <c r="BP562" t="s">
        <v>257</v>
      </c>
      <c r="BQ562" t="s">
        <v>983</v>
      </c>
      <c r="BR562" t="s">
        <v>978</v>
      </c>
      <c r="BS562">
        <v>32475368551</v>
      </c>
      <c r="BT562">
        <v>0</v>
      </c>
      <c r="BU562">
        <v>0</v>
      </c>
      <c r="BV562" t="s">
        <v>984</v>
      </c>
      <c r="BW562" t="s">
        <v>257</v>
      </c>
      <c r="BX562">
        <v>0</v>
      </c>
      <c r="BY562" t="s">
        <v>980</v>
      </c>
      <c r="BZ562" t="s">
        <v>257</v>
      </c>
      <c r="CA562">
        <v>0</v>
      </c>
      <c r="CB562">
        <v>0</v>
      </c>
      <c r="CC562" t="s">
        <v>2113</v>
      </c>
      <c r="CD562">
        <v>0</v>
      </c>
      <c r="CE562">
        <v>0</v>
      </c>
      <c r="CF562">
        <v>0</v>
      </c>
      <c r="CG562">
        <v>0</v>
      </c>
      <c r="CH562">
        <v>0</v>
      </c>
      <c r="CI562" t="s">
        <v>983</v>
      </c>
      <c r="CJ562" t="s">
        <v>972</v>
      </c>
      <c r="CK562" t="s">
        <v>986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 t="s">
        <v>987</v>
      </c>
      <c r="CV562">
        <v>400008566</v>
      </c>
      <c r="CW562" t="s">
        <v>987</v>
      </c>
      <c r="CX562" t="s">
        <v>4559</v>
      </c>
      <c r="CY562" t="s">
        <v>989</v>
      </c>
    </row>
    <row r="563" spans="1:103" hidden="1" x14ac:dyDescent="0.25">
      <c r="A563">
        <v>410000567</v>
      </c>
      <c r="B563" t="s">
        <v>4560</v>
      </c>
      <c r="C563" t="s">
        <v>4561</v>
      </c>
      <c r="D563">
        <v>401100000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1</v>
      </c>
      <c r="Y563" t="s">
        <v>972</v>
      </c>
      <c r="Z563" t="s">
        <v>4562</v>
      </c>
      <c r="AA563" t="s">
        <v>4563</v>
      </c>
      <c r="AB563" t="s">
        <v>975</v>
      </c>
      <c r="AC563">
        <v>4671</v>
      </c>
      <c r="AD563" t="s">
        <v>3134</v>
      </c>
      <c r="AE563" t="s">
        <v>979</v>
      </c>
      <c r="AF563" t="s">
        <v>979</v>
      </c>
      <c r="AG563" t="s">
        <v>977</v>
      </c>
      <c r="AH563" t="s">
        <v>977</v>
      </c>
      <c r="AI563" t="s">
        <v>977</v>
      </c>
      <c r="AJ563" t="s">
        <v>978</v>
      </c>
      <c r="AK563" t="s">
        <v>978</v>
      </c>
      <c r="AL563" t="s">
        <v>978</v>
      </c>
      <c r="AM563" t="s">
        <v>979</v>
      </c>
      <c r="AN563">
        <v>0</v>
      </c>
      <c r="AO563" t="s">
        <v>257</v>
      </c>
      <c r="AP563">
        <v>0</v>
      </c>
      <c r="AQ563">
        <v>1</v>
      </c>
      <c r="AR563">
        <v>43</v>
      </c>
      <c r="AS563">
        <v>1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1</v>
      </c>
      <c r="AZ563" t="s">
        <v>257</v>
      </c>
      <c r="BA563" t="s">
        <v>980</v>
      </c>
      <c r="BB563" t="s">
        <v>981</v>
      </c>
      <c r="BC563" t="s">
        <v>257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 t="s">
        <v>998</v>
      </c>
      <c r="BK563" t="s">
        <v>981</v>
      </c>
      <c r="BL563" t="s">
        <v>4560</v>
      </c>
      <c r="BM563">
        <v>20190924</v>
      </c>
      <c r="BN563">
        <v>0</v>
      </c>
      <c r="BO563">
        <v>0</v>
      </c>
      <c r="BP563" t="s">
        <v>257</v>
      </c>
      <c r="BQ563" t="s">
        <v>983</v>
      </c>
      <c r="BR563" t="s">
        <v>978</v>
      </c>
      <c r="BS563">
        <v>32495801448</v>
      </c>
      <c r="BT563">
        <v>0</v>
      </c>
      <c r="BU563">
        <v>0</v>
      </c>
      <c r="BV563" t="s">
        <v>984</v>
      </c>
      <c r="BW563" t="s">
        <v>257</v>
      </c>
      <c r="BX563">
        <v>0</v>
      </c>
      <c r="BY563" t="s">
        <v>980</v>
      </c>
      <c r="BZ563" t="s">
        <v>257</v>
      </c>
      <c r="CA563">
        <v>0</v>
      </c>
      <c r="CB563">
        <v>0</v>
      </c>
      <c r="CC563" t="s">
        <v>2060</v>
      </c>
      <c r="CD563">
        <v>0</v>
      </c>
      <c r="CE563">
        <v>0</v>
      </c>
      <c r="CF563">
        <v>0</v>
      </c>
      <c r="CG563">
        <v>0</v>
      </c>
      <c r="CH563">
        <v>0</v>
      </c>
      <c r="CI563" t="s">
        <v>983</v>
      </c>
      <c r="CJ563" t="s">
        <v>972</v>
      </c>
      <c r="CK563" t="s">
        <v>986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 t="s">
        <v>987</v>
      </c>
      <c r="CV563">
        <v>400008567</v>
      </c>
      <c r="CW563" t="s">
        <v>987</v>
      </c>
      <c r="CX563" t="s">
        <v>4564</v>
      </c>
      <c r="CY563" t="s">
        <v>989</v>
      </c>
    </row>
    <row r="564" spans="1:103" hidden="1" x14ac:dyDescent="0.25">
      <c r="A564">
        <v>410000568</v>
      </c>
      <c r="B564" t="s">
        <v>4565</v>
      </c>
      <c r="C564" t="s">
        <v>4566</v>
      </c>
      <c r="D564">
        <v>401100000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1</v>
      </c>
      <c r="Y564" t="s">
        <v>972</v>
      </c>
      <c r="Z564" t="s">
        <v>987</v>
      </c>
      <c r="AA564" t="s">
        <v>4567</v>
      </c>
      <c r="AB564" t="s">
        <v>975</v>
      </c>
      <c r="AC564">
        <v>6511</v>
      </c>
      <c r="AD564" t="s">
        <v>4568</v>
      </c>
      <c r="AE564">
        <v>3271650050</v>
      </c>
      <c r="AF564" t="s">
        <v>979</v>
      </c>
      <c r="AG564" t="s">
        <v>977</v>
      </c>
      <c r="AH564" t="s">
        <v>977</v>
      </c>
      <c r="AI564" t="s">
        <v>977</v>
      </c>
      <c r="AJ564" t="s">
        <v>4569</v>
      </c>
      <c r="AK564" t="s">
        <v>978</v>
      </c>
      <c r="AL564" t="s">
        <v>978</v>
      </c>
      <c r="AM564" t="s">
        <v>979</v>
      </c>
      <c r="AN564">
        <v>0</v>
      </c>
      <c r="AO564" t="s">
        <v>257</v>
      </c>
      <c r="AP564">
        <v>0</v>
      </c>
      <c r="AQ564">
        <v>1</v>
      </c>
      <c r="AR564">
        <v>43</v>
      </c>
      <c r="AS564">
        <v>1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1</v>
      </c>
      <c r="AZ564" t="s">
        <v>257</v>
      </c>
      <c r="BA564" t="s">
        <v>980</v>
      </c>
      <c r="BB564" t="s">
        <v>981</v>
      </c>
      <c r="BC564" t="s">
        <v>257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 t="s">
        <v>998</v>
      </c>
      <c r="BK564" t="s">
        <v>981</v>
      </c>
      <c r="BL564" t="s">
        <v>4565</v>
      </c>
      <c r="BM564">
        <v>20190926</v>
      </c>
      <c r="BN564">
        <v>20230313</v>
      </c>
      <c r="BO564">
        <v>0</v>
      </c>
      <c r="BP564" t="s">
        <v>257</v>
      </c>
      <c r="BQ564" t="s">
        <v>983</v>
      </c>
      <c r="BR564" t="s">
        <v>978</v>
      </c>
      <c r="BS564" t="s">
        <v>979</v>
      </c>
      <c r="BT564">
        <v>0</v>
      </c>
      <c r="BU564">
        <v>0</v>
      </c>
      <c r="BV564" t="s">
        <v>984</v>
      </c>
      <c r="BW564" t="s">
        <v>257</v>
      </c>
      <c r="BX564">
        <v>0</v>
      </c>
      <c r="BY564" t="s">
        <v>980</v>
      </c>
      <c r="BZ564" t="s">
        <v>257</v>
      </c>
      <c r="CA564">
        <v>0</v>
      </c>
      <c r="CB564">
        <v>0</v>
      </c>
      <c r="CC564" t="s">
        <v>1901</v>
      </c>
      <c r="CD564">
        <v>0</v>
      </c>
      <c r="CE564">
        <v>0</v>
      </c>
      <c r="CF564">
        <v>0</v>
      </c>
      <c r="CG564">
        <v>0</v>
      </c>
      <c r="CH564">
        <v>0</v>
      </c>
      <c r="CI564" t="s">
        <v>983</v>
      </c>
      <c r="CJ564" t="s">
        <v>972</v>
      </c>
      <c r="CK564" t="s">
        <v>986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 t="s">
        <v>987</v>
      </c>
      <c r="CV564">
        <v>400008568</v>
      </c>
      <c r="CW564" t="s">
        <v>987</v>
      </c>
      <c r="CX564" t="s">
        <v>4570</v>
      </c>
      <c r="CY564" t="s">
        <v>989</v>
      </c>
    </row>
    <row r="565" spans="1:103" hidden="1" x14ac:dyDescent="0.25">
      <c r="A565">
        <v>410000569</v>
      </c>
      <c r="B565" t="s">
        <v>4571</v>
      </c>
      <c r="C565" t="s">
        <v>4572</v>
      </c>
      <c r="D565">
        <v>401100000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1</v>
      </c>
      <c r="X565">
        <v>1</v>
      </c>
      <c r="Y565" t="s">
        <v>972</v>
      </c>
      <c r="Z565" t="s">
        <v>4573</v>
      </c>
      <c r="AA565" t="s">
        <v>4574</v>
      </c>
      <c r="AB565" t="s">
        <v>975</v>
      </c>
      <c r="AC565">
        <v>4650</v>
      </c>
      <c r="AD565" t="s">
        <v>1204</v>
      </c>
      <c r="AE565">
        <v>3287661747</v>
      </c>
      <c r="AF565" t="s">
        <v>979</v>
      </c>
      <c r="AG565" t="s">
        <v>977</v>
      </c>
      <c r="AH565" t="s">
        <v>977</v>
      </c>
      <c r="AI565" t="s">
        <v>977</v>
      </c>
      <c r="AJ565" t="s">
        <v>978</v>
      </c>
      <c r="AK565" t="s">
        <v>978</v>
      </c>
      <c r="AL565" t="s">
        <v>978</v>
      </c>
      <c r="AM565" t="s">
        <v>979</v>
      </c>
      <c r="AN565">
        <v>0</v>
      </c>
      <c r="AO565" t="s">
        <v>257</v>
      </c>
      <c r="AP565">
        <v>0</v>
      </c>
      <c r="AQ565">
        <v>1</v>
      </c>
      <c r="AR565">
        <v>43</v>
      </c>
      <c r="AS565">
        <v>1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1</v>
      </c>
      <c r="AZ565" t="s">
        <v>257</v>
      </c>
      <c r="BA565" t="s">
        <v>980</v>
      </c>
      <c r="BB565" t="s">
        <v>981</v>
      </c>
      <c r="BC565" t="s">
        <v>257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 t="s">
        <v>998</v>
      </c>
      <c r="BK565" t="s">
        <v>981</v>
      </c>
      <c r="BL565" t="s">
        <v>4571</v>
      </c>
      <c r="BM565">
        <v>20191021</v>
      </c>
      <c r="BN565">
        <v>20200817</v>
      </c>
      <c r="BO565">
        <v>0</v>
      </c>
      <c r="BP565" t="s">
        <v>257</v>
      </c>
      <c r="BQ565" t="s">
        <v>983</v>
      </c>
      <c r="BR565" t="s">
        <v>978</v>
      </c>
      <c r="BS565" t="s">
        <v>979</v>
      </c>
      <c r="BT565">
        <v>0</v>
      </c>
      <c r="BU565">
        <v>0</v>
      </c>
      <c r="BV565" t="s">
        <v>984</v>
      </c>
      <c r="BW565" t="s">
        <v>257</v>
      </c>
      <c r="BX565">
        <v>0</v>
      </c>
      <c r="BY565" t="s">
        <v>980</v>
      </c>
      <c r="BZ565" t="s">
        <v>257</v>
      </c>
      <c r="CA565">
        <v>0</v>
      </c>
      <c r="CB565">
        <v>0</v>
      </c>
      <c r="CC565" t="s">
        <v>1207</v>
      </c>
      <c r="CD565">
        <v>0</v>
      </c>
      <c r="CE565">
        <v>0</v>
      </c>
      <c r="CF565">
        <v>0</v>
      </c>
      <c r="CG565">
        <v>0</v>
      </c>
      <c r="CH565">
        <v>0</v>
      </c>
      <c r="CI565" t="s">
        <v>983</v>
      </c>
      <c r="CJ565" t="s">
        <v>972</v>
      </c>
      <c r="CK565" t="s">
        <v>986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 t="s">
        <v>987</v>
      </c>
      <c r="CV565">
        <v>400008569</v>
      </c>
      <c r="CW565" t="s">
        <v>987</v>
      </c>
      <c r="CX565" t="s">
        <v>4575</v>
      </c>
      <c r="CY565" t="s">
        <v>989</v>
      </c>
    </row>
    <row r="566" spans="1:103" hidden="1" x14ac:dyDescent="0.25">
      <c r="A566">
        <v>410000570</v>
      </c>
      <c r="B566" t="s">
        <v>4576</v>
      </c>
      <c r="C566" t="s">
        <v>4577</v>
      </c>
      <c r="D566">
        <v>401100000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1</v>
      </c>
      <c r="Y566" t="s">
        <v>972</v>
      </c>
      <c r="Z566" t="s">
        <v>4578</v>
      </c>
      <c r="AA566" t="s">
        <v>4579</v>
      </c>
      <c r="AB566" t="s">
        <v>975</v>
      </c>
      <c r="AC566">
        <v>6040</v>
      </c>
      <c r="AD566" t="s">
        <v>4580</v>
      </c>
      <c r="AE566">
        <v>3271259325</v>
      </c>
      <c r="AF566">
        <v>3271259319</v>
      </c>
      <c r="AG566" t="s">
        <v>977</v>
      </c>
      <c r="AH566" t="s">
        <v>977</v>
      </c>
      <c r="AI566" t="s">
        <v>977</v>
      </c>
      <c r="AJ566" t="s">
        <v>4581</v>
      </c>
      <c r="AK566" t="s">
        <v>978</v>
      </c>
      <c r="AL566" t="s">
        <v>978</v>
      </c>
      <c r="AM566" t="s">
        <v>979</v>
      </c>
      <c r="AN566">
        <v>0</v>
      </c>
      <c r="AO566" t="s">
        <v>257</v>
      </c>
      <c r="AP566">
        <v>0</v>
      </c>
      <c r="AQ566">
        <v>1</v>
      </c>
      <c r="AR566">
        <v>43</v>
      </c>
      <c r="AS566">
        <v>1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1</v>
      </c>
      <c r="AZ566" t="s">
        <v>257</v>
      </c>
      <c r="BA566" t="s">
        <v>980</v>
      </c>
      <c r="BB566" t="s">
        <v>259</v>
      </c>
      <c r="BC566" t="s">
        <v>257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 t="s">
        <v>998</v>
      </c>
      <c r="BK566" t="s">
        <v>981</v>
      </c>
      <c r="BL566" t="s">
        <v>4576</v>
      </c>
      <c r="BM566">
        <v>20191029</v>
      </c>
      <c r="BN566">
        <v>20191119</v>
      </c>
      <c r="BO566">
        <v>20191119</v>
      </c>
      <c r="BP566" t="s">
        <v>257</v>
      </c>
      <c r="BQ566" t="s">
        <v>983</v>
      </c>
      <c r="BR566" t="s">
        <v>978</v>
      </c>
      <c r="BS566" t="s">
        <v>979</v>
      </c>
      <c r="BT566">
        <v>0</v>
      </c>
      <c r="BU566">
        <v>0</v>
      </c>
      <c r="BV566" t="s">
        <v>984</v>
      </c>
      <c r="BW566" t="s">
        <v>257</v>
      </c>
      <c r="BX566">
        <v>0</v>
      </c>
      <c r="BY566" t="s">
        <v>980</v>
      </c>
      <c r="BZ566" t="s">
        <v>257</v>
      </c>
      <c r="CA566">
        <v>0</v>
      </c>
      <c r="CB566">
        <v>0</v>
      </c>
      <c r="CC566" t="s">
        <v>1901</v>
      </c>
      <c r="CD566">
        <v>0</v>
      </c>
      <c r="CE566">
        <v>0</v>
      </c>
      <c r="CF566">
        <v>0</v>
      </c>
      <c r="CG566">
        <v>0</v>
      </c>
      <c r="CH566">
        <v>0</v>
      </c>
      <c r="CI566" t="s">
        <v>983</v>
      </c>
      <c r="CJ566" t="s">
        <v>972</v>
      </c>
      <c r="CK566" t="s">
        <v>986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 t="s">
        <v>987</v>
      </c>
      <c r="CV566">
        <v>400008570</v>
      </c>
      <c r="CW566" t="s">
        <v>987</v>
      </c>
      <c r="CX566" t="s">
        <v>4582</v>
      </c>
      <c r="CY566" t="s">
        <v>989</v>
      </c>
    </row>
    <row r="567" spans="1:103" hidden="1" x14ac:dyDescent="0.25">
      <c r="A567">
        <v>410000571</v>
      </c>
      <c r="B567" t="s">
        <v>4583</v>
      </c>
      <c r="C567" t="s">
        <v>978</v>
      </c>
      <c r="D567">
        <v>401100000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</v>
      </c>
      <c r="W567">
        <v>1</v>
      </c>
      <c r="X567">
        <v>1</v>
      </c>
      <c r="Y567" t="s">
        <v>972</v>
      </c>
      <c r="Z567" t="s">
        <v>4584</v>
      </c>
      <c r="AA567" t="s">
        <v>4585</v>
      </c>
      <c r="AB567" t="s">
        <v>975</v>
      </c>
      <c r="AC567">
        <v>4680</v>
      </c>
      <c r="AD567" t="s">
        <v>1891</v>
      </c>
      <c r="AE567" t="s">
        <v>979</v>
      </c>
      <c r="AF567" t="s">
        <v>979</v>
      </c>
      <c r="AG567" t="s">
        <v>977</v>
      </c>
      <c r="AH567" t="s">
        <v>977</v>
      </c>
      <c r="AI567" t="s">
        <v>977</v>
      </c>
      <c r="AJ567" t="s">
        <v>978</v>
      </c>
      <c r="AK567" t="s">
        <v>978</v>
      </c>
      <c r="AL567" t="s">
        <v>978</v>
      </c>
      <c r="AM567" t="s">
        <v>979</v>
      </c>
      <c r="AN567">
        <v>0</v>
      </c>
      <c r="AO567" t="s">
        <v>257</v>
      </c>
      <c r="AP567">
        <v>0</v>
      </c>
      <c r="AQ567">
        <v>1</v>
      </c>
      <c r="AR567">
        <v>43</v>
      </c>
      <c r="AS567">
        <v>1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1</v>
      </c>
      <c r="AZ567" t="s">
        <v>257</v>
      </c>
      <c r="BA567" t="s">
        <v>980</v>
      </c>
      <c r="BB567" t="s">
        <v>981</v>
      </c>
      <c r="BC567" t="s">
        <v>257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 t="s">
        <v>998</v>
      </c>
      <c r="BK567" t="s">
        <v>981</v>
      </c>
      <c r="BL567" t="s">
        <v>4583</v>
      </c>
      <c r="BM567">
        <v>20191104</v>
      </c>
      <c r="BN567">
        <v>0</v>
      </c>
      <c r="BO567">
        <v>0</v>
      </c>
      <c r="BP567" t="s">
        <v>257</v>
      </c>
      <c r="BQ567" t="s">
        <v>983</v>
      </c>
      <c r="BR567" t="s">
        <v>978</v>
      </c>
      <c r="BS567">
        <v>32495873610</v>
      </c>
      <c r="BT567">
        <v>0</v>
      </c>
      <c r="BU567">
        <v>0</v>
      </c>
      <c r="BV567" t="s">
        <v>984</v>
      </c>
      <c r="BW567" t="s">
        <v>257</v>
      </c>
      <c r="BX567">
        <v>0</v>
      </c>
      <c r="BY567" t="s">
        <v>980</v>
      </c>
      <c r="BZ567" t="s">
        <v>257</v>
      </c>
      <c r="CA567">
        <v>0</v>
      </c>
      <c r="CB567">
        <v>0</v>
      </c>
      <c r="CC567" t="s">
        <v>3851</v>
      </c>
      <c r="CD567">
        <v>0</v>
      </c>
      <c r="CE567">
        <v>0</v>
      </c>
      <c r="CF567">
        <v>0</v>
      </c>
      <c r="CG567">
        <v>0</v>
      </c>
      <c r="CH567">
        <v>0</v>
      </c>
      <c r="CI567" t="s">
        <v>983</v>
      </c>
      <c r="CJ567" t="s">
        <v>972</v>
      </c>
      <c r="CK567" t="s">
        <v>986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 t="s">
        <v>987</v>
      </c>
      <c r="CV567">
        <v>400008571</v>
      </c>
      <c r="CW567" t="s">
        <v>987</v>
      </c>
      <c r="CX567" t="s">
        <v>4586</v>
      </c>
      <c r="CY567" t="s">
        <v>989</v>
      </c>
    </row>
    <row r="568" spans="1:103" hidden="1" x14ac:dyDescent="0.25">
      <c r="A568">
        <v>410000572</v>
      </c>
      <c r="B568" t="s">
        <v>4587</v>
      </c>
      <c r="C568" t="s">
        <v>978</v>
      </c>
      <c r="D568">
        <v>401100000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</v>
      </c>
      <c r="W568">
        <v>1</v>
      </c>
      <c r="X568">
        <v>1</v>
      </c>
      <c r="Y568" t="s">
        <v>972</v>
      </c>
      <c r="Z568" t="s">
        <v>987</v>
      </c>
      <c r="AA568" t="s">
        <v>4588</v>
      </c>
      <c r="AB568" t="s">
        <v>975</v>
      </c>
      <c r="AC568">
        <v>4683</v>
      </c>
      <c r="AD568" t="s">
        <v>1891</v>
      </c>
      <c r="AE568" t="s">
        <v>979</v>
      </c>
      <c r="AF568" t="s">
        <v>979</v>
      </c>
      <c r="AG568" t="s">
        <v>977</v>
      </c>
      <c r="AH568" t="s">
        <v>977</v>
      </c>
      <c r="AI568" t="s">
        <v>977</v>
      </c>
      <c r="AJ568" t="s">
        <v>978</v>
      </c>
      <c r="AK568" t="s">
        <v>978</v>
      </c>
      <c r="AL568" t="s">
        <v>978</v>
      </c>
      <c r="AM568" t="s">
        <v>979</v>
      </c>
      <c r="AN568">
        <v>0</v>
      </c>
      <c r="AO568" t="s">
        <v>257</v>
      </c>
      <c r="AP568">
        <v>0</v>
      </c>
      <c r="AQ568">
        <v>1</v>
      </c>
      <c r="AR568">
        <v>43</v>
      </c>
      <c r="AS568">
        <v>1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1</v>
      </c>
      <c r="AZ568" t="s">
        <v>257</v>
      </c>
      <c r="BA568" t="s">
        <v>980</v>
      </c>
      <c r="BB568" t="s">
        <v>981</v>
      </c>
      <c r="BC568" t="s">
        <v>257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 t="s">
        <v>998</v>
      </c>
      <c r="BK568" t="s">
        <v>981</v>
      </c>
      <c r="BL568" t="s">
        <v>4587</v>
      </c>
      <c r="BM568">
        <v>20191105</v>
      </c>
      <c r="BN568">
        <v>0</v>
      </c>
      <c r="BO568">
        <v>0</v>
      </c>
      <c r="BP568" t="s">
        <v>257</v>
      </c>
      <c r="BQ568" t="s">
        <v>983</v>
      </c>
      <c r="BR568" t="s">
        <v>978</v>
      </c>
      <c r="BS568">
        <v>32495873610</v>
      </c>
      <c r="BT568">
        <v>0</v>
      </c>
      <c r="BU568">
        <v>0</v>
      </c>
      <c r="BV568" t="s">
        <v>984</v>
      </c>
      <c r="BW568" t="s">
        <v>257</v>
      </c>
      <c r="BX568">
        <v>0</v>
      </c>
      <c r="BY568" t="s">
        <v>980</v>
      </c>
      <c r="BZ568" t="s">
        <v>257</v>
      </c>
      <c r="CA568">
        <v>0</v>
      </c>
      <c r="CB568">
        <v>0</v>
      </c>
      <c r="CC568" t="s">
        <v>4589</v>
      </c>
      <c r="CD568">
        <v>0</v>
      </c>
      <c r="CE568">
        <v>0</v>
      </c>
      <c r="CF568">
        <v>0</v>
      </c>
      <c r="CG568">
        <v>0</v>
      </c>
      <c r="CH568">
        <v>0</v>
      </c>
      <c r="CI568" t="s">
        <v>983</v>
      </c>
      <c r="CJ568" t="s">
        <v>972</v>
      </c>
      <c r="CK568" t="s">
        <v>986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 t="s">
        <v>987</v>
      </c>
      <c r="CV568">
        <v>400008572</v>
      </c>
      <c r="CW568" t="s">
        <v>987</v>
      </c>
      <c r="CX568" t="s">
        <v>4586</v>
      </c>
      <c r="CY568" t="s">
        <v>989</v>
      </c>
    </row>
    <row r="569" spans="1:103" hidden="1" x14ac:dyDescent="0.25">
      <c r="A569">
        <v>410000573</v>
      </c>
      <c r="B569" t="s">
        <v>4590</v>
      </c>
      <c r="C569" t="s">
        <v>4591</v>
      </c>
      <c r="D569">
        <v>401100000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1</v>
      </c>
      <c r="X569">
        <v>1</v>
      </c>
      <c r="Y569" t="s">
        <v>972</v>
      </c>
      <c r="Z569" t="s">
        <v>987</v>
      </c>
      <c r="AA569" t="s">
        <v>4592</v>
      </c>
      <c r="AB569" t="s">
        <v>975</v>
      </c>
      <c r="AC569">
        <v>1180</v>
      </c>
      <c r="AD569" t="s">
        <v>4014</v>
      </c>
      <c r="AE569">
        <v>3228513713</v>
      </c>
      <c r="AF569" t="s">
        <v>979</v>
      </c>
      <c r="AG569" t="s">
        <v>977</v>
      </c>
      <c r="AH569" t="s">
        <v>977</v>
      </c>
      <c r="AI569">
        <v>70220</v>
      </c>
      <c r="AJ569" t="s">
        <v>4593</v>
      </c>
      <c r="AK569" t="s">
        <v>978</v>
      </c>
      <c r="AL569" t="s">
        <v>978</v>
      </c>
      <c r="AM569" t="s">
        <v>979</v>
      </c>
      <c r="AN569">
        <v>0</v>
      </c>
      <c r="AO569" t="s">
        <v>257</v>
      </c>
      <c r="AP569">
        <v>0</v>
      </c>
      <c r="AQ569">
        <v>1</v>
      </c>
      <c r="AR569">
        <v>69</v>
      </c>
      <c r="AS569">
        <v>1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1</v>
      </c>
      <c r="AZ569" t="s">
        <v>257</v>
      </c>
      <c r="BA569" t="s">
        <v>980</v>
      </c>
      <c r="BB569" t="s">
        <v>981</v>
      </c>
      <c r="BC569" t="s">
        <v>257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 t="s">
        <v>998</v>
      </c>
      <c r="BK569" t="s">
        <v>981</v>
      </c>
      <c r="BL569" t="s">
        <v>4590</v>
      </c>
      <c r="BM569">
        <v>20191105</v>
      </c>
      <c r="BN569">
        <v>20240910</v>
      </c>
      <c r="BO569">
        <v>0</v>
      </c>
      <c r="BP569" t="s">
        <v>257</v>
      </c>
      <c r="BQ569" t="s">
        <v>983</v>
      </c>
      <c r="BR569" t="s">
        <v>978</v>
      </c>
      <c r="BS569" t="s">
        <v>979</v>
      </c>
      <c r="BT569">
        <v>0</v>
      </c>
      <c r="BU569">
        <v>0</v>
      </c>
      <c r="BV569" t="s">
        <v>984</v>
      </c>
      <c r="BW569" t="s">
        <v>257</v>
      </c>
      <c r="BX569">
        <v>0</v>
      </c>
      <c r="BY569" t="s">
        <v>980</v>
      </c>
      <c r="BZ569" t="s">
        <v>257</v>
      </c>
      <c r="CA569">
        <v>0</v>
      </c>
      <c r="CB569">
        <v>0</v>
      </c>
      <c r="CC569" t="s">
        <v>1901</v>
      </c>
      <c r="CD569">
        <v>0</v>
      </c>
      <c r="CE569">
        <v>0</v>
      </c>
      <c r="CF569">
        <v>0</v>
      </c>
      <c r="CG569">
        <v>0</v>
      </c>
      <c r="CH569">
        <v>0</v>
      </c>
      <c r="CI569" t="s">
        <v>983</v>
      </c>
      <c r="CJ569" t="s">
        <v>972</v>
      </c>
      <c r="CK569" t="s">
        <v>986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 t="s">
        <v>987</v>
      </c>
      <c r="CV569">
        <v>400008573</v>
      </c>
      <c r="CW569" t="s">
        <v>987</v>
      </c>
      <c r="CX569" t="s">
        <v>4594</v>
      </c>
      <c r="CY569" t="s">
        <v>989</v>
      </c>
    </row>
    <row r="570" spans="1:103" hidden="1" x14ac:dyDescent="0.25">
      <c r="A570">
        <v>410000574</v>
      </c>
      <c r="B570" t="s">
        <v>4595</v>
      </c>
      <c r="C570" t="s">
        <v>4596</v>
      </c>
      <c r="D570">
        <v>401100000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4</v>
      </c>
      <c r="W570">
        <v>1</v>
      </c>
      <c r="X570">
        <v>1</v>
      </c>
      <c r="Y570" t="s">
        <v>972</v>
      </c>
      <c r="Z570" t="s">
        <v>987</v>
      </c>
      <c r="AA570" t="s">
        <v>4597</v>
      </c>
      <c r="AB570" t="s">
        <v>975</v>
      </c>
      <c r="AC570">
        <v>4100</v>
      </c>
      <c r="AD570" t="s">
        <v>1655</v>
      </c>
      <c r="AE570" t="s">
        <v>4598</v>
      </c>
      <c r="AF570" t="s">
        <v>979</v>
      </c>
      <c r="AG570" t="s">
        <v>977</v>
      </c>
      <c r="AH570" t="s">
        <v>977</v>
      </c>
      <c r="AI570" t="s">
        <v>977</v>
      </c>
      <c r="AJ570" t="s">
        <v>978</v>
      </c>
      <c r="AK570" t="s">
        <v>978</v>
      </c>
      <c r="AL570" t="s">
        <v>978</v>
      </c>
      <c r="AM570" t="s">
        <v>979</v>
      </c>
      <c r="AN570">
        <v>0</v>
      </c>
      <c r="AO570" t="s">
        <v>257</v>
      </c>
      <c r="AP570">
        <v>0</v>
      </c>
      <c r="AQ570">
        <v>1</v>
      </c>
      <c r="AR570">
        <v>43</v>
      </c>
      <c r="AS570">
        <v>1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1</v>
      </c>
      <c r="AZ570" t="s">
        <v>257</v>
      </c>
      <c r="BA570" t="s">
        <v>980</v>
      </c>
      <c r="BB570" t="s">
        <v>981</v>
      </c>
      <c r="BC570" t="s">
        <v>257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 t="s">
        <v>998</v>
      </c>
      <c r="BK570" t="s">
        <v>981</v>
      </c>
      <c r="BL570" t="s">
        <v>4595</v>
      </c>
      <c r="BM570">
        <v>20191112</v>
      </c>
      <c r="BN570">
        <v>0</v>
      </c>
      <c r="BO570">
        <v>0</v>
      </c>
      <c r="BP570" t="s">
        <v>257</v>
      </c>
      <c r="BQ570" t="s">
        <v>983</v>
      </c>
      <c r="BR570" t="s">
        <v>978</v>
      </c>
      <c r="BS570" t="s">
        <v>979</v>
      </c>
      <c r="BT570">
        <v>0</v>
      </c>
      <c r="BU570">
        <v>0</v>
      </c>
      <c r="BV570" t="s">
        <v>984</v>
      </c>
      <c r="BW570" t="s">
        <v>257</v>
      </c>
      <c r="BX570">
        <v>0</v>
      </c>
      <c r="BY570" t="s">
        <v>980</v>
      </c>
      <c r="BZ570" t="s">
        <v>257</v>
      </c>
      <c r="CA570">
        <v>0</v>
      </c>
      <c r="CB570">
        <v>0</v>
      </c>
      <c r="CC570" t="s">
        <v>1934</v>
      </c>
      <c r="CD570">
        <v>0</v>
      </c>
      <c r="CE570">
        <v>0</v>
      </c>
      <c r="CF570">
        <v>0</v>
      </c>
      <c r="CG570">
        <v>0</v>
      </c>
      <c r="CH570">
        <v>0</v>
      </c>
      <c r="CI570" t="s">
        <v>983</v>
      </c>
      <c r="CJ570" t="s">
        <v>972</v>
      </c>
      <c r="CK570" t="s">
        <v>986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 t="s">
        <v>987</v>
      </c>
      <c r="CV570">
        <v>400008574</v>
      </c>
      <c r="CW570" t="s">
        <v>987</v>
      </c>
      <c r="CX570" t="s">
        <v>4599</v>
      </c>
      <c r="CY570" t="s">
        <v>989</v>
      </c>
    </row>
    <row r="571" spans="1:103" hidden="1" x14ac:dyDescent="0.25">
      <c r="A571">
        <v>410000575</v>
      </c>
      <c r="B571" t="s">
        <v>4600</v>
      </c>
      <c r="C571" t="s">
        <v>4601</v>
      </c>
      <c r="D571">
        <v>401100000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1</v>
      </c>
      <c r="X571">
        <v>1</v>
      </c>
      <c r="Y571" t="s">
        <v>972</v>
      </c>
      <c r="Z571" t="s">
        <v>4156</v>
      </c>
      <c r="AA571" t="s">
        <v>4602</v>
      </c>
      <c r="AB571" t="s">
        <v>975</v>
      </c>
      <c r="AC571">
        <v>1350</v>
      </c>
      <c r="AD571" t="s">
        <v>4147</v>
      </c>
      <c r="AE571" t="s">
        <v>979</v>
      </c>
      <c r="AF571" t="s">
        <v>979</v>
      </c>
      <c r="AG571" t="s">
        <v>977</v>
      </c>
      <c r="AH571" t="s">
        <v>977</v>
      </c>
      <c r="AI571" t="s">
        <v>977</v>
      </c>
      <c r="AJ571" t="s">
        <v>4603</v>
      </c>
      <c r="AK571" t="s">
        <v>978</v>
      </c>
      <c r="AL571" t="s">
        <v>978</v>
      </c>
      <c r="AM571" t="s">
        <v>979</v>
      </c>
      <c r="AN571">
        <v>0</v>
      </c>
      <c r="AO571" t="s">
        <v>257</v>
      </c>
      <c r="AP571">
        <v>0</v>
      </c>
      <c r="AQ571">
        <v>1</v>
      </c>
      <c r="AR571">
        <v>43</v>
      </c>
      <c r="AS571">
        <v>1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1</v>
      </c>
      <c r="AZ571" t="s">
        <v>257</v>
      </c>
      <c r="BA571" t="s">
        <v>980</v>
      </c>
      <c r="BB571" t="s">
        <v>981</v>
      </c>
      <c r="BC571" t="s">
        <v>257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 t="s">
        <v>998</v>
      </c>
      <c r="BK571" t="s">
        <v>981</v>
      </c>
      <c r="BL571" t="s">
        <v>4600</v>
      </c>
      <c r="BM571">
        <v>20191125</v>
      </c>
      <c r="BN571">
        <v>20191126</v>
      </c>
      <c r="BO571">
        <v>0</v>
      </c>
      <c r="BP571" t="s">
        <v>257</v>
      </c>
      <c r="BQ571" t="s">
        <v>983</v>
      </c>
      <c r="BR571" t="s">
        <v>978</v>
      </c>
      <c r="BS571">
        <v>32474474238</v>
      </c>
      <c r="BT571">
        <v>0</v>
      </c>
      <c r="BU571">
        <v>0</v>
      </c>
      <c r="BV571" t="s">
        <v>984</v>
      </c>
      <c r="BW571" t="s">
        <v>257</v>
      </c>
      <c r="BX571">
        <v>0</v>
      </c>
      <c r="BY571" t="s">
        <v>980</v>
      </c>
      <c r="BZ571" t="s">
        <v>257</v>
      </c>
      <c r="CA571">
        <v>0</v>
      </c>
      <c r="CB571">
        <v>0</v>
      </c>
      <c r="CC571" t="s">
        <v>1901</v>
      </c>
      <c r="CD571">
        <v>0</v>
      </c>
      <c r="CE571">
        <v>0</v>
      </c>
      <c r="CF571">
        <v>0</v>
      </c>
      <c r="CG571">
        <v>0</v>
      </c>
      <c r="CH571">
        <v>0</v>
      </c>
      <c r="CI571" t="s">
        <v>983</v>
      </c>
      <c r="CJ571" t="s">
        <v>972</v>
      </c>
      <c r="CK571" t="s">
        <v>986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 t="s">
        <v>987</v>
      </c>
      <c r="CV571">
        <v>400008575</v>
      </c>
      <c r="CW571" t="s">
        <v>987</v>
      </c>
      <c r="CX571" t="s">
        <v>4604</v>
      </c>
      <c r="CY571" t="s">
        <v>989</v>
      </c>
    </row>
    <row r="572" spans="1:103" hidden="1" x14ac:dyDescent="0.25">
      <c r="A572">
        <v>410000576</v>
      </c>
      <c r="B572" t="s">
        <v>4605</v>
      </c>
      <c r="C572" t="s">
        <v>4606</v>
      </c>
      <c r="D572">
        <v>401100000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1</v>
      </c>
      <c r="Y572" t="s">
        <v>972</v>
      </c>
      <c r="Z572" t="s">
        <v>4135</v>
      </c>
      <c r="AA572" t="s">
        <v>4607</v>
      </c>
      <c r="AB572" t="s">
        <v>975</v>
      </c>
      <c r="AC572">
        <v>4600</v>
      </c>
      <c r="AD572" t="s">
        <v>1813</v>
      </c>
      <c r="AE572">
        <v>3243434233</v>
      </c>
      <c r="AF572" t="s">
        <v>979</v>
      </c>
      <c r="AG572" t="s">
        <v>977</v>
      </c>
      <c r="AH572" t="s">
        <v>977</v>
      </c>
      <c r="AI572" t="s">
        <v>977</v>
      </c>
      <c r="AJ572" t="s">
        <v>978</v>
      </c>
      <c r="AK572" t="s">
        <v>978</v>
      </c>
      <c r="AL572" t="s">
        <v>978</v>
      </c>
      <c r="AM572" t="s">
        <v>979</v>
      </c>
      <c r="AN572">
        <v>0</v>
      </c>
      <c r="AO572" t="s">
        <v>257</v>
      </c>
      <c r="AP572">
        <v>0</v>
      </c>
      <c r="AQ572">
        <v>1</v>
      </c>
      <c r="AR572">
        <v>43</v>
      </c>
      <c r="AS572">
        <v>1</v>
      </c>
      <c r="AT572">
        <v>0</v>
      </c>
      <c r="AU572">
        <v>1</v>
      </c>
      <c r="AV572">
        <v>0</v>
      </c>
      <c r="AW572">
        <v>0</v>
      </c>
      <c r="AX572">
        <v>0</v>
      </c>
      <c r="AY572">
        <v>1</v>
      </c>
      <c r="AZ572" t="s">
        <v>257</v>
      </c>
      <c r="BA572" t="s">
        <v>980</v>
      </c>
      <c r="BB572" t="s">
        <v>1010</v>
      </c>
      <c r="BC572" t="s">
        <v>257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 t="s">
        <v>998</v>
      </c>
      <c r="BK572" t="s">
        <v>981</v>
      </c>
      <c r="BL572" t="s">
        <v>4605</v>
      </c>
      <c r="BM572">
        <v>20191126</v>
      </c>
      <c r="BN572">
        <v>20251103</v>
      </c>
      <c r="BO572">
        <v>20251103</v>
      </c>
      <c r="BP572" t="s">
        <v>257</v>
      </c>
      <c r="BQ572" t="s">
        <v>983</v>
      </c>
      <c r="BR572" t="s">
        <v>978</v>
      </c>
      <c r="BS572">
        <v>32475473473</v>
      </c>
      <c r="BT572">
        <v>0</v>
      </c>
      <c r="BU572">
        <v>0</v>
      </c>
      <c r="BV572" t="s">
        <v>984</v>
      </c>
      <c r="BW572" t="s">
        <v>257</v>
      </c>
      <c r="BX572">
        <v>0</v>
      </c>
      <c r="BY572" t="s">
        <v>980</v>
      </c>
      <c r="BZ572" t="s">
        <v>257</v>
      </c>
      <c r="CA572">
        <v>0</v>
      </c>
      <c r="CB572">
        <v>0</v>
      </c>
      <c r="CC572" t="s">
        <v>1848</v>
      </c>
      <c r="CD572">
        <v>0</v>
      </c>
      <c r="CE572">
        <v>0</v>
      </c>
      <c r="CF572">
        <v>0</v>
      </c>
      <c r="CG572">
        <v>0</v>
      </c>
      <c r="CH572">
        <v>0</v>
      </c>
      <c r="CI572" t="s">
        <v>983</v>
      </c>
      <c r="CJ572" t="s">
        <v>972</v>
      </c>
      <c r="CK572" t="s">
        <v>986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 t="s">
        <v>987</v>
      </c>
      <c r="CV572">
        <v>400008576</v>
      </c>
      <c r="CW572" t="s">
        <v>987</v>
      </c>
      <c r="CX572" t="s">
        <v>6947</v>
      </c>
      <c r="CY572" t="s">
        <v>989</v>
      </c>
    </row>
    <row r="573" spans="1:103" hidden="1" x14ac:dyDescent="0.25">
      <c r="A573">
        <v>410000577</v>
      </c>
      <c r="B573" t="s">
        <v>4608</v>
      </c>
      <c r="C573" t="s">
        <v>4609</v>
      </c>
      <c r="D573">
        <v>401100000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1</v>
      </c>
      <c r="Y573" t="s">
        <v>972</v>
      </c>
      <c r="Z573" t="s">
        <v>4610</v>
      </c>
      <c r="AA573" t="s">
        <v>4611</v>
      </c>
      <c r="AB573" t="s">
        <v>975</v>
      </c>
      <c r="AC573">
        <v>4800</v>
      </c>
      <c r="AD573" t="s">
        <v>1124</v>
      </c>
      <c r="AE573">
        <v>3287460608</v>
      </c>
      <c r="AF573" t="s">
        <v>979</v>
      </c>
      <c r="AG573" t="s">
        <v>977</v>
      </c>
      <c r="AH573" t="s">
        <v>977</v>
      </c>
      <c r="AI573" t="s">
        <v>977</v>
      </c>
      <c r="AJ573" t="s">
        <v>978</v>
      </c>
      <c r="AK573" t="s">
        <v>978</v>
      </c>
      <c r="AL573" t="s">
        <v>978</v>
      </c>
      <c r="AM573" t="s">
        <v>979</v>
      </c>
      <c r="AN573">
        <v>0</v>
      </c>
      <c r="AO573" t="s">
        <v>257</v>
      </c>
      <c r="AP573">
        <v>0</v>
      </c>
      <c r="AQ573">
        <v>1</v>
      </c>
      <c r="AR573">
        <v>43</v>
      </c>
      <c r="AS573">
        <v>1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1</v>
      </c>
      <c r="AZ573" t="s">
        <v>257</v>
      </c>
      <c r="BA573" t="s">
        <v>980</v>
      </c>
      <c r="BB573" t="s">
        <v>1010</v>
      </c>
      <c r="BC573" t="s">
        <v>257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 t="s">
        <v>998</v>
      </c>
      <c r="BK573" t="s">
        <v>981</v>
      </c>
      <c r="BL573" t="s">
        <v>4608</v>
      </c>
      <c r="BM573">
        <v>20191204</v>
      </c>
      <c r="BN573">
        <v>20240913</v>
      </c>
      <c r="BO573">
        <v>20240820</v>
      </c>
      <c r="BP573" t="s">
        <v>257</v>
      </c>
      <c r="BQ573" t="s">
        <v>983</v>
      </c>
      <c r="BR573" t="s">
        <v>978</v>
      </c>
      <c r="BS573" t="s">
        <v>4612</v>
      </c>
      <c r="BT573">
        <v>0</v>
      </c>
      <c r="BU573">
        <v>0</v>
      </c>
      <c r="BV573" t="s">
        <v>984</v>
      </c>
      <c r="BW573" t="s">
        <v>257</v>
      </c>
      <c r="BX573">
        <v>0</v>
      </c>
      <c r="BY573" t="s">
        <v>980</v>
      </c>
      <c r="BZ573" t="s">
        <v>257</v>
      </c>
      <c r="CA573">
        <v>0</v>
      </c>
      <c r="CB573">
        <v>0</v>
      </c>
      <c r="CC573" t="s">
        <v>2898</v>
      </c>
      <c r="CD573">
        <v>0</v>
      </c>
      <c r="CE573">
        <v>0</v>
      </c>
      <c r="CF573">
        <v>0</v>
      </c>
      <c r="CG573">
        <v>0</v>
      </c>
      <c r="CH573">
        <v>0</v>
      </c>
      <c r="CI573" t="s">
        <v>983</v>
      </c>
      <c r="CJ573" t="s">
        <v>972</v>
      </c>
      <c r="CK573" t="s">
        <v>986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 t="s">
        <v>987</v>
      </c>
      <c r="CV573">
        <v>400008577</v>
      </c>
      <c r="CW573" t="s">
        <v>987</v>
      </c>
      <c r="CX573" t="s">
        <v>4613</v>
      </c>
      <c r="CY573" t="s">
        <v>989</v>
      </c>
    </row>
    <row r="574" spans="1:103" hidden="1" x14ac:dyDescent="0.25">
      <c r="A574">
        <v>410000578</v>
      </c>
      <c r="B574" t="s">
        <v>4614</v>
      </c>
      <c r="C574" t="s">
        <v>4615</v>
      </c>
      <c r="D574">
        <v>401100000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1</v>
      </c>
      <c r="Y574" t="s">
        <v>972</v>
      </c>
      <c r="Z574" t="s">
        <v>4616</v>
      </c>
      <c r="AA574" t="s">
        <v>4617</v>
      </c>
      <c r="AB574" t="s">
        <v>975</v>
      </c>
      <c r="AC574">
        <v>1470</v>
      </c>
      <c r="AD574" t="s">
        <v>4618</v>
      </c>
      <c r="AE574">
        <v>3210840199</v>
      </c>
      <c r="AF574" t="s">
        <v>979</v>
      </c>
      <c r="AG574" t="s">
        <v>977</v>
      </c>
      <c r="AH574" t="s">
        <v>977</v>
      </c>
      <c r="AI574" t="s">
        <v>977</v>
      </c>
      <c r="AJ574" t="s">
        <v>4619</v>
      </c>
      <c r="AK574" t="s">
        <v>978</v>
      </c>
      <c r="AL574" t="s">
        <v>978</v>
      </c>
      <c r="AM574" t="s">
        <v>979</v>
      </c>
      <c r="AN574">
        <v>0</v>
      </c>
      <c r="AO574" t="s">
        <v>257</v>
      </c>
      <c r="AP574">
        <v>0</v>
      </c>
      <c r="AQ574">
        <v>1</v>
      </c>
      <c r="AR574">
        <v>43</v>
      </c>
      <c r="AS574">
        <v>1</v>
      </c>
      <c r="AT574">
        <v>0</v>
      </c>
      <c r="AU574">
        <v>1</v>
      </c>
      <c r="AV574">
        <v>0</v>
      </c>
      <c r="AW574">
        <v>0</v>
      </c>
      <c r="AX574">
        <v>0</v>
      </c>
      <c r="AY574">
        <v>1</v>
      </c>
      <c r="AZ574" t="s">
        <v>257</v>
      </c>
      <c r="BA574" t="s">
        <v>980</v>
      </c>
      <c r="BB574" t="s">
        <v>981</v>
      </c>
      <c r="BC574" t="s">
        <v>257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 t="s">
        <v>998</v>
      </c>
      <c r="BK574" t="s">
        <v>981</v>
      </c>
      <c r="BL574" t="s">
        <v>4614</v>
      </c>
      <c r="BM574">
        <v>20191204</v>
      </c>
      <c r="BN574">
        <v>20191204</v>
      </c>
      <c r="BO574">
        <v>0</v>
      </c>
      <c r="BP574" t="s">
        <v>257</v>
      </c>
      <c r="BQ574" t="s">
        <v>983</v>
      </c>
      <c r="BR574" t="s">
        <v>978</v>
      </c>
      <c r="BS574">
        <v>32477965209</v>
      </c>
      <c r="BT574">
        <v>0</v>
      </c>
      <c r="BU574">
        <v>0</v>
      </c>
      <c r="BV574" t="s">
        <v>984</v>
      </c>
      <c r="BW574" t="s">
        <v>257</v>
      </c>
      <c r="BX574">
        <v>0</v>
      </c>
      <c r="BY574" t="s">
        <v>980</v>
      </c>
      <c r="BZ574" t="s">
        <v>257</v>
      </c>
      <c r="CA574">
        <v>0</v>
      </c>
      <c r="CB574">
        <v>0</v>
      </c>
      <c r="CC574" t="s">
        <v>1901</v>
      </c>
      <c r="CD574">
        <v>0</v>
      </c>
      <c r="CE574">
        <v>0</v>
      </c>
      <c r="CF574">
        <v>0</v>
      </c>
      <c r="CG574">
        <v>0</v>
      </c>
      <c r="CH574">
        <v>0</v>
      </c>
      <c r="CI574" t="s">
        <v>983</v>
      </c>
      <c r="CJ574" t="s">
        <v>972</v>
      </c>
      <c r="CK574" t="s">
        <v>986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 t="s">
        <v>987</v>
      </c>
      <c r="CV574">
        <v>400008578</v>
      </c>
      <c r="CW574" t="s">
        <v>987</v>
      </c>
      <c r="CX574" t="s">
        <v>4620</v>
      </c>
      <c r="CY574" t="s">
        <v>989</v>
      </c>
    </row>
    <row r="575" spans="1:103" hidden="1" x14ac:dyDescent="0.25">
      <c r="A575">
        <v>410000579</v>
      </c>
      <c r="B575" t="s">
        <v>4621</v>
      </c>
      <c r="C575" t="s">
        <v>4622</v>
      </c>
      <c r="D575">
        <v>401100000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1</v>
      </c>
      <c r="X575">
        <v>1</v>
      </c>
      <c r="Y575" t="s">
        <v>972</v>
      </c>
      <c r="Z575" t="s">
        <v>987</v>
      </c>
      <c r="AA575" t="s">
        <v>4623</v>
      </c>
      <c r="AB575" t="s">
        <v>975</v>
      </c>
      <c r="AC575">
        <v>5600</v>
      </c>
      <c r="AD575" t="s">
        <v>4624</v>
      </c>
      <c r="AE575" t="s">
        <v>979</v>
      </c>
      <c r="AF575" t="s">
        <v>979</v>
      </c>
      <c r="AG575" t="s">
        <v>977</v>
      </c>
      <c r="AH575" t="s">
        <v>977</v>
      </c>
      <c r="AI575" t="s">
        <v>977</v>
      </c>
      <c r="AJ575" t="s">
        <v>978</v>
      </c>
      <c r="AK575" t="s">
        <v>978</v>
      </c>
      <c r="AL575" t="s">
        <v>978</v>
      </c>
      <c r="AM575" t="s">
        <v>979</v>
      </c>
      <c r="AN575">
        <v>0</v>
      </c>
      <c r="AO575" t="s">
        <v>257</v>
      </c>
      <c r="AP575">
        <v>0</v>
      </c>
      <c r="AQ575">
        <v>1</v>
      </c>
      <c r="AR575">
        <v>69</v>
      </c>
      <c r="AS575">
        <v>1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1</v>
      </c>
      <c r="AZ575" t="s">
        <v>257</v>
      </c>
      <c r="BA575" t="s">
        <v>257</v>
      </c>
      <c r="BB575" t="s">
        <v>981</v>
      </c>
      <c r="BC575" t="s">
        <v>257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 t="s">
        <v>998</v>
      </c>
      <c r="BK575" t="s">
        <v>981</v>
      </c>
      <c r="BL575" t="s">
        <v>4621</v>
      </c>
      <c r="BM575">
        <v>20191217</v>
      </c>
      <c r="BN575">
        <v>20240910</v>
      </c>
      <c r="BO575">
        <v>0</v>
      </c>
      <c r="BP575" t="s">
        <v>257</v>
      </c>
      <c r="BQ575" t="s">
        <v>983</v>
      </c>
      <c r="BR575" t="s">
        <v>978</v>
      </c>
      <c r="BS575">
        <v>32487481764</v>
      </c>
      <c r="BT575">
        <v>0</v>
      </c>
      <c r="BU575">
        <v>0</v>
      </c>
      <c r="BV575" t="s">
        <v>984</v>
      </c>
      <c r="BW575" t="s">
        <v>257</v>
      </c>
      <c r="BX575">
        <v>0</v>
      </c>
      <c r="BY575" t="s">
        <v>980</v>
      </c>
      <c r="BZ575" t="s">
        <v>257</v>
      </c>
      <c r="CA575">
        <v>0</v>
      </c>
      <c r="CB575">
        <v>0</v>
      </c>
      <c r="CC575" t="s">
        <v>1033</v>
      </c>
      <c r="CD575">
        <v>0</v>
      </c>
      <c r="CE575">
        <v>0</v>
      </c>
      <c r="CF575">
        <v>0</v>
      </c>
      <c r="CG575">
        <v>0</v>
      </c>
      <c r="CH575">
        <v>0</v>
      </c>
      <c r="CI575" t="s">
        <v>983</v>
      </c>
      <c r="CJ575" t="s">
        <v>972</v>
      </c>
      <c r="CK575" t="s">
        <v>986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 t="s">
        <v>987</v>
      </c>
      <c r="CV575">
        <v>400008579</v>
      </c>
      <c r="CW575" t="s">
        <v>987</v>
      </c>
      <c r="CX575" t="s">
        <v>4625</v>
      </c>
      <c r="CY575" t="s">
        <v>989</v>
      </c>
    </row>
    <row r="576" spans="1:103" hidden="1" x14ac:dyDescent="0.25">
      <c r="A576">
        <v>410000580</v>
      </c>
      <c r="B576" t="s">
        <v>4626</v>
      </c>
      <c r="C576" t="s">
        <v>4627</v>
      </c>
      <c r="D576">
        <v>401100000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1</v>
      </c>
      <c r="Y576" t="s">
        <v>972</v>
      </c>
      <c r="Z576" t="s">
        <v>987</v>
      </c>
      <c r="AA576" t="s">
        <v>4628</v>
      </c>
      <c r="AB576" t="s">
        <v>975</v>
      </c>
      <c r="AC576">
        <v>5310</v>
      </c>
      <c r="AD576" t="s">
        <v>4341</v>
      </c>
      <c r="AE576" t="s">
        <v>979</v>
      </c>
      <c r="AF576" t="s">
        <v>979</v>
      </c>
      <c r="AG576" t="s">
        <v>977</v>
      </c>
      <c r="AH576" t="s">
        <v>977</v>
      </c>
      <c r="AI576" t="s">
        <v>977</v>
      </c>
      <c r="AJ576" t="s">
        <v>978</v>
      </c>
      <c r="AK576" t="s">
        <v>978</v>
      </c>
      <c r="AL576" t="s">
        <v>978</v>
      </c>
      <c r="AM576" t="s">
        <v>979</v>
      </c>
      <c r="AN576">
        <v>0</v>
      </c>
      <c r="AO576" t="s">
        <v>257</v>
      </c>
      <c r="AP576">
        <v>0</v>
      </c>
      <c r="AQ576">
        <v>1</v>
      </c>
      <c r="AR576">
        <v>43</v>
      </c>
      <c r="AS576">
        <v>1</v>
      </c>
      <c r="AT576">
        <v>0</v>
      </c>
      <c r="AU576">
        <v>1</v>
      </c>
      <c r="AV576">
        <v>0</v>
      </c>
      <c r="AW576">
        <v>0</v>
      </c>
      <c r="AX576">
        <v>0</v>
      </c>
      <c r="AY576">
        <v>1</v>
      </c>
      <c r="AZ576" t="s">
        <v>257</v>
      </c>
      <c r="BA576" t="s">
        <v>980</v>
      </c>
      <c r="BB576" t="s">
        <v>981</v>
      </c>
      <c r="BC576" t="s">
        <v>257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 t="s">
        <v>998</v>
      </c>
      <c r="BK576" t="s">
        <v>981</v>
      </c>
      <c r="BL576" t="s">
        <v>4626</v>
      </c>
      <c r="BM576">
        <v>20191219</v>
      </c>
      <c r="BN576">
        <v>20230802</v>
      </c>
      <c r="BO576">
        <v>0</v>
      </c>
      <c r="BP576" t="s">
        <v>257</v>
      </c>
      <c r="BQ576" t="s">
        <v>983</v>
      </c>
      <c r="BR576" t="s">
        <v>978</v>
      </c>
      <c r="BS576">
        <v>32475443225</v>
      </c>
      <c r="BT576">
        <v>0</v>
      </c>
      <c r="BU576">
        <v>0</v>
      </c>
      <c r="BV576" t="s">
        <v>984</v>
      </c>
      <c r="BW576" t="s">
        <v>257</v>
      </c>
      <c r="BX576">
        <v>0</v>
      </c>
      <c r="BY576" t="s">
        <v>980</v>
      </c>
      <c r="BZ576" t="s">
        <v>257</v>
      </c>
      <c r="CA576">
        <v>0</v>
      </c>
      <c r="CB576">
        <v>0</v>
      </c>
      <c r="CC576" t="s">
        <v>1670</v>
      </c>
      <c r="CD576">
        <v>0</v>
      </c>
      <c r="CE576">
        <v>0</v>
      </c>
      <c r="CF576">
        <v>0</v>
      </c>
      <c r="CG576">
        <v>0</v>
      </c>
      <c r="CH576">
        <v>0</v>
      </c>
      <c r="CI576" t="s">
        <v>983</v>
      </c>
      <c r="CJ576" t="s">
        <v>972</v>
      </c>
      <c r="CK576" t="s">
        <v>986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 t="s">
        <v>987</v>
      </c>
      <c r="CV576">
        <v>400008580</v>
      </c>
      <c r="CW576" t="s">
        <v>987</v>
      </c>
      <c r="CX576" t="s">
        <v>1114</v>
      </c>
      <c r="CY576" t="s">
        <v>989</v>
      </c>
    </row>
    <row r="577" spans="1:103" hidden="1" x14ac:dyDescent="0.25">
      <c r="A577">
        <v>410000581</v>
      </c>
      <c r="B577" t="s">
        <v>4629</v>
      </c>
      <c r="C577" t="s">
        <v>4630</v>
      </c>
      <c r="D577">
        <v>401100000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1</v>
      </c>
      <c r="Y577" t="s">
        <v>972</v>
      </c>
      <c r="Z577" t="s">
        <v>987</v>
      </c>
      <c r="AA577" t="s">
        <v>4631</v>
      </c>
      <c r="AB577" t="s">
        <v>975</v>
      </c>
      <c r="AC577">
        <v>1000</v>
      </c>
      <c r="AD577" t="s">
        <v>1066</v>
      </c>
      <c r="AE577">
        <v>3225111020</v>
      </c>
      <c r="AF577" t="s">
        <v>979</v>
      </c>
      <c r="AG577" t="s">
        <v>977</v>
      </c>
      <c r="AH577" t="s">
        <v>977</v>
      </c>
      <c r="AI577" t="s">
        <v>977</v>
      </c>
      <c r="AJ577" t="s">
        <v>978</v>
      </c>
      <c r="AK577" t="s">
        <v>978</v>
      </c>
      <c r="AL577" t="s">
        <v>978</v>
      </c>
      <c r="AM577" t="s">
        <v>979</v>
      </c>
      <c r="AN577">
        <v>0</v>
      </c>
      <c r="AO577" t="s">
        <v>257</v>
      </c>
      <c r="AP577">
        <v>0</v>
      </c>
      <c r="AQ577">
        <v>1</v>
      </c>
      <c r="AR577">
        <v>69</v>
      </c>
      <c r="AS577">
        <v>1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1</v>
      </c>
      <c r="AZ577" t="s">
        <v>257</v>
      </c>
      <c r="BA577" t="s">
        <v>980</v>
      </c>
      <c r="BB577" t="s">
        <v>981</v>
      </c>
      <c r="BC577" t="s">
        <v>257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 t="s">
        <v>998</v>
      </c>
      <c r="BK577" t="s">
        <v>981</v>
      </c>
      <c r="BL577" t="s">
        <v>4629</v>
      </c>
      <c r="BM577">
        <v>20191220</v>
      </c>
      <c r="BN577">
        <v>20240910</v>
      </c>
      <c r="BO577">
        <v>0</v>
      </c>
      <c r="BP577" t="s">
        <v>257</v>
      </c>
      <c r="BQ577" t="s">
        <v>983</v>
      </c>
      <c r="BR577" t="s">
        <v>978</v>
      </c>
      <c r="BS577" t="s">
        <v>979</v>
      </c>
      <c r="BT577">
        <v>0</v>
      </c>
      <c r="BU577">
        <v>0</v>
      </c>
      <c r="BV577" t="s">
        <v>2341</v>
      </c>
      <c r="BW577" t="s">
        <v>257</v>
      </c>
      <c r="BX577">
        <v>0</v>
      </c>
      <c r="BY577" t="s">
        <v>980</v>
      </c>
      <c r="BZ577" t="s">
        <v>257</v>
      </c>
      <c r="CA577">
        <v>0</v>
      </c>
      <c r="CB577">
        <v>0</v>
      </c>
      <c r="CC577" t="s">
        <v>1033</v>
      </c>
      <c r="CD577">
        <v>0</v>
      </c>
      <c r="CE577">
        <v>0</v>
      </c>
      <c r="CF577">
        <v>0</v>
      </c>
      <c r="CG577">
        <v>0</v>
      </c>
      <c r="CH577">
        <v>0</v>
      </c>
      <c r="CI577" t="s">
        <v>983</v>
      </c>
      <c r="CJ577" t="s">
        <v>972</v>
      </c>
      <c r="CK577" t="s">
        <v>986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 t="s">
        <v>987</v>
      </c>
      <c r="CV577">
        <v>400008581</v>
      </c>
      <c r="CW577" t="s">
        <v>987</v>
      </c>
      <c r="CX577" t="s">
        <v>1081</v>
      </c>
      <c r="CY577" t="s">
        <v>989</v>
      </c>
    </row>
    <row r="578" spans="1:103" hidden="1" x14ac:dyDescent="0.25">
      <c r="A578">
        <v>410000582</v>
      </c>
      <c r="B578" t="s">
        <v>4632</v>
      </c>
      <c r="C578" t="s">
        <v>971</v>
      </c>
      <c r="D578">
        <v>401100000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1</v>
      </c>
      <c r="Y578" t="s">
        <v>4633</v>
      </c>
      <c r="Z578" t="s">
        <v>987</v>
      </c>
      <c r="AA578" t="s">
        <v>4634</v>
      </c>
      <c r="AB578" t="s">
        <v>975</v>
      </c>
      <c r="AC578">
        <v>4800</v>
      </c>
      <c r="AD578" t="s">
        <v>1378</v>
      </c>
      <c r="AE578" t="s">
        <v>4635</v>
      </c>
      <c r="AF578" t="s">
        <v>979</v>
      </c>
      <c r="AG578" t="s">
        <v>977</v>
      </c>
      <c r="AH578" t="s">
        <v>977</v>
      </c>
      <c r="AI578">
        <v>46510</v>
      </c>
      <c r="AJ578" t="s">
        <v>4636</v>
      </c>
      <c r="AK578" t="s">
        <v>978</v>
      </c>
      <c r="AL578" t="s">
        <v>978</v>
      </c>
      <c r="AM578" t="s">
        <v>979</v>
      </c>
      <c r="AN578">
        <v>0</v>
      </c>
      <c r="AO578" t="s">
        <v>257</v>
      </c>
      <c r="AP578">
        <v>0</v>
      </c>
      <c r="AQ578">
        <v>1</v>
      </c>
      <c r="AR578">
        <v>43</v>
      </c>
      <c r="AS578">
        <v>1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1</v>
      </c>
      <c r="AZ578" t="s">
        <v>257</v>
      </c>
      <c r="BA578" t="s">
        <v>980</v>
      </c>
      <c r="BB578" t="s">
        <v>981</v>
      </c>
      <c r="BC578" t="s">
        <v>257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410000001</v>
      </c>
      <c r="BJ578" t="s">
        <v>1021</v>
      </c>
      <c r="BK578" t="s">
        <v>981</v>
      </c>
      <c r="BL578" t="s">
        <v>4632</v>
      </c>
      <c r="BM578">
        <v>20191230</v>
      </c>
      <c r="BN578">
        <v>20220201</v>
      </c>
      <c r="BO578">
        <v>0</v>
      </c>
      <c r="BP578" t="s">
        <v>257</v>
      </c>
      <c r="BQ578" t="s">
        <v>983</v>
      </c>
      <c r="BR578" t="s">
        <v>978</v>
      </c>
      <c r="BS578" t="s">
        <v>4637</v>
      </c>
      <c r="BT578">
        <v>0</v>
      </c>
      <c r="BU578">
        <v>0</v>
      </c>
      <c r="BV578" t="s">
        <v>984</v>
      </c>
      <c r="BW578" t="s">
        <v>257</v>
      </c>
      <c r="BX578">
        <v>0</v>
      </c>
      <c r="BY578" t="s">
        <v>980</v>
      </c>
      <c r="BZ578" t="s">
        <v>257</v>
      </c>
      <c r="CA578">
        <v>0</v>
      </c>
      <c r="CB578">
        <v>0</v>
      </c>
      <c r="CC578" t="s">
        <v>1128</v>
      </c>
      <c r="CD578">
        <v>0</v>
      </c>
      <c r="CE578">
        <v>0</v>
      </c>
      <c r="CF578">
        <v>0</v>
      </c>
      <c r="CG578">
        <v>0</v>
      </c>
      <c r="CH578">
        <v>0</v>
      </c>
      <c r="CI578" t="s">
        <v>983</v>
      </c>
      <c r="CJ578" t="s">
        <v>972</v>
      </c>
      <c r="CK578" t="s">
        <v>986</v>
      </c>
      <c r="CL578">
        <v>0</v>
      </c>
      <c r="CM578">
        <v>1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 t="s">
        <v>987</v>
      </c>
      <c r="CV578">
        <v>400008582</v>
      </c>
      <c r="CW578" t="s">
        <v>987</v>
      </c>
      <c r="CX578" t="s">
        <v>1023</v>
      </c>
      <c r="CY578" t="s">
        <v>989</v>
      </c>
    </row>
    <row r="579" spans="1:103" hidden="1" x14ac:dyDescent="0.25">
      <c r="A579">
        <v>410000583</v>
      </c>
      <c r="B579" t="s">
        <v>4638</v>
      </c>
      <c r="C579" t="s">
        <v>4639</v>
      </c>
      <c r="D579">
        <v>401100000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1</v>
      </c>
      <c r="Y579" t="s">
        <v>972</v>
      </c>
      <c r="Z579" t="s">
        <v>2484</v>
      </c>
      <c r="AA579" t="s">
        <v>4640</v>
      </c>
      <c r="AB579" t="s">
        <v>975</v>
      </c>
      <c r="AC579">
        <v>4000</v>
      </c>
      <c r="AD579" t="s">
        <v>1019</v>
      </c>
      <c r="AE579" t="s">
        <v>2485</v>
      </c>
      <c r="AF579" t="s">
        <v>979</v>
      </c>
      <c r="AG579" t="s">
        <v>977</v>
      </c>
      <c r="AH579" t="s">
        <v>977</v>
      </c>
      <c r="AI579" t="s">
        <v>977</v>
      </c>
      <c r="AJ579" t="s">
        <v>978</v>
      </c>
      <c r="AK579" t="s">
        <v>978</v>
      </c>
      <c r="AL579" t="s">
        <v>978</v>
      </c>
      <c r="AM579" t="s">
        <v>979</v>
      </c>
      <c r="AN579">
        <v>0</v>
      </c>
      <c r="AO579" t="s">
        <v>257</v>
      </c>
      <c r="AP579">
        <v>0</v>
      </c>
      <c r="AQ579">
        <v>1</v>
      </c>
      <c r="AR579">
        <v>43</v>
      </c>
      <c r="AS579">
        <v>1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1</v>
      </c>
      <c r="AZ579" t="s">
        <v>257</v>
      </c>
      <c r="BA579" t="s">
        <v>980</v>
      </c>
      <c r="BB579" t="s">
        <v>981</v>
      </c>
      <c r="BC579" t="s">
        <v>257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 t="s">
        <v>982</v>
      </c>
      <c r="BK579" t="s">
        <v>981</v>
      </c>
      <c r="BL579" t="s">
        <v>4638</v>
      </c>
      <c r="BM579">
        <v>20200102</v>
      </c>
      <c r="BN579">
        <v>20210222</v>
      </c>
      <c r="BO579">
        <v>0</v>
      </c>
      <c r="BP579" t="s">
        <v>257</v>
      </c>
      <c r="BQ579" t="s">
        <v>983</v>
      </c>
      <c r="BR579" t="s">
        <v>978</v>
      </c>
      <c r="BS579" t="s">
        <v>979</v>
      </c>
      <c r="BT579">
        <v>0</v>
      </c>
      <c r="BU579">
        <v>0</v>
      </c>
      <c r="BV579" t="s">
        <v>984</v>
      </c>
      <c r="BW579" t="s">
        <v>257</v>
      </c>
      <c r="BX579">
        <v>0</v>
      </c>
      <c r="BY579" t="s">
        <v>980</v>
      </c>
      <c r="BZ579" t="s">
        <v>257</v>
      </c>
      <c r="CA579">
        <v>0</v>
      </c>
      <c r="CB579">
        <v>0</v>
      </c>
      <c r="CC579" t="s">
        <v>1022</v>
      </c>
      <c r="CD579">
        <v>0</v>
      </c>
      <c r="CE579">
        <v>0</v>
      </c>
      <c r="CF579">
        <v>0</v>
      </c>
      <c r="CG579">
        <v>0</v>
      </c>
      <c r="CH579">
        <v>0</v>
      </c>
      <c r="CI579" t="s">
        <v>983</v>
      </c>
      <c r="CJ579" t="s">
        <v>972</v>
      </c>
      <c r="CK579" t="s">
        <v>986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 t="s">
        <v>987</v>
      </c>
      <c r="CV579">
        <v>400008583</v>
      </c>
      <c r="CW579" t="s">
        <v>987</v>
      </c>
      <c r="CX579" t="s">
        <v>4641</v>
      </c>
      <c r="CY579" t="s">
        <v>989</v>
      </c>
    </row>
    <row r="580" spans="1:103" hidden="1" x14ac:dyDescent="0.25">
      <c r="A580">
        <v>410000584</v>
      </c>
      <c r="B580" t="s">
        <v>4642</v>
      </c>
      <c r="C580" t="s">
        <v>4643</v>
      </c>
      <c r="D580">
        <v>401100000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1</v>
      </c>
      <c r="Y580" t="s">
        <v>972</v>
      </c>
      <c r="Z580" t="s">
        <v>4644</v>
      </c>
      <c r="AA580" t="s">
        <v>4640</v>
      </c>
      <c r="AB580" t="s">
        <v>975</v>
      </c>
      <c r="AC580">
        <v>4000</v>
      </c>
      <c r="AD580" t="s">
        <v>1019</v>
      </c>
      <c r="AE580" t="s">
        <v>4645</v>
      </c>
      <c r="AF580" t="s">
        <v>979</v>
      </c>
      <c r="AG580" t="s">
        <v>977</v>
      </c>
      <c r="AH580" t="s">
        <v>977</v>
      </c>
      <c r="AI580" t="s">
        <v>977</v>
      </c>
      <c r="AJ580" t="s">
        <v>978</v>
      </c>
      <c r="AK580" t="s">
        <v>978</v>
      </c>
      <c r="AL580" t="s">
        <v>978</v>
      </c>
      <c r="AM580" t="s">
        <v>979</v>
      </c>
      <c r="AN580">
        <v>0</v>
      </c>
      <c r="AO580" t="s">
        <v>257</v>
      </c>
      <c r="AP580">
        <v>0</v>
      </c>
      <c r="AQ580">
        <v>1</v>
      </c>
      <c r="AR580">
        <v>43</v>
      </c>
      <c r="AS580">
        <v>1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1</v>
      </c>
      <c r="AZ580" t="s">
        <v>257</v>
      </c>
      <c r="BA580" t="s">
        <v>980</v>
      </c>
      <c r="BB580" t="s">
        <v>981</v>
      </c>
      <c r="BC580" t="s">
        <v>257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 t="s">
        <v>982</v>
      </c>
      <c r="BK580" t="s">
        <v>981</v>
      </c>
      <c r="BL580" t="s">
        <v>4642</v>
      </c>
      <c r="BM580">
        <v>20200113</v>
      </c>
      <c r="BN580">
        <v>20240108</v>
      </c>
      <c r="BO580">
        <v>0</v>
      </c>
      <c r="BP580" t="s">
        <v>257</v>
      </c>
      <c r="BQ580" t="s">
        <v>983</v>
      </c>
      <c r="BR580" t="s">
        <v>978</v>
      </c>
      <c r="BS580" t="s">
        <v>979</v>
      </c>
      <c r="BT580">
        <v>0</v>
      </c>
      <c r="BU580">
        <v>0</v>
      </c>
      <c r="BV580" t="s">
        <v>984</v>
      </c>
      <c r="BW580" t="s">
        <v>257</v>
      </c>
      <c r="BX580">
        <v>0</v>
      </c>
      <c r="BY580" t="s">
        <v>980</v>
      </c>
      <c r="BZ580" t="s">
        <v>257</v>
      </c>
      <c r="CA580">
        <v>0</v>
      </c>
      <c r="CB580">
        <v>0</v>
      </c>
      <c r="CC580" t="s">
        <v>1022</v>
      </c>
      <c r="CD580">
        <v>0</v>
      </c>
      <c r="CE580">
        <v>0</v>
      </c>
      <c r="CF580">
        <v>0</v>
      </c>
      <c r="CG580">
        <v>0</v>
      </c>
      <c r="CH580">
        <v>0</v>
      </c>
      <c r="CI580" t="s">
        <v>983</v>
      </c>
      <c r="CJ580" t="s">
        <v>972</v>
      </c>
      <c r="CK580" t="s">
        <v>986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 t="s">
        <v>987</v>
      </c>
      <c r="CV580">
        <v>400008584</v>
      </c>
      <c r="CW580" t="s">
        <v>987</v>
      </c>
      <c r="CX580" t="s">
        <v>4646</v>
      </c>
      <c r="CY580" t="s">
        <v>989</v>
      </c>
    </row>
    <row r="581" spans="1:103" hidden="1" x14ac:dyDescent="0.25">
      <c r="A581">
        <v>410000585</v>
      </c>
      <c r="B581" t="s">
        <v>4647</v>
      </c>
      <c r="C581" t="s">
        <v>4648</v>
      </c>
      <c r="D581">
        <v>401100000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1</v>
      </c>
      <c r="Y581" t="s">
        <v>972</v>
      </c>
      <c r="Z581" t="s">
        <v>4649</v>
      </c>
      <c r="AA581" t="s">
        <v>4650</v>
      </c>
      <c r="AB581" t="s">
        <v>975</v>
      </c>
      <c r="AC581">
        <v>4040</v>
      </c>
      <c r="AD581" t="s">
        <v>976</v>
      </c>
      <c r="AE581">
        <v>3242483951</v>
      </c>
      <c r="AF581" t="s">
        <v>979</v>
      </c>
      <c r="AG581" t="s">
        <v>4651</v>
      </c>
      <c r="AH581" t="s">
        <v>977</v>
      </c>
      <c r="AI581">
        <v>46731</v>
      </c>
      <c r="AJ581" t="s">
        <v>978</v>
      </c>
      <c r="AK581" t="s">
        <v>978</v>
      </c>
      <c r="AL581" t="s">
        <v>978</v>
      </c>
      <c r="AM581" t="s">
        <v>979</v>
      </c>
      <c r="AN581">
        <v>0</v>
      </c>
      <c r="AO581" t="s">
        <v>257</v>
      </c>
      <c r="AP581">
        <v>0</v>
      </c>
      <c r="AQ581">
        <v>1</v>
      </c>
      <c r="AR581">
        <v>43</v>
      </c>
      <c r="AS581">
        <v>1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1</v>
      </c>
      <c r="AZ581" t="s">
        <v>257</v>
      </c>
      <c r="BA581" t="s">
        <v>980</v>
      </c>
      <c r="BB581" t="s">
        <v>981</v>
      </c>
      <c r="BC581" t="s">
        <v>257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 t="s">
        <v>998</v>
      </c>
      <c r="BK581" t="s">
        <v>981</v>
      </c>
      <c r="BL581" t="s">
        <v>4647</v>
      </c>
      <c r="BM581">
        <v>20200116</v>
      </c>
      <c r="BN581">
        <v>20260107</v>
      </c>
      <c r="BO581">
        <v>0</v>
      </c>
      <c r="BP581" t="s">
        <v>257</v>
      </c>
      <c r="BQ581" t="s">
        <v>983</v>
      </c>
      <c r="BR581" t="s">
        <v>978</v>
      </c>
      <c r="BS581">
        <v>32496790423</v>
      </c>
      <c r="BT581">
        <v>0</v>
      </c>
      <c r="BU581">
        <v>0</v>
      </c>
      <c r="BV581" t="s">
        <v>984</v>
      </c>
      <c r="BW581" t="s">
        <v>257</v>
      </c>
      <c r="BX581">
        <v>0</v>
      </c>
      <c r="BY581" t="s">
        <v>980</v>
      </c>
      <c r="BZ581" t="s">
        <v>257</v>
      </c>
      <c r="CA581">
        <v>0</v>
      </c>
      <c r="CB581">
        <v>0</v>
      </c>
      <c r="CC581" t="s">
        <v>2322</v>
      </c>
      <c r="CD581">
        <v>0</v>
      </c>
      <c r="CE581">
        <v>0</v>
      </c>
      <c r="CF581">
        <v>0</v>
      </c>
      <c r="CG581">
        <v>0</v>
      </c>
      <c r="CH581">
        <v>0</v>
      </c>
      <c r="CI581" t="s">
        <v>983</v>
      </c>
      <c r="CJ581" t="s">
        <v>972</v>
      </c>
      <c r="CK581" t="s">
        <v>986</v>
      </c>
      <c r="CL581">
        <v>0</v>
      </c>
      <c r="CM581">
        <v>1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 t="s">
        <v>987</v>
      </c>
      <c r="CV581">
        <v>400008585</v>
      </c>
      <c r="CW581" t="s">
        <v>987</v>
      </c>
      <c r="CX581" t="s">
        <v>7698</v>
      </c>
      <c r="CY581" t="s">
        <v>989</v>
      </c>
    </row>
    <row r="582" spans="1:103" hidden="1" x14ac:dyDescent="0.25">
      <c r="A582">
        <v>410000586</v>
      </c>
      <c r="B582" t="s">
        <v>4652</v>
      </c>
      <c r="C582" t="s">
        <v>4653</v>
      </c>
      <c r="D582">
        <v>401100000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1</v>
      </c>
      <c r="X582">
        <v>1</v>
      </c>
      <c r="Y582" t="s">
        <v>972</v>
      </c>
      <c r="Z582" t="s">
        <v>4654</v>
      </c>
      <c r="AA582" t="s">
        <v>4655</v>
      </c>
      <c r="AB582" t="s">
        <v>1626</v>
      </c>
      <c r="AC582">
        <v>8399</v>
      </c>
      <c r="AD582" t="s">
        <v>4656</v>
      </c>
      <c r="AE582" t="s">
        <v>1628</v>
      </c>
      <c r="AF582" t="s">
        <v>979</v>
      </c>
      <c r="AG582" t="s">
        <v>977</v>
      </c>
      <c r="AH582" t="s">
        <v>977</v>
      </c>
      <c r="AI582" t="s">
        <v>977</v>
      </c>
      <c r="AJ582" t="s">
        <v>978</v>
      </c>
      <c r="AK582" t="s">
        <v>978</v>
      </c>
      <c r="AL582" t="s">
        <v>978</v>
      </c>
      <c r="AM582" t="s">
        <v>979</v>
      </c>
      <c r="AN582">
        <v>0</v>
      </c>
      <c r="AO582" t="s">
        <v>257</v>
      </c>
      <c r="AP582">
        <v>0</v>
      </c>
      <c r="AQ582">
        <v>1</v>
      </c>
      <c r="AR582">
        <v>43</v>
      </c>
      <c r="AS582">
        <v>1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1</v>
      </c>
      <c r="AZ582" t="s">
        <v>257</v>
      </c>
      <c r="BA582" t="s">
        <v>980</v>
      </c>
      <c r="BB582" t="s">
        <v>981</v>
      </c>
      <c r="BC582" t="s">
        <v>257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 t="s">
        <v>982</v>
      </c>
      <c r="BK582" t="s">
        <v>981</v>
      </c>
      <c r="BL582" t="s">
        <v>4652</v>
      </c>
      <c r="BM582">
        <v>20200121</v>
      </c>
      <c r="BN582">
        <v>20240311</v>
      </c>
      <c r="BO582">
        <v>0</v>
      </c>
      <c r="BP582" t="s">
        <v>257</v>
      </c>
      <c r="BQ582" t="s">
        <v>983</v>
      </c>
      <c r="BR582" t="s">
        <v>978</v>
      </c>
      <c r="BS582" t="s">
        <v>979</v>
      </c>
      <c r="BT582">
        <v>0</v>
      </c>
      <c r="BU582">
        <v>0</v>
      </c>
      <c r="BV582" t="s">
        <v>984</v>
      </c>
      <c r="BW582" t="s">
        <v>257</v>
      </c>
      <c r="BX582">
        <v>0</v>
      </c>
      <c r="BY582" t="s">
        <v>980</v>
      </c>
      <c r="BZ582" t="s">
        <v>257</v>
      </c>
      <c r="CA582">
        <v>0</v>
      </c>
      <c r="CB582">
        <v>0</v>
      </c>
      <c r="CC582" t="s">
        <v>985</v>
      </c>
      <c r="CD582">
        <v>0</v>
      </c>
      <c r="CE582">
        <v>0</v>
      </c>
      <c r="CF582">
        <v>0</v>
      </c>
      <c r="CG582">
        <v>0</v>
      </c>
      <c r="CH582">
        <v>0</v>
      </c>
      <c r="CI582" t="s">
        <v>983</v>
      </c>
      <c r="CJ582" t="s">
        <v>972</v>
      </c>
      <c r="CK582" t="s">
        <v>986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 t="s">
        <v>987</v>
      </c>
      <c r="CV582">
        <v>400008586</v>
      </c>
      <c r="CW582" t="s">
        <v>987</v>
      </c>
      <c r="CX582" t="s">
        <v>4657</v>
      </c>
      <c r="CY582" t="s">
        <v>989</v>
      </c>
    </row>
    <row r="583" spans="1:103" hidden="1" x14ac:dyDescent="0.25">
      <c r="A583">
        <v>410000587</v>
      </c>
      <c r="B583" t="s">
        <v>4658</v>
      </c>
      <c r="C583" t="s">
        <v>4659</v>
      </c>
      <c r="D583">
        <v>401100000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1</v>
      </c>
      <c r="X583">
        <v>1</v>
      </c>
      <c r="Y583" t="s">
        <v>972</v>
      </c>
      <c r="Z583" t="s">
        <v>4660</v>
      </c>
      <c r="AA583" t="s">
        <v>4661</v>
      </c>
      <c r="AB583" t="s">
        <v>975</v>
      </c>
      <c r="AC583">
        <v>1400</v>
      </c>
      <c r="AD583" t="s">
        <v>3855</v>
      </c>
      <c r="AE583" t="s">
        <v>4662</v>
      </c>
      <c r="AF583" t="s">
        <v>979</v>
      </c>
      <c r="AG583" t="s">
        <v>977</v>
      </c>
      <c r="AH583" t="s">
        <v>977</v>
      </c>
      <c r="AI583" t="s">
        <v>977</v>
      </c>
      <c r="AJ583" t="s">
        <v>4663</v>
      </c>
      <c r="AK583" t="s">
        <v>978</v>
      </c>
      <c r="AL583" t="s">
        <v>978</v>
      </c>
      <c r="AM583" t="s">
        <v>979</v>
      </c>
      <c r="AN583">
        <v>0</v>
      </c>
      <c r="AO583" t="s">
        <v>257</v>
      </c>
      <c r="AP583">
        <v>0</v>
      </c>
      <c r="AQ583">
        <v>1</v>
      </c>
      <c r="AR583">
        <v>43</v>
      </c>
      <c r="AS583">
        <v>1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1</v>
      </c>
      <c r="AZ583" t="s">
        <v>257</v>
      </c>
      <c r="BA583" t="s">
        <v>980</v>
      </c>
      <c r="BB583" t="s">
        <v>1010</v>
      </c>
      <c r="BC583" t="s">
        <v>257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 t="s">
        <v>998</v>
      </c>
      <c r="BK583" t="s">
        <v>981</v>
      </c>
      <c r="BL583" t="s">
        <v>4658</v>
      </c>
      <c r="BM583">
        <v>20200122</v>
      </c>
      <c r="BN583">
        <v>20210308</v>
      </c>
      <c r="BO583">
        <v>20210308</v>
      </c>
      <c r="BP583" t="s">
        <v>257</v>
      </c>
      <c r="BQ583" t="s">
        <v>983</v>
      </c>
      <c r="BR583" t="s">
        <v>978</v>
      </c>
      <c r="BS583">
        <v>32472894817</v>
      </c>
      <c r="BT583">
        <v>0</v>
      </c>
      <c r="BU583">
        <v>0</v>
      </c>
      <c r="BV583" t="s">
        <v>984</v>
      </c>
      <c r="BW583" t="s">
        <v>257</v>
      </c>
      <c r="BX583">
        <v>0</v>
      </c>
      <c r="BY583" t="s">
        <v>980</v>
      </c>
      <c r="BZ583" t="s">
        <v>257</v>
      </c>
      <c r="CA583">
        <v>0</v>
      </c>
      <c r="CB583">
        <v>0</v>
      </c>
      <c r="CC583" t="s">
        <v>1901</v>
      </c>
      <c r="CD583">
        <v>0</v>
      </c>
      <c r="CE583">
        <v>0</v>
      </c>
      <c r="CF583">
        <v>2</v>
      </c>
      <c r="CG583">
        <v>0</v>
      </c>
      <c r="CH583">
        <v>0</v>
      </c>
      <c r="CI583" t="s">
        <v>983</v>
      </c>
      <c r="CJ583" t="s">
        <v>972</v>
      </c>
      <c r="CK583" t="s">
        <v>986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 t="s">
        <v>987</v>
      </c>
      <c r="CV583">
        <v>400008587</v>
      </c>
      <c r="CW583" t="s">
        <v>987</v>
      </c>
      <c r="CX583" t="s">
        <v>4664</v>
      </c>
      <c r="CY583" t="s">
        <v>989</v>
      </c>
    </row>
    <row r="584" spans="1:103" hidden="1" x14ac:dyDescent="0.25">
      <c r="A584">
        <v>410000588</v>
      </c>
      <c r="B584" t="s">
        <v>4665</v>
      </c>
      <c r="C584" t="s">
        <v>4666</v>
      </c>
      <c r="D584">
        <v>401100000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1</v>
      </c>
      <c r="X584">
        <v>1</v>
      </c>
      <c r="Y584" t="s">
        <v>972</v>
      </c>
      <c r="Z584" t="s">
        <v>987</v>
      </c>
      <c r="AA584" t="s">
        <v>4667</v>
      </c>
      <c r="AB584" t="s">
        <v>975</v>
      </c>
      <c r="AC584">
        <v>5380</v>
      </c>
      <c r="AD584" t="s">
        <v>1967</v>
      </c>
      <c r="AE584">
        <v>32470035611</v>
      </c>
      <c r="AF584" t="s">
        <v>979</v>
      </c>
      <c r="AG584" t="s">
        <v>977</v>
      </c>
      <c r="AH584" t="s">
        <v>977</v>
      </c>
      <c r="AI584" t="s">
        <v>977</v>
      </c>
      <c r="AJ584" t="s">
        <v>978</v>
      </c>
      <c r="AK584" t="s">
        <v>978</v>
      </c>
      <c r="AL584" t="s">
        <v>978</v>
      </c>
      <c r="AM584" t="s">
        <v>979</v>
      </c>
      <c r="AN584">
        <v>0</v>
      </c>
      <c r="AO584" t="s">
        <v>257</v>
      </c>
      <c r="AP584">
        <v>0</v>
      </c>
      <c r="AQ584">
        <v>16</v>
      </c>
      <c r="AR584">
        <v>43</v>
      </c>
      <c r="AS584">
        <v>1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1</v>
      </c>
      <c r="AZ584" t="s">
        <v>257</v>
      </c>
      <c r="BA584" t="s">
        <v>980</v>
      </c>
      <c r="BB584" t="s">
        <v>981</v>
      </c>
      <c r="BC584" t="s">
        <v>257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 t="s">
        <v>998</v>
      </c>
      <c r="BK584" t="s">
        <v>981</v>
      </c>
      <c r="BL584" t="s">
        <v>4665</v>
      </c>
      <c r="BM584">
        <v>20200122</v>
      </c>
      <c r="BN584">
        <v>20200427</v>
      </c>
      <c r="BO584">
        <v>0</v>
      </c>
      <c r="BP584" t="s">
        <v>257</v>
      </c>
      <c r="BQ584" t="s">
        <v>983</v>
      </c>
      <c r="BR584" t="s">
        <v>978</v>
      </c>
      <c r="BS584" t="s">
        <v>979</v>
      </c>
      <c r="BT584">
        <v>0</v>
      </c>
      <c r="BU584">
        <v>0</v>
      </c>
      <c r="BV584" t="s">
        <v>984</v>
      </c>
      <c r="BW584" t="s">
        <v>257</v>
      </c>
      <c r="BX584">
        <v>0</v>
      </c>
      <c r="BY584" t="s">
        <v>980</v>
      </c>
      <c r="BZ584" t="s">
        <v>257</v>
      </c>
      <c r="CA584">
        <v>0</v>
      </c>
      <c r="CB584">
        <v>0</v>
      </c>
      <c r="CC584" t="s">
        <v>1901</v>
      </c>
      <c r="CD584">
        <v>0</v>
      </c>
      <c r="CE584">
        <v>0</v>
      </c>
      <c r="CF584">
        <v>0</v>
      </c>
      <c r="CG584">
        <v>0</v>
      </c>
      <c r="CH584">
        <v>0</v>
      </c>
      <c r="CI584" t="s">
        <v>983</v>
      </c>
      <c r="CJ584" t="s">
        <v>972</v>
      </c>
      <c r="CK584" t="s">
        <v>986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 t="s">
        <v>987</v>
      </c>
      <c r="CV584">
        <v>400008588</v>
      </c>
      <c r="CW584" t="s">
        <v>987</v>
      </c>
      <c r="CX584" t="s">
        <v>4668</v>
      </c>
      <c r="CY584" t="s">
        <v>989</v>
      </c>
    </row>
    <row r="585" spans="1:103" hidden="1" x14ac:dyDescent="0.25">
      <c r="A585">
        <v>410000589</v>
      </c>
      <c r="B585" t="s">
        <v>4669</v>
      </c>
      <c r="C585" t="s">
        <v>4670</v>
      </c>
      <c r="D585">
        <v>401100000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1</v>
      </c>
      <c r="Y585" t="s">
        <v>972</v>
      </c>
      <c r="Z585" t="s">
        <v>4671</v>
      </c>
      <c r="AA585" t="s">
        <v>4672</v>
      </c>
      <c r="AB585" t="s">
        <v>975</v>
      </c>
      <c r="AC585">
        <v>1470</v>
      </c>
      <c r="AD585" t="s">
        <v>4618</v>
      </c>
      <c r="AE585">
        <v>3267840031</v>
      </c>
      <c r="AF585" t="s">
        <v>979</v>
      </c>
      <c r="AG585" t="s">
        <v>977</v>
      </c>
      <c r="AH585" t="s">
        <v>977</v>
      </c>
      <c r="AI585">
        <v>71111</v>
      </c>
      <c r="AJ585" t="s">
        <v>978</v>
      </c>
      <c r="AK585" t="s">
        <v>978</v>
      </c>
      <c r="AL585" t="s">
        <v>978</v>
      </c>
      <c r="AM585" t="s">
        <v>979</v>
      </c>
      <c r="AN585">
        <v>0</v>
      </c>
      <c r="AO585" t="s">
        <v>257</v>
      </c>
      <c r="AP585">
        <v>0</v>
      </c>
      <c r="AQ585">
        <v>16</v>
      </c>
      <c r="AR585">
        <v>43</v>
      </c>
      <c r="AS585">
        <v>1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1</v>
      </c>
      <c r="AZ585" t="s">
        <v>257</v>
      </c>
      <c r="BA585" t="s">
        <v>980</v>
      </c>
      <c r="BB585" t="s">
        <v>981</v>
      </c>
      <c r="BC585" t="s">
        <v>257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 t="s">
        <v>998</v>
      </c>
      <c r="BK585" t="s">
        <v>981</v>
      </c>
      <c r="BL585" t="s">
        <v>4669</v>
      </c>
      <c r="BM585">
        <v>20200122</v>
      </c>
      <c r="BN585">
        <v>20220201</v>
      </c>
      <c r="BO585">
        <v>0</v>
      </c>
      <c r="BP585" t="s">
        <v>257</v>
      </c>
      <c r="BQ585" t="s">
        <v>983</v>
      </c>
      <c r="BR585" t="s">
        <v>978</v>
      </c>
      <c r="BS585" t="s">
        <v>979</v>
      </c>
      <c r="BT585">
        <v>0</v>
      </c>
      <c r="BU585">
        <v>0</v>
      </c>
      <c r="BV585" t="s">
        <v>984</v>
      </c>
      <c r="BW585" t="s">
        <v>257</v>
      </c>
      <c r="BX585">
        <v>0</v>
      </c>
      <c r="BY585" t="s">
        <v>980</v>
      </c>
      <c r="BZ585" t="s">
        <v>257</v>
      </c>
      <c r="CA585">
        <v>0</v>
      </c>
      <c r="CB585">
        <v>0</v>
      </c>
      <c r="CC585" t="s">
        <v>1033</v>
      </c>
      <c r="CD585">
        <v>0</v>
      </c>
      <c r="CE585">
        <v>0</v>
      </c>
      <c r="CF585">
        <v>0</v>
      </c>
      <c r="CG585">
        <v>0</v>
      </c>
      <c r="CH585">
        <v>0</v>
      </c>
      <c r="CI585" t="s">
        <v>983</v>
      </c>
      <c r="CJ585" t="s">
        <v>972</v>
      </c>
      <c r="CK585" t="s">
        <v>986</v>
      </c>
      <c r="CL585">
        <v>0</v>
      </c>
      <c r="CM585">
        <v>1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 t="s">
        <v>987</v>
      </c>
      <c r="CV585">
        <v>400008589</v>
      </c>
      <c r="CW585" t="s">
        <v>987</v>
      </c>
      <c r="CX585" t="s">
        <v>4673</v>
      </c>
      <c r="CY585" t="s">
        <v>989</v>
      </c>
    </row>
    <row r="586" spans="1:103" hidden="1" x14ac:dyDescent="0.25">
      <c r="A586">
        <v>410000590</v>
      </c>
      <c r="B586" t="s">
        <v>4674</v>
      </c>
      <c r="C586" t="s">
        <v>4675</v>
      </c>
      <c r="D586">
        <v>401100000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1</v>
      </c>
      <c r="X586">
        <v>1</v>
      </c>
      <c r="Y586" t="s">
        <v>972</v>
      </c>
      <c r="Z586" t="s">
        <v>987</v>
      </c>
      <c r="AA586" t="s">
        <v>4676</v>
      </c>
      <c r="AB586" t="s">
        <v>975</v>
      </c>
      <c r="AC586">
        <v>4577</v>
      </c>
      <c r="AD586" t="s">
        <v>4677</v>
      </c>
      <c r="AE586">
        <v>3285240885</v>
      </c>
      <c r="AF586" t="s">
        <v>979</v>
      </c>
      <c r="AG586" t="s">
        <v>977</v>
      </c>
      <c r="AH586" t="s">
        <v>977</v>
      </c>
      <c r="AI586" t="s">
        <v>977</v>
      </c>
      <c r="AJ586" t="s">
        <v>4678</v>
      </c>
      <c r="AK586" t="s">
        <v>978</v>
      </c>
      <c r="AL586" t="s">
        <v>978</v>
      </c>
      <c r="AM586" t="s">
        <v>979</v>
      </c>
      <c r="AN586">
        <v>0</v>
      </c>
      <c r="AO586" t="s">
        <v>257</v>
      </c>
      <c r="AP586">
        <v>0</v>
      </c>
      <c r="AQ586">
        <v>1</v>
      </c>
      <c r="AR586">
        <v>43</v>
      </c>
      <c r="AS586">
        <v>1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1</v>
      </c>
      <c r="AZ586" t="s">
        <v>257</v>
      </c>
      <c r="BA586" t="s">
        <v>980</v>
      </c>
      <c r="BB586" t="s">
        <v>981</v>
      </c>
      <c r="BC586" t="s">
        <v>257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 t="s">
        <v>998</v>
      </c>
      <c r="BK586" t="s">
        <v>981</v>
      </c>
      <c r="BL586" t="s">
        <v>4674</v>
      </c>
      <c r="BM586">
        <v>20200122</v>
      </c>
      <c r="BN586">
        <v>20200122</v>
      </c>
      <c r="BO586">
        <v>0</v>
      </c>
      <c r="BP586" t="s">
        <v>257</v>
      </c>
      <c r="BQ586" t="s">
        <v>983</v>
      </c>
      <c r="BR586" t="s">
        <v>978</v>
      </c>
      <c r="BS586" t="s">
        <v>979</v>
      </c>
      <c r="BT586">
        <v>0</v>
      </c>
      <c r="BU586">
        <v>0</v>
      </c>
      <c r="BV586" t="s">
        <v>984</v>
      </c>
      <c r="BW586" t="s">
        <v>257</v>
      </c>
      <c r="BX586">
        <v>0</v>
      </c>
      <c r="BY586" t="s">
        <v>980</v>
      </c>
      <c r="BZ586" t="s">
        <v>257</v>
      </c>
      <c r="CA586">
        <v>0</v>
      </c>
      <c r="CB586">
        <v>0</v>
      </c>
      <c r="CC586" t="s">
        <v>1901</v>
      </c>
      <c r="CD586">
        <v>0</v>
      </c>
      <c r="CE586">
        <v>0</v>
      </c>
      <c r="CF586">
        <v>0</v>
      </c>
      <c r="CG586">
        <v>0</v>
      </c>
      <c r="CH586">
        <v>0</v>
      </c>
      <c r="CI586" t="s">
        <v>983</v>
      </c>
      <c r="CJ586" t="s">
        <v>972</v>
      </c>
      <c r="CK586" t="s">
        <v>986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 t="s">
        <v>987</v>
      </c>
      <c r="CV586">
        <v>400008590</v>
      </c>
      <c r="CW586" t="s">
        <v>987</v>
      </c>
      <c r="CX586" t="s">
        <v>4679</v>
      </c>
      <c r="CY586" t="s">
        <v>989</v>
      </c>
    </row>
    <row r="587" spans="1:103" hidden="1" x14ac:dyDescent="0.25">
      <c r="A587">
        <v>410000591</v>
      </c>
      <c r="B587" t="s">
        <v>4680</v>
      </c>
      <c r="C587" t="s">
        <v>4681</v>
      </c>
      <c r="D587">
        <v>401100000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</v>
      </c>
      <c r="W587">
        <v>1</v>
      </c>
      <c r="X587">
        <v>1</v>
      </c>
      <c r="Y587" t="s">
        <v>972</v>
      </c>
      <c r="Z587" t="s">
        <v>987</v>
      </c>
      <c r="AA587" t="s">
        <v>4682</v>
      </c>
      <c r="AB587" t="s">
        <v>975</v>
      </c>
      <c r="AC587">
        <v>4100</v>
      </c>
      <c r="AD587" t="s">
        <v>1655</v>
      </c>
      <c r="AE587" t="s">
        <v>979</v>
      </c>
      <c r="AF587" t="s">
        <v>979</v>
      </c>
      <c r="AG587" t="s">
        <v>977</v>
      </c>
      <c r="AH587" t="s">
        <v>977</v>
      </c>
      <c r="AI587" t="s">
        <v>977</v>
      </c>
      <c r="AJ587" t="s">
        <v>978</v>
      </c>
      <c r="AK587" t="s">
        <v>978</v>
      </c>
      <c r="AL587" t="s">
        <v>978</v>
      </c>
      <c r="AM587" t="s">
        <v>979</v>
      </c>
      <c r="AN587">
        <v>0</v>
      </c>
      <c r="AO587" t="s">
        <v>257</v>
      </c>
      <c r="AP587">
        <v>0</v>
      </c>
      <c r="AQ587">
        <v>1</v>
      </c>
      <c r="AR587">
        <v>69</v>
      </c>
      <c r="AS587">
        <v>1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1</v>
      </c>
      <c r="AZ587" t="s">
        <v>257</v>
      </c>
      <c r="BA587" t="s">
        <v>980</v>
      </c>
      <c r="BB587" t="s">
        <v>981</v>
      </c>
      <c r="BC587" t="s">
        <v>257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 t="s">
        <v>998</v>
      </c>
      <c r="BK587" t="s">
        <v>981</v>
      </c>
      <c r="BL587" t="s">
        <v>4680</v>
      </c>
      <c r="BM587">
        <v>20200122</v>
      </c>
      <c r="BN587">
        <v>20240910</v>
      </c>
      <c r="BO587">
        <v>0</v>
      </c>
      <c r="BP587" t="s">
        <v>257</v>
      </c>
      <c r="BQ587" t="s">
        <v>983</v>
      </c>
      <c r="BR587" t="s">
        <v>978</v>
      </c>
      <c r="BS587" t="s">
        <v>4683</v>
      </c>
      <c r="BT587">
        <v>0</v>
      </c>
      <c r="BU587">
        <v>0</v>
      </c>
      <c r="BV587" t="s">
        <v>984</v>
      </c>
      <c r="BW587" t="s">
        <v>257</v>
      </c>
      <c r="BX587">
        <v>0</v>
      </c>
      <c r="BY587" t="s">
        <v>980</v>
      </c>
      <c r="BZ587" t="s">
        <v>257</v>
      </c>
      <c r="CA587">
        <v>0</v>
      </c>
      <c r="CB587">
        <v>0</v>
      </c>
      <c r="CC587" t="s">
        <v>2293</v>
      </c>
      <c r="CD587">
        <v>0</v>
      </c>
      <c r="CE587">
        <v>0</v>
      </c>
      <c r="CF587">
        <v>0</v>
      </c>
      <c r="CG587">
        <v>0</v>
      </c>
      <c r="CH587">
        <v>0</v>
      </c>
      <c r="CI587" t="s">
        <v>983</v>
      </c>
      <c r="CJ587" t="s">
        <v>972</v>
      </c>
      <c r="CK587" t="s">
        <v>986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 t="s">
        <v>987</v>
      </c>
      <c r="CV587">
        <v>400008591</v>
      </c>
      <c r="CW587" t="s">
        <v>987</v>
      </c>
      <c r="CX587" t="s">
        <v>4684</v>
      </c>
      <c r="CY587" t="s">
        <v>989</v>
      </c>
    </row>
    <row r="588" spans="1:103" hidden="1" x14ac:dyDescent="0.25">
      <c r="A588">
        <v>410000592</v>
      </c>
      <c r="B588" t="s">
        <v>4685</v>
      </c>
      <c r="C588" t="s">
        <v>978</v>
      </c>
      <c r="D588">
        <v>401100000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</v>
      </c>
      <c r="W588">
        <v>1</v>
      </c>
      <c r="X588">
        <v>1</v>
      </c>
      <c r="Y588" t="s">
        <v>972</v>
      </c>
      <c r="Z588" t="s">
        <v>4686</v>
      </c>
      <c r="AA588" t="s">
        <v>4687</v>
      </c>
      <c r="AB588" t="s">
        <v>975</v>
      </c>
      <c r="AC588">
        <v>4000</v>
      </c>
      <c r="AD588" t="s">
        <v>1019</v>
      </c>
      <c r="AE588" t="s">
        <v>4688</v>
      </c>
      <c r="AF588" t="s">
        <v>979</v>
      </c>
      <c r="AG588" t="s">
        <v>4689</v>
      </c>
      <c r="AH588" t="s">
        <v>977</v>
      </c>
      <c r="AI588" t="s">
        <v>977</v>
      </c>
      <c r="AJ588" t="s">
        <v>978</v>
      </c>
      <c r="AK588" t="s">
        <v>978</v>
      </c>
      <c r="AL588" t="s">
        <v>978</v>
      </c>
      <c r="AM588" t="s">
        <v>979</v>
      </c>
      <c r="AN588">
        <v>0</v>
      </c>
      <c r="AO588" t="s">
        <v>257</v>
      </c>
      <c r="AP588">
        <v>0</v>
      </c>
      <c r="AQ588">
        <v>1</v>
      </c>
      <c r="AR588">
        <v>43</v>
      </c>
      <c r="AS588">
        <v>1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1</v>
      </c>
      <c r="AZ588" t="s">
        <v>257</v>
      </c>
      <c r="BA588" t="s">
        <v>980</v>
      </c>
      <c r="BB588" t="s">
        <v>981</v>
      </c>
      <c r="BC588" t="s">
        <v>257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 t="s">
        <v>998</v>
      </c>
      <c r="BK588" t="s">
        <v>981</v>
      </c>
      <c r="BL588" t="s">
        <v>4685</v>
      </c>
      <c r="BM588">
        <v>20200128</v>
      </c>
      <c r="BN588">
        <v>20210322</v>
      </c>
      <c r="BO588">
        <v>0</v>
      </c>
      <c r="BP588" t="s">
        <v>257</v>
      </c>
      <c r="BQ588" t="s">
        <v>983</v>
      </c>
      <c r="BR588" t="s">
        <v>978</v>
      </c>
      <c r="BS588" t="s">
        <v>979</v>
      </c>
      <c r="BT588">
        <v>0</v>
      </c>
      <c r="BU588">
        <v>0</v>
      </c>
      <c r="BV588" t="s">
        <v>984</v>
      </c>
      <c r="BW588" t="s">
        <v>257</v>
      </c>
      <c r="BX588">
        <v>0</v>
      </c>
      <c r="BY588" t="s">
        <v>980</v>
      </c>
      <c r="BZ588" t="s">
        <v>257</v>
      </c>
      <c r="CA588">
        <v>0</v>
      </c>
      <c r="CB588">
        <v>0</v>
      </c>
      <c r="CC588" t="s">
        <v>1371</v>
      </c>
      <c r="CD588">
        <v>0</v>
      </c>
      <c r="CE588">
        <v>0</v>
      </c>
      <c r="CF588">
        <v>0</v>
      </c>
      <c r="CG588">
        <v>0</v>
      </c>
      <c r="CH588">
        <v>0</v>
      </c>
      <c r="CI588" t="s">
        <v>983</v>
      </c>
      <c r="CJ588" t="s">
        <v>972</v>
      </c>
      <c r="CK588" t="s">
        <v>986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 t="s">
        <v>987</v>
      </c>
      <c r="CV588">
        <v>400008592</v>
      </c>
      <c r="CW588" t="s">
        <v>987</v>
      </c>
      <c r="CX588" t="s">
        <v>4690</v>
      </c>
      <c r="CY588" t="s">
        <v>989</v>
      </c>
    </row>
    <row r="589" spans="1:103" hidden="1" x14ac:dyDescent="0.25">
      <c r="A589">
        <v>410000593</v>
      </c>
      <c r="B589" t="s">
        <v>4691</v>
      </c>
      <c r="C589" t="s">
        <v>4692</v>
      </c>
      <c r="D589">
        <v>401100000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1</v>
      </c>
      <c r="X589">
        <v>1</v>
      </c>
      <c r="Y589" t="s">
        <v>972</v>
      </c>
      <c r="Z589" t="s">
        <v>4693</v>
      </c>
      <c r="AA589" t="s">
        <v>4694</v>
      </c>
      <c r="AB589" t="s">
        <v>975</v>
      </c>
      <c r="AC589">
        <v>4102</v>
      </c>
      <c r="AD589" t="s">
        <v>1655</v>
      </c>
      <c r="AE589" t="s">
        <v>4695</v>
      </c>
      <c r="AF589" t="s">
        <v>979</v>
      </c>
      <c r="AG589" t="s">
        <v>977</v>
      </c>
      <c r="AH589" t="s">
        <v>977</v>
      </c>
      <c r="AI589">
        <v>62020</v>
      </c>
      <c r="AJ589" t="s">
        <v>978</v>
      </c>
      <c r="AK589" t="s">
        <v>978</v>
      </c>
      <c r="AL589" t="s">
        <v>978</v>
      </c>
      <c r="AM589" t="s">
        <v>979</v>
      </c>
      <c r="AN589">
        <v>0</v>
      </c>
      <c r="AO589" t="s">
        <v>257</v>
      </c>
      <c r="AP589">
        <v>0</v>
      </c>
      <c r="AQ589">
        <v>1</v>
      </c>
      <c r="AR589">
        <v>43</v>
      </c>
      <c r="AS589">
        <v>1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1</v>
      </c>
      <c r="AZ589" t="s">
        <v>257</v>
      </c>
      <c r="BA589" t="s">
        <v>980</v>
      </c>
      <c r="BB589" t="s">
        <v>981</v>
      </c>
      <c r="BC589" t="s">
        <v>257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 t="s">
        <v>998</v>
      </c>
      <c r="BK589" t="s">
        <v>981</v>
      </c>
      <c r="BL589" t="s">
        <v>4691</v>
      </c>
      <c r="BM589">
        <v>20200129</v>
      </c>
      <c r="BN589">
        <v>20220201</v>
      </c>
      <c r="BO589">
        <v>0</v>
      </c>
      <c r="BP589" t="s">
        <v>257</v>
      </c>
      <c r="BQ589" t="s">
        <v>983</v>
      </c>
      <c r="BR589" t="s">
        <v>978</v>
      </c>
      <c r="BS589">
        <v>32498498621</v>
      </c>
      <c r="BT589">
        <v>0</v>
      </c>
      <c r="BU589">
        <v>0</v>
      </c>
      <c r="BV589" t="s">
        <v>984</v>
      </c>
      <c r="BW589" t="s">
        <v>257</v>
      </c>
      <c r="BX589">
        <v>0</v>
      </c>
      <c r="BY589" t="s">
        <v>980</v>
      </c>
      <c r="BZ589" t="s">
        <v>257</v>
      </c>
      <c r="CA589">
        <v>0</v>
      </c>
      <c r="CB589">
        <v>0</v>
      </c>
      <c r="CC589" t="s">
        <v>1220</v>
      </c>
      <c r="CD589">
        <v>0</v>
      </c>
      <c r="CE589">
        <v>0</v>
      </c>
      <c r="CF589">
        <v>0</v>
      </c>
      <c r="CG589">
        <v>0</v>
      </c>
      <c r="CH589">
        <v>0</v>
      </c>
      <c r="CI589" t="s">
        <v>983</v>
      </c>
      <c r="CJ589" t="s">
        <v>972</v>
      </c>
      <c r="CK589" t="s">
        <v>986</v>
      </c>
      <c r="CL589">
        <v>0</v>
      </c>
      <c r="CM589">
        <v>1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 t="s">
        <v>987</v>
      </c>
      <c r="CV589">
        <v>400008593</v>
      </c>
      <c r="CW589" t="s">
        <v>987</v>
      </c>
      <c r="CX589" t="s">
        <v>4696</v>
      </c>
      <c r="CY589" t="s">
        <v>989</v>
      </c>
    </row>
    <row r="590" spans="1:103" hidden="1" x14ac:dyDescent="0.25">
      <c r="A590">
        <v>410000594</v>
      </c>
      <c r="B590" t="s">
        <v>4697</v>
      </c>
      <c r="C590" t="s">
        <v>4698</v>
      </c>
      <c r="D590">
        <v>401100000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</v>
      </c>
      <c r="X590">
        <v>1</v>
      </c>
      <c r="Y590" t="s">
        <v>972</v>
      </c>
      <c r="Z590" t="s">
        <v>4699</v>
      </c>
      <c r="AA590" t="s">
        <v>4700</v>
      </c>
      <c r="AB590" t="s">
        <v>975</v>
      </c>
      <c r="AC590">
        <v>6600</v>
      </c>
      <c r="AD590" t="s">
        <v>4701</v>
      </c>
      <c r="AE590" t="s">
        <v>979</v>
      </c>
      <c r="AF590" t="s">
        <v>979</v>
      </c>
      <c r="AG590" t="s">
        <v>977</v>
      </c>
      <c r="AH590" t="s">
        <v>977</v>
      </c>
      <c r="AI590">
        <v>91030</v>
      </c>
      <c r="AJ590" t="s">
        <v>978</v>
      </c>
      <c r="AK590" t="s">
        <v>978</v>
      </c>
      <c r="AL590" t="s">
        <v>978</v>
      </c>
      <c r="AM590" t="s">
        <v>979</v>
      </c>
      <c r="AN590">
        <v>0</v>
      </c>
      <c r="AO590" t="s">
        <v>257</v>
      </c>
      <c r="AP590">
        <v>0</v>
      </c>
      <c r="AQ590">
        <v>1</v>
      </c>
      <c r="AR590">
        <v>43</v>
      </c>
      <c r="AS590">
        <v>1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1</v>
      </c>
      <c r="AZ590" t="s">
        <v>257</v>
      </c>
      <c r="BA590" t="s">
        <v>980</v>
      </c>
      <c r="BB590" t="s">
        <v>981</v>
      </c>
      <c r="BC590" t="s">
        <v>257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 t="s">
        <v>998</v>
      </c>
      <c r="BK590" t="s">
        <v>981</v>
      </c>
      <c r="BL590" t="s">
        <v>4697</v>
      </c>
      <c r="BM590">
        <v>20200207</v>
      </c>
      <c r="BN590">
        <v>20220201</v>
      </c>
      <c r="BO590">
        <v>0</v>
      </c>
      <c r="BP590" t="s">
        <v>257</v>
      </c>
      <c r="BQ590" t="s">
        <v>983</v>
      </c>
      <c r="BR590" t="s">
        <v>978</v>
      </c>
      <c r="BS590" t="s">
        <v>4702</v>
      </c>
      <c r="BT590">
        <v>0</v>
      </c>
      <c r="BU590">
        <v>0</v>
      </c>
      <c r="BV590" t="s">
        <v>984</v>
      </c>
      <c r="BW590" t="s">
        <v>257</v>
      </c>
      <c r="BX590">
        <v>0</v>
      </c>
      <c r="BY590" t="s">
        <v>980</v>
      </c>
      <c r="BZ590" t="s">
        <v>257</v>
      </c>
      <c r="CA590">
        <v>0</v>
      </c>
      <c r="CB590">
        <v>0</v>
      </c>
      <c r="CC590" t="s">
        <v>1901</v>
      </c>
      <c r="CD590">
        <v>0</v>
      </c>
      <c r="CE590">
        <v>0</v>
      </c>
      <c r="CF590">
        <v>0</v>
      </c>
      <c r="CG590">
        <v>0</v>
      </c>
      <c r="CH590">
        <v>0</v>
      </c>
      <c r="CI590" t="s">
        <v>983</v>
      </c>
      <c r="CJ590" t="s">
        <v>972</v>
      </c>
      <c r="CK590" t="s">
        <v>986</v>
      </c>
      <c r="CL590">
        <v>0</v>
      </c>
      <c r="CM590">
        <v>1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 t="s">
        <v>987</v>
      </c>
      <c r="CV590">
        <v>400008594</v>
      </c>
      <c r="CW590" t="s">
        <v>987</v>
      </c>
      <c r="CX590" t="s">
        <v>4703</v>
      </c>
      <c r="CY590" t="s">
        <v>989</v>
      </c>
    </row>
    <row r="591" spans="1:103" hidden="1" x14ac:dyDescent="0.25">
      <c r="A591">
        <v>410000595</v>
      </c>
      <c r="B591" t="s">
        <v>4704</v>
      </c>
      <c r="C591" t="s">
        <v>4705</v>
      </c>
      <c r="D591">
        <v>401100000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1</v>
      </c>
      <c r="Y591" t="s">
        <v>972</v>
      </c>
      <c r="Z591" t="s">
        <v>987</v>
      </c>
      <c r="AA591" t="s">
        <v>4706</v>
      </c>
      <c r="AB591" t="s">
        <v>975</v>
      </c>
      <c r="AC591">
        <v>4800</v>
      </c>
      <c r="AD591" t="s">
        <v>1124</v>
      </c>
      <c r="AE591" t="s">
        <v>979</v>
      </c>
      <c r="AF591" t="s">
        <v>979</v>
      </c>
      <c r="AG591" t="s">
        <v>977</v>
      </c>
      <c r="AH591" t="s">
        <v>977</v>
      </c>
      <c r="AI591" t="s">
        <v>977</v>
      </c>
      <c r="AJ591" t="s">
        <v>978</v>
      </c>
      <c r="AK591" t="s">
        <v>978</v>
      </c>
      <c r="AL591" t="s">
        <v>978</v>
      </c>
      <c r="AM591" t="s">
        <v>979</v>
      </c>
      <c r="AN591">
        <v>0</v>
      </c>
      <c r="AO591" t="s">
        <v>257</v>
      </c>
      <c r="AP591">
        <v>0</v>
      </c>
      <c r="AQ591">
        <v>1</v>
      </c>
      <c r="AR591">
        <v>43</v>
      </c>
      <c r="AS591">
        <v>1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1</v>
      </c>
      <c r="AZ591" t="s">
        <v>257</v>
      </c>
      <c r="BA591" t="s">
        <v>980</v>
      </c>
      <c r="BB591" t="s">
        <v>981</v>
      </c>
      <c r="BC591" t="s">
        <v>257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 t="s">
        <v>998</v>
      </c>
      <c r="BK591" t="s">
        <v>981</v>
      </c>
      <c r="BL591" t="s">
        <v>4704</v>
      </c>
      <c r="BM591">
        <v>20200207</v>
      </c>
      <c r="BN591">
        <v>20200207</v>
      </c>
      <c r="BO591">
        <v>0</v>
      </c>
      <c r="BP591" t="s">
        <v>257</v>
      </c>
      <c r="BQ591" t="s">
        <v>983</v>
      </c>
      <c r="BR591" t="s">
        <v>978</v>
      </c>
      <c r="BS591" t="s">
        <v>4707</v>
      </c>
      <c r="BT591">
        <v>0</v>
      </c>
      <c r="BU591">
        <v>0</v>
      </c>
      <c r="BV591" t="s">
        <v>984</v>
      </c>
      <c r="BW591" t="s">
        <v>257</v>
      </c>
      <c r="BX591">
        <v>0</v>
      </c>
      <c r="BY591" t="s">
        <v>980</v>
      </c>
      <c r="BZ591" t="s">
        <v>257</v>
      </c>
      <c r="CA591">
        <v>0</v>
      </c>
      <c r="CB591">
        <v>0</v>
      </c>
      <c r="CC591" t="s">
        <v>2293</v>
      </c>
      <c r="CD591">
        <v>0</v>
      </c>
      <c r="CE591">
        <v>0</v>
      </c>
      <c r="CF591">
        <v>0</v>
      </c>
      <c r="CG591">
        <v>0</v>
      </c>
      <c r="CH591">
        <v>0</v>
      </c>
      <c r="CI591" t="s">
        <v>983</v>
      </c>
      <c r="CJ591" t="s">
        <v>972</v>
      </c>
      <c r="CK591" t="s">
        <v>986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 t="s">
        <v>987</v>
      </c>
      <c r="CV591">
        <v>400008595</v>
      </c>
      <c r="CW591" t="s">
        <v>987</v>
      </c>
      <c r="CX591" t="s">
        <v>4708</v>
      </c>
      <c r="CY591" t="s">
        <v>989</v>
      </c>
    </row>
    <row r="592" spans="1:103" hidden="1" x14ac:dyDescent="0.25">
      <c r="A592">
        <v>410000596</v>
      </c>
      <c r="B592" t="s">
        <v>4709</v>
      </c>
      <c r="C592" t="s">
        <v>4710</v>
      </c>
      <c r="D592">
        <v>401100000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4</v>
      </c>
      <c r="W592">
        <v>1</v>
      </c>
      <c r="X592">
        <v>1</v>
      </c>
      <c r="Y592" t="s">
        <v>4711</v>
      </c>
      <c r="Z592" t="s">
        <v>4712</v>
      </c>
      <c r="AA592" t="s">
        <v>4713</v>
      </c>
      <c r="AB592" t="s">
        <v>975</v>
      </c>
      <c r="AC592">
        <v>3090</v>
      </c>
      <c r="AD592" t="s">
        <v>4413</v>
      </c>
      <c r="AE592">
        <v>3523072891</v>
      </c>
      <c r="AF592" t="s">
        <v>979</v>
      </c>
      <c r="AG592" t="s">
        <v>977</v>
      </c>
      <c r="AH592" t="s">
        <v>977</v>
      </c>
      <c r="AI592" t="s">
        <v>1031</v>
      </c>
      <c r="AJ592" t="s">
        <v>4714</v>
      </c>
      <c r="AK592" t="s">
        <v>978</v>
      </c>
      <c r="AL592" t="s">
        <v>978</v>
      </c>
      <c r="AM592" t="s">
        <v>979</v>
      </c>
      <c r="AN592">
        <v>0</v>
      </c>
      <c r="AO592" t="s">
        <v>257</v>
      </c>
      <c r="AP592">
        <v>0</v>
      </c>
      <c r="AQ592">
        <v>1</v>
      </c>
      <c r="AR592">
        <v>32</v>
      </c>
      <c r="AS592">
        <v>1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1</v>
      </c>
      <c r="AZ592" t="s">
        <v>257</v>
      </c>
      <c r="BA592" t="s">
        <v>980</v>
      </c>
      <c r="BB592" t="s">
        <v>981</v>
      </c>
      <c r="BC592" t="s">
        <v>257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 t="s">
        <v>998</v>
      </c>
      <c r="BK592" t="s">
        <v>981</v>
      </c>
      <c r="BL592" t="s">
        <v>4709</v>
      </c>
      <c r="BM592">
        <v>20200219</v>
      </c>
      <c r="BN592">
        <v>20250414</v>
      </c>
      <c r="BO592">
        <v>0</v>
      </c>
      <c r="BP592" t="s">
        <v>257</v>
      </c>
      <c r="BQ592" t="s">
        <v>983</v>
      </c>
      <c r="BR592" t="s">
        <v>978</v>
      </c>
      <c r="BS592" t="s">
        <v>979</v>
      </c>
      <c r="BT592">
        <v>0</v>
      </c>
      <c r="BU592">
        <v>0</v>
      </c>
      <c r="BV592" t="s">
        <v>984</v>
      </c>
      <c r="BW592" t="s">
        <v>257</v>
      </c>
      <c r="BX592">
        <v>0</v>
      </c>
      <c r="BY592" t="s">
        <v>980</v>
      </c>
      <c r="BZ592" t="s">
        <v>257</v>
      </c>
      <c r="CA592">
        <v>0</v>
      </c>
      <c r="CB592">
        <v>0</v>
      </c>
      <c r="CC592" t="s">
        <v>1901</v>
      </c>
      <c r="CD592">
        <v>0</v>
      </c>
      <c r="CE592">
        <v>0</v>
      </c>
      <c r="CF592">
        <v>0</v>
      </c>
      <c r="CG592">
        <v>0</v>
      </c>
      <c r="CH592">
        <v>0</v>
      </c>
      <c r="CI592" t="s">
        <v>983</v>
      </c>
      <c r="CJ592" t="s">
        <v>972</v>
      </c>
      <c r="CK592" t="s">
        <v>986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 t="s">
        <v>987</v>
      </c>
      <c r="CV592">
        <v>400008596</v>
      </c>
      <c r="CW592" t="s">
        <v>987</v>
      </c>
      <c r="CX592" t="s">
        <v>4715</v>
      </c>
      <c r="CY592" t="s">
        <v>989</v>
      </c>
    </row>
    <row r="593" spans="1:103" hidden="1" x14ac:dyDescent="0.25">
      <c r="A593">
        <v>410000597</v>
      </c>
      <c r="B593" t="s">
        <v>4716</v>
      </c>
      <c r="C593" t="s">
        <v>978</v>
      </c>
      <c r="D593">
        <v>401100000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4</v>
      </c>
      <c r="W593">
        <v>1</v>
      </c>
      <c r="X593">
        <v>1</v>
      </c>
      <c r="Y593" t="s">
        <v>972</v>
      </c>
      <c r="Z593" t="s">
        <v>987</v>
      </c>
      <c r="AA593" t="s">
        <v>4717</v>
      </c>
      <c r="AB593" t="s">
        <v>975</v>
      </c>
      <c r="AC593">
        <v>4500</v>
      </c>
      <c r="AD593" t="s">
        <v>1445</v>
      </c>
      <c r="AE593" t="s">
        <v>4718</v>
      </c>
      <c r="AF593" t="s">
        <v>979</v>
      </c>
      <c r="AG593" t="s">
        <v>977</v>
      </c>
      <c r="AH593" t="s">
        <v>977</v>
      </c>
      <c r="AI593" t="s">
        <v>977</v>
      </c>
      <c r="AJ593" t="s">
        <v>978</v>
      </c>
      <c r="AK593" t="s">
        <v>978</v>
      </c>
      <c r="AL593" t="s">
        <v>978</v>
      </c>
      <c r="AM593" t="s">
        <v>979</v>
      </c>
      <c r="AN593">
        <v>0</v>
      </c>
      <c r="AO593" t="s">
        <v>257</v>
      </c>
      <c r="AP593">
        <v>0</v>
      </c>
      <c r="AQ593">
        <v>1</v>
      </c>
      <c r="AR593">
        <v>43</v>
      </c>
      <c r="AS593">
        <v>1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1</v>
      </c>
      <c r="AZ593" t="s">
        <v>257</v>
      </c>
      <c r="BA593" t="s">
        <v>980</v>
      </c>
      <c r="BB593" t="s">
        <v>981</v>
      </c>
      <c r="BC593" t="s">
        <v>257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 t="s">
        <v>998</v>
      </c>
      <c r="BK593" t="s">
        <v>981</v>
      </c>
      <c r="BL593" t="s">
        <v>4716</v>
      </c>
      <c r="BM593">
        <v>20200224</v>
      </c>
      <c r="BN593">
        <v>20200615</v>
      </c>
      <c r="BO593">
        <v>0</v>
      </c>
      <c r="BP593" t="s">
        <v>257</v>
      </c>
      <c r="BQ593" t="s">
        <v>983</v>
      </c>
      <c r="BR593" t="s">
        <v>978</v>
      </c>
      <c r="BS593" t="s">
        <v>979</v>
      </c>
      <c r="BT593">
        <v>0</v>
      </c>
      <c r="BU593">
        <v>0</v>
      </c>
      <c r="BV593" t="s">
        <v>1411</v>
      </c>
      <c r="BW593" t="s">
        <v>257</v>
      </c>
      <c r="BX593">
        <v>0</v>
      </c>
      <c r="BY593" t="s">
        <v>980</v>
      </c>
      <c r="BZ593" t="s">
        <v>257</v>
      </c>
      <c r="CA593">
        <v>0</v>
      </c>
      <c r="CB593">
        <v>0</v>
      </c>
      <c r="CC593" t="s">
        <v>4719</v>
      </c>
      <c r="CD593">
        <v>0</v>
      </c>
      <c r="CE593">
        <v>0</v>
      </c>
      <c r="CF593">
        <v>0</v>
      </c>
      <c r="CG593">
        <v>0</v>
      </c>
      <c r="CH593">
        <v>0</v>
      </c>
      <c r="CI593" t="s">
        <v>983</v>
      </c>
      <c r="CJ593" t="s">
        <v>972</v>
      </c>
      <c r="CK593" t="s">
        <v>986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 t="s">
        <v>987</v>
      </c>
      <c r="CV593">
        <v>400008597</v>
      </c>
      <c r="CW593" t="s">
        <v>987</v>
      </c>
      <c r="CX593" t="s">
        <v>4720</v>
      </c>
      <c r="CY593" t="s">
        <v>989</v>
      </c>
    </row>
    <row r="594" spans="1:103" hidden="1" x14ac:dyDescent="0.25">
      <c r="A594">
        <v>410000598</v>
      </c>
      <c r="B594" t="s">
        <v>4721</v>
      </c>
      <c r="C594" t="s">
        <v>4722</v>
      </c>
      <c r="D594">
        <v>401100000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1</v>
      </c>
      <c r="Y594" t="s">
        <v>972</v>
      </c>
      <c r="Z594" t="s">
        <v>4723</v>
      </c>
      <c r="AA594" t="s">
        <v>4724</v>
      </c>
      <c r="AB594" t="s">
        <v>975</v>
      </c>
      <c r="AC594">
        <v>4460</v>
      </c>
      <c r="AD594" t="s">
        <v>1946</v>
      </c>
      <c r="AE594" t="s">
        <v>4725</v>
      </c>
      <c r="AF594" t="s">
        <v>979</v>
      </c>
      <c r="AG594" t="s">
        <v>977</v>
      </c>
      <c r="AH594" t="s">
        <v>977</v>
      </c>
      <c r="AI594" t="s">
        <v>977</v>
      </c>
      <c r="AJ594" t="s">
        <v>978</v>
      </c>
      <c r="AK594" t="s">
        <v>978</v>
      </c>
      <c r="AL594" t="s">
        <v>978</v>
      </c>
      <c r="AM594" t="s">
        <v>979</v>
      </c>
      <c r="AN594">
        <v>0</v>
      </c>
      <c r="AO594" t="s">
        <v>257</v>
      </c>
      <c r="AP594">
        <v>0</v>
      </c>
      <c r="AQ594">
        <v>1</v>
      </c>
      <c r="AR594">
        <v>43</v>
      </c>
      <c r="AS594">
        <v>1</v>
      </c>
      <c r="AT594">
        <v>0</v>
      </c>
      <c r="AU594">
        <v>1</v>
      </c>
      <c r="AV594">
        <v>0</v>
      </c>
      <c r="AW594">
        <v>0</v>
      </c>
      <c r="AX594">
        <v>0</v>
      </c>
      <c r="AY594">
        <v>1</v>
      </c>
      <c r="AZ594" t="s">
        <v>257</v>
      </c>
      <c r="BA594" t="s">
        <v>980</v>
      </c>
      <c r="BB594" t="s">
        <v>981</v>
      </c>
      <c r="BC594" t="s">
        <v>257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 t="s">
        <v>998</v>
      </c>
      <c r="BK594" t="s">
        <v>981</v>
      </c>
      <c r="BL594" t="s">
        <v>4721</v>
      </c>
      <c r="BM594">
        <v>20200225</v>
      </c>
      <c r="BN594">
        <v>20200225</v>
      </c>
      <c r="BO594">
        <v>0</v>
      </c>
      <c r="BP594" t="s">
        <v>257</v>
      </c>
      <c r="BQ594" t="s">
        <v>983</v>
      </c>
      <c r="BR594" t="s">
        <v>978</v>
      </c>
      <c r="BS594" t="s">
        <v>979</v>
      </c>
      <c r="BT594">
        <v>0</v>
      </c>
      <c r="BU594">
        <v>0</v>
      </c>
      <c r="BV594" t="s">
        <v>984</v>
      </c>
      <c r="BW594" t="s">
        <v>257</v>
      </c>
      <c r="BX594">
        <v>0</v>
      </c>
      <c r="BY594" t="s">
        <v>980</v>
      </c>
      <c r="BZ594" t="s">
        <v>257</v>
      </c>
      <c r="CA594">
        <v>0</v>
      </c>
      <c r="CB594">
        <v>0</v>
      </c>
      <c r="CC594" t="s">
        <v>1397</v>
      </c>
      <c r="CD594">
        <v>0</v>
      </c>
      <c r="CE594">
        <v>0</v>
      </c>
      <c r="CF594">
        <v>0</v>
      </c>
      <c r="CG594">
        <v>0</v>
      </c>
      <c r="CH594">
        <v>0</v>
      </c>
      <c r="CI594" t="s">
        <v>983</v>
      </c>
      <c r="CJ594" t="s">
        <v>972</v>
      </c>
      <c r="CK594" t="s">
        <v>986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 t="s">
        <v>987</v>
      </c>
      <c r="CV594">
        <v>400008598</v>
      </c>
      <c r="CW594" t="s">
        <v>987</v>
      </c>
      <c r="CX594" t="s">
        <v>4726</v>
      </c>
      <c r="CY594" t="s">
        <v>989</v>
      </c>
    </row>
    <row r="595" spans="1:103" hidden="1" x14ac:dyDescent="0.25">
      <c r="A595">
        <v>410000599</v>
      </c>
      <c r="B595" t="s">
        <v>4727</v>
      </c>
      <c r="C595" t="s">
        <v>4728</v>
      </c>
      <c r="D595">
        <v>401100000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1</v>
      </c>
      <c r="Y595" t="s">
        <v>972</v>
      </c>
      <c r="Z595" t="s">
        <v>987</v>
      </c>
      <c r="AA595" t="s">
        <v>4729</v>
      </c>
      <c r="AB595" t="s">
        <v>975</v>
      </c>
      <c r="AC595">
        <v>4040</v>
      </c>
      <c r="AD595" t="s">
        <v>976</v>
      </c>
      <c r="AE595" t="s">
        <v>4730</v>
      </c>
      <c r="AF595" t="s">
        <v>979</v>
      </c>
      <c r="AG595" t="s">
        <v>977</v>
      </c>
      <c r="AH595" t="s">
        <v>977</v>
      </c>
      <c r="AI595" t="s">
        <v>977</v>
      </c>
      <c r="AJ595" t="s">
        <v>978</v>
      </c>
      <c r="AK595" t="s">
        <v>978</v>
      </c>
      <c r="AL595" t="s">
        <v>978</v>
      </c>
      <c r="AM595" t="s">
        <v>979</v>
      </c>
      <c r="AN595">
        <v>0</v>
      </c>
      <c r="AO595" t="s">
        <v>257</v>
      </c>
      <c r="AP595">
        <v>0</v>
      </c>
      <c r="AQ595">
        <v>1</v>
      </c>
      <c r="AR595">
        <v>43</v>
      </c>
      <c r="AS595">
        <v>1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1</v>
      </c>
      <c r="AZ595" t="s">
        <v>257</v>
      </c>
      <c r="BA595" t="s">
        <v>257</v>
      </c>
      <c r="BB595" t="s">
        <v>1010</v>
      </c>
      <c r="BC595" t="s">
        <v>257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 t="s">
        <v>998</v>
      </c>
      <c r="BK595" t="s">
        <v>981</v>
      </c>
      <c r="BL595" t="s">
        <v>4727</v>
      </c>
      <c r="BM595">
        <v>20200302</v>
      </c>
      <c r="BN595">
        <v>20251103</v>
      </c>
      <c r="BO595">
        <v>20251103</v>
      </c>
      <c r="BP595" t="s">
        <v>257</v>
      </c>
      <c r="BQ595" t="s">
        <v>983</v>
      </c>
      <c r="BR595" t="s">
        <v>978</v>
      </c>
      <c r="BS595" t="s">
        <v>979</v>
      </c>
      <c r="BT595">
        <v>0</v>
      </c>
      <c r="BU595">
        <v>0</v>
      </c>
      <c r="BV595" t="s">
        <v>984</v>
      </c>
      <c r="BW595" t="s">
        <v>257</v>
      </c>
      <c r="BX595">
        <v>0</v>
      </c>
      <c r="BY595" t="s">
        <v>980</v>
      </c>
      <c r="BZ595" t="s">
        <v>257</v>
      </c>
      <c r="CA595">
        <v>0</v>
      </c>
      <c r="CB595">
        <v>0</v>
      </c>
      <c r="CC595" t="s">
        <v>985</v>
      </c>
      <c r="CD595">
        <v>0</v>
      </c>
      <c r="CE595">
        <v>0</v>
      </c>
      <c r="CF595">
        <v>0</v>
      </c>
      <c r="CG595">
        <v>0</v>
      </c>
      <c r="CH595">
        <v>0</v>
      </c>
      <c r="CI595" t="s">
        <v>983</v>
      </c>
      <c r="CJ595" t="s">
        <v>972</v>
      </c>
      <c r="CK595" t="s">
        <v>986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 t="s">
        <v>987</v>
      </c>
      <c r="CV595">
        <v>400008599</v>
      </c>
      <c r="CW595" t="s">
        <v>987</v>
      </c>
      <c r="CX595" t="s">
        <v>6948</v>
      </c>
      <c r="CY595" t="s">
        <v>989</v>
      </c>
    </row>
    <row r="596" spans="1:103" hidden="1" x14ac:dyDescent="0.25">
      <c r="A596">
        <v>410000600</v>
      </c>
      <c r="B596" t="s">
        <v>4731</v>
      </c>
      <c r="C596" t="s">
        <v>4732</v>
      </c>
      <c r="D596">
        <v>401100000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1</v>
      </c>
      <c r="Y596" t="s">
        <v>972</v>
      </c>
      <c r="Z596" t="s">
        <v>4733</v>
      </c>
      <c r="AA596" t="s">
        <v>4734</v>
      </c>
      <c r="AB596" t="s">
        <v>975</v>
      </c>
      <c r="AC596">
        <v>4000</v>
      </c>
      <c r="AD596" t="s">
        <v>2058</v>
      </c>
      <c r="AE596" t="s">
        <v>4735</v>
      </c>
      <c r="AF596" t="s">
        <v>979</v>
      </c>
      <c r="AG596" t="s">
        <v>977</v>
      </c>
      <c r="AH596" t="s">
        <v>977</v>
      </c>
      <c r="AI596" t="s">
        <v>977</v>
      </c>
      <c r="AJ596" t="s">
        <v>978</v>
      </c>
      <c r="AK596" t="s">
        <v>978</v>
      </c>
      <c r="AL596" t="s">
        <v>978</v>
      </c>
      <c r="AM596" t="s">
        <v>979</v>
      </c>
      <c r="AN596">
        <v>0</v>
      </c>
      <c r="AO596" t="s">
        <v>257</v>
      </c>
      <c r="AP596">
        <v>0</v>
      </c>
      <c r="AQ596">
        <v>1</v>
      </c>
      <c r="AR596">
        <v>43</v>
      </c>
      <c r="AS596">
        <v>1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1</v>
      </c>
      <c r="AZ596" t="s">
        <v>257</v>
      </c>
      <c r="BA596" t="s">
        <v>980</v>
      </c>
      <c r="BB596" t="s">
        <v>981</v>
      </c>
      <c r="BC596" t="s">
        <v>257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 t="s">
        <v>998</v>
      </c>
      <c r="BK596" t="s">
        <v>981</v>
      </c>
      <c r="BL596" t="s">
        <v>4731</v>
      </c>
      <c r="BM596">
        <v>20200310</v>
      </c>
      <c r="BN596">
        <v>0</v>
      </c>
      <c r="BO596">
        <v>0</v>
      </c>
      <c r="BP596" t="s">
        <v>257</v>
      </c>
      <c r="BQ596" t="s">
        <v>983</v>
      </c>
      <c r="BR596" t="s">
        <v>978</v>
      </c>
      <c r="BS596" t="s">
        <v>979</v>
      </c>
      <c r="BT596">
        <v>0</v>
      </c>
      <c r="BU596">
        <v>0</v>
      </c>
      <c r="BV596" t="s">
        <v>1411</v>
      </c>
      <c r="BW596" t="s">
        <v>257</v>
      </c>
      <c r="BX596">
        <v>0</v>
      </c>
      <c r="BY596" t="s">
        <v>980</v>
      </c>
      <c r="BZ596" t="s">
        <v>257</v>
      </c>
      <c r="CA596">
        <v>0</v>
      </c>
      <c r="CB596">
        <v>0</v>
      </c>
      <c r="CC596" t="s">
        <v>2060</v>
      </c>
      <c r="CD596">
        <v>0</v>
      </c>
      <c r="CE596">
        <v>0</v>
      </c>
      <c r="CF596">
        <v>0</v>
      </c>
      <c r="CG596">
        <v>0</v>
      </c>
      <c r="CH596">
        <v>0</v>
      </c>
      <c r="CI596" t="s">
        <v>983</v>
      </c>
      <c r="CJ596" t="s">
        <v>972</v>
      </c>
      <c r="CK596" t="s">
        <v>986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 t="s">
        <v>987</v>
      </c>
      <c r="CV596">
        <v>400008600</v>
      </c>
      <c r="CW596" t="s">
        <v>987</v>
      </c>
      <c r="CX596" t="s">
        <v>1081</v>
      </c>
      <c r="CY596" t="s">
        <v>989</v>
      </c>
    </row>
    <row r="597" spans="1:103" hidden="1" x14ac:dyDescent="0.25">
      <c r="A597">
        <v>410000601</v>
      </c>
      <c r="B597" t="s">
        <v>4736</v>
      </c>
      <c r="C597" t="s">
        <v>4737</v>
      </c>
      <c r="D597">
        <v>401100000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1</v>
      </c>
      <c r="Y597" t="s">
        <v>972</v>
      </c>
      <c r="Z597" t="s">
        <v>987</v>
      </c>
      <c r="AA597" t="s">
        <v>4738</v>
      </c>
      <c r="AB597" t="s">
        <v>975</v>
      </c>
      <c r="AC597">
        <v>4800</v>
      </c>
      <c r="AD597" t="s">
        <v>1124</v>
      </c>
      <c r="AE597">
        <v>3287222622</v>
      </c>
      <c r="AF597" t="s">
        <v>979</v>
      </c>
      <c r="AG597" t="s">
        <v>977</v>
      </c>
      <c r="AH597" t="s">
        <v>977</v>
      </c>
      <c r="AI597" t="s">
        <v>977</v>
      </c>
      <c r="AJ597" t="s">
        <v>978</v>
      </c>
      <c r="AK597" t="s">
        <v>978</v>
      </c>
      <c r="AL597" t="s">
        <v>978</v>
      </c>
      <c r="AM597" t="s">
        <v>979</v>
      </c>
      <c r="AN597">
        <v>0</v>
      </c>
      <c r="AO597" t="s">
        <v>257</v>
      </c>
      <c r="AP597">
        <v>0</v>
      </c>
      <c r="AQ597">
        <v>1</v>
      </c>
      <c r="AR597">
        <v>43</v>
      </c>
      <c r="AS597">
        <v>1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1</v>
      </c>
      <c r="AZ597" t="s">
        <v>257</v>
      </c>
      <c r="BA597" t="s">
        <v>980</v>
      </c>
      <c r="BB597" t="s">
        <v>981</v>
      </c>
      <c r="BC597" t="s">
        <v>257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 t="s">
        <v>998</v>
      </c>
      <c r="BK597" t="s">
        <v>981</v>
      </c>
      <c r="BL597" t="s">
        <v>4736</v>
      </c>
      <c r="BM597">
        <v>20200316</v>
      </c>
      <c r="BN597">
        <v>0</v>
      </c>
      <c r="BO597">
        <v>0</v>
      </c>
      <c r="BP597" t="s">
        <v>257</v>
      </c>
      <c r="BQ597" t="s">
        <v>983</v>
      </c>
      <c r="BR597" t="s">
        <v>978</v>
      </c>
      <c r="BS597" t="s">
        <v>979</v>
      </c>
      <c r="BT597">
        <v>0</v>
      </c>
      <c r="BU597">
        <v>0</v>
      </c>
      <c r="BV597" t="s">
        <v>984</v>
      </c>
      <c r="BW597" t="s">
        <v>257</v>
      </c>
      <c r="BX597">
        <v>0</v>
      </c>
      <c r="BY597" t="s">
        <v>980</v>
      </c>
      <c r="BZ597" t="s">
        <v>257</v>
      </c>
      <c r="CA597">
        <v>0</v>
      </c>
      <c r="CB597">
        <v>0</v>
      </c>
      <c r="CC597" t="s">
        <v>1161</v>
      </c>
      <c r="CD597">
        <v>0</v>
      </c>
      <c r="CE597">
        <v>0</v>
      </c>
      <c r="CF597">
        <v>0</v>
      </c>
      <c r="CG597">
        <v>0</v>
      </c>
      <c r="CH597">
        <v>0</v>
      </c>
      <c r="CI597" t="s">
        <v>983</v>
      </c>
      <c r="CJ597" t="s">
        <v>972</v>
      </c>
      <c r="CK597" t="s">
        <v>986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 t="s">
        <v>987</v>
      </c>
      <c r="CV597">
        <v>400008601</v>
      </c>
      <c r="CW597" t="s">
        <v>987</v>
      </c>
      <c r="CX597" t="s">
        <v>4739</v>
      </c>
      <c r="CY597" t="s">
        <v>989</v>
      </c>
    </row>
    <row r="598" spans="1:103" hidden="1" x14ac:dyDescent="0.25">
      <c r="A598">
        <v>410000602</v>
      </c>
      <c r="B598" t="s">
        <v>4740</v>
      </c>
      <c r="C598" t="s">
        <v>4741</v>
      </c>
      <c r="D598">
        <v>401100000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1</v>
      </c>
      <c r="Y598" t="s">
        <v>972</v>
      </c>
      <c r="Z598" t="s">
        <v>987</v>
      </c>
      <c r="AA598" t="s">
        <v>974</v>
      </c>
      <c r="AB598" t="s">
        <v>975</v>
      </c>
      <c r="AC598">
        <v>4040</v>
      </c>
      <c r="AD598" t="s">
        <v>976</v>
      </c>
      <c r="AE598">
        <v>3242391938</v>
      </c>
      <c r="AF598" t="s">
        <v>979</v>
      </c>
      <c r="AG598" t="s">
        <v>977</v>
      </c>
      <c r="AH598" t="s">
        <v>977</v>
      </c>
      <c r="AI598" t="s">
        <v>977</v>
      </c>
      <c r="AJ598" t="s">
        <v>978</v>
      </c>
      <c r="AK598" t="s">
        <v>978</v>
      </c>
      <c r="AL598" t="s">
        <v>978</v>
      </c>
      <c r="AM598" t="s">
        <v>979</v>
      </c>
      <c r="AN598">
        <v>0</v>
      </c>
      <c r="AO598" t="s">
        <v>257</v>
      </c>
      <c r="AP598">
        <v>0</v>
      </c>
      <c r="AQ598">
        <v>18</v>
      </c>
      <c r="AR598">
        <v>43</v>
      </c>
      <c r="AS598">
        <v>1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1</v>
      </c>
      <c r="AZ598" t="s">
        <v>257</v>
      </c>
      <c r="BA598" t="s">
        <v>257</v>
      </c>
      <c r="BB598" t="s">
        <v>981</v>
      </c>
      <c r="BC598" t="s">
        <v>257</v>
      </c>
      <c r="BD598">
        <v>0</v>
      </c>
      <c r="BE598">
        <v>0</v>
      </c>
      <c r="BF598">
        <v>0</v>
      </c>
      <c r="BG598">
        <v>0</v>
      </c>
      <c r="BH598">
        <v>5</v>
      </c>
      <c r="BI598">
        <v>0</v>
      </c>
      <c r="BJ598" t="s">
        <v>982</v>
      </c>
      <c r="BK598" t="s">
        <v>981</v>
      </c>
      <c r="BL598" t="s">
        <v>4740</v>
      </c>
      <c r="BM598">
        <v>20200316</v>
      </c>
      <c r="BN598">
        <v>20240305</v>
      </c>
      <c r="BO598">
        <v>0</v>
      </c>
      <c r="BP598" t="s">
        <v>257</v>
      </c>
      <c r="BQ598" t="s">
        <v>983</v>
      </c>
      <c r="BR598" t="s">
        <v>978</v>
      </c>
      <c r="BS598" t="s">
        <v>979</v>
      </c>
      <c r="BT598">
        <v>0</v>
      </c>
      <c r="BU598">
        <v>0</v>
      </c>
      <c r="BV598" t="s">
        <v>984</v>
      </c>
      <c r="BW598" t="s">
        <v>257</v>
      </c>
      <c r="BX598">
        <v>0</v>
      </c>
      <c r="BY598" t="s">
        <v>980</v>
      </c>
      <c r="BZ598" t="s">
        <v>257</v>
      </c>
      <c r="CA598">
        <v>0</v>
      </c>
      <c r="CB598">
        <v>0</v>
      </c>
      <c r="CC598" t="s">
        <v>985</v>
      </c>
      <c r="CD598">
        <v>0</v>
      </c>
      <c r="CE598">
        <v>0</v>
      </c>
      <c r="CF598">
        <v>0</v>
      </c>
      <c r="CG598">
        <v>0</v>
      </c>
      <c r="CH598">
        <v>0</v>
      </c>
      <c r="CI598" t="s">
        <v>983</v>
      </c>
      <c r="CJ598" t="s">
        <v>972</v>
      </c>
      <c r="CK598" t="s">
        <v>986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 t="s">
        <v>987</v>
      </c>
      <c r="CV598">
        <v>400008602</v>
      </c>
      <c r="CW598" t="s">
        <v>987</v>
      </c>
      <c r="CX598" t="s">
        <v>4742</v>
      </c>
      <c r="CY598" t="s">
        <v>989</v>
      </c>
    </row>
    <row r="599" spans="1:103" hidden="1" x14ac:dyDescent="0.25">
      <c r="A599">
        <v>410000603</v>
      </c>
      <c r="B599" t="s">
        <v>4743</v>
      </c>
      <c r="C599" t="s">
        <v>4744</v>
      </c>
      <c r="D599">
        <v>401100000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1</v>
      </c>
      <c r="Y599" t="s">
        <v>972</v>
      </c>
      <c r="Z599" t="s">
        <v>987</v>
      </c>
      <c r="AA599" t="s">
        <v>4745</v>
      </c>
      <c r="AB599" t="s">
        <v>975</v>
      </c>
      <c r="AC599">
        <v>4040</v>
      </c>
      <c r="AD599" t="s">
        <v>976</v>
      </c>
      <c r="AE599" t="s">
        <v>4746</v>
      </c>
      <c r="AF599" t="s">
        <v>979</v>
      </c>
      <c r="AG599" t="s">
        <v>977</v>
      </c>
      <c r="AH599" t="s">
        <v>977</v>
      </c>
      <c r="AI599" t="s">
        <v>977</v>
      </c>
      <c r="AJ599" t="s">
        <v>978</v>
      </c>
      <c r="AK599" t="s">
        <v>978</v>
      </c>
      <c r="AL599" t="s">
        <v>978</v>
      </c>
      <c r="AM599" t="s">
        <v>979</v>
      </c>
      <c r="AN599">
        <v>0</v>
      </c>
      <c r="AO599" t="s">
        <v>257</v>
      </c>
      <c r="AP599">
        <v>0</v>
      </c>
      <c r="AQ599">
        <v>1</v>
      </c>
      <c r="AR599">
        <v>43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1</v>
      </c>
      <c r="AZ599" t="s">
        <v>257</v>
      </c>
      <c r="BA599" t="s">
        <v>980</v>
      </c>
      <c r="BB599" t="s">
        <v>1010</v>
      </c>
      <c r="BC599" t="s">
        <v>257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 t="s">
        <v>998</v>
      </c>
      <c r="BK599" t="s">
        <v>981</v>
      </c>
      <c r="BL599" t="s">
        <v>4743</v>
      </c>
      <c r="BM599">
        <v>20200331</v>
      </c>
      <c r="BN599">
        <v>20200420</v>
      </c>
      <c r="BO599">
        <v>20200420</v>
      </c>
      <c r="BP599" t="s">
        <v>257</v>
      </c>
      <c r="BQ599" t="s">
        <v>983</v>
      </c>
      <c r="BR599" t="s">
        <v>978</v>
      </c>
      <c r="BS599" t="s">
        <v>979</v>
      </c>
      <c r="BT599">
        <v>0</v>
      </c>
      <c r="BU599">
        <v>0</v>
      </c>
      <c r="BV599" t="s">
        <v>984</v>
      </c>
      <c r="BW599" t="s">
        <v>257</v>
      </c>
      <c r="BX599">
        <v>0</v>
      </c>
      <c r="BY599" t="s">
        <v>980</v>
      </c>
      <c r="BZ599" t="s">
        <v>257</v>
      </c>
      <c r="CA599">
        <v>0</v>
      </c>
      <c r="CB599">
        <v>0</v>
      </c>
      <c r="CC599" t="s">
        <v>985</v>
      </c>
      <c r="CD599">
        <v>0</v>
      </c>
      <c r="CE599">
        <v>0</v>
      </c>
      <c r="CF599">
        <v>0</v>
      </c>
      <c r="CG599">
        <v>0</v>
      </c>
      <c r="CH599">
        <v>0</v>
      </c>
      <c r="CI599" t="s">
        <v>983</v>
      </c>
      <c r="CJ599" t="s">
        <v>972</v>
      </c>
      <c r="CK599" t="s">
        <v>986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 t="s">
        <v>987</v>
      </c>
      <c r="CV599">
        <v>400008603</v>
      </c>
      <c r="CW599" t="s">
        <v>987</v>
      </c>
      <c r="CX599" t="s">
        <v>4747</v>
      </c>
      <c r="CY599" t="s">
        <v>989</v>
      </c>
    </row>
    <row r="600" spans="1:103" hidden="1" x14ac:dyDescent="0.25">
      <c r="A600">
        <v>410000604</v>
      </c>
      <c r="B600" t="s">
        <v>4748</v>
      </c>
      <c r="C600" t="s">
        <v>4749</v>
      </c>
      <c r="D600">
        <v>401100000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1</v>
      </c>
      <c r="Y600" t="s">
        <v>972</v>
      </c>
      <c r="Z600" t="s">
        <v>4750</v>
      </c>
      <c r="AA600" t="s">
        <v>4751</v>
      </c>
      <c r="AB600" t="s">
        <v>975</v>
      </c>
      <c r="AC600">
        <v>5377</v>
      </c>
      <c r="AD600" t="s">
        <v>4752</v>
      </c>
      <c r="AE600" t="s">
        <v>979</v>
      </c>
      <c r="AF600" t="s">
        <v>979</v>
      </c>
      <c r="AG600" t="s">
        <v>977</v>
      </c>
      <c r="AH600" t="s">
        <v>977</v>
      </c>
      <c r="AI600" t="s">
        <v>977</v>
      </c>
      <c r="AJ600" t="s">
        <v>4753</v>
      </c>
      <c r="AK600" t="s">
        <v>978</v>
      </c>
      <c r="AL600" t="s">
        <v>978</v>
      </c>
      <c r="AM600" t="s">
        <v>979</v>
      </c>
      <c r="AN600">
        <v>0</v>
      </c>
      <c r="AO600" t="s">
        <v>257</v>
      </c>
      <c r="AP600">
        <v>0</v>
      </c>
      <c r="AQ600">
        <v>1</v>
      </c>
      <c r="AR600">
        <v>43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1</v>
      </c>
      <c r="AZ600" t="s">
        <v>257</v>
      </c>
      <c r="BA600" t="s">
        <v>980</v>
      </c>
      <c r="BB600" t="s">
        <v>981</v>
      </c>
      <c r="BC600" t="s">
        <v>257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 t="s">
        <v>998</v>
      </c>
      <c r="BK600" t="s">
        <v>981</v>
      </c>
      <c r="BL600" t="s">
        <v>4748</v>
      </c>
      <c r="BM600">
        <v>20200402</v>
      </c>
      <c r="BN600">
        <v>20200402</v>
      </c>
      <c r="BO600">
        <v>0</v>
      </c>
      <c r="BP600" t="s">
        <v>257</v>
      </c>
      <c r="BQ600" t="s">
        <v>983</v>
      </c>
      <c r="BR600" t="s">
        <v>978</v>
      </c>
      <c r="BS600" t="s">
        <v>4754</v>
      </c>
      <c r="BT600">
        <v>0</v>
      </c>
      <c r="BU600">
        <v>0</v>
      </c>
      <c r="BV600" t="s">
        <v>984</v>
      </c>
      <c r="BW600" t="s">
        <v>257</v>
      </c>
      <c r="BX600">
        <v>0</v>
      </c>
      <c r="BY600" t="s">
        <v>980</v>
      </c>
      <c r="BZ600" t="s">
        <v>257</v>
      </c>
      <c r="CA600">
        <v>0</v>
      </c>
      <c r="CB600">
        <v>0</v>
      </c>
      <c r="CC600" t="s">
        <v>1901</v>
      </c>
      <c r="CD600">
        <v>0</v>
      </c>
      <c r="CE600">
        <v>0</v>
      </c>
      <c r="CF600">
        <v>0</v>
      </c>
      <c r="CG600">
        <v>0</v>
      </c>
      <c r="CH600">
        <v>0</v>
      </c>
      <c r="CI600" t="s">
        <v>983</v>
      </c>
      <c r="CJ600" t="s">
        <v>972</v>
      </c>
      <c r="CK600" t="s">
        <v>986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 t="s">
        <v>987</v>
      </c>
      <c r="CV600">
        <v>400008604</v>
      </c>
      <c r="CW600" t="s">
        <v>987</v>
      </c>
      <c r="CX600" t="s">
        <v>4755</v>
      </c>
      <c r="CY600" t="s">
        <v>989</v>
      </c>
    </row>
    <row r="601" spans="1:103" hidden="1" x14ac:dyDescent="0.25">
      <c r="A601">
        <v>410000605</v>
      </c>
      <c r="B601" t="s">
        <v>4756</v>
      </c>
      <c r="C601" t="s">
        <v>4757</v>
      </c>
      <c r="D601">
        <v>401100000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</v>
      </c>
      <c r="W601">
        <v>1</v>
      </c>
      <c r="X601">
        <v>1</v>
      </c>
      <c r="Y601" t="s">
        <v>972</v>
      </c>
      <c r="Z601" t="s">
        <v>4758</v>
      </c>
      <c r="AA601" t="s">
        <v>4759</v>
      </c>
      <c r="AB601" t="s">
        <v>975</v>
      </c>
      <c r="AC601">
        <v>4980</v>
      </c>
      <c r="AD601" t="s">
        <v>4760</v>
      </c>
      <c r="AE601" t="s">
        <v>979</v>
      </c>
      <c r="AF601" t="s">
        <v>979</v>
      </c>
      <c r="AG601" t="s">
        <v>977</v>
      </c>
      <c r="AH601" t="s">
        <v>977</v>
      </c>
      <c r="AI601" t="s">
        <v>977</v>
      </c>
      <c r="AJ601" t="s">
        <v>4761</v>
      </c>
      <c r="AK601" t="s">
        <v>978</v>
      </c>
      <c r="AL601" t="s">
        <v>978</v>
      </c>
      <c r="AM601" t="s">
        <v>979</v>
      </c>
      <c r="AN601">
        <v>0</v>
      </c>
      <c r="AO601" t="s">
        <v>257</v>
      </c>
      <c r="AP601">
        <v>0</v>
      </c>
      <c r="AQ601">
        <v>1</v>
      </c>
      <c r="AR601">
        <v>43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1</v>
      </c>
      <c r="AZ601" t="s">
        <v>257</v>
      </c>
      <c r="BA601" t="s">
        <v>980</v>
      </c>
      <c r="BB601" t="s">
        <v>981</v>
      </c>
      <c r="BC601" t="s">
        <v>257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 t="s">
        <v>998</v>
      </c>
      <c r="BK601" t="s">
        <v>981</v>
      </c>
      <c r="BL601" t="s">
        <v>4756</v>
      </c>
      <c r="BM601">
        <v>20200403</v>
      </c>
      <c r="BN601">
        <v>20200403</v>
      </c>
      <c r="BO601">
        <v>0</v>
      </c>
      <c r="BP601" t="s">
        <v>257</v>
      </c>
      <c r="BQ601" t="s">
        <v>983</v>
      </c>
      <c r="BR601" t="s">
        <v>978</v>
      </c>
      <c r="BS601" t="s">
        <v>4762</v>
      </c>
      <c r="BT601">
        <v>0</v>
      </c>
      <c r="BU601">
        <v>0</v>
      </c>
      <c r="BV601" t="s">
        <v>984</v>
      </c>
      <c r="BW601" t="s">
        <v>257</v>
      </c>
      <c r="BX601">
        <v>0</v>
      </c>
      <c r="BY601" t="s">
        <v>980</v>
      </c>
      <c r="BZ601" t="s">
        <v>257</v>
      </c>
      <c r="CA601">
        <v>0</v>
      </c>
      <c r="CB601">
        <v>0</v>
      </c>
      <c r="CC601" t="s">
        <v>1901</v>
      </c>
      <c r="CD601">
        <v>0</v>
      </c>
      <c r="CE601">
        <v>0</v>
      </c>
      <c r="CF601">
        <v>0</v>
      </c>
      <c r="CG601">
        <v>0</v>
      </c>
      <c r="CH601">
        <v>0</v>
      </c>
      <c r="CI601" t="s">
        <v>983</v>
      </c>
      <c r="CJ601" t="s">
        <v>972</v>
      </c>
      <c r="CK601" t="s">
        <v>986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 t="s">
        <v>987</v>
      </c>
      <c r="CV601">
        <v>400008605</v>
      </c>
      <c r="CW601" t="s">
        <v>987</v>
      </c>
      <c r="CX601" t="s">
        <v>4763</v>
      </c>
      <c r="CY601" t="s">
        <v>989</v>
      </c>
    </row>
    <row r="602" spans="1:103" hidden="1" x14ac:dyDescent="0.25">
      <c r="A602">
        <v>410000606</v>
      </c>
      <c r="B602" t="s">
        <v>4764</v>
      </c>
      <c r="C602" t="s">
        <v>4765</v>
      </c>
      <c r="D602">
        <v>401100000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1</v>
      </c>
      <c r="Y602" t="s">
        <v>972</v>
      </c>
      <c r="Z602" t="s">
        <v>4766</v>
      </c>
      <c r="AA602" t="s">
        <v>4767</v>
      </c>
      <c r="AB602" t="s">
        <v>975</v>
      </c>
      <c r="AC602">
        <v>5101</v>
      </c>
      <c r="AD602" t="s">
        <v>2210</v>
      </c>
      <c r="AE602" t="s">
        <v>4768</v>
      </c>
      <c r="AF602" t="s">
        <v>979</v>
      </c>
      <c r="AG602" t="s">
        <v>977</v>
      </c>
      <c r="AH602" t="s">
        <v>4769</v>
      </c>
      <c r="AI602">
        <v>69201</v>
      </c>
      <c r="AJ602" t="s">
        <v>4770</v>
      </c>
      <c r="AK602" t="s">
        <v>2364</v>
      </c>
      <c r="AL602" t="s">
        <v>2365</v>
      </c>
      <c r="AM602" t="s">
        <v>979</v>
      </c>
      <c r="AN602">
        <v>0</v>
      </c>
      <c r="AO602" t="s">
        <v>257</v>
      </c>
      <c r="AP602">
        <v>0</v>
      </c>
      <c r="AQ602">
        <v>1</v>
      </c>
      <c r="AR602">
        <v>43</v>
      </c>
      <c r="AS602">
        <v>1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1</v>
      </c>
      <c r="AZ602" t="s">
        <v>257</v>
      </c>
      <c r="BA602" t="s">
        <v>980</v>
      </c>
      <c r="BB602" t="s">
        <v>981</v>
      </c>
      <c r="BC602" t="s">
        <v>257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 t="s">
        <v>998</v>
      </c>
      <c r="BK602" t="s">
        <v>981</v>
      </c>
      <c r="BL602" t="s">
        <v>4764</v>
      </c>
      <c r="BM602">
        <v>20200414</v>
      </c>
      <c r="BN602">
        <v>20230109</v>
      </c>
      <c r="BO602">
        <v>0</v>
      </c>
      <c r="BP602" t="s">
        <v>257</v>
      </c>
      <c r="BQ602" t="s">
        <v>983</v>
      </c>
      <c r="BR602" t="s">
        <v>978</v>
      </c>
      <c r="BS602" t="s">
        <v>4771</v>
      </c>
      <c r="BT602">
        <v>0</v>
      </c>
      <c r="BU602">
        <v>0</v>
      </c>
      <c r="BV602" t="s">
        <v>984</v>
      </c>
      <c r="BW602" t="s">
        <v>257</v>
      </c>
      <c r="BX602">
        <v>0</v>
      </c>
      <c r="BY602" t="s">
        <v>980</v>
      </c>
      <c r="BZ602" t="s">
        <v>257</v>
      </c>
      <c r="CA602">
        <v>0</v>
      </c>
      <c r="CB602">
        <v>0</v>
      </c>
      <c r="CC602" t="s">
        <v>1901</v>
      </c>
      <c r="CD602">
        <v>0</v>
      </c>
      <c r="CE602">
        <v>0</v>
      </c>
      <c r="CF602">
        <v>0</v>
      </c>
      <c r="CG602">
        <v>0</v>
      </c>
      <c r="CH602">
        <v>0</v>
      </c>
      <c r="CI602" t="s">
        <v>983</v>
      </c>
      <c r="CJ602" t="s">
        <v>972</v>
      </c>
      <c r="CK602" t="s">
        <v>986</v>
      </c>
      <c r="CL602">
        <v>0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 t="s">
        <v>987</v>
      </c>
      <c r="CV602">
        <v>400008606</v>
      </c>
      <c r="CW602" t="s">
        <v>987</v>
      </c>
      <c r="CX602" t="s">
        <v>4772</v>
      </c>
      <c r="CY602" t="s">
        <v>989</v>
      </c>
    </row>
    <row r="603" spans="1:103" hidden="1" x14ac:dyDescent="0.25">
      <c r="A603">
        <v>410000607</v>
      </c>
      <c r="B603" t="s">
        <v>4773</v>
      </c>
      <c r="C603" t="s">
        <v>4774</v>
      </c>
      <c r="D603">
        <v>401100000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1</v>
      </c>
      <c r="Y603" t="s">
        <v>972</v>
      </c>
      <c r="Z603" t="s">
        <v>4775</v>
      </c>
      <c r="AA603" t="s">
        <v>4776</v>
      </c>
      <c r="AB603" t="s">
        <v>975</v>
      </c>
      <c r="AC603">
        <v>4671</v>
      </c>
      <c r="AD603" t="s">
        <v>4777</v>
      </c>
      <c r="AE603" t="s">
        <v>979</v>
      </c>
      <c r="AF603" t="s">
        <v>979</v>
      </c>
      <c r="AG603" t="s">
        <v>977</v>
      </c>
      <c r="AH603" t="s">
        <v>977</v>
      </c>
      <c r="AI603">
        <v>43211</v>
      </c>
      <c r="AJ603" t="s">
        <v>978</v>
      </c>
      <c r="AK603" t="s">
        <v>978</v>
      </c>
      <c r="AL603" t="s">
        <v>978</v>
      </c>
      <c r="AM603" t="s">
        <v>979</v>
      </c>
      <c r="AN603">
        <v>0</v>
      </c>
      <c r="AO603" t="s">
        <v>257</v>
      </c>
      <c r="AP603">
        <v>0</v>
      </c>
      <c r="AQ603">
        <v>1</v>
      </c>
      <c r="AR603">
        <v>69</v>
      </c>
      <c r="AS603">
        <v>1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1</v>
      </c>
      <c r="AZ603" t="s">
        <v>257</v>
      </c>
      <c r="BA603" t="s">
        <v>980</v>
      </c>
      <c r="BB603" t="s">
        <v>981</v>
      </c>
      <c r="BC603" t="s">
        <v>257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 t="s">
        <v>998</v>
      </c>
      <c r="BK603" t="s">
        <v>981</v>
      </c>
      <c r="BL603" t="s">
        <v>4773</v>
      </c>
      <c r="BM603">
        <v>20200415</v>
      </c>
      <c r="BN603">
        <v>20240910</v>
      </c>
      <c r="BO603">
        <v>0</v>
      </c>
      <c r="BP603" t="s">
        <v>257</v>
      </c>
      <c r="BQ603" t="s">
        <v>983</v>
      </c>
      <c r="BR603" t="s">
        <v>978</v>
      </c>
      <c r="BS603" t="s">
        <v>4778</v>
      </c>
      <c r="BT603">
        <v>0</v>
      </c>
      <c r="BU603">
        <v>0</v>
      </c>
      <c r="BV603" t="s">
        <v>984</v>
      </c>
      <c r="BW603" t="s">
        <v>257</v>
      </c>
      <c r="BX603">
        <v>0</v>
      </c>
      <c r="BY603" t="s">
        <v>980</v>
      </c>
      <c r="BZ603" t="s">
        <v>257</v>
      </c>
      <c r="CA603">
        <v>0</v>
      </c>
      <c r="CB603">
        <v>0</v>
      </c>
      <c r="CC603" t="s">
        <v>2448</v>
      </c>
      <c r="CD603">
        <v>0</v>
      </c>
      <c r="CE603">
        <v>0</v>
      </c>
      <c r="CF603">
        <v>0</v>
      </c>
      <c r="CG603">
        <v>0</v>
      </c>
      <c r="CH603">
        <v>0</v>
      </c>
      <c r="CI603" t="s">
        <v>983</v>
      </c>
      <c r="CJ603" t="s">
        <v>972</v>
      </c>
      <c r="CK603" t="s">
        <v>986</v>
      </c>
      <c r="CL603">
        <v>0</v>
      </c>
      <c r="CM603">
        <v>1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 t="s">
        <v>987</v>
      </c>
      <c r="CV603">
        <v>400008607</v>
      </c>
      <c r="CW603" t="s">
        <v>987</v>
      </c>
      <c r="CX603" t="s">
        <v>4779</v>
      </c>
      <c r="CY603" t="s">
        <v>989</v>
      </c>
    </row>
    <row r="604" spans="1:103" hidden="1" x14ac:dyDescent="0.25">
      <c r="A604">
        <v>410000608</v>
      </c>
      <c r="B604" t="s">
        <v>4319</v>
      </c>
      <c r="C604" t="s">
        <v>4780</v>
      </c>
      <c r="D604">
        <v>401100000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1</v>
      </c>
      <c r="Y604" t="s">
        <v>972</v>
      </c>
      <c r="Z604" t="s">
        <v>987</v>
      </c>
      <c r="AA604" t="s">
        <v>4781</v>
      </c>
      <c r="AB604" t="s">
        <v>975</v>
      </c>
      <c r="AC604">
        <v>4420</v>
      </c>
      <c r="AD604" t="s">
        <v>4314</v>
      </c>
      <c r="AE604">
        <v>32475776266</v>
      </c>
      <c r="AF604" t="s">
        <v>979</v>
      </c>
      <c r="AG604" t="s">
        <v>977</v>
      </c>
      <c r="AH604" t="s">
        <v>1031</v>
      </c>
      <c r="AI604" t="s">
        <v>1031</v>
      </c>
      <c r="AJ604" t="s">
        <v>978</v>
      </c>
      <c r="AK604" t="s">
        <v>978</v>
      </c>
      <c r="AL604" t="s">
        <v>978</v>
      </c>
      <c r="AM604" t="s">
        <v>979</v>
      </c>
      <c r="AN604">
        <v>0</v>
      </c>
      <c r="AO604" t="s">
        <v>257</v>
      </c>
      <c r="AP604">
        <v>0</v>
      </c>
      <c r="AQ604">
        <v>1</v>
      </c>
      <c r="AR604">
        <v>43</v>
      </c>
      <c r="AS604">
        <v>1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1</v>
      </c>
      <c r="AZ604" t="s">
        <v>257</v>
      </c>
      <c r="BA604" t="s">
        <v>980</v>
      </c>
      <c r="BB604" t="s">
        <v>981</v>
      </c>
      <c r="BC604" t="s">
        <v>257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 t="s">
        <v>998</v>
      </c>
      <c r="BK604" t="s">
        <v>981</v>
      </c>
      <c r="BL604" t="s">
        <v>4319</v>
      </c>
      <c r="BM604">
        <v>20200416</v>
      </c>
      <c r="BN604">
        <v>20220201</v>
      </c>
      <c r="BO604">
        <v>0</v>
      </c>
      <c r="BP604" t="s">
        <v>257</v>
      </c>
      <c r="BQ604" t="s">
        <v>983</v>
      </c>
      <c r="BR604" t="s">
        <v>978</v>
      </c>
      <c r="BS604" t="s">
        <v>979</v>
      </c>
      <c r="BT604">
        <v>0</v>
      </c>
      <c r="BU604">
        <v>0</v>
      </c>
      <c r="BV604" t="s">
        <v>984</v>
      </c>
      <c r="BW604" t="s">
        <v>257</v>
      </c>
      <c r="BX604">
        <v>0</v>
      </c>
      <c r="BY604" t="s">
        <v>980</v>
      </c>
      <c r="BZ604" t="s">
        <v>257</v>
      </c>
      <c r="CA604">
        <v>0</v>
      </c>
      <c r="CB604">
        <v>0</v>
      </c>
      <c r="CC604" t="s">
        <v>1572</v>
      </c>
      <c r="CD604">
        <v>0</v>
      </c>
      <c r="CE604">
        <v>0</v>
      </c>
      <c r="CF604">
        <v>0</v>
      </c>
      <c r="CG604">
        <v>0</v>
      </c>
      <c r="CH604">
        <v>0</v>
      </c>
      <c r="CI604" t="s">
        <v>983</v>
      </c>
      <c r="CJ604" t="s">
        <v>972</v>
      </c>
      <c r="CK604" t="s">
        <v>986</v>
      </c>
      <c r="CL604">
        <v>0</v>
      </c>
      <c r="CM604">
        <v>1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 t="s">
        <v>987</v>
      </c>
      <c r="CV604">
        <v>400008608</v>
      </c>
      <c r="CW604" t="s">
        <v>987</v>
      </c>
      <c r="CX604" t="s">
        <v>4320</v>
      </c>
      <c r="CY604" t="s">
        <v>989</v>
      </c>
    </row>
    <row r="605" spans="1:103" hidden="1" x14ac:dyDescent="0.25">
      <c r="A605">
        <v>410000609</v>
      </c>
      <c r="B605" t="s">
        <v>4782</v>
      </c>
      <c r="C605" t="s">
        <v>4741</v>
      </c>
      <c r="D605">
        <v>401100000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1</v>
      </c>
      <c r="Y605" t="s">
        <v>972</v>
      </c>
      <c r="Z605" t="s">
        <v>987</v>
      </c>
      <c r="AA605" t="s">
        <v>4783</v>
      </c>
      <c r="AB605" t="s">
        <v>975</v>
      </c>
      <c r="AC605">
        <v>4000</v>
      </c>
      <c r="AD605" t="s">
        <v>1019</v>
      </c>
      <c r="AE605" t="s">
        <v>4784</v>
      </c>
      <c r="AF605" t="s">
        <v>979</v>
      </c>
      <c r="AG605" t="s">
        <v>977</v>
      </c>
      <c r="AH605" t="s">
        <v>977</v>
      </c>
      <c r="AI605" t="s">
        <v>977</v>
      </c>
      <c r="AJ605" t="s">
        <v>978</v>
      </c>
      <c r="AK605" t="s">
        <v>978</v>
      </c>
      <c r="AL605" t="s">
        <v>978</v>
      </c>
      <c r="AM605" t="s">
        <v>979</v>
      </c>
      <c r="AN605">
        <v>0</v>
      </c>
      <c r="AO605" t="s">
        <v>257</v>
      </c>
      <c r="AP605">
        <v>0</v>
      </c>
      <c r="AQ605">
        <v>18</v>
      </c>
      <c r="AR605">
        <v>69</v>
      </c>
      <c r="AS605">
        <v>1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1</v>
      </c>
      <c r="AZ605" t="s">
        <v>257</v>
      </c>
      <c r="BA605" t="s">
        <v>980</v>
      </c>
      <c r="BB605" t="s">
        <v>981</v>
      </c>
      <c r="BC605" t="s">
        <v>257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410000602</v>
      </c>
      <c r="BJ605" t="s">
        <v>982</v>
      </c>
      <c r="BK605" t="s">
        <v>981</v>
      </c>
      <c r="BL605" t="s">
        <v>4782</v>
      </c>
      <c r="BM605">
        <v>20200420</v>
      </c>
      <c r="BN605">
        <v>20240910</v>
      </c>
      <c r="BO605">
        <v>0</v>
      </c>
      <c r="BP605" t="s">
        <v>257</v>
      </c>
      <c r="BQ605" t="s">
        <v>983</v>
      </c>
      <c r="BR605" t="s">
        <v>978</v>
      </c>
      <c r="BS605" t="s">
        <v>4785</v>
      </c>
      <c r="BT605">
        <v>0</v>
      </c>
      <c r="BU605">
        <v>0</v>
      </c>
      <c r="BV605" t="s">
        <v>984</v>
      </c>
      <c r="BW605" t="s">
        <v>257</v>
      </c>
      <c r="BX605">
        <v>0</v>
      </c>
      <c r="BY605" t="s">
        <v>980</v>
      </c>
      <c r="BZ605" t="s">
        <v>257</v>
      </c>
      <c r="CA605">
        <v>0</v>
      </c>
      <c r="CB605">
        <v>0</v>
      </c>
      <c r="CC605" t="s">
        <v>2000</v>
      </c>
      <c r="CD605">
        <v>0</v>
      </c>
      <c r="CE605">
        <v>0</v>
      </c>
      <c r="CF605">
        <v>0</v>
      </c>
      <c r="CG605">
        <v>0</v>
      </c>
      <c r="CH605">
        <v>0</v>
      </c>
      <c r="CI605" t="s">
        <v>983</v>
      </c>
      <c r="CJ605" t="s">
        <v>972</v>
      </c>
      <c r="CK605" t="s">
        <v>986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 t="s">
        <v>987</v>
      </c>
      <c r="CV605">
        <v>400008609</v>
      </c>
      <c r="CW605" t="s">
        <v>987</v>
      </c>
      <c r="CX605" t="s">
        <v>4747</v>
      </c>
      <c r="CY605" t="s">
        <v>989</v>
      </c>
    </row>
    <row r="606" spans="1:103" hidden="1" x14ac:dyDescent="0.25">
      <c r="A606">
        <v>410000610</v>
      </c>
      <c r="B606" t="s">
        <v>4786</v>
      </c>
      <c r="C606" t="s">
        <v>4787</v>
      </c>
      <c r="D606">
        <v>401100000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1</v>
      </c>
      <c r="Y606" t="s">
        <v>972</v>
      </c>
      <c r="Z606" t="s">
        <v>4788</v>
      </c>
      <c r="AA606" t="s">
        <v>4789</v>
      </c>
      <c r="AB606" t="s">
        <v>975</v>
      </c>
      <c r="AC606">
        <v>4990</v>
      </c>
      <c r="AD606" t="s">
        <v>4790</v>
      </c>
      <c r="AE606" t="s">
        <v>979</v>
      </c>
      <c r="AF606" t="s">
        <v>979</v>
      </c>
      <c r="AG606" t="s">
        <v>977</v>
      </c>
      <c r="AH606" t="s">
        <v>977</v>
      </c>
      <c r="AI606">
        <v>69202</v>
      </c>
      <c r="AJ606" t="s">
        <v>4791</v>
      </c>
      <c r="AK606" t="s">
        <v>978</v>
      </c>
      <c r="AL606" t="s">
        <v>978</v>
      </c>
      <c r="AM606" t="s">
        <v>979</v>
      </c>
      <c r="AN606">
        <v>0</v>
      </c>
      <c r="AO606" t="s">
        <v>257</v>
      </c>
      <c r="AP606">
        <v>0</v>
      </c>
      <c r="AQ606">
        <v>1</v>
      </c>
      <c r="AR606">
        <v>43</v>
      </c>
      <c r="AS606">
        <v>1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1</v>
      </c>
      <c r="AZ606" t="s">
        <v>257</v>
      </c>
      <c r="BA606" t="s">
        <v>980</v>
      </c>
      <c r="BB606" t="s">
        <v>981</v>
      </c>
      <c r="BC606" t="s">
        <v>257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 t="s">
        <v>998</v>
      </c>
      <c r="BK606" t="s">
        <v>981</v>
      </c>
      <c r="BL606" t="s">
        <v>4786</v>
      </c>
      <c r="BM606">
        <v>20200423</v>
      </c>
      <c r="BN606">
        <v>20200423</v>
      </c>
      <c r="BO606">
        <v>0</v>
      </c>
      <c r="BP606" t="s">
        <v>257</v>
      </c>
      <c r="BQ606" t="s">
        <v>983</v>
      </c>
      <c r="BR606" t="s">
        <v>978</v>
      </c>
      <c r="BS606" t="s">
        <v>4792</v>
      </c>
      <c r="BT606">
        <v>0</v>
      </c>
      <c r="BU606">
        <v>0</v>
      </c>
      <c r="BV606" t="s">
        <v>984</v>
      </c>
      <c r="BW606" t="s">
        <v>257</v>
      </c>
      <c r="BX606">
        <v>0</v>
      </c>
      <c r="BY606" t="s">
        <v>980</v>
      </c>
      <c r="BZ606" t="s">
        <v>257</v>
      </c>
      <c r="CA606">
        <v>0</v>
      </c>
      <c r="CB606">
        <v>0</v>
      </c>
      <c r="CC606" t="s">
        <v>1901</v>
      </c>
      <c r="CD606">
        <v>0</v>
      </c>
      <c r="CE606">
        <v>0</v>
      </c>
      <c r="CF606">
        <v>0</v>
      </c>
      <c r="CG606">
        <v>0</v>
      </c>
      <c r="CH606">
        <v>0</v>
      </c>
      <c r="CI606" t="s">
        <v>983</v>
      </c>
      <c r="CJ606" t="s">
        <v>972</v>
      </c>
      <c r="CK606" t="s">
        <v>986</v>
      </c>
      <c r="CL606">
        <v>0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 t="s">
        <v>987</v>
      </c>
      <c r="CV606">
        <v>400008610</v>
      </c>
      <c r="CW606" t="s">
        <v>987</v>
      </c>
      <c r="CX606" t="s">
        <v>4793</v>
      </c>
      <c r="CY606" t="s">
        <v>989</v>
      </c>
    </row>
    <row r="607" spans="1:103" hidden="1" x14ac:dyDescent="0.25">
      <c r="A607">
        <v>410000611</v>
      </c>
      <c r="B607" t="s">
        <v>4794</v>
      </c>
      <c r="C607" t="s">
        <v>4795</v>
      </c>
      <c r="D607">
        <v>401100000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1</v>
      </c>
      <c r="Y607" t="s">
        <v>972</v>
      </c>
      <c r="Z607" t="s">
        <v>987</v>
      </c>
      <c r="AA607" t="s">
        <v>4796</v>
      </c>
      <c r="AB607" t="s">
        <v>975</v>
      </c>
      <c r="AC607">
        <v>5351</v>
      </c>
      <c r="AD607" t="s">
        <v>4797</v>
      </c>
      <c r="AE607" t="s">
        <v>4798</v>
      </c>
      <c r="AF607" t="s">
        <v>979</v>
      </c>
      <c r="AG607" t="s">
        <v>977</v>
      </c>
      <c r="AH607" t="s">
        <v>977</v>
      </c>
      <c r="AI607">
        <v>62020</v>
      </c>
      <c r="AJ607" t="s">
        <v>4799</v>
      </c>
      <c r="AK607" t="s">
        <v>978</v>
      </c>
      <c r="AL607" t="s">
        <v>978</v>
      </c>
      <c r="AM607" t="s">
        <v>979</v>
      </c>
      <c r="AN607">
        <v>0</v>
      </c>
      <c r="AO607" t="s">
        <v>257</v>
      </c>
      <c r="AP607">
        <v>0</v>
      </c>
      <c r="AQ607">
        <v>1</v>
      </c>
      <c r="AR607">
        <v>43</v>
      </c>
      <c r="AS607">
        <v>1</v>
      </c>
      <c r="AT607">
        <v>0</v>
      </c>
      <c r="AU607">
        <v>1</v>
      </c>
      <c r="AV607">
        <v>0</v>
      </c>
      <c r="AW607">
        <v>0</v>
      </c>
      <c r="AX607">
        <v>0</v>
      </c>
      <c r="AY607">
        <v>1</v>
      </c>
      <c r="AZ607" t="s">
        <v>257</v>
      </c>
      <c r="BA607" t="s">
        <v>980</v>
      </c>
      <c r="BB607" t="s">
        <v>981</v>
      </c>
      <c r="BC607" t="s">
        <v>257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 t="s">
        <v>998</v>
      </c>
      <c r="BK607" t="s">
        <v>981</v>
      </c>
      <c r="BL607" t="s">
        <v>4794</v>
      </c>
      <c r="BM607">
        <v>20200424</v>
      </c>
      <c r="BN607">
        <v>20200427</v>
      </c>
      <c r="BO607">
        <v>0</v>
      </c>
      <c r="BP607" t="s">
        <v>257</v>
      </c>
      <c r="BQ607" t="s">
        <v>983</v>
      </c>
      <c r="BR607" t="s">
        <v>978</v>
      </c>
      <c r="BS607" t="s">
        <v>979</v>
      </c>
      <c r="BT607">
        <v>0</v>
      </c>
      <c r="BU607">
        <v>0</v>
      </c>
      <c r="BV607" t="s">
        <v>984</v>
      </c>
      <c r="BW607" t="s">
        <v>257</v>
      </c>
      <c r="BX607">
        <v>0</v>
      </c>
      <c r="BY607" t="s">
        <v>980</v>
      </c>
      <c r="BZ607" t="s">
        <v>257</v>
      </c>
      <c r="CA607">
        <v>0</v>
      </c>
      <c r="CB607">
        <v>0</v>
      </c>
      <c r="CC607" t="s">
        <v>1901</v>
      </c>
      <c r="CD607">
        <v>0</v>
      </c>
      <c r="CE607">
        <v>0</v>
      </c>
      <c r="CF607">
        <v>0</v>
      </c>
      <c r="CG607">
        <v>0</v>
      </c>
      <c r="CH607">
        <v>0</v>
      </c>
      <c r="CI607" t="s">
        <v>983</v>
      </c>
      <c r="CJ607" t="s">
        <v>972</v>
      </c>
      <c r="CK607" t="s">
        <v>986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 t="s">
        <v>987</v>
      </c>
      <c r="CV607">
        <v>400008611</v>
      </c>
      <c r="CW607" t="s">
        <v>987</v>
      </c>
      <c r="CX607" t="s">
        <v>4800</v>
      </c>
      <c r="CY607" t="s">
        <v>989</v>
      </c>
    </row>
    <row r="608" spans="1:103" hidden="1" x14ac:dyDescent="0.25">
      <c r="A608">
        <v>410000612</v>
      </c>
      <c r="B608" t="s">
        <v>4801</v>
      </c>
      <c r="C608" t="s">
        <v>4802</v>
      </c>
      <c r="D608">
        <v>401100000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1</v>
      </c>
      <c r="Y608" t="s">
        <v>972</v>
      </c>
      <c r="Z608" t="s">
        <v>4803</v>
      </c>
      <c r="AA608" t="s">
        <v>4804</v>
      </c>
      <c r="AB608" t="s">
        <v>975</v>
      </c>
      <c r="AC608">
        <v>4711</v>
      </c>
      <c r="AD608" t="s">
        <v>4805</v>
      </c>
      <c r="AE608" t="s">
        <v>979</v>
      </c>
      <c r="AF608" t="s">
        <v>979</v>
      </c>
      <c r="AG608" t="s">
        <v>977</v>
      </c>
      <c r="AH608" t="s">
        <v>977</v>
      </c>
      <c r="AI608">
        <v>70100</v>
      </c>
      <c r="AJ608" t="s">
        <v>978</v>
      </c>
      <c r="AK608" t="s">
        <v>978</v>
      </c>
      <c r="AL608" t="s">
        <v>978</v>
      </c>
      <c r="AM608" t="s">
        <v>979</v>
      </c>
      <c r="AN608">
        <v>0</v>
      </c>
      <c r="AO608" t="s">
        <v>257</v>
      </c>
      <c r="AP608">
        <v>0</v>
      </c>
      <c r="AQ608">
        <v>1</v>
      </c>
      <c r="AR608">
        <v>43</v>
      </c>
      <c r="AS608">
        <v>1</v>
      </c>
      <c r="AT608">
        <v>0</v>
      </c>
      <c r="AU608">
        <v>1</v>
      </c>
      <c r="AV608">
        <v>0</v>
      </c>
      <c r="AW608">
        <v>0</v>
      </c>
      <c r="AX608">
        <v>0</v>
      </c>
      <c r="AY608">
        <v>1</v>
      </c>
      <c r="AZ608" t="s">
        <v>257</v>
      </c>
      <c r="BA608" t="s">
        <v>980</v>
      </c>
      <c r="BB608" t="s">
        <v>981</v>
      </c>
      <c r="BC608" t="s">
        <v>257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 t="s">
        <v>998</v>
      </c>
      <c r="BK608" t="s">
        <v>981</v>
      </c>
      <c r="BL608" t="s">
        <v>4801</v>
      </c>
      <c r="BM608">
        <v>20200427</v>
      </c>
      <c r="BN608">
        <v>20230417</v>
      </c>
      <c r="BO608">
        <v>0</v>
      </c>
      <c r="BP608" t="s">
        <v>257</v>
      </c>
      <c r="BQ608" t="s">
        <v>983</v>
      </c>
      <c r="BR608" t="s">
        <v>978</v>
      </c>
      <c r="BS608">
        <v>479455442</v>
      </c>
      <c r="BT608">
        <v>0</v>
      </c>
      <c r="BU608">
        <v>0</v>
      </c>
      <c r="BV608" t="s">
        <v>984</v>
      </c>
      <c r="BW608" t="s">
        <v>257</v>
      </c>
      <c r="BX608">
        <v>0</v>
      </c>
      <c r="BY608" t="s">
        <v>980</v>
      </c>
      <c r="BZ608" t="s">
        <v>257</v>
      </c>
      <c r="CA608">
        <v>0</v>
      </c>
      <c r="CB608">
        <v>0</v>
      </c>
      <c r="CC608" t="s">
        <v>1865</v>
      </c>
      <c r="CD608">
        <v>0</v>
      </c>
      <c r="CE608">
        <v>0</v>
      </c>
      <c r="CF608">
        <v>0</v>
      </c>
      <c r="CG608">
        <v>0</v>
      </c>
      <c r="CH608">
        <v>0</v>
      </c>
      <c r="CI608" t="s">
        <v>983</v>
      </c>
      <c r="CJ608" t="s">
        <v>972</v>
      </c>
      <c r="CK608" t="s">
        <v>986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 t="s">
        <v>987</v>
      </c>
      <c r="CV608">
        <v>400008612</v>
      </c>
      <c r="CW608" t="s">
        <v>987</v>
      </c>
      <c r="CX608" t="s">
        <v>4806</v>
      </c>
      <c r="CY608" t="s">
        <v>989</v>
      </c>
    </row>
    <row r="609" spans="1:103" hidden="1" x14ac:dyDescent="0.25">
      <c r="A609">
        <v>410000613</v>
      </c>
      <c r="B609" t="s">
        <v>4807</v>
      </c>
      <c r="C609" t="s">
        <v>4808</v>
      </c>
      <c r="D609">
        <v>401100000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1</v>
      </c>
      <c r="Y609" t="s">
        <v>972</v>
      </c>
      <c r="Z609" t="s">
        <v>987</v>
      </c>
      <c r="AA609" t="s">
        <v>4809</v>
      </c>
      <c r="AB609" t="s">
        <v>975</v>
      </c>
      <c r="AC609">
        <v>4460</v>
      </c>
      <c r="AD609" t="s">
        <v>1946</v>
      </c>
      <c r="AE609">
        <v>80094747</v>
      </c>
      <c r="AF609" t="s">
        <v>979</v>
      </c>
      <c r="AG609" t="s">
        <v>977</v>
      </c>
      <c r="AH609" t="s">
        <v>977</v>
      </c>
      <c r="AI609">
        <v>46699</v>
      </c>
      <c r="AJ609" t="s">
        <v>978</v>
      </c>
      <c r="AK609" t="s">
        <v>978</v>
      </c>
      <c r="AL609" t="s">
        <v>978</v>
      </c>
      <c r="AM609" t="s">
        <v>979</v>
      </c>
      <c r="AN609">
        <v>0</v>
      </c>
      <c r="AO609" t="s">
        <v>257</v>
      </c>
      <c r="AP609">
        <v>0</v>
      </c>
      <c r="AQ609">
        <v>18</v>
      </c>
      <c r="AR609">
        <v>43</v>
      </c>
      <c r="AS609">
        <v>1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1</v>
      </c>
      <c r="AZ609" t="s">
        <v>257</v>
      </c>
      <c r="BA609" t="s">
        <v>980</v>
      </c>
      <c r="BB609" t="s">
        <v>981</v>
      </c>
      <c r="BC609" t="s">
        <v>257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 t="s">
        <v>998</v>
      </c>
      <c r="BK609" t="s">
        <v>981</v>
      </c>
      <c r="BL609" t="s">
        <v>4807</v>
      </c>
      <c r="BM609">
        <v>20200519</v>
      </c>
      <c r="BN609">
        <v>20211021</v>
      </c>
      <c r="BO609">
        <v>0</v>
      </c>
      <c r="BP609" t="s">
        <v>257</v>
      </c>
      <c r="BQ609" t="s">
        <v>983</v>
      </c>
      <c r="BR609" t="s">
        <v>978</v>
      </c>
      <c r="BS609" t="s">
        <v>979</v>
      </c>
      <c r="BT609">
        <v>0</v>
      </c>
      <c r="BU609">
        <v>0</v>
      </c>
      <c r="BV609" t="s">
        <v>984</v>
      </c>
      <c r="BW609" t="s">
        <v>257</v>
      </c>
      <c r="BX609">
        <v>0</v>
      </c>
      <c r="BY609" t="s">
        <v>980</v>
      </c>
      <c r="BZ609" t="s">
        <v>257</v>
      </c>
      <c r="CA609">
        <v>0</v>
      </c>
      <c r="CB609">
        <v>0</v>
      </c>
      <c r="CC609" t="s">
        <v>1499</v>
      </c>
      <c r="CD609">
        <v>0</v>
      </c>
      <c r="CE609">
        <v>0</v>
      </c>
      <c r="CF609">
        <v>0</v>
      </c>
      <c r="CG609">
        <v>0</v>
      </c>
      <c r="CH609">
        <v>0</v>
      </c>
      <c r="CI609" t="s">
        <v>983</v>
      </c>
      <c r="CJ609" t="s">
        <v>972</v>
      </c>
      <c r="CK609" t="s">
        <v>986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 t="s">
        <v>987</v>
      </c>
      <c r="CV609">
        <v>400008613</v>
      </c>
      <c r="CW609" t="s">
        <v>987</v>
      </c>
      <c r="CX609" t="s">
        <v>4810</v>
      </c>
      <c r="CY609" t="s">
        <v>989</v>
      </c>
    </row>
    <row r="610" spans="1:103" hidden="1" x14ac:dyDescent="0.25">
      <c r="A610">
        <v>410000614</v>
      </c>
      <c r="B610" t="s">
        <v>4811</v>
      </c>
      <c r="C610" t="s">
        <v>4812</v>
      </c>
      <c r="D610">
        <v>401100000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1</v>
      </c>
      <c r="X610">
        <v>1</v>
      </c>
      <c r="Y610" t="s">
        <v>972</v>
      </c>
      <c r="Z610" t="s">
        <v>4813</v>
      </c>
      <c r="AA610" t="s">
        <v>4814</v>
      </c>
      <c r="AB610" t="s">
        <v>975</v>
      </c>
      <c r="AC610">
        <v>5060</v>
      </c>
      <c r="AD610" t="s">
        <v>4815</v>
      </c>
      <c r="AE610">
        <v>32460972018</v>
      </c>
      <c r="AF610" t="s">
        <v>979</v>
      </c>
      <c r="AG610" t="s">
        <v>977</v>
      </c>
      <c r="AH610" t="s">
        <v>977</v>
      </c>
      <c r="AI610">
        <v>23990</v>
      </c>
      <c r="AJ610" t="s">
        <v>4816</v>
      </c>
      <c r="AK610" t="s">
        <v>978</v>
      </c>
      <c r="AL610" t="s">
        <v>978</v>
      </c>
      <c r="AM610" t="s">
        <v>979</v>
      </c>
      <c r="AN610">
        <v>0</v>
      </c>
      <c r="AO610" t="s">
        <v>257</v>
      </c>
      <c r="AP610">
        <v>0</v>
      </c>
      <c r="AQ610">
        <v>1</v>
      </c>
      <c r="AR610">
        <v>43</v>
      </c>
      <c r="AS610">
        <v>1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1</v>
      </c>
      <c r="AZ610" t="s">
        <v>257</v>
      </c>
      <c r="BA610" t="s">
        <v>980</v>
      </c>
      <c r="BB610" t="s">
        <v>981</v>
      </c>
      <c r="BC610" t="s">
        <v>257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 t="s">
        <v>998</v>
      </c>
      <c r="BK610" t="s">
        <v>981</v>
      </c>
      <c r="BL610" t="s">
        <v>4811</v>
      </c>
      <c r="BM610">
        <v>20200608</v>
      </c>
      <c r="BN610">
        <v>20240226</v>
      </c>
      <c r="BO610">
        <v>0</v>
      </c>
      <c r="BP610" t="s">
        <v>257</v>
      </c>
      <c r="BQ610" t="s">
        <v>983</v>
      </c>
      <c r="BR610" t="s">
        <v>978</v>
      </c>
      <c r="BS610" t="s">
        <v>979</v>
      </c>
      <c r="BT610">
        <v>0</v>
      </c>
      <c r="BU610">
        <v>0</v>
      </c>
      <c r="BV610" t="s">
        <v>984</v>
      </c>
      <c r="BW610" t="s">
        <v>257</v>
      </c>
      <c r="BX610">
        <v>0</v>
      </c>
      <c r="BY610" t="s">
        <v>980</v>
      </c>
      <c r="BZ610" t="s">
        <v>257</v>
      </c>
      <c r="CA610">
        <v>0</v>
      </c>
      <c r="CB610">
        <v>0</v>
      </c>
      <c r="CC610" t="s">
        <v>1901</v>
      </c>
      <c r="CD610">
        <v>0</v>
      </c>
      <c r="CE610">
        <v>0</v>
      </c>
      <c r="CF610">
        <v>0</v>
      </c>
      <c r="CG610">
        <v>0</v>
      </c>
      <c r="CH610">
        <v>0</v>
      </c>
      <c r="CI610" t="s">
        <v>983</v>
      </c>
      <c r="CJ610" t="s">
        <v>972</v>
      </c>
      <c r="CK610" t="s">
        <v>986</v>
      </c>
      <c r="CL610">
        <v>0</v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 t="s">
        <v>987</v>
      </c>
      <c r="CV610">
        <v>400008614</v>
      </c>
      <c r="CW610" t="s">
        <v>987</v>
      </c>
      <c r="CX610" t="s">
        <v>4817</v>
      </c>
      <c r="CY610" t="s">
        <v>989</v>
      </c>
    </row>
    <row r="611" spans="1:103" hidden="1" x14ac:dyDescent="0.25">
      <c r="A611">
        <v>410000615</v>
      </c>
      <c r="B611" t="s">
        <v>4818</v>
      </c>
      <c r="C611" t="s">
        <v>4819</v>
      </c>
      <c r="D611">
        <v>401100000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1</v>
      </c>
      <c r="Y611" t="s">
        <v>972</v>
      </c>
      <c r="Z611" t="s">
        <v>987</v>
      </c>
      <c r="AA611" t="s">
        <v>4820</v>
      </c>
      <c r="AB611" t="s">
        <v>975</v>
      </c>
      <c r="AC611">
        <v>1170</v>
      </c>
      <c r="AD611" t="s">
        <v>4821</v>
      </c>
      <c r="AE611" t="s">
        <v>4822</v>
      </c>
      <c r="AF611" t="s">
        <v>979</v>
      </c>
      <c r="AG611" t="s">
        <v>977</v>
      </c>
      <c r="AH611" t="s">
        <v>977</v>
      </c>
      <c r="AI611">
        <v>69201</v>
      </c>
      <c r="AJ611" t="s">
        <v>4823</v>
      </c>
      <c r="AK611" t="s">
        <v>978</v>
      </c>
      <c r="AL611" t="s">
        <v>978</v>
      </c>
      <c r="AM611" t="s">
        <v>979</v>
      </c>
      <c r="AN611">
        <v>0</v>
      </c>
      <c r="AO611" t="s">
        <v>257</v>
      </c>
      <c r="AP611">
        <v>0</v>
      </c>
      <c r="AQ611">
        <v>1</v>
      </c>
      <c r="AR611">
        <v>43</v>
      </c>
      <c r="AS611">
        <v>1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1</v>
      </c>
      <c r="AZ611" t="s">
        <v>257</v>
      </c>
      <c r="BA611" t="s">
        <v>980</v>
      </c>
      <c r="BB611" t="s">
        <v>981</v>
      </c>
      <c r="BC611" t="s">
        <v>257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 t="s">
        <v>998</v>
      </c>
      <c r="BK611" t="s">
        <v>981</v>
      </c>
      <c r="BL611" t="s">
        <v>4818</v>
      </c>
      <c r="BM611">
        <v>20200609</v>
      </c>
      <c r="BN611">
        <v>20200615</v>
      </c>
      <c r="BO611">
        <v>0</v>
      </c>
      <c r="BP611" t="s">
        <v>257</v>
      </c>
      <c r="BQ611" t="s">
        <v>983</v>
      </c>
      <c r="BR611" t="s">
        <v>978</v>
      </c>
      <c r="BS611" t="s">
        <v>4824</v>
      </c>
      <c r="BT611">
        <v>0</v>
      </c>
      <c r="BU611">
        <v>0</v>
      </c>
      <c r="BV611" t="s">
        <v>984</v>
      </c>
      <c r="BW611" t="s">
        <v>257</v>
      </c>
      <c r="BX611">
        <v>0</v>
      </c>
      <c r="BY611" t="s">
        <v>980</v>
      </c>
      <c r="BZ611" t="s">
        <v>257</v>
      </c>
      <c r="CA611">
        <v>0</v>
      </c>
      <c r="CB611">
        <v>0</v>
      </c>
      <c r="CC611" t="s">
        <v>1901</v>
      </c>
      <c r="CD611">
        <v>0</v>
      </c>
      <c r="CE611">
        <v>0</v>
      </c>
      <c r="CF611">
        <v>0</v>
      </c>
      <c r="CG611">
        <v>0</v>
      </c>
      <c r="CH611">
        <v>0</v>
      </c>
      <c r="CI611" t="s">
        <v>983</v>
      </c>
      <c r="CJ611" t="s">
        <v>972</v>
      </c>
      <c r="CK611" t="s">
        <v>986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 t="s">
        <v>987</v>
      </c>
      <c r="CV611">
        <v>400008615</v>
      </c>
      <c r="CW611" t="s">
        <v>987</v>
      </c>
      <c r="CX611" t="s">
        <v>4825</v>
      </c>
      <c r="CY611" t="s">
        <v>989</v>
      </c>
    </row>
    <row r="612" spans="1:103" hidden="1" x14ac:dyDescent="0.25">
      <c r="A612">
        <v>410000616</v>
      </c>
      <c r="B612" t="s">
        <v>4826</v>
      </c>
      <c r="C612" t="s">
        <v>4827</v>
      </c>
      <c r="D612">
        <v>401100000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1</v>
      </c>
      <c r="Y612" t="s">
        <v>1091</v>
      </c>
      <c r="Z612" t="s">
        <v>4052</v>
      </c>
      <c r="AA612" t="s">
        <v>4828</v>
      </c>
      <c r="AB612" t="s">
        <v>975</v>
      </c>
      <c r="AC612">
        <v>4800</v>
      </c>
      <c r="AD612" t="s">
        <v>1124</v>
      </c>
      <c r="AE612" t="s">
        <v>4829</v>
      </c>
      <c r="AF612" t="s">
        <v>979</v>
      </c>
      <c r="AG612" t="s">
        <v>4830</v>
      </c>
      <c r="AH612" t="s">
        <v>977</v>
      </c>
      <c r="AI612">
        <v>69101</v>
      </c>
      <c r="AJ612" t="s">
        <v>978</v>
      </c>
      <c r="AK612" t="s">
        <v>978</v>
      </c>
      <c r="AL612" t="s">
        <v>978</v>
      </c>
      <c r="AM612" t="s">
        <v>979</v>
      </c>
      <c r="AN612">
        <v>0</v>
      </c>
      <c r="AO612" t="s">
        <v>257</v>
      </c>
      <c r="AP612">
        <v>0</v>
      </c>
      <c r="AQ612">
        <v>1</v>
      </c>
      <c r="AR612">
        <v>43</v>
      </c>
      <c r="AS612">
        <v>1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1</v>
      </c>
      <c r="AZ612" t="s">
        <v>257</v>
      </c>
      <c r="BA612" t="s">
        <v>980</v>
      </c>
      <c r="BB612" t="s">
        <v>1010</v>
      </c>
      <c r="BC612" t="s">
        <v>257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 t="s">
        <v>998</v>
      </c>
      <c r="BK612" t="s">
        <v>981</v>
      </c>
      <c r="BL612" t="s">
        <v>4826</v>
      </c>
      <c r="BM612">
        <v>20200616</v>
      </c>
      <c r="BN612">
        <v>20200807</v>
      </c>
      <c r="BO612">
        <v>20200807</v>
      </c>
      <c r="BP612" t="s">
        <v>257</v>
      </c>
      <c r="BQ612" t="s">
        <v>983</v>
      </c>
      <c r="BR612" t="s">
        <v>978</v>
      </c>
      <c r="BS612" t="s">
        <v>979</v>
      </c>
      <c r="BT612">
        <v>0</v>
      </c>
      <c r="BU612">
        <v>0</v>
      </c>
      <c r="BV612" t="s">
        <v>984</v>
      </c>
      <c r="BW612" t="s">
        <v>257</v>
      </c>
      <c r="BX612">
        <v>0</v>
      </c>
      <c r="BY612" t="s">
        <v>980</v>
      </c>
      <c r="BZ612" t="s">
        <v>257</v>
      </c>
      <c r="CA612">
        <v>0</v>
      </c>
      <c r="CB612">
        <v>0</v>
      </c>
      <c r="CC612" t="s">
        <v>1161</v>
      </c>
      <c r="CD612">
        <v>0</v>
      </c>
      <c r="CE612">
        <v>0</v>
      </c>
      <c r="CF612">
        <v>0</v>
      </c>
      <c r="CG612">
        <v>0</v>
      </c>
      <c r="CH612">
        <v>0</v>
      </c>
      <c r="CI612" t="s">
        <v>983</v>
      </c>
      <c r="CJ612" t="s">
        <v>972</v>
      </c>
      <c r="CK612" t="s">
        <v>986</v>
      </c>
      <c r="CL612">
        <v>0</v>
      </c>
      <c r="CM612">
        <v>1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 t="s">
        <v>987</v>
      </c>
      <c r="CV612">
        <v>400008616</v>
      </c>
      <c r="CW612" t="s">
        <v>987</v>
      </c>
      <c r="CX612" t="s">
        <v>4831</v>
      </c>
      <c r="CY612" t="s">
        <v>989</v>
      </c>
    </row>
    <row r="613" spans="1:103" hidden="1" x14ac:dyDescent="0.25">
      <c r="A613">
        <v>410000617</v>
      </c>
      <c r="B613" t="s">
        <v>4832</v>
      </c>
      <c r="C613" t="s">
        <v>4833</v>
      </c>
      <c r="D613">
        <v>401100000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1</v>
      </c>
      <c r="Y613" t="s">
        <v>972</v>
      </c>
      <c r="Z613" t="s">
        <v>4834</v>
      </c>
      <c r="AA613" t="s">
        <v>4835</v>
      </c>
      <c r="AB613" t="s">
        <v>975</v>
      </c>
      <c r="AC613">
        <v>6120</v>
      </c>
      <c r="AD613" t="s">
        <v>4836</v>
      </c>
      <c r="AE613">
        <v>3271650050</v>
      </c>
      <c r="AF613" t="s">
        <v>979</v>
      </c>
      <c r="AG613" t="s">
        <v>977</v>
      </c>
      <c r="AH613" t="s">
        <v>977</v>
      </c>
      <c r="AI613" t="s">
        <v>977</v>
      </c>
      <c r="AJ613" t="s">
        <v>978</v>
      </c>
      <c r="AK613" t="s">
        <v>978</v>
      </c>
      <c r="AL613" t="s">
        <v>978</v>
      </c>
      <c r="AM613" t="s">
        <v>979</v>
      </c>
      <c r="AN613">
        <v>0</v>
      </c>
      <c r="AO613" t="s">
        <v>257</v>
      </c>
      <c r="AP613">
        <v>0</v>
      </c>
      <c r="AQ613">
        <v>1</v>
      </c>
      <c r="AR613">
        <v>43</v>
      </c>
      <c r="AS613">
        <v>1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1</v>
      </c>
      <c r="AZ613" t="s">
        <v>257</v>
      </c>
      <c r="BA613" t="s">
        <v>980</v>
      </c>
      <c r="BB613" t="s">
        <v>981</v>
      </c>
      <c r="BC613" t="s">
        <v>257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 t="s">
        <v>998</v>
      </c>
      <c r="BK613" t="s">
        <v>981</v>
      </c>
      <c r="BL613" t="s">
        <v>4832</v>
      </c>
      <c r="BM613">
        <v>20200622</v>
      </c>
      <c r="BN613">
        <v>0</v>
      </c>
      <c r="BO613">
        <v>0</v>
      </c>
      <c r="BP613" t="s">
        <v>257</v>
      </c>
      <c r="BQ613" t="s">
        <v>983</v>
      </c>
      <c r="BR613" t="s">
        <v>978</v>
      </c>
      <c r="BS613" t="s">
        <v>979</v>
      </c>
      <c r="BT613">
        <v>0</v>
      </c>
      <c r="BU613">
        <v>0</v>
      </c>
      <c r="BV613" t="s">
        <v>984</v>
      </c>
      <c r="BW613" t="s">
        <v>257</v>
      </c>
      <c r="BX613">
        <v>0</v>
      </c>
      <c r="BY613" t="s">
        <v>980</v>
      </c>
      <c r="BZ613" t="s">
        <v>257</v>
      </c>
      <c r="CA613">
        <v>0</v>
      </c>
      <c r="CB613">
        <v>0</v>
      </c>
      <c r="CC613" t="s">
        <v>1033</v>
      </c>
      <c r="CD613">
        <v>0</v>
      </c>
      <c r="CE613">
        <v>0</v>
      </c>
      <c r="CF613">
        <v>0</v>
      </c>
      <c r="CG613">
        <v>0</v>
      </c>
      <c r="CH613">
        <v>0</v>
      </c>
      <c r="CI613" t="s">
        <v>983</v>
      </c>
      <c r="CJ613" t="s">
        <v>972</v>
      </c>
      <c r="CK613" t="s">
        <v>986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 t="s">
        <v>987</v>
      </c>
      <c r="CV613">
        <v>400008617</v>
      </c>
      <c r="CW613" t="s">
        <v>987</v>
      </c>
      <c r="CX613" t="s">
        <v>4837</v>
      </c>
      <c r="CY613" t="s">
        <v>989</v>
      </c>
    </row>
    <row r="614" spans="1:103" hidden="1" x14ac:dyDescent="0.25">
      <c r="A614">
        <v>410000618</v>
      </c>
      <c r="B614" t="s">
        <v>4838</v>
      </c>
      <c r="C614" t="s">
        <v>4839</v>
      </c>
      <c r="D614">
        <v>401100000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1</v>
      </c>
      <c r="X614">
        <v>1</v>
      </c>
      <c r="Y614" t="s">
        <v>972</v>
      </c>
      <c r="Z614" t="s">
        <v>987</v>
      </c>
      <c r="AA614" t="s">
        <v>4840</v>
      </c>
      <c r="AB614" t="s">
        <v>975</v>
      </c>
      <c r="AC614">
        <v>4000</v>
      </c>
      <c r="AD614" t="s">
        <v>1019</v>
      </c>
      <c r="AE614" t="s">
        <v>979</v>
      </c>
      <c r="AF614" t="s">
        <v>979</v>
      </c>
      <c r="AG614" t="s">
        <v>4841</v>
      </c>
      <c r="AH614" t="s">
        <v>977</v>
      </c>
      <c r="AI614">
        <v>78200</v>
      </c>
      <c r="AJ614" t="s">
        <v>978</v>
      </c>
      <c r="AK614" t="s">
        <v>978</v>
      </c>
      <c r="AL614" t="s">
        <v>978</v>
      </c>
      <c r="AM614" t="s">
        <v>979</v>
      </c>
      <c r="AN614">
        <v>0</v>
      </c>
      <c r="AO614" t="s">
        <v>257</v>
      </c>
      <c r="AP614">
        <v>0</v>
      </c>
      <c r="AQ614">
        <v>1</v>
      </c>
      <c r="AR614">
        <v>69</v>
      </c>
      <c r="AS614">
        <v>1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1</v>
      </c>
      <c r="AZ614" t="s">
        <v>257</v>
      </c>
      <c r="BA614" t="s">
        <v>980</v>
      </c>
      <c r="BB614" t="s">
        <v>981</v>
      </c>
      <c r="BC614" t="s">
        <v>257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 t="s">
        <v>998</v>
      </c>
      <c r="BK614" t="s">
        <v>981</v>
      </c>
      <c r="BL614" t="s">
        <v>4838</v>
      </c>
      <c r="BM614">
        <v>20200625</v>
      </c>
      <c r="BN614">
        <v>20240910</v>
      </c>
      <c r="BO614">
        <v>0</v>
      </c>
      <c r="BP614" t="s">
        <v>257</v>
      </c>
      <c r="BQ614" t="s">
        <v>983</v>
      </c>
      <c r="BR614" t="s">
        <v>978</v>
      </c>
      <c r="BS614">
        <v>32492119337</v>
      </c>
      <c r="BT614">
        <v>0</v>
      </c>
      <c r="BU614">
        <v>0</v>
      </c>
      <c r="BV614" t="s">
        <v>984</v>
      </c>
      <c r="BW614" t="s">
        <v>257</v>
      </c>
      <c r="BX614">
        <v>0</v>
      </c>
      <c r="BY614" t="s">
        <v>980</v>
      </c>
      <c r="BZ614" t="s">
        <v>257</v>
      </c>
      <c r="CA614">
        <v>0</v>
      </c>
      <c r="CB614">
        <v>0</v>
      </c>
      <c r="CC614" t="s">
        <v>1220</v>
      </c>
      <c r="CD614">
        <v>0</v>
      </c>
      <c r="CE614">
        <v>0</v>
      </c>
      <c r="CF614">
        <v>0</v>
      </c>
      <c r="CG614">
        <v>0</v>
      </c>
      <c r="CH614">
        <v>0</v>
      </c>
      <c r="CI614" t="s">
        <v>983</v>
      </c>
      <c r="CJ614" t="s">
        <v>972</v>
      </c>
      <c r="CK614" t="s">
        <v>986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 t="s">
        <v>987</v>
      </c>
      <c r="CV614">
        <v>400008618</v>
      </c>
      <c r="CW614" t="s">
        <v>987</v>
      </c>
      <c r="CX614" t="s">
        <v>4842</v>
      </c>
      <c r="CY614" t="s">
        <v>989</v>
      </c>
    </row>
    <row r="615" spans="1:103" hidden="1" x14ac:dyDescent="0.25">
      <c r="A615">
        <v>410000619</v>
      </c>
      <c r="B615" t="s">
        <v>4843</v>
      </c>
      <c r="C615" t="s">
        <v>4844</v>
      </c>
      <c r="D615">
        <v>401100000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1</v>
      </c>
      <c r="Y615" t="s">
        <v>972</v>
      </c>
      <c r="Z615" t="s">
        <v>4845</v>
      </c>
      <c r="AA615" t="s">
        <v>4563</v>
      </c>
      <c r="AB615" t="s">
        <v>975</v>
      </c>
      <c r="AC615">
        <v>4671</v>
      </c>
      <c r="AD615" t="s">
        <v>3134</v>
      </c>
      <c r="AE615" t="s">
        <v>4846</v>
      </c>
      <c r="AF615" t="s">
        <v>979</v>
      </c>
      <c r="AG615" t="s">
        <v>977</v>
      </c>
      <c r="AH615" t="s">
        <v>977</v>
      </c>
      <c r="AI615">
        <v>69202</v>
      </c>
      <c r="AJ615" t="s">
        <v>978</v>
      </c>
      <c r="AK615" t="s">
        <v>978</v>
      </c>
      <c r="AL615" t="s">
        <v>978</v>
      </c>
      <c r="AM615" t="s">
        <v>979</v>
      </c>
      <c r="AN615">
        <v>0</v>
      </c>
      <c r="AO615" t="s">
        <v>257</v>
      </c>
      <c r="AP615">
        <v>0</v>
      </c>
      <c r="AQ615">
        <v>1</v>
      </c>
      <c r="AR615">
        <v>43</v>
      </c>
      <c r="AS615">
        <v>1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1</v>
      </c>
      <c r="AZ615" t="s">
        <v>257</v>
      </c>
      <c r="BA615" t="s">
        <v>980</v>
      </c>
      <c r="BB615" t="s">
        <v>981</v>
      </c>
      <c r="BC615" t="s">
        <v>257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 t="s">
        <v>998</v>
      </c>
      <c r="BK615" t="s">
        <v>981</v>
      </c>
      <c r="BL615" t="s">
        <v>4843</v>
      </c>
      <c r="BM615">
        <v>20200702</v>
      </c>
      <c r="BN615">
        <v>20200702</v>
      </c>
      <c r="BO615">
        <v>0</v>
      </c>
      <c r="BP615" t="s">
        <v>257</v>
      </c>
      <c r="BQ615" t="s">
        <v>983</v>
      </c>
      <c r="BR615" t="s">
        <v>978</v>
      </c>
      <c r="BS615" t="s">
        <v>4847</v>
      </c>
      <c r="BT615">
        <v>0</v>
      </c>
      <c r="BU615">
        <v>0</v>
      </c>
      <c r="BV615" t="s">
        <v>984</v>
      </c>
      <c r="BW615" t="s">
        <v>257</v>
      </c>
      <c r="BX615">
        <v>0</v>
      </c>
      <c r="BY615" t="s">
        <v>980</v>
      </c>
      <c r="BZ615" t="s">
        <v>257</v>
      </c>
      <c r="CA615">
        <v>0</v>
      </c>
      <c r="CB615">
        <v>0</v>
      </c>
      <c r="CC615" t="s">
        <v>1815</v>
      </c>
      <c r="CD615">
        <v>0</v>
      </c>
      <c r="CE615">
        <v>0</v>
      </c>
      <c r="CF615">
        <v>0</v>
      </c>
      <c r="CG615">
        <v>0</v>
      </c>
      <c r="CH615">
        <v>0</v>
      </c>
      <c r="CI615" t="s">
        <v>983</v>
      </c>
      <c r="CJ615" t="s">
        <v>972</v>
      </c>
      <c r="CK615" t="s">
        <v>986</v>
      </c>
      <c r="CL615">
        <v>0</v>
      </c>
      <c r="CM615">
        <v>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 t="s">
        <v>987</v>
      </c>
      <c r="CV615">
        <v>400008619</v>
      </c>
      <c r="CW615" t="s">
        <v>987</v>
      </c>
      <c r="CX615" t="s">
        <v>4848</v>
      </c>
      <c r="CY615" t="s">
        <v>989</v>
      </c>
    </row>
    <row r="616" spans="1:103" hidden="1" x14ac:dyDescent="0.25">
      <c r="A616">
        <v>410000620</v>
      </c>
      <c r="B616" t="s">
        <v>4849</v>
      </c>
      <c r="C616" t="s">
        <v>4850</v>
      </c>
      <c r="D616">
        <v>401100000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1</v>
      </c>
      <c r="Y616" t="s">
        <v>972</v>
      </c>
      <c r="Z616" t="s">
        <v>4851</v>
      </c>
      <c r="AA616" t="s">
        <v>4852</v>
      </c>
      <c r="AB616" t="s">
        <v>975</v>
      </c>
      <c r="AC616">
        <v>4000</v>
      </c>
      <c r="AD616" t="s">
        <v>1019</v>
      </c>
      <c r="AE616" t="s">
        <v>979</v>
      </c>
      <c r="AF616" t="s">
        <v>979</v>
      </c>
      <c r="AG616" t="s">
        <v>977</v>
      </c>
      <c r="AH616" t="s">
        <v>977</v>
      </c>
      <c r="AI616">
        <v>71111</v>
      </c>
      <c r="AJ616" t="s">
        <v>978</v>
      </c>
      <c r="AK616" t="s">
        <v>978</v>
      </c>
      <c r="AL616" t="s">
        <v>978</v>
      </c>
      <c r="AM616" t="s">
        <v>979</v>
      </c>
      <c r="AN616">
        <v>0</v>
      </c>
      <c r="AO616" t="s">
        <v>257</v>
      </c>
      <c r="AP616">
        <v>0</v>
      </c>
      <c r="AQ616">
        <v>1</v>
      </c>
      <c r="AR616">
        <v>43</v>
      </c>
      <c r="AS616">
        <v>1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1</v>
      </c>
      <c r="AZ616" t="s">
        <v>257</v>
      </c>
      <c r="BA616" t="s">
        <v>980</v>
      </c>
      <c r="BB616" t="s">
        <v>1010</v>
      </c>
      <c r="BC616" t="s">
        <v>257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 t="s">
        <v>998</v>
      </c>
      <c r="BK616" t="s">
        <v>981</v>
      </c>
      <c r="BL616" t="s">
        <v>4849</v>
      </c>
      <c r="BM616">
        <v>20200707</v>
      </c>
      <c r="BN616">
        <v>20250402</v>
      </c>
      <c r="BO616">
        <v>20200708</v>
      </c>
      <c r="BP616" t="s">
        <v>257</v>
      </c>
      <c r="BQ616" t="s">
        <v>983</v>
      </c>
      <c r="BR616" t="s">
        <v>978</v>
      </c>
      <c r="BS616">
        <v>32491088207</v>
      </c>
      <c r="BT616">
        <v>0</v>
      </c>
      <c r="BU616">
        <v>0</v>
      </c>
      <c r="BV616" t="s">
        <v>984</v>
      </c>
      <c r="BW616" t="s">
        <v>257</v>
      </c>
      <c r="BX616">
        <v>0</v>
      </c>
      <c r="BY616" t="s">
        <v>980</v>
      </c>
      <c r="BZ616" t="s">
        <v>257</v>
      </c>
      <c r="CA616">
        <v>0</v>
      </c>
      <c r="CB616">
        <v>0</v>
      </c>
      <c r="CC616" t="s">
        <v>1499</v>
      </c>
      <c r="CD616">
        <v>0</v>
      </c>
      <c r="CE616">
        <v>0</v>
      </c>
      <c r="CF616">
        <v>0</v>
      </c>
      <c r="CG616">
        <v>0</v>
      </c>
      <c r="CH616">
        <v>0</v>
      </c>
      <c r="CI616" t="s">
        <v>983</v>
      </c>
      <c r="CJ616" t="s">
        <v>972</v>
      </c>
      <c r="CK616" t="s">
        <v>986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 t="s">
        <v>987</v>
      </c>
      <c r="CV616">
        <v>400008620</v>
      </c>
      <c r="CW616" t="s">
        <v>987</v>
      </c>
      <c r="CX616" t="s">
        <v>4853</v>
      </c>
      <c r="CY616" t="s">
        <v>989</v>
      </c>
    </row>
    <row r="617" spans="1:103" hidden="1" x14ac:dyDescent="0.25">
      <c r="A617">
        <v>410000621</v>
      </c>
      <c r="B617" t="s">
        <v>4854</v>
      </c>
      <c r="C617" t="s">
        <v>978</v>
      </c>
      <c r="D617">
        <v>401100000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</v>
      </c>
      <c r="W617">
        <v>1</v>
      </c>
      <c r="X617">
        <v>1</v>
      </c>
      <c r="Y617" t="s">
        <v>972</v>
      </c>
      <c r="Z617" t="s">
        <v>987</v>
      </c>
      <c r="AA617" t="s">
        <v>4855</v>
      </c>
      <c r="AB617" t="s">
        <v>975</v>
      </c>
      <c r="AC617">
        <v>5000</v>
      </c>
      <c r="AD617" t="s">
        <v>1789</v>
      </c>
      <c r="AE617" t="s">
        <v>979</v>
      </c>
      <c r="AF617" t="s">
        <v>979</v>
      </c>
      <c r="AG617" t="s">
        <v>977</v>
      </c>
      <c r="AH617" t="s">
        <v>977</v>
      </c>
      <c r="AI617" t="s">
        <v>977</v>
      </c>
      <c r="AJ617" t="s">
        <v>4856</v>
      </c>
      <c r="AK617" t="s">
        <v>978</v>
      </c>
      <c r="AL617" t="s">
        <v>978</v>
      </c>
      <c r="AM617" t="s">
        <v>979</v>
      </c>
      <c r="AN617">
        <v>0</v>
      </c>
      <c r="AO617" t="s">
        <v>257</v>
      </c>
      <c r="AP617">
        <v>0</v>
      </c>
      <c r="AQ617">
        <v>1</v>
      </c>
      <c r="AR617">
        <v>43</v>
      </c>
      <c r="AS617">
        <v>1</v>
      </c>
      <c r="AT617">
        <v>0</v>
      </c>
      <c r="AU617">
        <v>1</v>
      </c>
      <c r="AV617">
        <v>0</v>
      </c>
      <c r="AW617">
        <v>0</v>
      </c>
      <c r="AX617">
        <v>0</v>
      </c>
      <c r="AY617">
        <v>1</v>
      </c>
      <c r="AZ617" t="s">
        <v>257</v>
      </c>
      <c r="BA617" t="s">
        <v>980</v>
      </c>
      <c r="BB617" t="s">
        <v>981</v>
      </c>
      <c r="BC617" t="s">
        <v>257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 t="s">
        <v>998</v>
      </c>
      <c r="BK617" t="s">
        <v>981</v>
      </c>
      <c r="BL617" t="s">
        <v>4854</v>
      </c>
      <c r="BM617">
        <v>20200708</v>
      </c>
      <c r="BN617">
        <v>20200708</v>
      </c>
      <c r="BO617">
        <v>0</v>
      </c>
      <c r="BP617" t="s">
        <v>257</v>
      </c>
      <c r="BQ617" t="s">
        <v>983</v>
      </c>
      <c r="BR617" t="s">
        <v>978</v>
      </c>
      <c r="BS617">
        <v>32479908205</v>
      </c>
      <c r="BT617">
        <v>0</v>
      </c>
      <c r="BU617">
        <v>0</v>
      </c>
      <c r="BV617" t="s">
        <v>984</v>
      </c>
      <c r="BW617" t="s">
        <v>257</v>
      </c>
      <c r="BX617">
        <v>0</v>
      </c>
      <c r="BY617" t="s">
        <v>980</v>
      </c>
      <c r="BZ617" t="s">
        <v>257</v>
      </c>
      <c r="CA617">
        <v>0</v>
      </c>
      <c r="CB617">
        <v>0</v>
      </c>
      <c r="CC617" t="s">
        <v>1901</v>
      </c>
      <c r="CD617">
        <v>0</v>
      </c>
      <c r="CE617">
        <v>0</v>
      </c>
      <c r="CF617">
        <v>0</v>
      </c>
      <c r="CG617">
        <v>0</v>
      </c>
      <c r="CH617">
        <v>0</v>
      </c>
      <c r="CI617" t="s">
        <v>983</v>
      </c>
      <c r="CJ617" t="s">
        <v>972</v>
      </c>
      <c r="CK617" t="s">
        <v>986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 t="s">
        <v>987</v>
      </c>
      <c r="CV617">
        <v>400008621</v>
      </c>
      <c r="CW617" t="s">
        <v>987</v>
      </c>
      <c r="CX617" t="s">
        <v>4857</v>
      </c>
      <c r="CY617" t="s">
        <v>989</v>
      </c>
    </row>
    <row r="618" spans="1:103" hidden="1" x14ac:dyDescent="0.25">
      <c r="A618">
        <v>410000622</v>
      </c>
      <c r="B618" t="s">
        <v>4858</v>
      </c>
      <c r="C618" t="s">
        <v>4859</v>
      </c>
      <c r="D618">
        <v>401100000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1</v>
      </c>
      <c r="X618">
        <v>1</v>
      </c>
      <c r="Y618" t="s">
        <v>972</v>
      </c>
      <c r="Z618" t="s">
        <v>4860</v>
      </c>
      <c r="AA618" t="s">
        <v>4861</v>
      </c>
      <c r="AB618" t="s">
        <v>975</v>
      </c>
      <c r="AC618">
        <v>4053</v>
      </c>
      <c r="AD618" t="s">
        <v>2077</v>
      </c>
      <c r="AE618" t="s">
        <v>4862</v>
      </c>
      <c r="AF618" t="s">
        <v>979</v>
      </c>
      <c r="AG618" t="s">
        <v>4863</v>
      </c>
      <c r="AH618" t="s">
        <v>977</v>
      </c>
      <c r="AI618">
        <v>93110</v>
      </c>
      <c r="AJ618" t="s">
        <v>978</v>
      </c>
      <c r="AK618" t="s">
        <v>978</v>
      </c>
      <c r="AL618" t="s">
        <v>978</v>
      </c>
      <c r="AM618" t="s">
        <v>979</v>
      </c>
      <c r="AN618">
        <v>0</v>
      </c>
      <c r="AO618" t="s">
        <v>257</v>
      </c>
      <c r="AP618">
        <v>0</v>
      </c>
      <c r="AQ618">
        <v>18</v>
      </c>
      <c r="AR618">
        <v>43</v>
      </c>
      <c r="AS618">
        <v>1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1</v>
      </c>
      <c r="AZ618" t="s">
        <v>257</v>
      </c>
      <c r="BA618" t="s">
        <v>980</v>
      </c>
      <c r="BB618" t="s">
        <v>981</v>
      </c>
      <c r="BC618" t="s">
        <v>257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 t="s">
        <v>998</v>
      </c>
      <c r="BK618" t="s">
        <v>981</v>
      </c>
      <c r="BL618" t="s">
        <v>4864</v>
      </c>
      <c r="BM618">
        <v>20200729</v>
      </c>
      <c r="BN618">
        <v>20211021</v>
      </c>
      <c r="BO618">
        <v>0</v>
      </c>
      <c r="BP618" t="s">
        <v>257</v>
      </c>
      <c r="BQ618" t="s">
        <v>983</v>
      </c>
      <c r="BR618" t="s">
        <v>978</v>
      </c>
      <c r="BS618" t="s">
        <v>979</v>
      </c>
      <c r="BT618">
        <v>0</v>
      </c>
      <c r="BU618">
        <v>0</v>
      </c>
      <c r="BV618" t="s">
        <v>984</v>
      </c>
      <c r="BW618" t="s">
        <v>257</v>
      </c>
      <c r="BX618">
        <v>0</v>
      </c>
      <c r="BY618" t="s">
        <v>980</v>
      </c>
      <c r="BZ618" t="s">
        <v>257</v>
      </c>
      <c r="CA618">
        <v>0</v>
      </c>
      <c r="CB618">
        <v>0</v>
      </c>
      <c r="CC618" t="s">
        <v>1329</v>
      </c>
      <c r="CD618">
        <v>0</v>
      </c>
      <c r="CE618">
        <v>0</v>
      </c>
      <c r="CF618">
        <v>0</v>
      </c>
      <c r="CG618">
        <v>0</v>
      </c>
      <c r="CH618">
        <v>0</v>
      </c>
      <c r="CI618" t="s">
        <v>983</v>
      </c>
      <c r="CJ618" t="s">
        <v>972</v>
      </c>
      <c r="CK618" t="s">
        <v>986</v>
      </c>
      <c r="CL618">
        <v>0</v>
      </c>
      <c r="CM618">
        <v>1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 t="s">
        <v>987</v>
      </c>
      <c r="CV618">
        <v>400008622</v>
      </c>
      <c r="CW618" t="s">
        <v>987</v>
      </c>
      <c r="CX618" t="s">
        <v>4865</v>
      </c>
      <c r="CY618" t="s">
        <v>989</v>
      </c>
    </row>
    <row r="619" spans="1:103" hidden="1" x14ac:dyDescent="0.25">
      <c r="A619">
        <v>410000623</v>
      </c>
      <c r="B619" t="s">
        <v>4866</v>
      </c>
      <c r="C619" t="s">
        <v>978</v>
      </c>
      <c r="D619">
        <v>401100000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4</v>
      </c>
      <c r="W619">
        <v>1</v>
      </c>
      <c r="X619">
        <v>1</v>
      </c>
      <c r="Y619" t="s">
        <v>972</v>
      </c>
      <c r="Z619" t="s">
        <v>987</v>
      </c>
      <c r="AA619" t="s">
        <v>4867</v>
      </c>
      <c r="AB619" t="s">
        <v>975</v>
      </c>
      <c r="AC619">
        <v>4000</v>
      </c>
      <c r="AD619" t="s">
        <v>1019</v>
      </c>
      <c r="AE619">
        <v>32477314995</v>
      </c>
      <c r="AF619" t="s">
        <v>979</v>
      </c>
      <c r="AG619" t="s">
        <v>977</v>
      </c>
      <c r="AH619" t="s">
        <v>977</v>
      </c>
      <c r="AI619" t="s">
        <v>4868</v>
      </c>
      <c r="AJ619" t="s">
        <v>978</v>
      </c>
      <c r="AK619" t="s">
        <v>978</v>
      </c>
      <c r="AL619" t="s">
        <v>978</v>
      </c>
      <c r="AM619" t="s">
        <v>979</v>
      </c>
      <c r="AN619">
        <v>0</v>
      </c>
      <c r="AO619" t="s">
        <v>257</v>
      </c>
      <c r="AP619">
        <v>0</v>
      </c>
      <c r="AQ619">
        <v>1</v>
      </c>
      <c r="AR619">
        <v>43</v>
      </c>
      <c r="AS619">
        <v>1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1</v>
      </c>
      <c r="AZ619" t="s">
        <v>257</v>
      </c>
      <c r="BA619" t="s">
        <v>980</v>
      </c>
      <c r="BB619" t="s">
        <v>259</v>
      </c>
      <c r="BC619" t="s">
        <v>257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 t="s">
        <v>998</v>
      </c>
      <c r="BK619" t="s">
        <v>981</v>
      </c>
      <c r="BL619" t="s">
        <v>4866</v>
      </c>
      <c r="BM619">
        <v>20200803</v>
      </c>
      <c r="BN619">
        <v>20250211</v>
      </c>
      <c r="BO619">
        <v>20250211</v>
      </c>
      <c r="BP619" t="s">
        <v>257</v>
      </c>
      <c r="BQ619" t="s">
        <v>983</v>
      </c>
      <c r="BR619" t="s">
        <v>978</v>
      </c>
      <c r="BS619" t="s">
        <v>979</v>
      </c>
      <c r="BT619">
        <v>0</v>
      </c>
      <c r="BU619">
        <v>0</v>
      </c>
      <c r="BV619" t="s">
        <v>984</v>
      </c>
      <c r="BW619" t="s">
        <v>257</v>
      </c>
      <c r="BX619">
        <v>0</v>
      </c>
      <c r="BY619" t="s">
        <v>980</v>
      </c>
      <c r="BZ619" t="s">
        <v>257</v>
      </c>
      <c r="CA619">
        <v>0</v>
      </c>
      <c r="CB619">
        <v>0</v>
      </c>
      <c r="CC619" t="s">
        <v>1371</v>
      </c>
      <c r="CD619">
        <v>0</v>
      </c>
      <c r="CE619">
        <v>0</v>
      </c>
      <c r="CF619">
        <v>0</v>
      </c>
      <c r="CG619">
        <v>0</v>
      </c>
      <c r="CH619">
        <v>0</v>
      </c>
      <c r="CI619" t="s">
        <v>983</v>
      </c>
      <c r="CJ619" t="s">
        <v>972</v>
      </c>
      <c r="CK619" t="s">
        <v>986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 t="s">
        <v>987</v>
      </c>
      <c r="CV619">
        <v>400008623</v>
      </c>
      <c r="CW619" t="s">
        <v>987</v>
      </c>
      <c r="CX619" t="s">
        <v>4869</v>
      </c>
      <c r="CY619" t="s">
        <v>989</v>
      </c>
    </row>
    <row r="620" spans="1:103" hidden="1" x14ac:dyDescent="0.25">
      <c r="A620">
        <v>410000624</v>
      </c>
      <c r="B620" t="s">
        <v>4870</v>
      </c>
      <c r="C620" t="s">
        <v>4871</v>
      </c>
      <c r="D620">
        <v>401100000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1</v>
      </c>
      <c r="Y620" t="s">
        <v>972</v>
      </c>
      <c r="Z620" t="s">
        <v>987</v>
      </c>
      <c r="AA620" t="s">
        <v>4828</v>
      </c>
      <c r="AB620" t="s">
        <v>975</v>
      </c>
      <c r="AC620">
        <v>4800</v>
      </c>
      <c r="AD620" t="s">
        <v>1124</v>
      </c>
      <c r="AE620">
        <v>3287293939</v>
      </c>
      <c r="AF620" t="s">
        <v>979</v>
      </c>
      <c r="AG620" t="s">
        <v>977</v>
      </c>
      <c r="AH620" t="s">
        <v>977</v>
      </c>
      <c r="AI620" t="s">
        <v>977</v>
      </c>
      <c r="AJ620" t="s">
        <v>978</v>
      </c>
      <c r="AK620" t="s">
        <v>978</v>
      </c>
      <c r="AL620" t="s">
        <v>978</v>
      </c>
      <c r="AM620" t="s">
        <v>979</v>
      </c>
      <c r="AN620">
        <v>0</v>
      </c>
      <c r="AO620" t="s">
        <v>257</v>
      </c>
      <c r="AP620">
        <v>0</v>
      </c>
      <c r="AQ620">
        <v>1</v>
      </c>
      <c r="AR620">
        <v>43</v>
      </c>
      <c r="AS620">
        <v>1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1</v>
      </c>
      <c r="AZ620" t="s">
        <v>257</v>
      </c>
      <c r="BA620" t="s">
        <v>980</v>
      </c>
      <c r="BB620" t="s">
        <v>981</v>
      </c>
      <c r="BC620" t="s">
        <v>257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 t="s">
        <v>998</v>
      </c>
      <c r="BK620" t="s">
        <v>981</v>
      </c>
      <c r="BL620" t="s">
        <v>4870</v>
      </c>
      <c r="BM620">
        <v>20200806</v>
      </c>
      <c r="BN620">
        <v>20201120</v>
      </c>
      <c r="BO620">
        <v>0</v>
      </c>
      <c r="BP620" t="s">
        <v>257</v>
      </c>
      <c r="BQ620" t="s">
        <v>983</v>
      </c>
      <c r="BR620" t="s">
        <v>978</v>
      </c>
      <c r="BS620" t="s">
        <v>979</v>
      </c>
      <c r="BT620">
        <v>0</v>
      </c>
      <c r="BU620">
        <v>0</v>
      </c>
      <c r="BV620" t="s">
        <v>984</v>
      </c>
      <c r="BW620" t="s">
        <v>257</v>
      </c>
      <c r="BX620">
        <v>0</v>
      </c>
      <c r="BY620" t="s">
        <v>980</v>
      </c>
      <c r="BZ620" t="s">
        <v>257</v>
      </c>
      <c r="CA620">
        <v>0</v>
      </c>
      <c r="CB620">
        <v>0</v>
      </c>
      <c r="CC620" t="s">
        <v>1161</v>
      </c>
      <c r="CD620">
        <v>0</v>
      </c>
      <c r="CE620">
        <v>0</v>
      </c>
      <c r="CF620">
        <v>0</v>
      </c>
      <c r="CG620">
        <v>0</v>
      </c>
      <c r="CH620">
        <v>0</v>
      </c>
      <c r="CI620" t="s">
        <v>983</v>
      </c>
      <c r="CJ620" t="s">
        <v>972</v>
      </c>
      <c r="CK620" t="s">
        <v>986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 t="s">
        <v>987</v>
      </c>
      <c r="CV620">
        <v>400008624</v>
      </c>
      <c r="CW620" t="s">
        <v>987</v>
      </c>
      <c r="CX620" t="s">
        <v>4831</v>
      </c>
      <c r="CY620" t="s">
        <v>989</v>
      </c>
    </row>
    <row r="621" spans="1:103" hidden="1" x14ac:dyDescent="0.25">
      <c r="A621">
        <v>410000625</v>
      </c>
      <c r="B621" t="s">
        <v>4872</v>
      </c>
      <c r="C621" t="s">
        <v>4873</v>
      </c>
      <c r="D621">
        <v>401100000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1</v>
      </c>
      <c r="Y621" t="s">
        <v>972</v>
      </c>
      <c r="Z621" t="s">
        <v>987</v>
      </c>
      <c r="AA621" t="s">
        <v>4874</v>
      </c>
      <c r="AB621" t="s">
        <v>975</v>
      </c>
      <c r="AC621">
        <v>1460</v>
      </c>
      <c r="AD621" t="s">
        <v>4875</v>
      </c>
      <c r="AE621">
        <v>3223919108</v>
      </c>
      <c r="AF621" t="s">
        <v>979</v>
      </c>
      <c r="AG621" t="s">
        <v>977</v>
      </c>
      <c r="AH621" t="s">
        <v>977</v>
      </c>
      <c r="AI621">
        <v>24100</v>
      </c>
      <c r="AJ621" t="s">
        <v>978</v>
      </c>
      <c r="AK621" t="s">
        <v>978</v>
      </c>
      <c r="AL621">
        <v>5</v>
      </c>
      <c r="AM621" t="s">
        <v>979</v>
      </c>
      <c r="AN621">
        <v>0</v>
      </c>
      <c r="AO621" t="s">
        <v>257</v>
      </c>
      <c r="AP621">
        <v>0</v>
      </c>
      <c r="AQ621">
        <v>1</v>
      </c>
      <c r="AR621">
        <v>43</v>
      </c>
      <c r="AS621">
        <v>1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1</v>
      </c>
      <c r="AZ621" t="s">
        <v>257</v>
      </c>
      <c r="BA621" t="s">
        <v>980</v>
      </c>
      <c r="BB621" t="s">
        <v>981</v>
      </c>
      <c r="BC621" t="s">
        <v>257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 t="s">
        <v>998</v>
      </c>
      <c r="BK621" t="s">
        <v>981</v>
      </c>
      <c r="BL621" t="s">
        <v>4872</v>
      </c>
      <c r="BM621">
        <v>20200821</v>
      </c>
      <c r="BN621">
        <v>20200825</v>
      </c>
      <c r="BO621">
        <v>0</v>
      </c>
      <c r="BP621" t="s">
        <v>257</v>
      </c>
      <c r="BQ621" t="s">
        <v>983</v>
      </c>
      <c r="BR621" t="s">
        <v>978</v>
      </c>
      <c r="BS621">
        <v>32478588075</v>
      </c>
      <c r="BT621">
        <v>0</v>
      </c>
      <c r="BU621">
        <v>0</v>
      </c>
      <c r="BV621" t="s">
        <v>984</v>
      </c>
      <c r="BW621" t="s">
        <v>257</v>
      </c>
      <c r="BX621">
        <v>0</v>
      </c>
      <c r="BY621" t="s">
        <v>980</v>
      </c>
      <c r="BZ621" t="s">
        <v>257</v>
      </c>
      <c r="CA621">
        <v>0</v>
      </c>
      <c r="CB621">
        <v>0</v>
      </c>
      <c r="CC621" t="s">
        <v>1033</v>
      </c>
      <c r="CD621">
        <v>0</v>
      </c>
      <c r="CE621">
        <v>0</v>
      </c>
      <c r="CF621">
        <v>0</v>
      </c>
      <c r="CG621">
        <v>0</v>
      </c>
      <c r="CH621">
        <v>0</v>
      </c>
      <c r="CI621" t="s">
        <v>983</v>
      </c>
      <c r="CJ621" t="s">
        <v>972</v>
      </c>
      <c r="CK621" t="s">
        <v>986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 t="s">
        <v>987</v>
      </c>
      <c r="CV621">
        <v>400008625</v>
      </c>
      <c r="CW621" t="s">
        <v>987</v>
      </c>
      <c r="CX621" t="s">
        <v>4876</v>
      </c>
      <c r="CY621" t="s">
        <v>989</v>
      </c>
    </row>
    <row r="622" spans="1:103" hidden="1" x14ac:dyDescent="0.25">
      <c r="A622">
        <v>410000626</v>
      </c>
      <c r="B622" t="s">
        <v>4877</v>
      </c>
      <c r="C622" t="s">
        <v>4878</v>
      </c>
      <c r="D622">
        <v>401100000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1</v>
      </c>
      <c r="Y622" t="s">
        <v>972</v>
      </c>
      <c r="Z622" t="s">
        <v>987</v>
      </c>
      <c r="AA622" t="s">
        <v>4879</v>
      </c>
      <c r="AB622" t="s">
        <v>975</v>
      </c>
      <c r="AC622">
        <v>4624</v>
      </c>
      <c r="AD622" t="s">
        <v>1368</v>
      </c>
      <c r="AE622" t="s">
        <v>979</v>
      </c>
      <c r="AF622" t="s">
        <v>979</v>
      </c>
      <c r="AG622" t="s">
        <v>977</v>
      </c>
      <c r="AH622" t="s">
        <v>977</v>
      </c>
      <c r="AI622">
        <v>69201</v>
      </c>
      <c r="AJ622" t="s">
        <v>978</v>
      </c>
      <c r="AK622" t="s">
        <v>978</v>
      </c>
      <c r="AL622" t="s">
        <v>978</v>
      </c>
      <c r="AM622" t="s">
        <v>979</v>
      </c>
      <c r="AN622">
        <v>0</v>
      </c>
      <c r="AO622" t="s">
        <v>257</v>
      </c>
      <c r="AP622">
        <v>0</v>
      </c>
      <c r="AQ622">
        <v>18</v>
      </c>
      <c r="AR622">
        <v>43</v>
      </c>
      <c r="AS622">
        <v>1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1</v>
      </c>
      <c r="AZ622" t="s">
        <v>257</v>
      </c>
      <c r="BA622" t="s">
        <v>980</v>
      </c>
      <c r="BB622" t="s">
        <v>981</v>
      </c>
      <c r="BC622" t="s">
        <v>257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 t="s">
        <v>998</v>
      </c>
      <c r="BK622" t="s">
        <v>981</v>
      </c>
      <c r="BL622" t="s">
        <v>4877</v>
      </c>
      <c r="BM622">
        <v>20200902</v>
      </c>
      <c r="BN622">
        <v>20211021</v>
      </c>
      <c r="BO622">
        <v>0</v>
      </c>
      <c r="BP622" t="s">
        <v>257</v>
      </c>
      <c r="BQ622" t="s">
        <v>983</v>
      </c>
      <c r="BR622" t="s">
        <v>978</v>
      </c>
      <c r="BS622">
        <v>32474881837</v>
      </c>
      <c r="BT622">
        <v>0</v>
      </c>
      <c r="BU622">
        <v>0</v>
      </c>
      <c r="BV622" t="s">
        <v>984</v>
      </c>
      <c r="BW622" t="s">
        <v>257</v>
      </c>
      <c r="BX622">
        <v>0</v>
      </c>
      <c r="BY622" t="s">
        <v>980</v>
      </c>
      <c r="BZ622" t="s">
        <v>257</v>
      </c>
      <c r="CA622">
        <v>0</v>
      </c>
      <c r="CB622">
        <v>0</v>
      </c>
      <c r="CC622" t="s">
        <v>1430</v>
      </c>
      <c r="CD622">
        <v>0</v>
      </c>
      <c r="CE622">
        <v>0</v>
      </c>
      <c r="CF622">
        <v>0</v>
      </c>
      <c r="CG622">
        <v>0</v>
      </c>
      <c r="CH622">
        <v>0</v>
      </c>
      <c r="CI622" t="s">
        <v>983</v>
      </c>
      <c r="CJ622" t="s">
        <v>972</v>
      </c>
      <c r="CK622" t="s">
        <v>986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 t="s">
        <v>987</v>
      </c>
      <c r="CV622">
        <v>400008626</v>
      </c>
      <c r="CW622" t="s">
        <v>987</v>
      </c>
      <c r="CX622" t="s">
        <v>4880</v>
      </c>
      <c r="CY622" t="s">
        <v>989</v>
      </c>
    </row>
    <row r="623" spans="1:103" hidden="1" x14ac:dyDescent="0.25">
      <c r="A623">
        <v>410000627</v>
      </c>
      <c r="B623" t="s">
        <v>4881</v>
      </c>
      <c r="C623" t="s">
        <v>4882</v>
      </c>
      <c r="D623">
        <v>401100000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1</v>
      </c>
      <c r="Y623" t="s">
        <v>972</v>
      </c>
      <c r="Z623" t="s">
        <v>4883</v>
      </c>
      <c r="AA623" t="s">
        <v>4884</v>
      </c>
      <c r="AB623" t="s">
        <v>975</v>
      </c>
      <c r="AC623">
        <v>4800</v>
      </c>
      <c r="AD623" t="s">
        <v>1124</v>
      </c>
      <c r="AE623" t="s">
        <v>979</v>
      </c>
      <c r="AF623" t="s">
        <v>979</v>
      </c>
      <c r="AG623" t="s">
        <v>977</v>
      </c>
      <c r="AH623" t="s">
        <v>977</v>
      </c>
      <c r="AI623">
        <v>71111</v>
      </c>
      <c r="AJ623" t="s">
        <v>978</v>
      </c>
      <c r="AK623" t="s">
        <v>978</v>
      </c>
      <c r="AL623" t="s">
        <v>978</v>
      </c>
      <c r="AM623" t="s">
        <v>979</v>
      </c>
      <c r="AN623">
        <v>0</v>
      </c>
      <c r="AO623" t="s">
        <v>257</v>
      </c>
      <c r="AP623">
        <v>0</v>
      </c>
      <c r="AQ623">
        <v>1</v>
      </c>
      <c r="AR623">
        <v>43</v>
      </c>
      <c r="AS623">
        <v>1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1</v>
      </c>
      <c r="AZ623" t="s">
        <v>257</v>
      </c>
      <c r="BA623" t="s">
        <v>980</v>
      </c>
      <c r="BB623" t="s">
        <v>981</v>
      </c>
      <c r="BC623" t="s">
        <v>257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 t="s">
        <v>998</v>
      </c>
      <c r="BK623" t="s">
        <v>981</v>
      </c>
      <c r="BL623" t="s">
        <v>4881</v>
      </c>
      <c r="BM623">
        <v>20200904</v>
      </c>
      <c r="BN623">
        <v>20200908</v>
      </c>
      <c r="BO623">
        <v>0</v>
      </c>
      <c r="BP623" t="s">
        <v>257</v>
      </c>
      <c r="BQ623" t="s">
        <v>983</v>
      </c>
      <c r="BR623" t="s">
        <v>978</v>
      </c>
      <c r="BS623">
        <v>32498778914</v>
      </c>
      <c r="BT623">
        <v>0</v>
      </c>
      <c r="BU623">
        <v>0</v>
      </c>
      <c r="BV623" t="s">
        <v>984</v>
      </c>
      <c r="BW623" t="s">
        <v>257</v>
      </c>
      <c r="BX623">
        <v>0</v>
      </c>
      <c r="BY623" t="s">
        <v>980</v>
      </c>
      <c r="BZ623" t="s">
        <v>257</v>
      </c>
      <c r="CA623">
        <v>0</v>
      </c>
      <c r="CB623">
        <v>0</v>
      </c>
      <c r="CC623" t="s">
        <v>3687</v>
      </c>
      <c r="CD623">
        <v>0</v>
      </c>
      <c r="CE623">
        <v>0</v>
      </c>
      <c r="CF623">
        <v>0</v>
      </c>
      <c r="CG623">
        <v>0</v>
      </c>
      <c r="CH623">
        <v>0</v>
      </c>
      <c r="CI623" t="s">
        <v>983</v>
      </c>
      <c r="CJ623" t="s">
        <v>972</v>
      </c>
      <c r="CK623" t="s">
        <v>986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 t="s">
        <v>987</v>
      </c>
      <c r="CV623">
        <v>400008627</v>
      </c>
      <c r="CW623" t="s">
        <v>987</v>
      </c>
      <c r="CX623" t="s">
        <v>4885</v>
      </c>
      <c r="CY623" t="s">
        <v>989</v>
      </c>
    </row>
    <row r="624" spans="1:103" hidden="1" x14ac:dyDescent="0.25">
      <c r="A624">
        <v>410000628</v>
      </c>
      <c r="B624" t="s">
        <v>4886</v>
      </c>
      <c r="C624" t="s">
        <v>4887</v>
      </c>
      <c r="D624">
        <v>401100000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1</v>
      </c>
      <c r="Y624" t="s">
        <v>972</v>
      </c>
      <c r="Z624" t="s">
        <v>987</v>
      </c>
      <c r="AA624" t="s">
        <v>4888</v>
      </c>
      <c r="AB624" t="s">
        <v>975</v>
      </c>
      <c r="AC624">
        <v>1410</v>
      </c>
      <c r="AD624" t="s">
        <v>2472</v>
      </c>
      <c r="AE624" t="s">
        <v>979</v>
      </c>
      <c r="AF624" t="s">
        <v>979</v>
      </c>
      <c r="AG624" t="s">
        <v>977</v>
      </c>
      <c r="AH624" t="s">
        <v>977</v>
      </c>
      <c r="AI624">
        <v>62090</v>
      </c>
      <c r="AJ624" t="s">
        <v>4889</v>
      </c>
      <c r="AK624" t="s">
        <v>978</v>
      </c>
      <c r="AL624" t="s">
        <v>978</v>
      </c>
      <c r="AM624" t="s">
        <v>979</v>
      </c>
      <c r="AN624">
        <v>0</v>
      </c>
      <c r="AO624" t="s">
        <v>257</v>
      </c>
      <c r="AP624">
        <v>0</v>
      </c>
      <c r="AQ624">
        <v>1</v>
      </c>
      <c r="AR624">
        <v>43</v>
      </c>
      <c r="AS624">
        <v>1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1</v>
      </c>
      <c r="AZ624" t="s">
        <v>257</v>
      </c>
      <c r="BA624" t="s">
        <v>980</v>
      </c>
      <c r="BB624" t="s">
        <v>981</v>
      </c>
      <c r="BC624" t="s">
        <v>257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 t="s">
        <v>998</v>
      </c>
      <c r="BK624" t="s">
        <v>981</v>
      </c>
      <c r="BL624" t="s">
        <v>4886</v>
      </c>
      <c r="BM624">
        <v>20200916</v>
      </c>
      <c r="BN624">
        <v>20200917</v>
      </c>
      <c r="BO624">
        <v>0</v>
      </c>
      <c r="BP624" t="s">
        <v>257</v>
      </c>
      <c r="BQ624" t="s">
        <v>983</v>
      </c>
      <c r="BR624" t="s">
        <v>978</v>
      </c>
      <c r="BS624">
        <v>32488622864</v>
      </c>
      <c r="BT624">
        <v>0</v>
      </c>
      <c r="BU624">
        <v>0</v>
      </c>
      <c r="BV624" t="s">
        <v>984</v>
      </c>
      <c r="BW624" t="s">
        <v>257</v>
      </c>
      <c r="BX624">
        <v>0</v>
      </c>
      <c r="BY624" t="s">
        <v>980</v>
      </c>
      <c r="BZ624" t="s">
        <v>257</v>
      </c>
      <c r="CA624">
        <v>0</v>
      </c>
      <c r="CB624">
        <v>0</v>
      </c>
      <c r="CC624" t="s">
        <v>1901</v>
      </c>
      <c r="CD624">
        <v>0</v>
      </c>
      <c r="CE624">
        <v>0</v>
      </c>
      <c r="CF624">
        <v>0</v>
      </c>
      <c r="CG624">
        <v>0</v>
      </c>
      <c r="CH624">
        <v>0</v>
      </c>
      <c r="CI624" t="s">
        <v>983</v>
      </c>
      <c r="CJ624" t="s">
        <v>972</v>
      </c>
      <c r="CK624" t="s">
        <v>986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 t="s">
        <v>987</v>
      </c>
      <c r="CV624">
        <v>400008628</v>
      </c>
      <c r="CW624" t="s">
        <v>987</v>
      </c>
      <c r="CX624" t="s">
        <v>4890</v>
      </c>
      <c r="CY624" t="s">
        <v>989</v>
      </c>
    </row>
    <row r="625" spans="1:103" hidden="1" x14ac:dyDescent="0.25">
      <c r="A625">
        <v>410000629</v>
      </c>
      <c r="B625" t="s">
        <v>4891</v>
      </c>
      <c r="C625" t="s">
        <v>4892</v>
      </c>
      <c r="D625">
        <v>401100000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1</v>
      </c>
      <c r="Y625" t="s">
        <v>972</v>
      </c>
      <c r="Z625" t="s">
        <v>4893</v>
      </c>
      <c r="AA625" t="s">
        <v>4894</v>
      </c>
      <c r="AB625" t="s">
        <v>975</v>
      </c>
      <c r="AC625">
        <v>1410</v>
      </c>
      <c r="AD625" t="s">
        <v>2472</v>
      </c>
      <c r="AE625" t="s">
        <v>4895</v>
      </c>
      <c r="AF625" t="s">
        <v>979</v>
      </c>
      <c r="AG625" t="s">
        <v>977</v>
      </c>
      <c r="AH625" t="s">
        <v>977</v>
      </c>
      <c r="AI625">
        <v>81300</v>
      </c>
      <c r="AJ625" t="s">
        <v>4896</v>
      </c>
      <c r="AK625" t="s">
        <v>978</v>
      </c>
      <c r="AL625" t="s">
        <v>978</v>
      </c>
      <c r="AM625" t="s">
        <v>979</v>
      </c>
      <c r="AN625">
        <v>0</v>
      </c>
      <c r="AO625" t="s">
        <v>257</v>
      </c>
      <c r="AP625">
        <v>0</v>
      </c>
      <c r="AQ625">
        <v>1</v>
      </c>
      <c r="AR625">
        <v>43</v>
      </c>
      <c r="AS625">
        <v>1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1</v>
      </c>
      <c r="AZ625" t="s">
        <v>257</v>
      </c>
      <c r="BA625" t="s">
        <v>980</v>
      </c>
      <c r="BB625" t="s">
        <v>981</v>
      </c>
      <c r="BC625" t="s">
        <v>257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 t="s">
        <v>998</v>
      </c>
      <c r="BK625" t="s">
        <v>981</v>
      </c>
      <c r="BL625" t="s">
        <v>4891</v>
      </c>
      <c r="BM625">
        <v>20200923</v>
      </c>
      <c r="BN625">
        <v>20200929</v>
      </c>
      <c r="BO625">
        <v>0</v>
      </c>
      <c r="BP625" t="s">
        <v>257</v>
      </c>
      <c r="BQ625" t="s">
        <v>983</v>
      </c>
      <c r="BR625" t="s">
        <v>978</v>
      </c>
      <c r="BS625" t="s">
        <v>979</v>
      </c>
      <c r="BT625">
        <v>0</v>
      </c>
      <c r="BU625">
        <v>0</v>
      </c>
      <c r="BV625" t="s">
        <v>984</v>
      </c>
      <c r="BW625" t="s">
        <v>257</v>
      </c>
      <c r="BX625">
        <v>0</v>
      </c>
      <c r="BY625" t="s">
        <v>980</v>
      </c>
      <c r="BZ625" t="s">
        <v>257</v>
      </c>
      <c r="CA625">
        <v>0</v>
      </c>
      <c r="CB625">
        <v>0</v>
      </c>
      <c r="CC625" t="s">
        <v>1901</v>
      </c>
      <c r="CD625">
        <v>0</v>
      </c>
      <c r="CE625">
        <v>0</v>
      </c>
      <c r="CF625">
        <v>0</v>
      </c>
      <c r="CG625">
        <v>0</v>
      </c>
      <c r="CH625">
        <v>0</v>
      </c>
      <c r="CI625" t="s">
        <v>983</v>
      </c>
      <c r="CJ625" t="s">
        <v>972</v>
      </c>
      <c r="CK625" t="s">
        <v>986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 t="s">
        <v>987</v>
      </c>
      <c r="CV625">
        <v>400008629</v>
      </c>
      <c r="CW625" t="s">
        <v>987</v>
      </c>
      <c r="CX625" t="s">
        <v>4897</v>
      </c>
      <c r="CY625" t="s">
        <v>989</v>
      </c>
    </row>
    <row r="626" spans="1:103" hidden="1" x14ac:dyDescent="0.25">
      <c r="A626">
        <v>410000630</v>
      </c>
      <c r="B626" t="s">
        <v>4898</v>
      </c>
      <c r="C626" t="s">
        <v>4899</v>
      </c>
      <c r="D626">
        <v>401100000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1</v>
      </c>
      <c r="X626">
        <v>1</v>
      </c>
      <c r="Y626" t="s">
        <v>972</v>
      </c>
      <c r="Z626" t="s">
        <v>4900</v>
      </c>
      <c r="AA626" t="s">
        <v>4901</v>
      </c>
      <c r="AB626" t="s">
        <v>975</v>
      </c>
      <c r="AC626">
        <v>4000</v>
      </c>
      <c r="AD626" t="s">
        <v>1019</v>
      </c>
      <c r="AE626" t="s">
        <v>4902</v>
      </c>
      <c r="AF626" t="s">
        <v>979</v>
      </c>
      <c r="AG626" t="s">
        <v>4903</v>
      </c>
      <c r="AH626" t="s">
        <v>977</v>
      </c>
      <c r="AI626">
        <v>90042</v>
      </c>
      <c r="AJ626" t="s">
        <v>978</v>
      </c>
      <c r="AK626" t="s">
        <v>978</v>
      </c>
      <c r="AL626" t="s">
        <v>978</v>
      </c>
      <c r="AM626" t="s">
        <v>979</v>
      </c>
      <c r="AN626">
        <v>0</v>
      </c>
      <c r="AO626" t="s">
        <v>257</v>
      </c>
      <c r="AP626">
        <v>0</v>
      </c>
      <c r="AQ626">
        <v>18</v>
      </c>
      <c r="AR626">
        <v>43</v>
      </c>
      <c r="AS626">
        <v>1</v>
      </c>
      <c r="AT626">
        <v>0</v>
      </c>
      <c r="AU626">
        <v>1</v>
      </c>
      <c r="AV626">
        <v>0</v>
      </c>
      <c r="AW626">
        <v>0</v>
      </c>
      <c r="AX626">
        <v>0</v>
      </c>
      <c r="AY626">
        <v>1</v>
      </c>
      <c r="AZ626" t="s">
        <v>257</v>
      </c>
      <c r="BA626" t="s">
        <v>980</v>
      </c>
      <c r="BB626" t="s">
        <v>981</v>
      </c>
      <c r="BC626" t="s">
        <v>257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 t="s">
        <v>998</v>
      </c>
      <c r="BK626" t="s">
        <v>981</v>
      </c>
      <c r="BL626" t="s">
        <v>4898</v>
      </c>
      <c r="BM626">
        <v>20201006</v>
      </c>
      <c r="BN626">
        <v>20211021</v>
      </c>
      <c r="BO626">
        <v>0</v>
      </c>
      <c r="BP626" t="s">
        <v>257</v>
      </c>
      <c r="BQ626" t="s">
        <v>983</v>
      </c>
      <c r="BR626" t="s">
        <v>978</v>
      </c>
      <c r="BS626" t="s">
        <v>979</v>
      </c>
      <c r="BT626">
        <v>0</v>
      </c>
      <c r="BU626">
        <v>0</v>
      </c>
      <c r="BV626" t="s">
        <v>984</v>
      </c>
      <c r="BW626" t="s">
        <v>257</v>
      </c>
      <c r="BX626">
        <v>0</v>
      </c>
      <c r="BY626" t="s">
        <v>980</v>
      </c>
      <c r="BZ626" t="s">
        <v>257</v>
      </c>
      <c r="CA626">
        <v>0</v>
      </c>
      <c r="CB626">
        <v>0</v>
      </c>
      <c r="CC626" t="s">
        <v>1848</v>
      </c>
      <c r="CD626">
        <v>0</v>
      </c>
      <c r="CE626">
        <v>0</v>
      </c>
      <c r="CF626">
        <v>0</v>
      </c>
      <c r="CG626">
        <v>0</v>
      </c>
      <c r="CH626">
        <v>0</v>
      </c>
      <c r="CI626" t="s">
        <v>983</v>
      </c>
      <c r="CJ626" t="s">
        <v>972</v>
      </c>
      <c r="CK626" t="s">
        <v>986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 t="s">
        <v>987</v>
      </c>
      <c r="CV626">
        <v>400008630</v>
      </c>
      <c r="CW626" t="s">
        <v>987</v>
      </c>
      <c r="CX626" t="s">
        <v>4904</v>
      </c>
      <c r="CY626" t="s">
        <v>989</v>
      </c>
    </row>
    <row r="627" spans="1:103" hidden="1" x14ac:dyDescent="0.25">
      <c r="A627">
        <v>410000631</v>
      </c>
      <c r="B627" t="s">
        <v>4905</v>
      </c>
      <c r="C627" t="s">
        <v>4906</v>
      </c>
      <c r="D627">
        <v>401100000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1</v>
      </c>
      <c r="Y627" t="s">
        <v>972</v>
      </c>
      <c r="Z627" t="s">
        <v>4907</v>
      </c>
      <c r="AA627" t="s">
        <v>4908</v>
      </c>
      <c r="AB627" t="s">
        <v>975</v>
      </c>
      <c r="AC627">
        <v>7070</v>
      </c>
      <c r="AD627" t="s">
        <v>4909</v>
      </c>
      <c r="AE627" t="s">
        <v>979</v>
      </c>
      <c r="AF627" t="s">
        <v>979</v>
      </c>
      <c r="AG627" t="s">
        <v>977</v>
      </c>
      <c r="AH627" t="s">
        <v>977</v>
      </c>
      <c r="AI627">
        <v>49410</v>
      </c>
      <c r="AJ627" t="s">
        <v>4910</v>
      </c>
      <c r="AK627" t="s">
        <v>978</v>
      </c>
      <c r="AL627" t="s">
        <v>978</v>
      </c>
      <c r="AM627" t="s">
        <v>979</v>
      </c>
      <c r="AN627">
        <v>0</v>
      </c>
      <c r="AO627" t="s">
        <v>257</v>
      </c>
      <c r="AP627">
        <v>0</v>
      </c>
      <c r="AQ627">
        <v>1</v>
      </c>
      <c r="AR627">
        <v>43</v>
      </c>
      <c r="AS627">
        <v>1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1</v>
      </c>
      <c r="AZ627" t="s">
        <v>257</v>
      </c>
      <c r="BA627" t="s">
        <v>980</v>
      </c>
      <c r="BB627" t="s">
        <v>981</v>
      </c>
      <c r="BC627" t="s">
        <v>257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 t="s">
        <v>998</v>
      </c>
      <c r="BK627" t="s">
        <v>981</v>
      </c>
      <c r="BL627" t="s">
        <v>4905</v>
      </c>
      <c r="BM627">
        <v>20201009</v>
      </c>
      <c r="BN627">
        <v>20220201</v>
      </c>
      <c r="BO627">
        <v>0</v>
      </c>
      <c r="BP627" t="s">
        <v>257</v>
      </c>
      <c r="BQ627" t="s">
        <v>983</v>
      </c>
      <c r="BR627" t="s">
        <v>978</v>
      </c>
      <c r="BS627">
        <f>32495/214128</f>
        <v>0.1517550250317567</v>
      </c>
      <c r="BT627">
        <v>0</v>
      </c>
      <c r="BU627">
        <v>0</v>
      </c>
      <c r="BV627" t="s">
        <v>984</v>
      </c>
      <c r="BW627" t="s">
        <v>257</v>
      </c>
      <c r="BX627">
        <v>0</v>
      </c>
      <c r="BY627" t="s">
        <v>980</v>
      </c>
      <c r="BZ627" t="s">
        <v>257</v>
      </c>
      <c r="CA627">
        <v>0</v>
      </c>
      <c r="CB627">
        <v>0</v>
      </c>
      <c r="CC627" t="s">
        <v>1901</v>
      </c>
      <c r="CD627">
        <v>0</v>
      </c>
      <c r="CE627">
        <v>0</v>
      </c>
      <c r="CF627">
        <v>0</v>
      </c>
      <c r="CG627">
        <v>0</v>
      </c>
      <c r="CH627">
        <v>0</v>
      </c>
      <c r="CI627" t="s">
        <v>983</v>
      </c>
      <c r="CJ627" t="s">
        <v>972</v>
      </c>
      <c r="CK627" t="s">
        <v>986</v>
      </c>
      <c r="CL627">
        <v>0</v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 t="s">
        <v>987</v>
      </c>
      <c r="CV627">
        <v>400008631</v>
      </c>
      <c r="CW627" t="s">
        <v>987</v>
      </c>
      <c r="CX627" t="s">
        <v>4911</v>
      </c>
      <c r="CY627" t="s">
        <v>989</v>
      </c>
    </row>
    <row r="628" spans="1:103" hidden="1" x14ac:dyDescent="0.25">
      <c r="A628">
        <v>410000632</v>
      </c>
      <c r="B628" t="s">
        <v>4912</v>
      </c>
      <c r="C628" t="s">
        <v>4913</v>
      </c>
      <c r="D628">
        <v>401100000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1</v>
      </c>
      <c r="Y628" t="s">
        <v>972</v>
      </c>
      <c r="Z628" t="s">
        <v>4914</v>
      </c>
      <c r="AA628" t="s">
        <v>4915</v>
      </c>
      <c r="AB628" t="s">
        <v>975</v>
      </c>
      <c r="AC628">
        <v>4030</v>
      </c>
      <c r="AD628" t="s">
        <v>2522</v>
      </c>
      <c r="AE628" t="s">
        <v>4916</v>
      </c>
      <c r="AF628" t="s">
        <v>979</v>
      </c>
      <c r="AG628" t="s">
        <v>977</v>
      </c>
      <c r="AH628" t="s">
        <v>977</v>
      </c>
      <c r="AI628">
        <v>81220</v>
      </c>
      <c r="AJ628" t="s">
        <v>978</v>
      </c>
      <c r="AK628" t="s">
        <v>978</v>
      </c>
      <c r="AL628" t="s">
        <v>978</v>
      </c>
      <c r="AM628" t="s">
        <v>979</v>
      </c>
      <c r="AN628">
        <v>0</v>
      </c>
      <c r="AO628" t="s">
        <v>257</v>
      </c>
      <c r="AP628">
        <v>0</v>
      </c>
      <c r="AQ628">
        <v>18</v>
      </c>
      <c r="AR628">
        <v>69</v>
      </c>
      <c r="AS628">
        <v>1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1</v>
      </c>
      <c r="AZ628" t="s">
        <v>257</v>
      </c>
      <c r="BA628" t="s">
        <v>980</v>
      </c>
      <c r="BB628" t="s">
        <v>981</v>
      </c>
      <c r="BC628" t="s">
        <v>257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 t="s">
        <v>998</v>
      </c>
      <c r="BK628" t="s">
        <v>981</v>
      </c>
      <c r="BL628" t="s">
        <v>4912</v>
      </c>
      <c r="BM628">
        <v>20201022</v>
      </c>
      <c r="BN628">
        <v>20240910</v>
      </c>
      <c r="BO628">
        <v>0</v>
      </c>
      <c r="BP628" t="s">
        <v>257</v>
      </c>
      <c r="BQ628" t="s">
        <v>983</v>
      </c>
      <c r="BR628" t="s">
        <v>978</v>
      </c>
      <c r="BS628" t="s">
        <v>979</v>
      </c>
      <c r="BT628">
        <v>0</v>
      </c>
      <c r="BU628">
        <v>0</v>
      </c>
      <c r="BV628" t="s">
        <v>984</v>
      </c>
      <c r="BW628" t="s">
        <v>257</v>
      </c>
      <c r="BX628">
        <v>0</v>
      </c>
      <c r="BY628" t="s">
        <v>980</v>
      </c>
      <c r="BZ628" t="s">
        <v>257</v>
      </c>
      <c r="CA628">
        <v>0</v>
      </c>
      <c r="CB628">
        <v>0</v>
      </c>
      <c r="CC628" t="s">
        <v>1371</v>
      </c>
      <c r="CD628">
        <v>0</v>
      </c>
      <c r="CE628">
        <v>0</v>
      </c>
      <c r="CF628">
        <v>0</v>
      </c>
      <c r="CG628">
        <v>0</v>
      </c>
      <c r="CH628">
        <v>0</v>
      </c>
      <c r="CI628" t="s">
        <v>983</v>
      </c>
      <c r="CJ628" t="s">
        <v>972</v>
      </c>
      <c r="CK628" t="s">
        <v>986</v>
      </c>
      <c r="CL628">
        <v>0</v>
      </c>
      <c r="CM628">
        <v>1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 t="s">
        <v>987</v>
      </c>
      <c r="CV628">
        <v>400008632</v>
      </c>
      <c r="CW628" t="s">
        <v>987</v>
      </c>
      <c r="CX628" t="s">
        <v>4917</v>
      </c>
      <c r="CY628" t="s">
        <v>989</v>
      </c>
    </row>
    <row r="629" spans="1:103" hidden="1" x14ac:dyDescent="0.25">
      <c r="A629">
        <v>410000633</v>
      </c>
      <c r="B629" t="s">
        <v>4918</v>
      </c>
      <c r="C629" t="s">
        <v>4919</v>
      </c>
      <c r="D629">
        <v>401100000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1</v>
      </c>
      <c r="Y629" t="s">
        <v>972</v>
      </c>
      <c r="Z629" t="s">
        <v>4920</v>
      </c>
      <c r="AA629" t="s">
        <v>4921</v>
      </c>
      <c r="AB629" t="s">
        <v>975</v>
      </c>
      <c r="AC629">
        <v>6890</v>
      </c>
      <c r="AD629" t="s">
        <v>4922</v>
      </c>
      <c r="AE629" t="s">
        <v>4923</v>
      </c>
      <c r="AF629" t="s">
        <v>979</v>
      </c>
      <c r="AG629" t="s">
        <v>977</v>
      </c>
      <c r="AH629" t="s">
        <v>977</v>
      </c>
      <c r="AI629" t="s">
        <v>977</v>
      </c>
      <c r="AJ629" t="s">
        <v>4924</v>
      </c>
      <c r="AK629" t="s">
        <v>978</v>
      </c>
      <c r="AL629" t="s">
        <v>978</v>
      </c>
      <c r="AM629" t="s">
        <v>979</v>
      </c>
      <c r="AN629">
        <v>0</v>
      </c>
      <c r="AO629" t="s">
        <v>257</v>
      </c>
      <c r="AP629">
        <v>0</v>
      </c>
      <c r="AQ629">
        <v>1</v>
      </c>
      <c r="AR629">
        <v>43</v>
      </c>
      <c r="AS629">
        <v>1</v>
      </c>
      <c r="AT629">
        <v>0</v>
      </c>
      <c r="AU629">
        <v>1</v>
      </c>
      <c r="AV629">
        <v>0</v>
      </c>
      <c r="AW629">
        <v>0</v>
      </c>
      <c r="AX629">
        <v>0</v>
      </c>
      <c r="AY629">
        <v>1</v>
      </c>
      <c r="AZ629" t="s">
        <v>257</v>
      </c>
      <c r="BA629" t="s">
        <v>980</v>
      </c>
      <c r="BB629" t="s">
        <v>981</v>
      </c>
      <c r="BC629" t="s">
        <v>257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 t="s">
        <v>998</v>
      </c>
      <c r="BK629" t="s">
        <v>981</v>
      </c>
      <c r="BL629" t="s">
        <v>4918</v>
      </c>
      <c r="BM629">
        <v>20201022</v>
      </c>
      <c r="BN629">
        <v>20201026</v>
      </c>
      <c r="BO629">
        <v>0</v>
      </c>
      <c r="BP629" t="s">
        <v>257</v>
      </c>
      <c r="BQ629" t="s">
        <v>983</v>
      </c>
      <c r="BR629" t="s">
        <v>978</v>
      </c>
      <c r="BS629" t="s">
        <v>979</v>
      </c>
      <c r="BT629">
        <v>0</v>
      </c>
      <c r="BU629">
        <v>0</v>
      </c>
      <c r="BV629" t="s">
        <v>984</v>
      </c>
      <c r="BW629" t="s">
        <v>257</v>
      </c>
      <c r="BX629">
        <v>0</v>
      </c>
      <c r="BY629" t="s">
        <v>980</v>
      </c>
      <c r="BZ629" t="s">
        <v>257</v>
      </c>
      <c r="CA629">
        <v>0</v>
      </c>
      <c r="CB629">
        <v>0</v>
      </c>
      <c r="CC629" t="s">
        <v>4925</v>
      </c>
      <c r="CD629">
        <v>0</v>
      </c>
      <c r="CE629">
        <v>0</v>
      </c>
      <c r="CF629">
        <v>0</v>
      </c>
      <c r="CG629">
        <v>0</v>
      </c>
      <c r="CH629">
        <v>0</v>
      </c>
      <c r="CI629" t="s">
        <v>983</v>
      </c>
      <c r="CJ629" t="s">
        <v>972</v>
      </c>
      <c r="CK629" t="s">
        <v>986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 t="s">
        <v>987</v>
      </c>
      <c r="CV629">
        <v>400008633</v>
      </c>
      <c r="CW629" t="s">
        <v>987</v>
      </c>
      <c r="CX629" t="s">
        <v>4926</v>
      </c>
      <c r="CY629" t="s">
        <v>989</v>
      </c>
    </row>
    <row r="630" spans="1:103" hidden="1" x14ac:dyDescent="0.25">
      <c r="A630">
        <v>410000634</v>
      </c>
      <c r="B630" t="s">
        <v>4927</v>
      </c>
      <c r="C630" t="s">
        <v>4928</v>
      </c>
      <c r="D630">
        <v>401100000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1</v>
      </c>
      <c r="Y630" t="s">
        <v>972</v>
      </c>
      <c r="Z630" t="s">
        <v>4929</v>
      </c>
      <c r="AA630" t="s">
        <v>4930</v>
      </c>
      <c r="AB630" t="s">
        <v>975</v>
      </c>
      <c r="AC630">
        <v>6840</v>
      </c>
      <c r="AD630" t="s">
        <v>2529</v>
      </c>
      <c r="AE630">
        <v>32489202580</v>
      </c>
      <c r="AF630" t="s">
        <v>979</v>
      </c>
      <c r="AG630" t="s">
        <v>977</v>
      </c>
      <c r="AH630" t="s">
        <v>977</v>
      </c>
      <c r="AI630">
        <v>84043</v>
      </c>
      <c r="AJ630" t="s">
        <v>978</v>
      </c>
      <c r="AK630" t="s">
        <v>978</v>
      </c>
      <c r="AL630" t="s">
        <v>978</v>
      </c>
      <c r="AM630" t="s">
        <v>979</v>
      </c>
      <c r="AN630">
        <v>0</v>
      </c>
      <c r="AO630" t="s">
        <v>257</v>
      </c>
      <c r="AP630">
        <v>0</v>
      </c>
      <c r="AQ630">
        <v>1</v>
      </c>
      <c r="AR630">
        <v>43</v>
      </c>
      <c r="AS630">
        <v>1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1</v>
      </c>
      <c r="AZ630" t="s">
        <v>257</v>
      </c>
      <c r="BA630" t="s">
        <v>980</v>
      </c>
      <c r="BB630" t="s">
        <v>1010</v>
      </c>
      <c r="BC630" t="s">
        <v>257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 t="s">
        <v>998</v>
      </c>
      <c r="BK630" t="s">
        <v>981</v>
      </c>
      <c r="BL630" t="s">
        <v>4927</v>
      </c>
      <c r="BM630">
        <v>20201030</v>
      </c>
      <c r="BN630">
        <v>20250116</v>
      </c>
      <c r="BO630">
        <v>20250116</v>
      </c>
      <c r="BP630" t="s">
        <v>257</v>
      </c>
      <c r="BQ630" t="s">
        <v>983</v>
      </c>
      <c r="BR630" t="s">
        <v>978</v>
      </c>
      <c r="BS630">
        <v>32489202580</v>
      </c>
      <c r="BT630">
        <v>0</v>
      </c>
      <c r="BU630">
        <v>0</v>
      </c>
      <c r="BV630" t="s">
        <v>984</v>
      </c>
      <c r="BW630" t="s">
        <v>257</v>
      </c>
      <c r="BX630">
        <v>0</v>
      </c>
      <c r="BY630" t="s">
        <v>980</v>
      </c>
      <c r="BZ630" t="s">
        <v>257</v>
      </c>
      <c r="CA630">
        <v>0</v>
      </c>
      <c r="CB630">
        <v>0</v>
      </c>
      <c r="CC630" t="s">
        <v>1670</v>
      </c>
      <c r="CD630">
        <v>0</v>
      </c>
      <c r="CE630">
        <v>0</v>
      </c>
      <c r="CF630">
        <v>0</v>
      </c>
      <c r="CG630">
        <v>0</v>
      </c>
      <c r="CH630">
        <v>0</v>
      </c>
      <c r="CI630" t="s">
        <v>983</v>
      </c>
      <c r="CJ630" t="s">
        <v>972</v>
      </c>
      <c r="CK630" t="s">
        <v>986</v>
      </c>
      <c r="CL630">
        <v>0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 t="s">
        <v>987</v>
      </c>
      <c r="CV630">
        <v>400008634</v>
      </c>
      <c r="CW630" t="s">
        <v>987</v>
      </c>
      <c r="CX630" t="s">
        <v>4931</v>
      </c>
      <c r="CY630" t="s">
        <v>989</v>
      </c>
    </row>
    <row r="631" spans="1:103" hidden="1" x14ac:dyDescent="0.25">
      <c r="A631">
        <v>410000635</v>
      </c>
      <c r="B631" t="s">
        <v>4932</v>
      </c>
      <c r="C631" t="s">
        <v>4933</v>
      </c>
      <c r="D631">
        <v>401100000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1</v>
      </c>
      <c r="Y631" t="s">
        <v>972</v>
      </c>
      <c r="Z631" t="s">
        <v>987</v>
      </c>
      <c r="AA631" t="s">
        <v>4934</v>
      </c>
      <c r="AB631" t="s">
        <v>975</v>
      </c>
      <c r="AC631">
        <v>4040</v>
      </c>
      <c r="AD631" t="s">
        <v>976</v>
      </c>
      <c r="AE631">
        <v>42480828</v>
      </c>
      <c r="AF631" t="s">
        <v>979</v>
      </c>
      <c r="AG631" t="s">
        <v>977</v>
      </c>
      <c r="AH631" t="s">
        <v>977</v>
      </c>
      <c r="AI631" t="s">
        <v>977</v>
      </c>
      <c r="AJ631" t="s">
        <v>978</v>
      </c>
      <c r="AK631" t="s">
        <v>978</v>
      </c>
      <c r="AL631" t="s">
        <v>978</v>
      </c>
      <c r="AM631" t="s">
        <v>979</v>
      </c>
      <c r="AN631">
        <v>0</v>
      </c>
      <c r="AO631" t="s">
        <v>257</v>
      </c>
      <c r="AP631">
        <v>0</v>
      </c>
      <c r="AQ631">
        <v>1</v>
      </c>
      <c r="AR631">
        <v>43</v>
      </c>
      <c r="AS631">
        <v>1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1</v>
      </c>
      <c r="AZ631" t="s">
        <v>257</v>
      </c>
      <c r="BA631" t="s">
        <v>980</v>
      </c>
      <c r="BB631" t="s">
        <v>1010</v>
      </c>
      <c r="BC631" t="s">
        <v>257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 t="s">
        <v>998</v>
      </c>
      <c r="BK631" t="s">
        <v>981</v>
      </c>
      <c r="BL631" t="s">
        <v>4932</v>
      </c>
      <c r="BM631">
        <v>20201102</v>
      </c>
      <c r="BN631">
        <v>20220314</v>
      </c>
      <c r="BO631">
        <v>20210315</v>
      </c>
      <c r="BP631" t="s">
        <v>257</v>
      </c>
      <c r="BQ631" t="s">
        <v>983</v>
      </c>
      <c r="BR631" t="s">
        <v>978</v>
      </c>
      <c r="BS631" t="s">
        <v>979</v>
      </c>
      <c r="BT631">
        <v>0</v>
      </c>
      <c r="BU631">
        <v>0</v>
      </c>
      <c r="BV631" t="s">
        <v>984</v>
      </c>
      <c r="BW631" t="s">
        <v>257</v>
      </c>
      <c r="BX631">
        <v>0</v>
      </c>
      <c r="BY631" t="s">
        <v>980</v>
      </c>
      <c r="BZ631" t="s">
        <v>257</v>
      </c>
      <c r="CA631">
        <v>0</v>
      </c>
      <c r="CB631">
        <v>0</v>
      </c>
      <c r="CC631" t="s">
        <v>2342</v>
      </c>
      <c r="CD631">
        <v>0</v>
      </c>
      <c r="CE631">
        <v>0</v>
      </c>
      <c r="CF631">
        <v>0</v>
      </c>
      <c r="CG631">
        <v>0</v>
      </c>
      <c r="CH631">
        <v>0</v>
      </c>
      <c r="CI631" t="s">
        <v>983</v>
      </c>
      <c r="CJ631" t="s">
        <v>972</v>
      </c>
      <c r="CK631" t="s">
        <v>986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 t="s">
        <v>987</v>
      </c>
      <c r="CV631">
        <v>400008635</v>
      </c>
      <c r="CW631" t="s">
        <v>987</v>
      </c>
      <c r="CX631" t="s">
        <v>4935</v>
      </c>
      <c r="CY631" t="s">
        <v>989</v>
      </c>
    </row>
    <row r="632" spans="1:103" hidden="1" x14ac:dyDescent="0.25">
      <c r="A632">
        <v>410000636</v>
      </c>
      <c r="B632" t="s">
        <v>4936</v>
      </c>
      <c r="C632" t="s">
        <v>978</v>
      </c>
      <c r="D632">
        <v>401100000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</v>
      </c>
      <c r="W632">
        <v>1</v>
      </c>
      <c r="X632">
        <v>1</v>
      </c>
      <c r="Y632" t="s">
        <v>972</v>
      </c>
      <c r="Z632" t="s">
        <v>987</v>
      </c>
      <c r="AA632" t="s">
        <v>4937</v>
      </c>
      <c r="AB632" t="s">
        <v>975</v>
      </c>
      <c r="AC632">
        <v>4052</v>
      </c>
      <c r="AD632" t="s">
        <v>1261</v>
      </c>
      <c r="AE632" t="s">
        <v>979</v>
      </c>
      <c r="AF632" t="s">
        <v>979</v>
      </c>
      <c r="AG632" t="s">
        <v>977</v>
      </c>
      <c r="AH632" t="s">
        <v>977</v>
      </c>
      <c r="AI632" t="s">
        <v>977</v>
      </c>
      <c r="AJ632" t="s">
        <v>978</v>
      </c>
      <c r="AK632" t="s">
        <v>978</v>
      </c>
      <c r="AL632" t="s">
        <v>978</v>
      </c>
      <c r="AM632" t="s">
        <v>979</v>
      </c>
      <c r="AN632">
        <v>0</v>
      </c>
      <c r="AO632" t="s">
        <v>257</v>
      </c>
      <c r="AP632">
        <v>0</v>
      </c>
      <c r="AQ632">
        <v>1</v>
      </c>
      <c r="AR632">
        <v>43</v>
      </c>
      <c r="AS632">
        <v>1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1</v>
      </c>
      <c r="AZ632" t="s">
        <v>257</v>
      </c>
      <c r="BA632" t="s">
        <v>980</v>
      </c>
      <c r="BB632" t="s">
        <v>981</v>
      </c>
      <c r="BC632" t="s">
        <v>257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 t="s">
        <v>998</v>
      </c>
      <c r="BK632" t="s">
        <v>981</v>
      </c>
      <c r="BL632" t="s">
        <v>4936</v>
      </c>
      <c r="BM632">
        <v>20201102</v>
      </c>
      <c r="BN632">
        <v>20201102</v>
      </c>
      <c r="BO632">
        <v>0</v>
      </c>
      <c r="BP632" t="s">
        <v>257</v>
      </c>
      <c r="BQ632" t="s">
        <v>983</v>
      </c>
      <c r="BR632" t="s">
        <v>978</v>
      </c>
      <c r="BS632">
        <v>32475541410</v>
      </c>
      <c r="BT632">
        <v>0</v>
      </c>
      <c r="BU632">
        <v>0</v>
      </c>
      <c r="BV632" t="s">
        <v>1411</v>
      </c>
      <c r="BW632" t="s">
        <v>257</v>
      </c>
      <c r="BX632">
        <v>0</v>
      </c>
      <c r="BY632" t="s">
        <v>980</v>
      </c>
      <c r="BZ632" t="s">
        <v>257</v>
      </c>
      <c r="CA632">
        <v>0</v>
      </c>
      <c r="CB632">
        <v>0</v>
      </c>
      <c r="CC632" t="s">
        <v>3167</v>
      </c>
      <c r="CD632">
        <v>0</v>
      </c>
      <c r="CE632">
        <v>0</v>
      </c>
      <c r="CF632">
        <v>0</v>
      </c>
      <c r="CG632">
        <v>0</v>
      </c>
      <c r="CH632">
        <v>0</v>
      </c>
      <c r="CI632" t="s">
        <v>983</v>
      </c>
      <c r="CJ632" t="s">
        <v>972</v>
      </c>
      <c r="CK632" t="s">
        <v>986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 t="s">
        <v>987</v>
      </c>
      <c r="CV632">
        <v>400008636</v>
      </c>
      <c r="CW632" t="s">
        <v>987</v>
      </c>
      <c r="CX632" t="s">
        <v>4938</v>
      </c>
      <c r="CY632" t="s">
        <v>989</v>
      </c>
    </row>
    <row r="633" spans="1:103" hidden="1" x14ac:dyDescent="0.25">
      <c r="A633">
        <v>410000637</v>
      </c>
      <c r="B633" t="s">
        <v>4939</v>
      </c>
      <c r="C633" t="s">
        <v>4933</v>
      </c>
      <c r="D633">
        <v>401100000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1</v>
      </c>
      <c r="Y633" t="s">
        <v>972</v>
      </c>
      <c r="Z633" t="s">
        <v>987</v>
      </c>
      <c r="AA633" t="s">
        <v>4940</v>
      </c>
      <c r="AB633" t="s">
        <v>975</v>
      </c>
      <c r="AC633">
        <v>4040</v>
      </c>
      <c r="AD633" t="s">
        <v>976</v>
      </c>
      <c r="AE633" t="s">
        <v>4941</v>
      </c>
      <c r="AF633" t="s">
        <v>979</v>
      </c>
      <c r="AG633" t="s">
        <v>4942</v>
      </c>
      <c r="AH633" t="s">
        <v>977</v>
      </c>
      <c r="AI633">
        <v>25502</v>
      </c>
      <c r="AJ633" t="s">
        <v>978</v>
      </c>
      <c r="AK633" t="s">
        <v>978</v>
      </c>
      <c r="AL633" t="s">
        <v>978</v>
      </c>
      <c r="AM633" t="s">
        <v>979</v>
      </c>
      <c r="AN633">
        <v>0</v>
      </c>
      <c r="AO633" t="s">
        <v>257</v>
      </c>
      <c r="AP633">
        <v>0</v>
      </c>
      <c r="AQ633">
        <v>1</v>
      </c>
      <c r="AR633">
        <v>43</v>
      </c>
      <c r="AS633">
        <v>1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1</v>
      </c>
      <c r="AZ633" t="s">
        <v>257</v>
      </c>
      <c r="BA633" t="s">
        <v>257</v>
      </c>
      <c r="BB633" t="s">
        <v>981</v>
      </c>
      <c r="BC633" t="s">
        <v>257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 t="s">
        <v>998</v>
      </c>
      <c r="BK633" t="s">
        <v>981</v>
      </c>
      <c r="BL633" t="s">
        <v>4939</v>
      </c>
      <c r="BM633">
        <v>20201102</v>
      </c>
      <c r="BN633">
        <v>20220201</v>
      </c>
      <c r="BO633">
        <v>0</v>
      </c>
      <c r="BP633" t="s">
        <v>257</v>
      </c>
      <c r="BQ633" t="s">
        <v>983</v>
      </c>
      <c r="BR633" t="s">
        <v>978</v>
      </c>
      <c r="BS633" t="s">
        <v>979</v>
      </c>
      <c r="BT633">
        <v>0</v>
      </c>
      <c r="BU633">
        <v>0</v>
      </c>
      <c r="BV633" t="s">
        <v>984</v>
      </c>
      <c r="BW633" t="s">
        <v>257</v>
      </c>
      <c r="BX633">
        <v>0</v>
      </c>
      <c r="BY633" t="s">
        <v>980</v>
      </c>
      <c r="BZ633" t="s">
        <v>257</v>
      </c>
      <c r="CA633">
        <v>0</v>
      </c>
      <c r="CB633">
        <v>0</v>
      </c>
      <c r="CC633" t="s">
        <v>985</v>
      </c>
      <c r="CD633">
        <v>0</v>
      </c>
      <c r="CE633">
        <v>0</v>
      </c>
      <c r="CF633">
        <v>0</v>
      </c>
      <c r="CG633">
        <v>0</v>
      </c>
      <c r="CH633">
        <v>0</v>
      </c>
      <c r="CI633" t="s">
        <v>983</v>
      </c>
      <c r="CJ633" t="s">
        <v>972</v>
      </c>
      <c r="CK633" t="s">
        <v>986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 t="s">
        <v>987</v>
      </c>
      <c r="CV633">
        <v>400008637</v>
      </c>
      <c r="CW633" t="s">
        <v>987</v>
      </c>
      <c r="CX633" t="s">
        <v>4935</v>
      </c>
      <c r="CY633" t="s">
        <v>989</v>
      </c>
    </row>
    <row r="634" spans="1:103" hidden="1" x14ac:dyDescent="0.25">
      <c r="A634">
        <v>410000638</v>
      </c>
      <c r="B634" t="s">
        <v>4943</v>
      </c>
      <c r="C634" t="s">
        <v>978</v>
      </c>
      <c r="D634">
        <v>401100000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4</v>
      </c>
      <c r="W634">
        <v>1</v>
      </c>
      <c r="X634">
        <v>1</v>
      </c>
      <c r="Y634" t="s">
        <v>972</v>
      </c>
      <c r="Z634" t="s">
        <v>987</v>
      </c>
      <c r="AA634" t="s">
        <v>4944</v>
      </c>
      <c r="AB634" t="s">
        <v>975</v>
      </c>
      <c r="AC634">
        <v>4052</v>
      </c>
      <c r="AD634" t="s">
        <v>1261</v>
      </c>
      <c r="AE634" t="s">
        <v>4945</v>
      </c>
      <c r="AF634" t="s">
        <v>979</v>
      </c>
      <c r="AG634" t="s">
        <v>977</v>
      </c>
      <c r="AH634" t="s">
        <v>1031</v>
      </c>
      <c r="AI634" t="s">
        <v>1031</v>
      </c>
      <c r="AJ634" t="s">
        <v>978</v>
      </c>
      <c r="AK634" t="s">
        <v>978</v>
      </c>
      <c r="AL634" t="s">
        <v>978</v>
      </c>
      <c r="AM634" t="s">
        <v>979</v>
      </c>
      <c r="AN634">
        <v>0</v>
      </c>
      <c r="AO634" t="s">
        <v>257</v>
      </c>
      <c r="AP634">
        <v>0</v>
      </c>
      <c r="AQ634">
        <v>1</v>
      </c>
      <c r="AR634">
        <v>43</v>
      </c>
      <c r="AS634">
        <v>1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1</v>
      </c>
      <c r="AZ634" t="s">
        <v>257</v>
      </c>
      <c r="BA634" t="s">
        <v>257</v>
      </c>
      <c r="BB634" t="s">
        <v>981</v>
      </c>
      <c r="BC634" t="s">
        <v>257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 t="s">
        <v>998</v>
      </c>
      <c r="BK634" t="s">
        <v>981</v>
      </c>
      <c r="BL634" t="s">
        <v>4943</v>
      </c>
      <c r="BM634">
        <v>20201102</v>
      </c>
      <c r="BN634">
        <v>20250402</v>
      </c>
      <c r="BO634">
        <v>0</v>
      </c>
      <c r="BP634" t="s">
        <v>257</v>
      </c>
      <c r="BQ634" t="s">
        <v>983</v>
      </c>
      <c r="BR634" t="s">
        <v>978</v>
      </c>
      <c r="BS634" t="s">
        <v>979</v>
      </c>
      <c r="BT634">
        <v>0</v>
      </c>
      <c r="BU634">
        <v>0</v>
      </c>
      <c r="BV634" t="s">
        <v>1411</v>
      </c>
      <c r="BW634" t="s">
        <v>257</v>
      </c>
      <c r="BX634">
        <v>0</v>
      </c>
      <c r="BY634" t="s">
        <v>980</v>
      </c>
      <c r="BZ634" t="s">
        <v>257</v>
      </c>
      <c r="CA634">
        <v>0</v>
      </c>
      <c r="CB634">
        <v>0</v>
      </c>
      <c r="CC634" t="s">
        <v>985</v>
      </c>
      <c r="CD634">
        <v>0</v>
      </c>
      <c r="CE634">
        <v>0</v>
      </c>
      <c r="CF634">
        <v>0</v>
      </c>
      <c r="CG634">
        <v>0</v>
      </c>
      <c r="CH634">
        <v>0</v>
      </c>
      <c r="CI634" t="s">
        <v>983</v>
      </c>
      <c r="CJ634" t="s">
        <v>972</v>
      </c>
      <c r="CK634" t="s">
        <v>986</v>
      </c>
      <c r="CL634">
        <v>0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 t="s">
        <v>987</v>
      </c>
      <c r="CV634">
        <v>400008638</v>
      </c>
      <c r="CW634" t="s">
        <v>987</v>
      </c>
      <c r="CX634" t="s">
        <v>1081</v>
      </c>
      <c r="CY634" t="s">
        <v>989</v>
      </c>
    </row>
    <row r="635" spans="1:103" hidden="1" x14ac:dyDescent="0.25">
      <c r="A635">
        <v>410000639</v>
      </c>
      <c r="B635" t="s">
        <v>4946</v>
      </c>
      <c r="C635" t="s">
        <v>4947</v>
      </c>
      <c r="D635">
        <v>401100000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1</v>
      </c>
      <c r="Y635" t="s">
        <v>972</v>
      </c>
      <c r="Z635" t="s">
        <v>4948</v>
      </c>
      <c r="AA635" t="s">
        <v>4949</v>
      </c>
      <c r="AB635" t="s">
        <v>975</v>
      </c>
      <c r="AC635">
        <v>1300</v>
      </c>
      <c r="AD635" t="s">
        <v>2390</v>
      </c>
      <c r="AE635">
        <v>3210756012</v>
      </c>
      <c r="AF635" t="s">
        <v>979</v>
      </c>
      <c r="AG635" t="s">
        <v>977</v>
      </c>
      <c r="AH635" t="s">
        <v>977</v>
      </c>
      <c r="AI635">
        <v>46693</v>
      </c>
      <c r="AJ635" t="s">
        <v>978</v>
      </c>
      <c r="AK635" t="s">
        <v>978</v>
      </c>
      <c r="AL635" t="s">
        <v>978</v>
      </c>
      <c r="AM635" t="s">
        <v>979</v>
      </c>
      <c r="AN635">
        <v>0</v>
      </c>
      <c r="AO635" t="s">
        <v>257</v>
      </c>
      <c r="AP635">
        <v>0</v>
      </c>
      <c r="AQ635">
        <v>1</v>
      </c>
      <c r="AR635">
        <v>43</v>
      </c>
      <c r="AS635">
        <v>1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1</v>
      </c>
      <c r="AZ635" t="s">
        <v>257</v>
      </c>
      <c r="BA635" t="s">
        <v>980</v>
      </c>
      <c r="BB635" t="s">
        <v>981</v>
      </c>
      <c r="BC635" t="s">
        <v>257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 t="s">
        <v>998</v>
      </c>
      <c r="BK635" t="s">
        <v>981</v>
      </c>
      <c r="BL635" t="s">
        <v>4946</v>
      </c>
      <c r="BM635">
        <v>20201111</v>
      </c>
      <c r="BN635">
        <v>20201112</v>
      </c>
      <c r="BO635">
        <v>0</v>
      </c>
      <c r="BP635" t="s">
        <v>257</v>
      </c>
      <c r="BQ635" t="s">
        <v>983</v>
      </c>
      <c r="BR635" t="s">
        <v>978</v>
      </c>
      <c r="BS635" t="s">
        <v>979</v>
      </c>
      <c r="BT635">
        <v>0</v>
      </c>
      <c r="BU635">
        <v>0</v>
      </c>
      <c r="BV635" t="s">
        <v>984</v>
      </c>
      <c r="BW635" t="s">
        <v>257</v>
      </c>
      <c r="BX635">
        <v>0</v>
      </c>
      <c r="BY635" t="s">
        <v>980</v>
      </c>
      <c r="BZ635" t="s">
        <v>257</v>
      </c>
      <c r="CA635">
        <v>0</v>
      </c>
      <c r="CB635">
        <v>0</v>
      </c>
      <c r="CC635" t="s">
        <v>1033</v>
      </c>
      <c r="CD635">
        <v>0</v>
      </c>
      <c r="CE635">
        <v>0</v>
      </c>
      <c r="CF635">
        <v>0</v>
      </c>
      <c r="CG635">
        <v>0</v>
      </c>
      <c r="CH635">
        <v>0</v>
      </c>
      <c r="CI635" t="s">
        <v>983</v>
      </c>
      <c r="CJ635" t="s">
        <v>972</v>
      </c>
      <c r="CK635" t="s">
        <v>986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 t="s">
        <v>987</v>
      </c>
      <c r="CV635">
        <v>400008639</v>
      </c>
      <c r="CW635" t="s">
        <v>987</v>
      </c>
      <c r="CX635" t="s">
        <v>4950</v>
      </c>
      <c r="CY635" t="s">
        <v>989</v>
      </c>
    </row>
    <row r="636" spans="1:103" hidden="1" x14ac:dyDescent="0.25">
      <c r="A636">
        <v>410000640</v>
      </c>
      <c r="B636" t="s">
        <v>4951</v>
      </c>
      <c r="C636" t="s">
        <v>4952</v>
      </c>
      <c r="D636">
        <v>401100000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1</v>
      </c>
      <c r="Y636" t="s">
        <v>972</v>
      </c>
      <c r="Z636" t="s">
        <v>987</v>
      </c>
      <c r="AA636" t="s">
        <v>4953</v>
      </c>
      <c r="AB636" t="s">
        <v>975</v>
      </c>
      <c r="AC636">
        <v>4052</v>
      </c>
      <c r="AD636" t="s">
        <v>2739</v>
      </c>
      <c r="AE636">
        <v>3243519160</v>
      </c>
      <c r="AF636" t="s">
        <v>979</v>
      </c>
      <c r="AG636" t="s">
        <v>977</v>
      </c>
      <c r="AH636" t="s">
        <v>977</v>
      </c>
      <c r="AI636">
        <v>69201</v>
      </c>
      <c r="AJ636" t="s">
        <v>978</v>
      </c>
      <c r="AK636" t="s">
        <v>978</v>
      </c>
      <c r="AL636" t="s">
        <v>978</v>
      </c>
      <c r="AM636" t="s">
        <v>979</v>
      </c>
      <c r="AN636">
        <v>0</v>
      </c>
      <c r="AO636" t="s">
        <v>257</v>
      </c>
      <c r="AP636">
        <v>0</v>
      </c>
      <c r="AQ636">
        <v>1</v>
      </c>
      <c r="AR636">
        <v>43</v>
      </c>
      <c r="AS636">
        <v>1</v>
      </c>
      <c r="AT636">
        <v>0</v>
      </c>
      <c r="AU636">
        <v>1</v>
      </c>
      <c r="AV636">
        <v>0</v>
      </c>
      <c r="AW636">
        <v>0</v>
      </c>
      <c r="AX636">
        <v>0</v>
      </c>
      <c r="AY636">
        <v>1</v>
      </c>
      <c r="AZ636" t="s">
        <v>257</v>
      </c>
      <c r="BA636" t="s">
        <v>980</v>
      </c>
      <c r="BB636" t="s">
        <v>981</v>
      </c>
      <c r="BC636" t="s">
        <v>257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 t="s">
        <v>998</v>
      </c>
      <c r="BK636" t="s">
        <v>981</v>
      </c>
      <c r="BL636" t="s">
        <v>4951</v>
      </c>
      <c r="BM636">
        <v>20201118</v>
      </c>
      <c r="BN636">
        <v>20201119</v>
      </c>
      <c r="BO636">
        <v>0</v>
      </c>
      <c r="BP636" t="s">
        <v>257</v>
      </c>
      <c r="BQ636" t="s">
        <v>983</v>
      </c>
      <c r="BR636" t="s">
        <v>978</v>
      </c>
      <c r="BS636" t="s">
        <v>979</v>
      </c>
      <c r="BT636">
        <v>0</v>
      </c>
      <c r="BU636">
        <v>0</v>
      </c>
      <c r="BV636" t="s">
        <v>984</v>
      </c>
      <c r="BW636" t="s">
        <v>257</v>
      </c>
      <c r="BX636">
        <v>0</v>
      </c>
      <c r="BY636" t="s">
        <v>980</v>
      </c>
      <c r="BZ636" t="s">
        <v>257</v>
      </c>
      <c r="CA636">
        <v>0</v>
      </c>
      <c r="CB636">
        <v>0</v>
      </c>
      <c r="CC636" t="s">
        <v>1391</v>
      </c>
      <c r="CD636">
        <v>0</v>
      </c>
      <c r="CE636">
        <v>0</v>
      </c>
      <c r="CF636">
        <v>0</v>
      </c>
      <c r="CG636">
        <v>0</v>
      </c>
      <c r="CH636">
        <v>0</v>
      </c>
      <c r="CI636" t="s">
        <v>983</v>
      </c>
      <c r="CJ636" t="s">
        <v>972</v>
      </c>
      <c r="CK636" t="s">
        <v>986</v>
      </c>
      <c r="CL636">
        <v>0</v>
      </c>
      <c r="CM636">
        <v>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 t="s">
        <v>987</v>
      </c>
      <c r="CV636">
        <v>400008640</v>
      </c>
      <c r="CW636" t="s">
        <v>987</v>
      </c>
      <c r="CX636" t="s">
        <v>4954</v>
      </c>
      <c r="CY636" t="s">
        <v>989</v>
      </c>
    </row>
    <row r="637" spans="1:103" hidden="1" x14ac:dyDescent="0.25">
      <c r="A637">
        <v>410000641</v>
      </c>
      <c r="B637" t="s">
        <v>4955</v>
      </c>
      <c r="C637" t="s">
        <v>4956</v>
      </c>
      <c r="D637">
        <v>401100000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1</v>
      </c>
      <c r="Y637" t="s">
        <v>972</v>
      </c>
      <c r="Z637" t="s">
        <v>987</v>
      </c>
      <c r="AA637" t="s">
        <v>4957</v>
      </c>
      <c r="AB637" t="s">
        <v>975</v>
      </c>
      <c r="AC637">
        <v>4608</v>
      </c>
      <c r="AD637" t="s">
        <v>2903</v>
      </c>
      <c r="AE637" t="s">
        <v>979</v>
      </c>
      <c r="AF637" t="s">
        <v>979</v>
      </c>
      <c r="AG637" t="s">
        <v>977</v>
      </c>
      <c r="AH637" t="s">
        <v>977</v>
      </c>
      <c r="AI637">
        <v>45113</v>
      </c>
      <c r="AJ637" t="s">
        <v>978</v>
      </c>
      <c r="AK637" t="s">
        <v>978</v>
      </c>
      <c r="AL637" t="s">
        <v>978</v>
      </c>
      <c r="AM637" t="s">
        <v>979</v>
      </c>
      <c r="AN637">
        <v>0</v>
      </c>
      <c r="AO637" t="s">
        <v>257</v>
      </c>
      <c r="AP637">
        <v>0</v>
      </c>
      <c r="AQ637">
        <v>1</v>
      </c>
      <c r="AR637">
        <v>43</v>
      </c>
      <c r="AS637">
        <v>1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1</v>
      </c>
      <c r="AZ637" t="s">
        <v>257</v>
      </c>
      <c r="BA637" t="s">
        <v>980</v>
      </c>
      <c r="BB637" t="s">
        <v>981</v>
      </c>
      <c r="BC637" t="s">
        <v>257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 t="s">
        <v>998</v>
      </c>
      <c r="BK637" t="s">
        <v>981</v>
      </c>
      <c r="BL637" t="s">
        <v>4955</v>
      </c>
      <c r="BM637">
        <v>20201118</v>
      </c>
      <c r="BN637">
        <v>20201119</v>
      </c>
      <c r="BO637">
        <v>0</v>
      </c>
      <c r="BP637" t="s">
        <v>257</v>
      </c>
      <c r="BQ637" t="s">
        <v>983</v>
      </c>
      <c r="BR637" t="s">
        <v>978</v>
      </c>
      <c r="BS637">
        <v>32477167840</v>
      </c>
      <c r="BT637">
        <v>0</v>
      </c>
      <c r="BU637">
        <v>0</v>
      </c>
      <c r="BV637" t="s">
        <v>984</v>
      </c>
      <c r="BW637" t="s">
        <v>257</v>
      </c>
      <c r="BX637">
        <v>0</v>
      </c>
      <c r="BY637" t="s">
        <v>980</v>
      </c>
      <c r="BZ637" t="s">
        <v>257</v>
      </c>
      <c r="CA637">
        <v>0</v>
      </c>
      <c r="CB637">
        <v>0</v>
      </c>
      <c r="CC637" t="s">
        <v>1317</v>
      </c>
      <c r="CD637">
        <v>0</v>
      </c>
      <c r="CE637">
        <v>0</v>
      </c>
      <c r="CF637">
        <v>0</v>
      </c>
      <c r="CG637">
        <v>0</v>
      </c>
      <c r="CH637">
        <v>0</v>
      </c>
      <c r="CI637" t="s">
        <v>983</v>
      </c>
      <c r="CJ637" t="s">
        <v>972</v>
      </c>
      <c r="CK637" t="s">
        <v>986</v>
      </c>
      <c r="CL637">
        <v>0</v>
      </c>
      <c r="CM637">
        <v>1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 t="s">
        <v>987</v>
      </c>
      <c r="CV637">
        <v>400008641</v>
      </c>
      <c r="CW637" t="s">
        <v>987</v>
      </c>
      <c r="CX637" t="s">
        <v>4958</v>
      </c>
      <c r="CY637" t="s">
        <v>989</v>
      </c>
    </row>
    <row r="638" spans="1:103" hidden="1" x14ac:dyDescent="0.25">
      <c r="A638">
        <v>410000642</v>
      </c>
      <c r="B638" t="s">
        <v>4959</v>
      </c>
      <c r="C638" t="s">
        <v>4960</v>
      </c>
      <c r="D638">
        <v>401100000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1</v>
      </c>
      <c r="Y638" t="s">
        <v>972</v>
      </c>
      <c r="Z638" t="s">
        <v>987</v>
      </c>
      <c r="AA638" t="s">
        <v>4961</v>
      </c>
      <c r="AB638" t="s">
        <v>975</v>
      </c>
      <c r="AC638">
        <v>4537</v>
      </c>
      <c r="AD638" t="s">
        <v>3069</v>
      </c>
      <c r="AE638">
        <v>3242597662</v>
      </c>
      <c r="AF638" t="s">
        <v>979</v>
      </c>
      <c r="AG638" t="s">
        <v>977</v>
      </c>
      <c r="AH638" t="s">
        <v>977</v>
      </c>
      <c r="AI638">
        <v>47592</v>
      </c>
      <c r="AJ638" t="s">
        <v>978</v>
      </c>
      <c r="AK638" t="s">
        <v>978</v>
      </c>
      <c r="AL638" t="s">
        <v>978</v>
      </c>
      <c r="AM638" t="s">
        <v>979</v>
      </c>
      <c r="AN638">
        <v>0</v>
      </c>
      <c r="AO638" t="s">
        <v>257</v>
      </c>
      <c r="AP638">
        <v>0</v>
      </c>
      <c r="AQ638">
        <v>18</v>
      </c>
      <c r="AR638">
        <v>43</v>
      </c>
      <c r="AS638">
        <v>1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1</v>
      </c>
      <c r="AZ638" t="s">
        <v>257</v>
      </c>
      <c r="BA638" t="s">
        <v>980</v>
      </c>
      <c r="BB638" t="s">
        <v>981</v>
      </c>
      <c r="BC638" t="s">
        <v>257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 t="s">
        <v>998</v>
      </c>
      <c r="BK638" t="s">
        <v>981</v>
      </c>
      <c r="BL638" t="s">
        <v>4959</v>
      </c>
      <c r="BM638">
        <v>20201123</v>
      </c>
      <c r="BN638">
        <v>20210507</v>
      </c>
      <c r="BO638">
        <v>0</v>
      </c>
      <c r="BP638" t="s">
        <v>257</v>
      </c>
      <c r="BQ638" t="s">
        <v>983</v>
      </c>
      <c r="BR638" t="s">
        <v>978</v>
      </c>
      <c r="BS638" t="s">
        <v>979</v>
      </c>
      <c r="BT638">
        <v>0</v>
      </c>
      <c r="BU638">
        <v>0</v>
      </c>
      <c r="BV638" t="s">
        <v>984</v>
      </c>
      <c r="BW638" t="s">
        <v>257</v>
      </c>
      <c r="BX638">
        <v>0</v>
      </c>
      <c r="BY638" t="s">
        <v>980</v>
      </c>
      <c r="BZ638" t="s">
        <v>257</v>
      </c>
      <c r="CA638">
        <v>0</v>
      </c>
      <c r="CB638">
        <v>0</v>
      </c>
      <c r="CC638" t="s">
        <v>1871</v>
      </c>
      <c r="CD638">
        <v>0</v>
      </c>
      <c r="CE638">
        <v>0</v>
      </c>
      <c r="CF638">
        <v>0</v>
      </c>
      <c r="CG638">
        <v>0</v>
      </c>
      <c r="CH638">
        <v>0</v>
      </c>
      <c r="CI638" t="s">
        <v>983</v>
      </c>
      <c r="CJ638" t="s">
        <v>972</v>
      </c>
      <c r="CK638" t="s">
        <v>986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 t="s">
        <v>987</v>
      </c>
      <c r="CV638">
        <v>400008642</v>
      </c>
      <c r="CW638" t="s">
        <v>987</v>
      </c>
      <c r="CX638" t="s">
        <v>4962</v>
      </c>
      <c r="CY638" t="s">
        <v>989</v>
      </c>
    </row>
    <row r="639" spans="1:103" hidden="1" x14ac:dyDescent="0.25">
      <c r="A639">
        <v>410000643</v>
      </c>
      <c r="B639" t="s">
        <v>4963</v>
      </c>
      <c r="C639" t="s">
        <v>4964</v>
      </c>
      <c r="D639">
        <v>401100000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1</v>
      </c>
      <c r="Y639" t="s">
        <v>972</v>
      </c>
      <c r="Z639" t="s">
        <v>987</v>
      </c>
      <c r="AA639" t="s">
        <v>4965</v>
      </c>
      <c r="AB639" t="s">
        <v>975</v>
      </c>
      <c r="AC639">
        <v>6997</v>
      </c>
      <c r="AD639" t="s">
        <v>4966</v>
      </c>
      <c r="AE639">
        <v>3286477470</v>
      </c>
      <c r="AF639" t="s">
        <v>979</v>
      </c>
      <c r="AG639" t="s">
        <v>977</v>
      </c>
      <c r="AH639" t="s">
        <v>977</v>
      </c>
      <c r="AI639">
        <v>42110</v>
      </c>
      <c r="AJ639" t="s">
        <v>978</v>
      </c>
      <c r="AK639" t="s">
        <v>978</v>
      </c>
      <c r="AL639" t="s">
        <v>978</v>
      </c>
      <c r="AM639" t="s">
        <v>979</v>
      </c>
      <c r="AN639">
        <v>0</v>
      </c>
      <c r="AO639" t="s">
        <v>257</v>
      </c>
      <c r="AP639">
        <v>0</v>
      </c>
      <c r="AQ639">
        <v>18</v>
      </c>
      <c r="AR639">
        <v>43</v>
      </c>
      <c r="AS639">
        <v>1</v>
      </c>
      <c r="AT639">
        <v>0</v>
      </c>
      <c r="AU639">
        <v>1</v>
      </c>
      <c r="AV639">
        <v>0</v>
      </c>
      <c r="AW639">
        <v>0</v>
      </c>
      <c r="AX639">
        <v>0</v>
      </c>
      <c r="AY639">
        <v>1</v>
      </c>
      <c r="AZ639" t="s">
        <v>257</v>
      </c>
      <c r="BA639" t="s">
        <v>980</v>
      </c>
      <c r="BB639" t="s">
        <v>981</v>
      </c>
      <c r="BC639" t="s">
        <v>257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 t="s">
        <v>998</v>
      </c>
      <c r="BK639" t="s">
        <v>981</v>
      </c>
      <c r="BL639" t="s">
        <v>4963</v>
      </c>
      <c r="BM639">
        <v>20201123</v>
      </c>
      <c r="BN639">
        <v>20210507</v>
      </c>
      <c r="BO639">
        <v>0</v>
      </c>
      <c r="BP639" t="s">
        <v>257</v>
      </c>
      <c r="BQ639" t="s">
        <v>983</v>
      </c>
      <c r="BR639" t="s">
        <v>978</v>
      </c>
      <c r="BS639" t="s">
        <v>979</v>
      </c>
      <c r="BT639">
        <v>0</v>
      </c>
      <c r="BU639">
        <v>0</v>
      </c>
      <c r="BV639" t="s">
        <v>984</v>
      </c>
      <c r="BW639" t="s">
        <v>257</v>
      </c>
      <c r="BX639">
        <v>0</v>
      </c>
      <c r="BY639" t="s">
        <v>980</v>
      </c>
      <c r="BZ639" t="s">
        <v>257</v>
      </c>
      <c r="CA639">
        <v>0</v>
      </c>
      <c r="CB639">
        <v>0</v>
      </c>
      <c r="CC639" t="s">
        <v>1033</v>
      </c>
      <c r="CD639">
        <v>0</v>
      </c>
      <c r="CE639">
        <v>0</v>
      </c>
      <c r="CF639">
        <v>0</v>
      </c>
      <c r="CG639">
        <v>0</v>
      </c>
      <c r="CH639">
        <v>0</v>
      </c>
      <c r="CI639" t="s">
        <v>983</v>
      </c>
      <c r="CJ639" t="s">
        <v>972</v>
      </c>
      <c r="CK639" t="s">
        <v>986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 t="s">
        <v>987</v>
      </c>
      <c r="CV639">
        <v>400008643</v>
      </c>
      <c r="CW639" t="s">
        <v>987</v>
      </c>
      <c r="CX639" t="s">
        <v>4967</v>
      </c>
      <c r="CY639" t="s">
        <v>989</v>
      </c>
    </row>
    <row r="640" spans="1:103" hidden="1" x14ac:dyDescent="0.25">
      <c r="A640">
        <v>410000644</v>
      </c>
      <c r="B640" t="s">
        <v>4968</v>
      </c>
      <c r="C640" t="s">
        <v>4969</v>
      </c>
      <c r="D640">
        <v>401100000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1</v>
      </c>
      <c r="Y640" t="s">
        <v>972</v>
      </c>
      <c r="Z640" t="s">
        <v>4970</v>
      </c>
      <c r="AA640" t="s">
        <v>4971</v>
      </c>
      <c r="AB640" t="s">
        <v>975</v>
      </c>
      <c r="AC640">
        <v>4000</v>
      </c>
      <c r="AD640" t="s">
        <v>1019</v>
      </c>
      <c r="AE640">
        <v>3242873517</v>
      </c>
      <c r="AF640" t="s">
        <v>979</v>
      </c>
      <c r="AG640" t="s">
        <v>977</v>
      </c>
      <c r="AH640" t="s">
        <v>977</v>
      </c>
      <c r="AI640">
        <v>69202</v>
      </c>
      <c r="AJ640" t="s">
        <v>978</v>
      </c>
      <c r="AK640" t="s">
        <v>978</v>
      </c>
      <c r="AL640" t="s">
        <v>978</v>
      </c>
      <c r="AM640" t="s">
        <v>979</v>
      </c>
      <c r="AN640">
        <v>0</v>
      </c>
      <c r="AO640" t="s">
        <v>257</v>
      </c>
      <c r="AP640">
        <v>0</v>
      </c>
      <c r="AQ640">
        <v>18</v>
      </c>
      <c r="AR640">
        <v>69</v>
      </c>
      <c r="AS640">
        <v>1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1</v>
      </c>
      <c r="AZ640" t="s">
        <v>257</v>
      </c>
      <c r="BA640" t="s">
        <v>980</v>
      </c>
      <c r="BB640" t="s">
        <v>981</v>
      </c>
      <c r="BC640" t="s">
        <v>257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 t="s">
        <v>998</v>
      </c>
      <c r="BK640" t="s">
        <v>981</v>
      </c>
      <c r="BL640" t="s">
        <v>4968</v>
      </c>
      <c r="BM640">
        <v>20201123</v>
      </c>
      <c r="BN640">
        <v>20240910</v>
      </c>
      <c r="BO640">
        <v>0</v>
      </c>
      <c r="BP640" t="s">
        <v>257</v>
      </c>
      <c r="BQ640" t="s">
        <v>983</v>
      </c>
      <c r="BR640" t="s">
        <v>978</v>
      </c>
      <c r="BS640" t="s">
        <v>979</v>
      </c>
      <c r="BT640">
        <v>0</v>
      </c>
      <c r="BU640">
        <v>0</v>
      </c>
      <c r="BV640" t="s">
        <v>984</v>
      </c>
      <c r="BW640" t="s">
        <v>257</v>
      </c>
      <c r="BX640">
        <v>0</v>
      </c>
      <c r="BY640" t="s">
        <v>980</v>
      </c>
      <c r="BZ640" t="s">
        <v>257</v>
      </c>
      <c r="CA640">
        <v>0</v>
      </c>
      <c r="CB640">
        <v>0</v>
      </c>
      <c r="CC640" t="s">
        <v>1469</v>
      </c>
      <c r="CD640">
        <v>0</v>
      </c>
      <c r="CE640">
        <v>0</v>
      </c>
      <c r="CF640">
        <v>0</v>
      </c>
      <c r="CG640">
        <v>0</v>
      </c>
      <c r="CH640">
        <v>0</v>
      </c>
      <c r="CI640" t="s">
        <v>983</v>
      </c>
      <c r="CJ640" t="s">
        <v>972</v>
      </c>
      <c r="CK640" t="s">
        <v>986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 t="s">
        <v>987</v>
      </c>
      <c r="CV640">
        <v>400008644</v>
      </c>
      <c r="CW640" t="s">
        <v>987</v>
      </c>
      <c r="CX640" t="s">
        <v>4972</v>
      </c>
      <c r="CY640" t="s">
        <v>989</v>
      </c>
    </row>
    <row r="641" spans="1:103" hidden="1" x14ac:dyDescent="0.25">
      <c r="A641">
        <v>410000645</v>
      </c>
      <c r="B641" t="s">
        <v>4973</v>
      </c>
      <c r="C641" t="s">
        <v>4974</v>
      </c>
      <c r="D641">
        <v>401100000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1</v>
      </c>
      <c r="Y641" t="s">
        <v>972</v>
      </c>
      <c r="Z641" t="s">
        <v>4052</v>
      </c>
      <c r="AA641" t="s">
        <v>4975</v>
      </c>
      <c r="AB641" t="s">
        <v>975</v>
      </c>
      <c r="AC641">
        <v>4000</v>
      </c>
      <c r="AD641" t="s">
        <v>1019</v>
      </c>
      <c r="AE641">
        <v>3242331779</v>
      </c>
      <c r="AF641" t="s">
        <v>979</v>
      </c>
      <c r="AG641" t="s">
        <v>977</v>
      </c>
      <c r="AH641" t="s">
        <v>977</v>
      </c>
      <c r="AI641">
        <v>69202</v>
      </c>
      <c r="AJ641" t="s">
        <v>978</v>
      </c>
      <c r="AK641" t="s">
        <v>978</v>
      </c>
      <c r="AL641" t="s">
        <v>978</v>
      </c>
      <c r="AM641" t="s">
        <v>979</v>
      </c>
      <c r="AN641">
        <v>0</v>
      </c>
      <c r="AO641" t="s">
        <v>257</v>
      </c>
      <c r="AP641">
        <v>0</v>
      </c>
      <c r="AQ641">
        <v>18</v>
      </c>
      <c r="AR641">
        <v>43</v>
      </c>
      <c r="AS641">
        <v>1</v>
      </c>
      <c r="AT641">
        <v>0</v>
      </c>
      <c r="AU641">
        <v>1</v>
      </c>
      <c r="AV641">
        <v>0</v>
      </c>
      <c r="AW641">
        <v>0</v>
      </c>
      <c r="AX641">
        <v>0</v>
      </c>
      <c r="AY641">
        <v>1</v>
      </c>
      <c r="AZ641" t="s">
        <v>257</v>
      </c>
      <c r="BA641" t="s">
        <v>257</v>
      </c>
      <c r="BB641" t="s">
        <v>981</v>
      </c>
      <c r="BC641" t="s">
        <v>257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 t="s">
        <v>998</v>
      </c>
      <c r="BK641" t="s">
        <v>981</v>
      </c>
      <c r="BL641" t="s">
        <v>4973</v>
      </c>
      <c r="BM641">
        <v>20201123</v>
      </c>
      <c r="BN641">
        <v>20210507</v>
      </c>
      <c r="BO641">
        <v>0</v>
      </c>
      <c r="BP641" t="s">
        <v>257</v>
      </c>
      <c r="BQ641" t="s">
        <v>983</v>
      </c>
      <c r="BR641" t="s">
        <v>978</v>
      </c>
      <c r="BS641" t="s">
        <v>979</v>
      </c>
      <c r="BT641">
        <v>0</v>
      </c>
      <c r="BU641">
        <v>0</v>
      </c>
      <c r="BV641" t="s">
        <v>984</v>
      </c>
      <c r="BW641" t="s">
        <v>257</v>
      </c>
      <c r="BX641">
        <v>0</v>
      </c>
      <c r="BY641" t="s">
        <v>980</v>
      </c>
      <c r="BZ641" t="s">
        <v>257</v>
      </c>
      <c r="CA641">
        <v>0</v>
      </c>
      <c r="CB641">
        <v>0</v>
      </c>
      <c r="CC641" t="s">
        <v>2498</v>
      </c>
      <c r="CD641">
        <v>0</v>
      </c>
      <c r="CE641">
        <v>0</v>
      </c>
      <c r="CF641">
        <v>0</v>
      </c>
      <c r="CG641">
        <v>0</v>
      </c>
      <c r="CH641">
        <v>0</v>
      </c>
      <c r="CI641" t="s">
        <v>983</v>
      </c>
      <c r="CJ641" t="s">
        <v>972</v>
      </c>
      <c r="CK641" t="s">
        <v>986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 t="s">
        <v>987</v>
      </c>
      <c r="CV641">
        <v>400008645</v>
      </c>
      <c r="CW641" t="s">
        <v>987</v>
      </c>
      <c r="CX641" t="s">
        <v>4976</v>
      </c>
      <c r="CY641" t="s">
        <v>989</v>
      </c>
    </row>
    <row r="642" spans="1:103" hidden="1" x14ac:dyDescent="0.25">
      <c r="A642">
        <v>410000646</v>
      </c>
      <c r="B642" t="s">
        <v>4977</v>
      </c>
      <c r="C642" t="s">
        <v>4978</v>
      </c>
      <c r="D642">
        <v>401100000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1</v>
      </c>
      <c r="Y642" t="s">
        <v>972</v>
      </c>
      <c r="Z642" t="s">
        <v>987</v>
      </c>
      <c r="AA642" t="s">
        <v>4979</v>
      </c>
      <c r="AB642" t="s">
        <v>975</v>
      </c>
      <c r="AC642">
        <v>4607</v>
      </c>
      <c r="AD642" t="s">
        <v>2903</v>
      </c>
      <c r="AE642">
        <v>32496731466</v>
      </c>
      <c r="AF642" t="s">
        <v>979</v>
      </c>
      <c r="AG642" t="s">
        <v>977</v>
      </c>
      <c r="AH642" t="s">
        <v>977</v>
      </c>
      <c r="AI642">
        <v>47716</v>
      </c>
      <c r="AJ642" t="s">
        <v>978</v>
      </c>
      <c r="AK642" t="s">
        <v>978</v>
      </c>
      <c r="AL642" t="s">
        <v>978</v>
      </c>
      <c r="AM642" t="s">
        <v>979</v>
      </c>
      <c r="AN642">
        <v>0</v>
      </c>
      <c r="AO642" t="s">
        <v>257</v>
      </c>
      <c r="AP642">
        <v>0</v>
      </c>
      <c r="AQ642">
        <v>18</v>
      </c>
      <c r="AR642">
        <v>43</v>
      </c>
      <c r="AS642">
        <v>1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1</v>
      </c>
      <c r="AZ642" t="s">
        <v>257</v>
      </c>
      <c r="BA642" t="s">
        <v>257</v>
      </c>
      <c r="BB642" t="s">
        <v>981</v>
      </c>
      <c r="BC642" t="s">
        <v>257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 t="s">
        <v>998</v>
      </c>
      <c r="BK642" t="s">
        <v>981</v>
      </c>
      <c r="BL642" t="s">
        <v>4977</v>
      </c>
      <c r="BM642">
        <v>20201123</v>
      </c>
      <c r="BN642">
        <v>20210507</v>
      </c>
      <c r="BO642">
        <v>0</v>
      </c>
      <c r="BP642" t="s">
        <v>257</v>
      </c>
      <c r="BQ642" t="s">
        <v>983</v>
      </c>
      <c r="BR642" t="s">
        <v>978</v>
      </c>
      <c r="BS642">
        <v>32496731466</v>
      </c>
      <c r="BT642">
        <v>0</v>
      </c>
      <c r="BU642">
        <v>0</v>
      </c>
      <c r="BV642" t="s">
        <v>984</v>
      </c>
      <c r="BW642" t="s">
        <v>257</v>
      </c>
      <c r="BX642">
        <v>0</v>
      </c>
      <c r="BY642" t="s">
        <v>980</v>
      </c>
      <c r="BZ642" t="s">
        <v>257</v>
      </c>
      <c r="CA642">
        <v>0</v>
      </c>
      <c r="CB642">
        <v>0</v>
      </c>
      <c r="CC642" t="s">
        <v>1207</v>
      </c>
      <c r="CD642">
        <v>0</v>
      </c>
      <c r="CE642">
        <v>0</v>
      </c>
      <c r="CF642">
        <v>0</v>
      </c>
      <c r="CG642">
        <v>0</v>
      </c>
      <c r="CH642">
        <v>0</v>
      </c>
      <c r="CI642" t="s">
        <v>983</v>
      </c>
      <c r="CJ642" t="s">
        <v>972</v>
      </c>
      <c r="CK642" t="s">
        <v>986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 t="s">
        <v>987</v>
      </c>
      <c r="CV642">
        <v>400008646</v>
      </c>
      <c r="CW642" t="s">
        <v>987</v>
      </c>
      <c r="CX642" t="s">
        <v>4980</v>
      </c>
      <c r="CY642" t="s">
        <v>989</v>
      </c>
    </row>
    <row r="643" spans="1:103" hidden="1" x14ac:dyDescent="0.25">
      <c r="A643">
        <v>410000647</v>
      </c>
      <c r="B643" t="s">
        <v>4981</v>
      </c>
      <c r="C643" t="s">
        <v>4982</v>
      </c>
      <c r="D643">
        <v>401100000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1</v>
      </c>
      <c r="Y643" t="s">
        <v>972</v>
      </c>
      <c r="Z643" t="s">
        <v>987</v>
      </c>
      <c r="AA643" t="s">
        <v>4983</v>
      </c>
      <c r="AB643" t="s">
        <v>975</v>
      </c>
      <c r="AC643">
        <v>4020</v>
      </c>
      <c r="AD643" t="s">
        <v>1019</v>
      </c>
      <c r="AE643">
        <v>32497720504</v>
      </c>
      <c r="AF643" t="s">
        <v>979</v>
      </c>
      <c r="AG643" t="s">
        <v>977</v>
      </c>
      <c r="AH643" t="s">
        <v>977</v>
      </c>
      <c r="AI643">
        <v>56102</v>
      </c>
      <c r="AJ643" t="s">
        <v>978</v>
      </c>
      <c r="AK643" t="s">
        <v>978</v>
      </c>
      <c r="AL643" t="s">
        <v>978</v>
      </c>
      <c r="AM643" t="s">
        <v>979</v>
      </c>
      <c r="AN643">
        <v>0</v>
      </c>
      <c r="AO643" t="s">
        <v>257</v>
      </c>
      <c r="AP643">
        <v>0</v>
      </c>
      <c r="AQ643">
        <v>18</v>
      </c>
      <c r="AR643">
        <v>69</v>
      </c>
      <c r="AS643">
        <v>1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1</v>
      </c>
      <c r="AZ643" t="s">
        <v>257</v>
      </c>
      <c r="BA643" t="s">
        <v>980</v>
      </c>
      <c r="BB643" t="s">
        <v>981</v>
      </c>
      <c r="BC643" t="s">
        <v>257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 t="s">
        <v>998</v>
      </c>
      <c r="BK643" t="s">
        <v>981</v>
      </c>
      <c r="BL643" t="s">
        <v>4981</v>
      </c>
      <c r="BM643">
        <v>20201123</v>
      </c>
      <c r="BN643">
        <v>20240910</v>
      </c>
      <c r="BO643">
        <v>0</v>
      </c>
      <c r="BP643" t="s">
        <v>257</v>
      </c>
      <c r="BQ643" t="s">
        <v>983</v>
      </c>
      <c r="BR643" t="s">
        <v>978</v>
      </c>
      <c r="BS643">
        <v>32497720504</v>
      </c>
      <c r="BT643">
        <v>0</v>
      </c>
      <c r="BU643">
        <v>0</v>
      </c>
      <c r="BV643" t="s">
        <v>984</v>
      </c>
      <c r="BW643" t="s">
        <v>257</v>
      </c>
      <c r="BX643">
        <v>0</v>
      </c>
      <c r="BY643" t="s">
        <v>980</v>
      </c>
      <c r="BZ643" t="s">
        <v>257</v>
      </c>
      <c r="CA643">
        <v>0</v>
      </c>
      <c r="CB643">
        <v>0</v>
      </c>
      <c r="CC643" t="s">
        <v>1317</v>
      </c>
      <c r="CD643">
        <v>0</v>
      </c>
      <c r="CE643">
        <v>0</v>
      </c>
      <c r="CF643">
        <v>0</v>
      </c>
      <c r="CG643">
        <v>0</v>
      </c>
      <c r="CH643">
        <v>0</v>
      </c>
      <c r="CI643" t="s">
        <v>983</v>
      </c>
      <c r="CJ643" t="s">
        <v>972</v>
      </c>
      <c r="CK643" t="s">
        <v>986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 t="s">
        <v>987</v>
      </c>
      <c r="CV643">
        <v>400008647</v>
      </c>
      <c r="CW643" t="s">
        <v>987</v>
      </c>
      <c r="CX643" t="s">
        <v>4984</v>
      </c>
      <c r="CY643" t="s">
        <v>989</v>
      </c>
    </row>
    <row r="644" spans="1:103" hidden="1" x14ac:dyDescent="0.25">
      <c r="A644">
        <v>410000648</v>
      </c>
      <c r="B644" t="s">
        <v>4985</v>
      </c>
      <c r="C644" t="s">
        <v>4986</v>
      </c>
      <c r="D644">
        <v>401100000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1</v>
      </c>
      <c r="Y644" t="s">
        <v>972</v>
      </c>
      <c r="Z644" t="s">
        <v>987</v>
      </c>
      <c r="AA644" t="s">
        <v>4987</v>
      </c>
      <c r="AB644" t="s">
        <v>975</v>
      </c>
      <c r="AC644">
        <v>4160</v>
      </c>
      <c r="AD644" t="s">
        <v>4988</v>
      </c>
      <c r="AE644">
        <v>3243694222</v>
      </c>
      <c r="AF644" t="s">
        <v>979</v>
      </c>
      <c r="AG644" t="s">
        <v>977</v>
      </c>
      <c r="AH644" t="s">
        <v>977</v>
      </c>
      <c r="AI644">
        <v>73110</v>
      </c>
      <c r="AJ644" t="s">
        <v>978</v>
      </c>
      <c r="AK644" t="s">
        <v>978</v>
      </c>
      <c r="AL644" t="s">
        <v>978</v>
      </c>
      <c r="AM644" t="s">
        <v>979</v>
      </c>
      <c r="AN644">
        <v>0</v>
      </c>
      <c r="AO644" t="s">
        <v>257</v>
      </c>
      <c r="AP644">
        <v>0</v>
      </c>
      <c r="AQ644">
        <v>18</v>
      </c>
      <c r="AR644">
        <v>43</v>
      </c>
      <c r="AS644">
        <v>1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1</v>
      </c>
      <c r="AZ644" t="s">
        <v>257</v>
      </c>
      <c r="BA644" t="s">
        <v>257</v>
      </c>
      <c r="BB644" t="s">
        <v>981</v>
      </c>
      <c r="BC644" t="s">
        <v>257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 t="s">
        <v>998</v>
      </c>
      <c r="BK644" t="s">
        <v>981</v>
      </c>
      <c r="BL644" t="s">
        <v>4985</v>
      </c>
      <c r="BM644">
        <v>20201123</v>
      </c>
      <c r="BN644">
        <v>20210507</v>
      </c>
      <c r="BO644">
        <v>0</v>
      </c>
      <c r="BP644" t="s">
        <v>257</v>
      </c>
      <c r="BQ644" t="s">
        <v>983</v>
      </c>
      <c r="BR644" t="s">
        <v>978</v>
      </c>
      <c r="BS644" t="s">
        <v>979</v>
      </c>
      <c r="BT644">
        <v>0</v>
      </c>
      <c r="BU644">
        <v>0</v>
      </c>
      <c r="BV644" t="s">
        <v>984</v>
      </c>
      <c r="BW644" t="s">
        <v>257</v>
      </c>
      <c r="BX644">
        <v>0</v>
      </c>
      <c r="BY644" t="s">
        <v>980</v>
      </c>
      <c r="BZ644" t="s">
        <v>257</v>
      </c>
      <c r="CA644">
        <v>0</v>
      </c>
      <c r="CB644">
        <v>0</v>
      </c>
      <c r="CC644" t="s">
        <v>1430</v>
      </c>
      <c r="CD644">
        <v>0</v>
      </c>
      <c r="CE644">
        <v>0</v>
      </c>
      <c r="CF644">
        <v>0</v>
      </c>
      <c r="CG644">
        <v>0</v>
      </c>
      <c r="CH644">
        <v>0</v>
      </c>
      <c r="CI644" t="s">
        <v>983</v>
      </c>
      <c r="CJ644" t="s">
        <v>972</v>
      </c>
      <c r="CK644" t="s">
        <v>986</v>
      </c>
      <c r="CL644">
        <v>0</v>
      </c>
      <c r="CM644">
        <v>1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 t="s">
        <v>987</v>
      </c>
      <c r="CV644">
        <v>400008648</v>
      </c>
      <c r="CW644" t="s">
        <v>987</v>
      </c>
      <c r="CX644" t="s">
        <v>4989</v>
      </c>
      <c r="CY644" t="s">
        <v>989</v>
      </c>
    </row>
    <row r="645" spans="1:103" hidden="1" x14ac:dyDescent="0.25">
      <c r="A645">
        <v>410000649</v>
      </c>
      <c r="B645" t="s">
        <v>4990</v>
      </c>
      <c r="C645" t="s">
        <v>4991</v>
      </c>
      <c r="D645">
        <v>401100000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1</v>
      </c>
      <c r="X645">
        <v>1</v>
      </c>
      <c r="Y645" t="s">
        <v>972</v>
      </c>
      <c r="Z645" t="s">
        <v>987</v>
      </c>
      <c r="AA645" t="s">
        <v>4992</v>
      </c>
      <c r="AB645" t="s">
        <v>975</v>
      </c>
      <c r="AC645">
        <v>4910</v>
      </c>
      <c r="AD645" t="s">
        <v>1189</v>
      </c>
      <c r="AE645">
        <v>3287773938</v>
      </c>
      <c r="AF645" t="s">
        <v>979</v>
      </c>
      <c r="AG645" t="s">
        <v>977</v>
      </c>
      <c r="AH645" t="s">
        <v>977</v>
      </c>
      <c r="AI645">
        <v>69202</v>
      </c>
      <c r="AJ645" t="s">
        <v>978</v>
      </c>
      <c r="AK645" t="s">
        <v>978</v>
      </c>
      <c r="AL645" t="s">
        <v>978</v>
      </c>
      <c r="AM645" t="s">
        <v>979</v>
      </c>
      <c r="AN645">
        <v>0</v>
      </c>
      <c r="AO645" t="s">
        <v>257</v>
      </c>
      <c r="AP645">
        <v>0</v>
      </c>
      <c r="AQ645">
        <v>18</v>
      </c>
      <c r="AR645">
        <v>43</v>
      </c>
      <c r="AS645">
        <v>1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1</v>
      </c>
      <c r="AZ645" t="s">
        <v>257</v>
      </c>
      <c r="BA645" t="s">
        <v>980</v>
      </c>
      <c r="BB645" t="s">
        <v>1010</v>
      </c>
      <c r="BC645" t="s">
        <v>257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 t="s">
        <v>998</v>
      </c>
      <c r="BK645" t="s">
        <v>981</v>
      </c>
      <c r="BL645" t="s">
        <v>4990</v>
      </c>
      <c r="BM645">
        <v>20201124</v>
      </c>
      <c r="BN645">
        <v>20220509</v>
      </c>
      <c r="BO645">
        <v>20220509</v>
      </c>
      <c r="BP645" t="s">
        <v>257</v>
      </c>
      <c r="BQ645" t="s">
        <v>983</v>
      </c>
      <c r="BR645" t="s">
        <v>978</v>
      </c>
      <c r="BS645" t="s">
        <v>979</v>
      </c>
      <c r="BT645">
        <v>0</v>
      </c>
      <c r="BU645">
        <v>0</v>
      </c>
      <c r="BV645" t="s">
        <v>984</v>
      </c>
      <c r="BW645" t="s">
        <v>257</v>
      </c>
      <c r="BX645">
        <v>0</v>
      </c>
      <c r="BY645" t="s">
        <v>980</v>
      </c>
      <c r="BZ645" t="s">
        <v>257</v>
      </c>
      <c r="CA645">
        <v>0</v>
      </c>
      <c r="CB645">
        <v>0</v>
      </c>
      <c r="CC645" t="s">
        <v>2709</v>
      </c>
      <c r="CD645">
        <v>0</v>
      </c>
      <c r="CE645">
        <v>0</v>
      </c>
      <c r="CF645">
        <v>0</v>
      </c>
      <c r="CG645">
        <v>0</v>
      </c>
      <c r="CH645">
        <v>0</v>
      </c>
      <c r="CI645" t="s">
        <v>983</v>
      </c>
      <c r="CJ645" t="s">
        <v>972</v>
      </c>
      <c r="CK645" t="s">
        <v>986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 t="s">
        <v>987</v>
      </c>
      <c r="CV645">
        <v>400008649</v>
      </c>
      <c r="CW645" t="s">
        <v>987</v>
      </c>
      <c r="CX645" t="s">
        <v>4993</v>
      </c>
      <c r="CY645" t="s">
        <v>989</v>
      </c>
    </row>
    <row r="646" spans="1:103" hidden="1" x14ac:dyDescent="0.25">
      <c r="A646">
        <v>410000650</v>
      </c>
      <c r="B646" t="s">
        <v>4994</v>
      </c>
      <c r="C646" t="s">
        <v>4995</v>
      </c>
      <c r="D646">
        <v>401100000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1</v>
      </c>
      <c r="Y646" t="s">
        <v>972</v>
      </c>
      <c r="Z646" t="s">
        <v>4996</v>
      </c>
      <c r="AA646" t="s">
        <v>4997</v>
      </c>
      <c r="AB646" t="s">
        <v>975</v>
      </c>
      <c r="AC646">
        <v>4020</v>
      </c>
      <c r="AD646" t="s">
        <v>1019</v>
      </c>
      <c r="AE646">
        <v>3243628546</v>
      </c>
      <c r="AF646" t="s">
        <v>979</v>
      </c>
      <c r="AG646" t="s">
        <v>977</v>
      </c>
      <c r="AH646" t="s">
        <v>977</v>
      </c>
      <c r="AI646">
        <v>46319</v>
      </c>
      <c r="AJ646" t="s">
        <v>978</v>
      </c>
      <c r="AK646" t="s">
        <v>978</v>
      </c>
      <c r="AL646" t="s">
        <v>978</v>
      </c>
      <c r="AM646" t="s">
        <v>979</v>
      </c>
      <c r="AN646">
        <v>0</v>
      </c>
      <c r="AO646" t="s">
        <v>257</v>
      </c>
      <c r="AP646">
        <v>0</v>
      </c>
      <c r="AQ646">
        <v>18</v>
      </c>
      <c r="AR646">
        <v>69</v>
      </c>
      <c r="AS646">
        <v>1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1</v>
      </c>
      <c r="AZ646" t="s">
        <v>257</v>
      </c>
      <c r="BA646" t="s">
        <v>980</v>
      </c>
      <c r="BB646" t="s">
        <v>981</v>
      </c>
      <c r="BC646" t="s">
        <v>257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 t="s">
        <v>998</v>
      </c>
      <c r="BK646" t="s">
        <v>981</v>
      </c>
      <c r="BL646" t="s">
        <v>4994</v>
      </c>
      <c r="BM646">
        <v>20201124</v>
      </c>
      <c r="BN646">
        <v>20240910</v>
      </c>
      <c r="BO646">
        <v>0</v>
      </c>
      <c r="BP646" t="s">
        <v>257</v>
      </c>
      <c r="BQ646" t="s">
        <v>983</v>
      </c>
      <c r="BR646" t="s">
        <v>978</v>
      </c>
      <c r="BS646" t="s">
        <v>979</v>
      </c>
      <c r="BT646">
        <v>0</v>
      </c>
      <c r="BU646">
        <v>0</v>
      </c>
      <c r="BV646" t="s">
        <v>984</v>
      </c>
      <c r="BW646" t="s">
        <v>257</v>
      </c>
      <c r="BX646">
        <v>0</v>
      </c>
      <c r="BY646" t="s">
        <v>980</v>
      </c>
      <c r="BZ646" t="s">
        <v>257</v>
      </c>
      <c r="CA646">
        <v>0</v>
      </c>
      <c r="CB646">
        <v>0</v>
      </c>
      <c r="CC646" t="s">
        <v>3851</v>
      </c>
      <c r="CD646">
        <v>0</v>
      </c>
      <c r="CE646">
        <v>0</v>
      </c>
      <c r="CF646">
        <v>0</v>
      </c>
      <c r="CG646">
        <v>0</v>
      </c>
      <c r="CH646">
        <v>0</v>
      </c>
      <c r="CI646" t="s">
        <v>983</v>
      </c>
      <c r="CJ646" t="s">
        <v>972</v>
      </c>
      <c r="CK646" t="s">
        <v>986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 t="s">
        <v>987</v>
      </c>
      <c r="CV646">
        <v>400008650</v>
      </c>
      <c r="CW646" t="s">
        <v>987</v>
      </c>
      <c r="CX646" t="s">
        <v>4998</v>
      </c>
      <c r="CY646" t="s">
        <v>989</v>
      </c>
    </row>
    <row r="647" spans="1:103" hidden="1" x14ac:dyDescent="0.25">
      <c r="A647">
        <v>410000651</v>
      </c>
      <c r="B647" t="s">
        <v>4999</v>
      </c>
      <c r="C647" t="s">
        <v>5000</v>
      </c>
      <c r="D647">
        <v>401100000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1</v>
      </c>
      <c r="Y647" t="s">
        <v>972</v>
      </c>
      <c r="Z647" t="s">
        <v>987</v>
      </c>
      <c r="AA647" t="s">
        <v>5001</v>
      </c>
      <c r="AB647" t="s">
        <v>975</v>
      </c>
      <c r="AC647">
        <v>4608</v>
      </c>
      <c r="AD647" t="s">
        <v>2903</v>
      </c>
      <c r="AE647">
        <v>3243766103</v>
      </c>
      <c r="AF647" t="s">
        <v>979</v>
      </c>
      <c r="AG647" t="s">
        <v>977</v>
      </c>
      <c r="AH647" t="s">
        <v>977</v>
      </c>
      <c r="AI647">
        <v>46216</v>
      </c>
      <c r="AJ647" t="s">
        <v>978</v>
      </c>
      <c r="AK647" t="s">
        <v>978</v>
      </c>
      <c r="AL647" t="s">
        <v>978</v>
      </c>
      <c r="AM647" t="s">
        <v>979</v>
      </c>
      <c r="AN647">
        <v>0</v>
      </c>
      <c r="AO647" t="s">
        <v>257</v>
      </c>
      <c r="AP647">
        <v>0</v>
      </c>
      <c r="AQ647">
        <v>18</v>
      </c>
      <c r="AR647">
        <v>43</v>
      </c>
      <c r="AS647">
        <v>1</v>
      </c>
      <c r="AT647">
        <v>0</v>
      </c>
      <c r="AU647">
        <v>1</v>
      </c>
      <c r="AV647">
        <v>0</v>
      </c>
      <c r="AW647">
        <v>0</v>
      </c>
      <c r="AX647">
        <v>0</v>
      </c>
      <c r="AY647">
        <v>1</v>
      </c>
      <c r="AZ647" t="s">
        <v>257</v>
      </c>
      <c r="BA647" t="s">
        <v>980</v>
      </c>
      <c r="BB647" t="s">
        <v>981</v>
      </c>
      <c r="BC647" t="s">
        <v>257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 t="s">
        <v>998</v>
      </c>
      <c r="BK647" t="s">
        <v>981</v>
      </c>
      <c r="BL647" t="s">
        <v>4999</v>
      </c>
      <c r="BM647">
        <v>20201124</v>
      </c>
      <c r="BN647">
        <v>20210507</v>
      </c>
      <c r="BO647">
        <v>0</v>
      </c>
      <c r="BP647" t="s">
        <v>257</v>
      </c>
      <c r="BQ647" t="s">
        <v>983</v>
      </c>
      <c r="BR647" t="s">
        <v>978</v>
      </c>
      <c r="BS647" t="s">
        <v>979</v>
      </c>
      <c r="BT647">
        <v>0</v>
      </c>
      <c r="BU647">
        <v>0</v>
      </c>
      <c r="BV647" t="s">
        <v>984</v>
      </c>
      <c r="BW647" t="s">
        <v>257</v>
      </c>
      <c r="BX647">
        <v>0</v>
      </c>
      <c r="BY647" t="s">
        <v>980</v>
      </c>
      <c r="BZ647" t="s">
        <v>257</v>
      </c>
      <c r="CA647">
        <v>0</v>
      </c>
      <c r="CB647">
        <v>0</v>
      </c>
      <c r="CC647" t="s">
        <v>1113</v>
      </c>
      <c r="CD647">
        <v>0</v>
      </c>
      <c r="CE647">
        <v>0</v>
      </c>
      <c r="CF647">
        <v>0</v>
      </c>
      <c r="CG647">
        <v>0</v>
      </c>
      <c r="CH647">
        <v>0</v>
      </c>
      <c r="CI647" t="s">
        <v>983</v>
      </c>
      <c r="CJ647" t="s">
        <v>972</v>
      </c>
      <c r="CK647" t="s">
        <v>986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 t="s">
        <v>987</v>
      </c>
      <c r="CV647">
        <v>400008651</v>
      </c>
      <c r="CW647" t="s">
        <v>987</v>
      </c>
      <c r="CX647" t="s">
        <v>5002</v>
      </c>
      <c r="CY647" t="s">
        <v>989</v>
      </c>
    </row>
    <row r="648" spans="1:103" hidden="1" x14ac:dyDescent="0.25">
      <c r="A648">
        <v>410000652</v>
      </c>
      <c r="B648" t="s">
        <v>5003</v>
      </c>
      <c r="C648" t="s">
        <v>5004</v>
      </c>
      <c r="D648">
        <v>401100000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1</v>
      </c>
      <c r="Y648" t="s">
        <v>972</v>
      </c>
      <c r="Z648" t="s">
        <v>987</v>
      </c>
      <c r="AA648" t="s">
        <v>5005</v>
      </c>
      <c r="AB648" t="s">
        <v>975</v>
      </c>
      <c r="AC648">
        <v>4367</v>
      </c>
      <c r="AD648" t="s">
        <v>5006</v>
      </c>
      <c r="AE648">
        <v>3219678081</v>
      </c>
      <c r="AF648" t="s">
        <v>979</v>
      </c>
      <c r="AG648" t="s">
        <v>977</v>
      </c>
      <c r="AH648" t="s">
        <v>977</v>
      </c>
      <c r="AI648">
        <v>56102</v>
      </c>
      <c r="AJ648" t="s">
        <v>978</v>
      </c>
      <c r="AK648" t="s">
        <v>978</v>
      </c>
      <c r="AL648" t="s">
        <v>978</v>
      </c>
      <c r="AM648" t="s">
        <v>979</v>
      </c>
      <c r="AN648">
        <v>0</v>
      </c>
      <c r="AO648" t="s">
        <v>257</v>
      </c>
      <c r="AP648">
        <v>0</v>
      </c>
      <c r="AQ648">
        <v>18</v>
      </c>
      <c r="AR648">
        <v>69</v>
      </c>
      <c r="AS648">
        <v>1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1</v>
      </c>
      <c r="AZ648" t="s">
        <v>257</v>
      </c>
      <c r="BA648" t="s">
        <v>980</v>
      </c>
      <c r="BB648" t="s">
        <v>981</v>
      </c>
      <c r="BC648" t="s">
        <v>257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 t="s">
        <v>998</v>
      </c>
      <c r="BK648" t="s">
        <v>981</v>
      </c>
      <c r="BL648" t="s">
        <v>5003</v>
      </c>
      <c r="BM648">
        <v>20201124</v>
      </c>
      <c r="BN648">
        <v>20240910</v>
      </c>
      <c r="BO648">
        <v>0</v>
      </c>
      <c r="BP648" t="s">
        <v>257</v>
      </c>
      <c r="BQ648" t="s">
        <v>983</v>
      </c>
      <c r="BR648" t="s">
        <v>978</v>
      </c>
      <c r="BS648" t="s">
        <v>979</v>
      </c>
      <c r="BT648">
        <v>0</v>
      </c>
      <c r="BU648">
        <v>0</v>
      </c>
      <c r="BV648" t="s">
        <v>984</v>
      </c>
      <c r="BW648" t="s">
        <v>257</v>
      </c>
      <c r="BX648">
        <v>0</v>
      </c>
      <c r="BY648" t="s">
        <v>980</v>
      </c>
      <c r="BZ648" t="s">
        <v>257</v>
      </c>
      <c r="CA648">
        <v>0</v>
      </c>
      <c r="CB648">
        <v>0</v>
      </c>
      <c r="CC648" t="s">
        <v>1161</v>
      </c>
      <c r="CD648">
        <v>0</v>
      </c>
      <c r="CE648">
        <v>0</v>
      </c>
      <c r="CF648">
        <v>0</v>
      </c>
      <c r="CG648">
        <v>0</v>
      </c>
      <c r="CH648">
        <v>0</v>
      </c>
      <c r="CI648" t="s">
        <v>983</v>
      </c>
      <c r="CJ648" t="s">
        <v>972</v>
      </c>
      <c r="CK648" t="s">
        <v>986</v>
      </c>
      <c r="CL648">
        <v>0</v>
      </c>
      <c r="CM648">
        <v>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 t="s">
        <v>987</v>
      </c>
      <c r="CV648">
        <v>400008652</v>
      </c>
      <c r="CW648" t="s">
        <v>987</v>
      </c>
      <c r="CX648" t="s">
        <v>5007</v>
      </c>
      <c r="CY648" t="s">
        <v>989</v>
      </c>
    </row>
    <row r="649" spans="1:103" hidden="1" x14ac:dyDescent="0.25">
      <c r="A649">
        <v>410000653</v>
      </c>
      <c r="B649" t="s">
        <v>5008</v>
      </c>
      <c r="C649" t="s">
        <v>5009</v>
      </c>
      <c r="D649">
        <v>401100000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1</v>
      </c>
      <c r="X649">
        <v>1</v>
      </c>
      <c r="Y649" t="s">
        <v>972</v>
      </c>
      <c r="Z649" t="s">
        <v>3909</v>
      </c>
      <c r="AA649" t="s">
        <v>5010</v>
      </c>
      <c r="AB649" t="s">
        <v>975</v>
      </c>
      <c r="AC649">
        <v>1090</v>
      </c>
      <c r="AD649" t="s">
        <v>5011</v>
      </c>
      <c r="AE649">
        <v>3227255004</v>
      </c>
      <c r="AF649" t="s">
        <v>979</v>
      </c>
      <c r="AG649" t="s">
        <v>977</v>
      </c>
      <c r="AH649" t="s">
        <v>977</v>
      </c>
      <c r="AI649">
        <v>69201</v>
      </c>
      <c r="AJ649" t="s">
        <v>978</v>
      </c>
      <c r="AK649" t="s">
        <v>978</v>
      </c>
      <c r="AL649" t="s">
        <v>978</v>
      </c>
      <c r="AM649" t="s">
        <v>979</v>
      </c>
      <c r="AN649">
        <v>0</v>
      </c>
      <c r="AO649" t="s">
        <v>257</v>
      </c>
      <c r="AP649">
        <v>0</v>
      </c>
      <c r="AQ649">
        <v>18</v>
      </c>
      <c r="AR649">
        <v>43</v>
      </c>
      <c r="AS649">
        <v>1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1</v>
      </c>
      <c r="AZ649" t="s">
        <v>257</v>
      </c>
      <c r="BA649" t="s">
        <v>980</v>
      </c>
      <c r="BB649" t="s">
        <v>1010</v>
      </c>
      <c r="BC649" t="s">
        <v>257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 t="s">
        <v>998</v>
      </c>
      <c r="BK649" t="s">
        <v>981</v>
      </c>
      <c r="BL649" t="s">
        <v>5008</v>
      </c>
      <c r="BM649">
        <v>20201124</v>
      </c>
      <c r="BN649">
        <v>20240422</v>
      </c>
      <c r="BO649">
        <v>20240422</v>
      </c>
      <c r="BP649" t="s">
        <v>257</v>
      </c>
      <c r="BQ649" t="s">
        <v>983</v>
      </c>
      <c r="BR649" t="s">
        <v>978</v>
      </c>
      <c r="BS649" t="s">
        <v>979</v>
      </c>
      <c r="BT649">
        <v>0</v>
      </c>
      <c r="BU649">
        <v>0</v>
      </c>
      <c r="BV649" t="s">
        <v>984</v>
      </c>
      <c r="BW649" t="s">
        <v>257</v>
      </c>
      <c r="BX649">
        <v>0</v>
      </c>
      <c r="BY649" t="s">
        <v>980</v>
      </c>
      <c r="BZ649" t="s">
        <v>257</v>
      </c>
      <c r="CA649">
        <v>0</v>
      </c>
      <c r="CB649">
        <v>0</v>
      </c>
      <c r="CC649" t="s">
        <v>1033</v>
      </c>
      <c r="CD649">
        <v>0</v>
      </c>
      <c r="CE649">
        <v>0</v>
      </c>
      <c r="CF649">
        <v>0</v>
      </c>
      <c r="CG649">
        <v>0</v>
      </c>
      <c r="CH649">
        <v>0</v>
      </c>
      <c r="CI649" t="s">
        <v>983</v>
      </c>
      <c r="CJ649" t="s">
        <v>972</v>
      </c>
      <c r="CK649" t="s">
        <v>986</v>
      </c>
      <c r="CL649">
        <v>0</v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 t="s">
        <v>987</v>
      </c>
      <c r="CV649">
        <v>400008653</v>
      </c>
      <c r="CW649" t="s">
        <v>987</v>
      </c>
      <c r="CX649" t="s">
        <v>5012</v>
      </c>
      <c r="CY649" t="s">
        <v>989</v>
      </c>
    </row>
    <row r="650" spans="1:103" hidden="1" x14ac:dyDescent="0.25">
      <c r="A650">
        <v>410000654</v>
      </c>
      <c r="B650" t="s">
        <v>5013</v>
      </c>
      <c r="C650" t="s">
        <v>5014</v>
      </c>
      <c r="D650">
        <v>401100000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1</v>
      </c>
      <c r="X650">
        <v>1</v>
      </c>
      <c r="Y650" t="s">
        <v>972</v>
      </c>
      <c r="Z650" t="s">
        <v>987</v>
      </c>
      <c r="AA650" t="s">
        <v>5015</v>
      </c>
      <c r="AB650" t="s">
        <v>975</v>
      </c>
      <c r="AC650">
        <v>4432</v>
      </c>
      <c r="AD650" t="s">
        <v>1474</v>
      </c>
      <c r="AE650">
        <v>3242463707</v>
      </c>
      <c r="AF650" t="s">
        <v>979</v>
      </c>
      <c r="AG650" t="s">
        <v>977</v>
      </c>
      <c r="AH650" t="s">
        <v>977</v>
      </c>
      <c r="AI650">
        <v>49410</v>
      </c>
      <c r="AJ650" t="s">
        <v>978</v>
      </c>
      <c r="AK650" t="s">
        <v>978</v>
      </c>
      <c r="AL650" t="s">
        <v>978</v>
      </c>
      <c r="AM650" t="s">
        <v>979</v>
      </c>
      <c r="AN650">
        <v>0</v>
      </c>
      <c r="AO650" t="s">
        <v>257</v>
      </c>
      <c r="AP650">
        <v>0</v>
      </c>
      <c r="AQ650">
        <v>18</v>
      </c>
      <c r="AR650">
        <v>43</v>
      </c>
      <c r="AS650">
        <v>1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1</v>
      </c>
      <c r="AZ650" t="s">
        <v>257</v>
      </c>
      <c r="BA650" t="s">
        <v>980</v>
      </c>
      <c r="BB650" t="s">
        <v>981</v>
      </c>
      <c r="BC650" t="s">
        <v>257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 t="s">
        <v>998</v>
      </c>
      <c r="BK650" t="s">
        <v>981</v>
      </c>
      <c r="BL650" t="s">
        <v>5013</v>
      </c>
      <c r="BM650">
        <v>20201124</v>
      </c>
      <c r="BN650">
        <v>20210507</v>
      </c>
      <c r="BO650">
        <v>0</v>
      </c>
      <c r="BP650" t="s">
        <v>257</v>
      </c>
      <c r="BQ650" t="s">
        <v>983</v>
      </c>
      <c r="BR650" t="s">
        <v>978</v>
      </c>
      <c r="BS650" t="s">
        <v>979</v>
      </c>
      <c r="BT650">
        <v>0</v>
      </c>
      <c r="BU650">
        <v>0</v>
      </c>
      <c r="BV650" t="s">
        <v>984</v>
      </c>
      <c r="BW650" t="s">
        <v>257</v>
      </c>
      <c r="BX650">
        <v>0</v>
      </c>
      <c r="BY650" t="s">
        <v>980</v>
      </c>
      <c r="BZ650" t="s">
        <v>257</v>
      </c>
      <c r="CA650">
        <v>0</v>
      </c>
      <c r="CB650">
        <v>0</v>
      </c>
      <c r="CC650" t="s">
        <v>1391</v>
      </c>
      <c r="CD650">
        <v>0</v>
      </c>
      <c r="CE650">
        <v>0</v>
      </c>
      <c r="CF650">
        <v>0</v>
      </c>
      <c r="CG650">
        <v>0</v>
      </c>
      <c r="CH650">
        <v>0</v>
      </c>
      <c r="CI650" t="s">
        <v>983</v>
      </c>
      <c r="CJ650" t="s">
        <v>972</v>
      </c>
      <c r="CK650" t="s">
        <v>986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 t="s">
        <v>987</v>
      </c>
      <c r="CV650">
        <v>400008654</v>
      </c>
      <c r="CW650" t="s">
        <v>987</v>
      </c>
      <c r="CX650" t="s">
        <v>5016</v>
      </c>
      <c r="CY650" t="s">
        <v>989</v>
      </c>
    </row>
    <row r="651" spans="1:103" hidden="1" x14ac:dyDescent="0.25">
      <c r="A651">
        <v>410000655</v>
      </c>
      <c r="B651" t="s">
        <v>5017</v>
      </c>
      <c r="C651" t="s">
        <v>5018</v>
      </c>
      <c r="D651">
        <v>401100000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1</v>
      </c>
      <c r="Y651" t="s">
        <v>972</v>
      </c>
      <c r="Z651" t="s">
        <v>987</v>
      </c>
      <c r="AA651" t="s">
        <v>5019</v>
      </c>
      <c r="AB651" t="s">
        <v>975</v>
      </c>
      <c r="AC651">
        <v>4040</v>
      </c>
      <c r="AD651" t="s">
        <v>976</v>
      </c>
      <c r="AE651">
        <v>3242649179</v>
      </c>
      <c r="AF651" t="s">
        <v>979</v>
      </c>
      <c r="AG651" t="s">
        <v>977</v>
      </c>
      <c r="AH651" t="s">
        <v>977</v>
      </c>
      <c r="AI651">
        <v>69202</v>
      </c>
      <c r="AJ651" t="s">
        <v>978</v>
      </c>
      <c r="AK651" t="s">
        <v>978</v>
      </c>
      <c r="AL651" t="s">
        <v>978</v>
      </c>
      <c r="AM651" t="s">
        <v>979</v>
      </c>
      <c r="AN651">
        <v>0</v>
      </c>
      <c r="AO651" t="s">
        <v>257</v>
      </c>
      <c r="AP651">
        <v>0</v>
      </c>
      <c r="AQ651">
        <v>18</v>
      </c>
      <c r="AR651">
        <v>43</v>
      </c>
      <c r="AS651">
        <v>1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1</v>
      </c>
      <c r="AZ651" t="s">
        <v>257</v>
      </c>
      <c r="BA651" t="s">
        <v>980</v>
      </c>
      <c r="BB651" t="s">
        <v>981</v>
      </c>
      <c r="BC651" t="s">
        <v>257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 t="s">
        <v>998</v>
      </c>
      <c r="BK651" t="s">
        <v>981</v>
      </c>
      <c r="BL651" t="s">
        <v>5017</v>
      </c>
      <c r="BM651">
        <v>20201124</v>
      </c>
      <c r="BN651">
        <v>20210507</v>
      </c>
      <c r="BO651">
        <v>0</v>
      </c>
      <c r="BP651" t="s">
        <v>257</v>
      </c>
      <c r="BQ651" t="s">
        <v>983</v>
      </c>
      <c r="BR651" t="s">
        <v>978</v>
      </c>
      <c r="BS651" t="s">
        <v>979</v>
      </c>
      <c r="BT651">
        <v>0</v>
      </c>
      <c r="BU651">
        <v>0</v>
      </c>
      <c r="BV651" t="s">
        <v>984</v>
      </c>
      <c r="BW651" t="s">
        <v>257</v>
      </c>
      <c r="BX651">
        <v>0</v>
      </c>
      <c r="BY651" t="s">
        <v>980</v>
      </c>
      <c r="BZ651" t="s">
        <v>257</v>
      </c>
      <c r="CA651">
        <v>0</v>
      </c>
      <c r="CB651">
        <v>0</v>
      </c>
      <c r="CC651" t="s">
        <v>985</v>
      </c>
      <c r="CD651">
        <v>0</v>
      </c>
      <c r="CE651">
        <v>0</v>
      </c>
      <c r="CF651">
        <v>0</v>
      </c>
      <c r="CG651">
        <v>0</v>
      </c>
      <c r="CH651">
        <v>0</v>
      </c>
      <c r="CI651" t="s">
        <v>983</v>
      </c>
      <c r="CJ651" t="s">
        <v>972</v>
      </c>
      <c r="CK651" t="s">
        <v>986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 t="s">
        <v>987</v>
      </c>
      <c r="CV651">
        <v>400008655</v>
      </c>
      <c r="CW651" t="s">
        <v>987</v>
      </c>
      <c r="CX651" t="s">
        <v>5020</v>
      </c>
      <c r="CY651" t="s">
        <v>989</v>
      </c>
    </row>
    <row r="652" spans="1:103" hidden="1" x14ac:dyDescent="0.25">
      <c r="A652">
        <v>410000656</v>
      </c>
      <c r="B652" t="s">
        <v>5021</v>
      </c>
      <c r="C652" t="s">
        <v>5022</v>
      </c>
      <c r="D652">
        <v>401100000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1</v>
      </c>
      <c r="X652">
        <v>1</v>
      </c>
      <c r="Y652" t="s">
        <v>972</v>
      </c>
      <c r="Z652" t="s">
        <v>5023</v>
      </c>
      <c r="AA652" t="s">
        <v>5024</v>
      </c>
      <c r="AB652" t="s">
        <v>975</v>
      </c>
      <c r="AC652">
        <v>4420</v>
      </c>
      <c r="AD652" t="s">
        <v>4314</v>
      </c>
      <c r="AE652">
        <v>3243531274</v>
      </c>
      <c r="AF652" t="s">
        <v>979</v>
      </c>
      <c r="AG652" t="s">
        <v>977</v>
      </c>
      <c r="AH652" t="s">
        <v>977</v>
      </c>
      <c r="AI652">
        <v>87202</v>
      </c>
      <c r="AJ652" t="s">
        <v>978</v>
      </c>
      <c r="AK652" t="s">
        <v>978</v>
      </c>
      <c r="AL652" t="s">
        <v>978</v>
      </c>
      <c r="AM652" t="s">
        <v>979</v>
      </c>
      <c r="AN652">
        <v>0</v>
      </c>
      <c r="AO652" t="s">
        <v>257</v>
      </c>
      <c r="AP652">
        <v>0</v>
      </c>
      <c r="AQ652">
        <v>18</v>
      </c>
      <c r="AR652">
        <v>43</v>
      </c>
      <c r="AS652">
        <v>1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1</v>
      </c>
      <c r="AZ652" t="s">
        <v>257</v>
      </c>
      <c r="BA652" t="s">
        <v>980</v>
      </c>
      <c r="BB652" t="s">
        <v>981</v>
      </c>
      <c r="BC652" t="s">
        <v>257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 t="s">
        <v>998</v>
      </c>
      <c r="BK652" t="s">
        <v>981</v>
      </c>
      <c r="BL652" t="s">
        <v>5021</v>
      </c>
      <c r="BM652">
        <v>20201124</v>
      </c>
      <c r="BN652">
        <v>20210621</v>
      </c>
      <c r="BO652">
        <v>0</v>
      </c>
      <c r="BP652" t="s">
        <v>257</v>
      </c>
      <c r="BQ652" t="s">
        <v>983</v>
      </c>
      <c r="BR652" t="s">
        <v>978</v>
      </c>
      <c r="BS652" t="s">
        <v>979</v>
      </c>
      <c r="BT652">
        <v>0</v>
      </c>
      <c r="BU652">
        <v>0</v>
      </c>
      <c r="BV652" t="s">
        <v>984</v>
      </c>
      <c r="BW652" t="s">
        <v>257</v>
      </c>
      <c r="BX652">
        <v>0</v>
      </c>
      <c r="BY652" t="s">
        <v>980</v>
      </c>
      <c r="BZ652" t="s">
        <v>257</v>
      </c>
      <c r="CA652">
        <v>0</v>
      </c>
      <c r="CB652">
        <v>0</v>
      </c>
      <c r="CC652" t="s">
        <v>1317</v>
      </c>
      <c r="CD652">
        <v>0</v>
      </c>
      <c r="CE652">
        <v>0</v>
      </c>
      <c r="CF652">
        <v>0</v>
      </c>
      <c r="CG652">
        <v>0</v>
      </c>
      <c r="CH652">
        <v>0</v>
      </c>
      <c r="CI652" t="s">
        <v>983</v>
      </c>
      <c r="CJ652" t="s">
        <v>972</v>
      </c>
      <c r="CK652" t="s">
        <v>986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 t="s">
        <v>987</v>
      </c>
      <c r="CV652">
        <v>400008656</v>
      </c>
      <c r="CW652" t="s">
        <v>987</v>
      </c>
      <c r="CX652" t="s">
        <v>5025</v>
      </c>
      <c r="CY652" t="s">
        <v>989</v>
      </c>
    </row>
    <row r="653" spans="1:103" hidden="1" x14ac:dyDescent="0.25">
      <c r="A653">
        <v>410000657</v>
      </c>
      <c r="B653" t="s">
        <v>5026</v>
      </c>
      <c r="C653" t="s">
        <v>5027</v>
      </c>
      <c r="D653">
        <v>401100000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1</v>
      </c>
      <c r="Y653" t="s">
        <v>972</v>
      </c>
      <c r="Z653" t="s">
        <v>987</v>
      </c>
      <c r="AA653" t="s">
        <v>5028</v>
      </c>
      <c r="AB653" t="s">
        <v>975</v>
      </c>
      <c r="AC653">
        <v>4000</v>
      </c>
      <c r="AD653" t="s">
        <v>1019</v>
      </c>
      <c r="AE653">
        <v>3243413910</v>
      </c>
      <c r="AF653" t="s">
        <v>979</v>
      </c>
      <c r="AG653" t="s">
        <v>977</v>
      </c>
      <c r="AH653" t="s">
        <v>977</v>
      </c>
      <c r="AI653">
        <v>69202</v>
      </c>
      <c r="AJ653" t="s">
        <v>978</v>
      </c>
      <c r="AK653" t="s">
        <v>978</v>
      </c>
      <c r="AL653" t="s">
        <v>978</v>
      </c>
      <c r="AM653" t="s">
        <v>979</v>
      </c>
      <c r="AN653">
        <v>0</v>
      </c>
      <c r="AO653" t="s">
        <v>257</v>
      </c>
      <c r="AP653">
        <v>0</v>
      </c>
      <c r="AQ653">
        <v>18</v>
      </c>
      <c r="AR653">
        <v>43</v>
      </c>
      <c r="AS653">
        <v>1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1</v>
      </c>
      <c r="AZ653" t="s">
        <v>257</v>
      </c>
      <c r="BA653" t="s">
        <v>980</v>
      </c>
      <c r="BB653" t="s">
        <v>1010</v>
      </c>
      <c r="BC653" t="s">
        <v>257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 t="s">
        <v>998</v>
      </c>
      <c r="BK653" t="s">
        <v>981</v>
      </c>
      <c r="BL653" t="s">
        <v>5026</v>
      </c>
      <c r="BM653">
        <v>20201124</v>
      </c>
      <c r="BN653">
        <v>20220829</v>
      </c>
      <c r="BO653">
        <v>20220829</v>
      </c>
      <c r="BP653" t="s">
        <v>257</v>
      </c>
      <c r="BQ653" t="s">
        <v>983</v>
      </c>
      <c r="BR653" t="s">
        <v>978</v>
      </c>
      <c r="BS653" t="s">
        <v>979</v>
      </c>
      <c r="BT653">
        <v>0</v>
      </c>
      <c r="BU653">
        <v>0</v>
      </c>
      <c r="BV653" t="s">
        <v>984</v>
      </c>
      <c r="BW653" t="s">
        <v>257</v>
      </c>
      <c r="BX653">
        <v>0</v>
      </c>
      <c r="BY653" t="s">
        <v>980</v>
      </c>
      <c r="BZ653" t="s">
        <v>257</v>
      </c>
      <c r="CA653">
        <v>0</v>
      </c>
      <c r="CB653">
        <v>0</v>
      </c>
      <c r="CC653" t="s">
        <v>2498</v>
      </c>
      <c r="CD653">
        <v>0</v>
      </c>
      <c r="CE653">
        <v>0</v>
      </c>
      <c r="CF653">
        <v>0</v>
      </c>
      <c r="CG653">
        <v>0</v>
      </c>
      <c r="CH653">
        <v>0</v>
      </c>
      <c r="CI653" t="s">
        <v>983</v>
      </c>
      <c r="CJ653" t="s">
        <v>972</v>
      </c>
      <c r="CK653" t="s">
        <v>986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 t="s">
        <v>987</v>
      </c>
      <c r="CV653">
        <v>400008657</v>
      </c>
      <c r="CW653" t="s">
        <v>987</v>
      </c>
      <c r="CX653" t="s">
        <v>5029</v>
      </c>
      <c r="CY653" t="s">
        <v>989</v>
      </c>
    </row>
    <row r="654" spans="1:103" hidden="1" x14ac:dyDescent="0.25">
      <c r="A654">
        <v>410000658</v>
      </c>
      <c r="B654" t="s">
        <v>5030</v>
      </c>
      <c r="C654" t="s">
        <v>5031</v>
      </c>
      <c r="D654">
        <v>401100000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1</v>
      </c>
      <c r="Y654" t="s">
        <v>972</v>
      </c>
      <c r="Z654" t="s">
        <v>987</v>
      </c>
      <c r="AA654" t="s">
        <v>5032</v>
      </c>
      <c r="AB654" t="s">
        <v>975</v>
      </c>
      <c r="AC654">
        <v>4600</v>
      </c>
      <c r="AD654" t="s">
        <v>1813</v>
      </c>
      <c r="AE654">
        <v>3243742020</v>
      </c>
      <c r="AF654" t="s">
        <v>979</v>
      </c>
      <c r="AG654" t="s">
        <v>977</v>
      </c>
      <c r="AH654" t="s">
        <v>977</v>
      </c>
      <c r="AI654">
        <v>46699</v>
      </c>
      <c r="AJ654" t="s">
        <v>978</v>
      </c>
      <c r="AK654" t="s">
        <v>978</v>
      </c>
      <c r="AL654" t="s">
        <v>978</v>
      </c>
      <c r="AM654" t="s">
        <v>979</v>
      </c>
      <c r="AN654">
        <v>0</v>
      </c>
      <c r="AO654" t="s">
        <v>257</v>
      </c>
      <c r="AP654">
        <v>0</v>
      </c>
      <c r="AQ654">
        <v>18</v>
      </c>
      <c r="AR654">
        <v>43</v>
      </c>
      <c r="AS654">
        <v>1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1</v>
      </c>
      <c r="AZ654" t="s">
        <v>257</v>
      </c>
      <c r="BA654" t="s">
        <v>980</v>
      </c>
      <c r="BB654" t="s">
        <v>981</v>
      </c>
      <c r="BC654" t="s">
        <v>257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 t="s">
        <v>998</v>
      </c>
      <c r="BK654" t="s">
        <v>981</v>
      </c>
      <c r="BL654" t="s">
        <v>5030</v>
      </c>
      <c r="BM654">
        <v>20201124</v>
      </c>
      <c r="BN654">
        <v>20210507</v>
      </c>
      <c r="BO654">
        <v>0</v>
      </c>
      <c r="BP654" t="s">
        <v>257</v>
      </c>
      <c r="BQ654" t="s">
        <v>983</v>
      </c>
      <c r="BR654" t="s">
        <v>978</v>
      </c>
      <c r="BS654" t="s">
        <v>979</v>
      </c>
      <c r="BT654">
        <v>0</v>
      </c>
      <c r="BU654">
        <v>0</v>
      </c>
      <c r="BV654" t="s">
        <v>984</v>
      </c>
      <c r="BW654" t="s">
        <v>257</v>
      </c>
      <c r="BX654">
        <v>0</v>
      </c>
      <c r="BY654" t="s">
        <v>980</v>
      </c>
      <c r="BZ654" t="s">
        <v>257</v>
      </c>
      <c r="CA654">
        <v>0</v>
      </c>
      <c r="CB654">
        <v>0</v>
      </c>
      <c r="CC654" t="s">
        <v>1317</v>
      </c>
      <c r="CD654">
        <v>0</v>
      </c>
      <c r="CE654">
        <v>0</v>
      </c>
      <c r="CF654">
        <v>0</v>
      </c>
      <c r="CG654">
        <v>0</v>
      </c>
      <c r="CH654">
        <v>0</v>
      </c>
      <c r="CI654" t="s">
        <v>983</v>
      </c>
      <c r="CJ654" t="s">
        <v>972</v>
      </c>
      <c r="CK654" t="s">
        <v>986</v>
      </c>
      <c r="CL654">
        <v>0</v>
      </c>
      <c r="CM654">
        <v>1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 t="s">
        <v>987</v>
      </c>
      <c r="CV654">
        <v>400008658</v>
      </c>
      <c r="CW654" t="s">
        <v>987</v>
      </c>
      <c r="CX654" t="s">
        <v>5033</v>
      </c>
      <c r="CY654" t="s">
        <v>989</v>
      </c>
    </row>
    <row r="655" spans="1:103" hidden="1" x14ac:dyDescent="0.25">
      <c r="A655">
        <v>410000659</v>
      </c>
      <c r="B655" t="s">
        <v>5034</v>
      </c>
      <c r="C655" t="s">
        <v>5035</v>
      </c>
      <c r="D655">
        <v>401100000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1</v>
      </c>
      <c r="Y655" t="s">
        <v>972</v>
      </c>
      <c r="Z655" t="s">
        <v>987</v>
      </c>
      <c r="AA655" t="s">
        <v>5036</v>
      </c>
      <c r="AB655" t="s">
        <v>975</v>
      </c>
      <c r="AC655">
        <v>4570</v>
      </c>
      <c r="AD655" t="s">
        <v>5037</v>
      </c>
      <c r="AE655">
        <v>3285413666</v>
      </c>
      <c r="AF655" t="s">
        <v>979</v>
      </c>
      <c r="AG655" t="s">
        <v>977</v>
      </c>
      <c r="AH655" t="s">
        <v>977</v>
      </c>
      <c r="AI655">
        <v>58140</v>
      </c>
      <c r="AJ655" t="s">
        <v>978</v>
      </c>
      <c r="AK655" t="s">
        <v>978</v>
      </c>
      <c r="AL655" t="s">
        <v>978</v>
      </c>
      <c r="AM655" t="s">
        <v>979</v>
      </c>
      <c r="AN655">
        <v>0</v>
      </c>
      <c r="AO655" t="s">
        <v>257</v>
      </c>
      <c r="AP655">
        <v>0</v>
      </c>
      <c r="AQ655">
        <v>18</v>
      </c>
      <c r="AR655">
        <v>43</v>
      </c>
      <c r="AS655">
        <v>1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1</v>
      </c>
      <c r="AZ655" t="s">
        <v>257</v>
      </c>
      <c r="BA655" t="s">
        <v>980</v>
      </c>
      <c r="BB655" t="s">
        <v>981</v>
      </c>
      <c r="BC655" t="s">
        <v>257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 t="s">
        <v>998</v>
      </c>
      <c r="BK655" t="s">
        <v>981</v>
      </c>
      <c r="BL655" t="s">
        <v>5034</v>
      </c>
      <c r="BM655">
        <v>20201124</v>
      </c>
      <c r="BN655">
        <v>20210507</v>
      </c>
      <c r="BO655">
        <v>0</v>
      </c>
      <c r="BP655" t="s">
        <v>257</v>
      </c>
      <c r="BQ655" t="s">
        <v>983</v>
      </c>
      <c r="BR655" t="s">
        <v>978</v>
      </c>
      <c r="BS655" t="s">
        <v>979</v>
      </c>
      <c r="BT655">
        <v>0</v>
      </c>
      <c r="BU655">
        <v>0</v>
      </c>
      <c r="BV655" t="s">
        <v>984</v>
      </c>
      <c r="BW655" t="s">
        <v>257</v>
      </c>
      <c r="BX655">
        <v>0</v>
      </c>
      <c r="BY655" t="s">
        <v>980</v>
      </c>
      <c r="BZ655" t="s">
        <v>257</v>
      </c>
      <c r="CA655">
        <v>0</v>
      </c>
      <c r="CB655">
        <v>0</v>
      </c>
      <c r="CC655" t="s">
        <v>1901</v>
      </c>
      <c r="CD655">
        <v>0</v>
      </c>
      <c r="CE655">
        <v>0</v>
      </c>
      <c r="CF655">
        <v>0</v>
      </c>
      <c r="CG655">
        <v>0</v>
      </c>
      <c r="CH655">
        <v>0</v>
      </c>
      <c r="CI655" t="s">
        <v>983</v>
      </c>
      <c r="CJ655" t="s">
        <v>972</v>
      </c>
      <c r="CK655" t="s">
        <v>986</v>
      </c>
      <c r="CL655">
        <v>0</v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 t="s">
        <v>987</v>
      </c>
      <c r="CV655">
        <v>400008659</v>
      </c>
      <c r="CW655" t="s">
        <v>987</v>
      </c>
      <c r="CX655" t="s">
        <v>5038</v>
      </c>
      <c r="CY655" t="s">
        <v>989</v>
      </c>
    </row>
    <row r="656" spans="1:103" hidden="1" x14ac:dyDescent="0.25">
      <c r="A656">
        <v>410000660</v>
      </c>
      <c r="B656" t="s">
        <v>5039</v>
      </c>
      <c r="C656" t="s">
        <v>5040</v>
      </c>
      <c r="D656">
        <v>401100000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4</v>
      </c>
      <c r="W656">
        <v>1</v>
      </c>
      <c r="X656">
        <v>1</v>
      </c>
      <c r="Y656" t="s">
        <v>972</v>
      </c>
      <c r="Z656" t="s">
        <v>987</v>
      </c>
      <c r="AA656" t="s">
        <v>5041</v>
      </c>
      <c r="AB656" t="s">
        <v>975</v>
      </c>
      <c r="AC656">
        <v>4670</v>
      </c>
      <c r="AD656" t="s">
        <v>3208</v>
      </c>
      <c r="AE656">
        <v>3243874333</v>
      </c>
      <c r="AF656" t="s">
        <v>979</v>
      </c>
      <c r="AG656" t="s">
        <v>977</v>
      </c>
      <c r="AH656" t="s">
        <v>977</v>
      </c>
      <c r="AI656">
        <v>91030</v>
      </c>
      <c r="AJ656" t="s">
        <v>978</v>
      </c>
      <c r="AK656" t="s">
        <v>978</v>
      </c>
      <c r="AL656" t="s">
        <v>978</v>
      </c>
      <c r="AM656" t="s">
        <v>979</v>
      </c>
      <c r="AN656">
        <v>0</v>
      </c>
      <c r="AO656" t="s">
        <v>257</v>
      </c>
      <c r="AP656">
        <v>0</v>
      </c>
      <c r="AQ656">
        <v>18</v>
      </c>
      <c r="AR656">
        <v>43</v>
      </c>
      <c r="AS656">
        <v>1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1</v>
      </c>
      <c r="AZ656" t="s">
        <v>257</v>
      </c>
      <c r="BA656" t="s">
        <v>980</v>
      </c>
      <c r="BB656" t="s">
        <v>981</v>
      </c>
      <c r="BC656" t="s">
        <v>257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 t="s">
        <v>998</v>
      </c>
      <c r="BK656" t="s">
        <v>981</v>
      </c>
      <c r="BL656" t="s">
        <v>5039</v>
      </c>
      <c r="BM656">
        <v>20201124</v>
      </c>
      <c r="BN656">
        <v>20210507</v>
      </c>
      <c r="BO656">
        <v>0</v>
      </c>
      <c r="BP656" t="s">
        <v>257</v>
      </c>
      <c r="BQ656" t="s">
        <v>983</v>
      </c>
      <c r="BR656" t="s">
        <v>978</v>
      </c>
      <c r="BS656" t="s">
        <v>979</v>
      </c>
      <c r="BT656">
        <v>0</v>
      </c>
      <c r="BU656">
        <v>0</v>
      </c>
      <c r="BV656" t="s">
        <v>984</v>
      </c>
      <c r="BW656" t="s">
        <v>257</v>
      </c>
      <c r="BX656">
        <v>0</v>
      </c>
      <c r="BY656" t="s">
        <v>980</v>
      </c>
      <c r="BZ656" t="s">
        <v>257</v>
      </c>
      <c r="CA656">
        <v>0</v>
      </c>
      <c r="CB656">
        <v>0</v>
      </c>
      <c r="CC656" t="s">
        <v>1317</v>
      </c>
      <c r="CD656">
        <v>0</v>
      </c>
      <c r="CE656">
        <v>0</v>
      </c>
      <c r="CF656">
        <v>0</v>
      </c>
      <c r="CG656">
        <v>0</v>
      </c>
      <c r="CH656">
        <v>0</v>
      </c>
      <c r="CI656" t="s">
        <v>983</v>
      </c>
      <c r="CJ656" t="s">
        <v>972</v>
      </c>
      <c r="CK656" t="s">
        <v>986</v>
      </c>
      <c r="CL656">
        <v>0</v>
      </c>
      <c r="CM656">
        <v>1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 t="s">
        <v>987</v>
      </c>
      <c r="CV656">
        <v>400008660</v>
      </c>
      <c r="CW656" t="s">
        <v>987</v>
      </c>
      <c r="CX656" t="s">
        <v>5042</v>
      </c>
      <c r="CY656" t="s">
        <v>989</v>
      </c>
    </row>
    <row r="657" spans="1:103" hidden="1" x14ac:dyDescent="0.25">
      <c r="A657">
        <v>410000661</v>
      </c>
      <c r="B657" t="s">
        <v>5043</v>
      </c>
      <c r="C657" t="s">
        <v>5044</v>
      </c>
      <c r="D657">
        <v>401100000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1</v>
      </c>
      <c r="X657">
        <v>1</v>
      </c>
      <c r="Y657" t="s">
        <v>972</v>
      </c>
      <c r="Z657" t="s">
        <v>987</v>
      </c>
      <c r="AA657" t="s">
        <v>5045</v>
      </c>
      <c r="AB657" t="s">
        <v>975</v>
      </c>
      <c r="AC657">
        <v>4910</v>
      </c>
      <c r="AD657" t="s">
        <v>1189</v>
      </c>
      <c r="AE657">
        <v>3287788488</v>
      </c>
      <c r="AF657" t="s">
        <v>979</v>
      </c>
      <c r="AG657" t="s">
        <v>977</v>
      </c>
      <c r="AH657" t="s">
        <v>977</v>
      </c>
      <c r="AI657">
        <v>47112</v>
      </c>
      <c r="AJ657" t="s">
        <v>978</v>
      </c>
      <c r="AK657" t="s">
        <v>978</v>
      </c>
      <c r="AL657" t="s">
        <v>978</v>
      </c>
      <c r="AM657" t="s">
        <v>979</v>
      </c>
      <c r="AN657">
        <v>0</v>
      </c>
      <c r="AO657" t="s">
        <v>257</v>
      </c>
      <c r="AP657">
        <v>0</v>
      </c>
      <c r="AQ657">
        <v>18</v>
      </c>
      <c r="AR657">
        <v>69</v>
      </c>
      <c r="AS657">
        <v>1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1</v>
      </c>
      <c r="AZ657" t="s">
        <v>257</v>
      </c>
      <c r="BA657" t="s">
        <v>980</v>
      </c>
      <c r="BB657" t="s">
        <v>981</v>
      </c>
      <c r="BC657" t="s">
        <v>257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 t="s">
        <v>998</v>
      </c>
      <c r="BK657" t="s">
        <v>981</v>
      </c>
      <c r="BL657" t="s">
        <v>5043</v>
      </c>
      <c r="BM657">
        <v>20201124</v>
      </c>
      <c r="BN657">
        <v>20240910</v>
      </c>
      <c r="BO657">
        <v>0</v>
      </c>
      <c r="BP657" t="s">
        <v>257</v>
      </c>
      <c r="BQ657" t="s">
        <v>983</v>
      </c>
      <c r="BR657" t="s">
        <v>978</v>
      </c>
      <c r="BS657" t="s">
        <v>5046</v>
      </c>
      <c r="BT657">
        <v>0</v>
      </c>
      <c r="BU657">
        <v>0</v>
      </c>
      <c r="BV657" t="s">
        <v>984</v>
      </c>
      <c r="BW657" t="s">
        <v>257</v>
      </c>
      <c r="BX657">
        <v>0</v>
      </c>
      <c r="BY657" t="s">
        <v>980</v>
      </c>
      <c r="BZ657" t="s">
        <v>257</v>
      </c>
      <c r="CA657">
        <v>0</v>
      </c>
      <c r="CB657">
        <v>0</v>
      </c>
      <c r="CC657" t="s">
        <v>2709</v>
      </c>
      <c r="CD657">
        <v>0</v>
      </c>
      <c r="CE657">
        <v>0</v>
      </c>
      <c r="CF657">
        <v>0</v>
      </c>
      <c r="CG657">
        <v>0</v>
      </c>
      <c r="CH657">
        <v>0</v>
      </c>
      <c r="CI657" t="s">
        <v>983</v>
      </c>
      <c r="CJ657" t="s">
        <v>972</v>
      </c>
      <c r="CK657" t="s">
        <v>986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 t="s">
        <v>987</v>
      </c>
      <c r="CV657">
        <v>400008661</v>
      </c>
      <c r="CW657" t="s">
        <v>987</v>
      </c>
      <c r="CX657" t="s">
        <v>5047</v>
      </c>
      <c r="CY657" t="s">
        <v>989</v>
      </c>
    </row>
    <row r="658" spans="1:103" hidden="1" x14ac:dyDescent="0.25">
      <c r="A658">
        <v>410000662</v>
      </c>
      <c r="B658" t="s">
        <v>5048</v>
      </c>
      <c r="C658" t="s">
        <v>5049</v>
      </c>
      <c r="D658">
        <v>401100000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1</v>
      </c>
      <c r="Y658" t="s">
        <v>972</v>
      </c>
      <c r="Z658" t="s">
        <v>987</v>
      </c>
      <c r="AA658" t="s">
        <v>5050</v>
      </c>
      <c r="AB658" t="s">
        <v>975</v>
      </c>
      <c r="AC658">
        <v>1090</v>
      </c>
      <c r="AD658" t="s">
        <v>1066</v>
      </c>
      <c r="AE658">
        <v>3223118186</v>
      </c>
      <c r="AF658" t="s">
        <v>979</v>
      </c>
      <c r="AG658" t="s">
        <v>977</v>
      </c>
      <c r="AH658" t="s">
        <v>977</v>
      </c>
      <c r="AI658">
        <v>69202</v>
      </c>
      <c r="AJ658" t="s">
        <v>978</v>
      </c>
      <c r="AK658" t="s">
        <v>978</v>
      </c>
      <c r="AL658" t="s">
        <v>978</v>
      </c>
      <c r="AM658" t="s">
        <v>979</v>
      </c>
      <c r="AN658">
        <v>0</v>
      </c>
      <c r="AO658" t="s">
        <v>257</v>
      </c>
      <c r="AP658">
        <v>0</v>
      </c>
      <c r="AQ658">
        <v>18</v>
      </c>
      <c r="AR658">
        <v>43</v>
      </c>
      <c r="AS658">
        <v>1</v>
      </c>
      <c r="AT658">
        <v>0</v>
      </c>
      <c r="AU658">
        <v>1</v>
      </c>
      <c r="AV658">
        <v>0</v>
      </c>
      <c r="AW658">
        <v>0</v>
      </c>
      <c r="AX658">
        <v>0</v>
      </c>
      <c r="AY658">
        <v>1</v>
      </c>
      <c r="AZ658" t="s">
        <v>257</v>
      </c>
      <c r="BA658" t="s">
        <v>980</v>
      </c>
      <c r="BB658" t="s">
        <v>981</v>
      </c>
      <c r="BC658" t="s">
        <v>257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 t="s">
        <v>998</v>
      </c>
      <c r="BK658" t="s">
        <v>981</v>
      </c>
      <c r="BL658" t="s">
        <v>5048</v>
      </c>
      <c r="BM658">
        <v>20201124</v>
      </c>
      <c r="BN658">
        <v>20210507</v>
      </c>
      <c r="BO658">
        <v>0</v>
      </c>
      <c r="BP658" t="s">
        <v>257</v>
      </c>
      <c r="BQ658" t="s">
        <v>983</v>
      </c>
      <c r="BR658" t="s">
        <v>978</v>
      </c>
      <c r="BS658" t="s">
        <v>979</v>
      </c>
      <c r="BT658">
        <v>0</v>
      </c>
      <c r="BU658">
        <v>0</v>
      </c>
      <c r="BV658" t="s">
        <v>984</v>
      </c>
      <c r="BW658" t="s">
        <v>257</v>
      </c>
      <c r="BX658">
        <v>0</v>
      </c>
      <c r="BY658" t="s">
        <v>980</v>
      </c>
      <c r="BZ658" t="s">
        <v>257</v>
      </c>
      <c r="CA658">
        <v>0</v>
      </c>
      <c r="CB658">
        <v>0</v>
      </c>
      <c r="CC658" t="s">
        <v>1033</v>
      </c>
      <c r="CD658">
        <v>0</v>
      </c>
      <c r="CE658">
        <v>0</v>
      </c>
      <c r="CF658">
        <v>0</v>
      </c>
      <c r="CG658">
        <v>0</v>
      </c>
      <c r="CH658">
        <v>0</v>
      </c>
      <c r="CI658" t="s">
        <v>983</v>
      </c>
      <c r="CJ658" t="s">
        <v>972</v>
      </c>
      <c r="CK658" t="s">
        <v>986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 t="s">
        <v>987</v>
      </c>
      <c r="CV658">
        <v>400008662</v>
      </c>
      <c r="CW658" t="s">
        <v>987</v>
      </c>
      <c r="CX658" t="s">
        <v>5051</v>
      </c>
      <c r="CY658" t="s">
        <v>989</v>
      </c>
    </row>
    <row r="659" spans="1:103" hidden="1" x14ac:dyDescent="0.25">
      <c r="A659">
        <v>410000663</v>
      </c>
      <c r="B659" t="s">
        <v>5052</v>
      </c>
      <c r="C659" t="s">
        <v>5053</v>
      </c>
      <c r="D659">
        <v>401100000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1</v>
      </c>
      <c r="Y659" t="s">
        <v>972</v>
      </c>
      <c r="Z659" t="s">
        <v>987</v>
      </c>
      <c r="AA659" t="s">
        <v>5054</v>
      </c>
      <c r="AB659" t="s">
        <v>975</v>
      </c>
      <c r="AC659">
        <v>4052</v>
      </c>
      <c r="AD659" t="s">
        <v>2739</v>
      </c>
      <c r="AE659">
        <v>3243686307</v>
      </c>
      <c r="AF659" t="s">
        <v>979</v>
      </c>
      <c r="AG659" t="s">
        <v>977</v>
      </c>
      <c r="AH659" t="s">
        <v>977</v>
      </c>
      <c r="AI659">
        <v>41101</v>
      </c>
      <c r="AJ659" t="s">
        <v>978</v>
      </c>
      <c r="AK659" t="s">
        <v>978</v>
      </c>
      <c r="AL659" t="s">
        <v>978</v>
      </c>
      <c r="AM659" t="s">
        <v>979</v>
      </c>
      <c r="AN659">
        <v>0</v>
      </c>
      <c r="AO659" t="s">
        <v>257</v>
      </c>
      <c r="AP659">
        <v>0</v>
      </c>
      <c r="AQ659">
        <v>18</v>
      </c>
      <c r="AR659">
        <v>43</v>
      </c>
      <c r="AS659">
        <v>1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1</v>
      </c>
      <c r="AZ659" t="s">
        <v>257</v>
      </c>
      <c r="BA659" t="s">
        <v>980</v>
      </c>
      <c r="BB659" t="s">
        <v>981</v>
      </c>
      <c r="BC659" t="s">
        <v>257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 t="s">
        <v>998</v>
      </c>
      <c r="BK659" t="s">
        <v>981</v>
      </c>
      <c r="BL659" t="s">
        <v>5052</v>
      </c>
      <c r="BM659">
        <v>20201124</v>
      </c>
      <c r="BN659">
        <v>20210507</v>
      </c>
      <c r="BO659">
        <v>0</v>
      </c>
      <c r="BP659" t="s">
        <v>257</v>
      </c>
      <c r="BQ659" t="s">
        <v>983</v>
      </c>
      <c r="BR659" t="s">
        <v>978</v>
      </c>
      <c r="BS659" t="s">
        <v>979</v>
      </c>
      <c r="BT659">
        <v>0</v>
      </c>
      <c r="BU659">
        <v>0</v>
      </c>
      <c r="BV659" t="s">
        <v>984</v>
      </c>
      <c r="BW659" t="s">
        <v>257</v>
      </c>
      <c r="BX659">
        <v>0</v>
      </c>
      <c r="BY659" t="s">
        <v>980</v>
      </c>
      <c r="BZ659" t="s">
        <v>257</v>
      </c>
      <c r="CA659">
        <v>0</v>
      </c>
      <c r="CB659">
        <v>0</v>
      </c>
      <c r="CC659" t="s">
        <v>1499</v>
      </c>
      <c r="CD659">
        <v>0</v>
      </c>
      <c r="CE659">
        <v>0</v>
      </c>
      <c r="CF659">
        <v>0</v>
      </c>
      <c r="CG659">
        <v>0</v>
      </c>
      <c r="CH659">
        <v>0</v>
      </c>
      <c r="CI659" t="s">
        <v>983</v>
      </c>
      <c r="CJ659" t="s">
        <v>972</v>
      </c>
      <c r="CK659" t="s">
        <v>986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 t="s">
        <v>987</v>
      </c>
      <c r="CV659">
        <v>400008663</v>
      </c>
      <c r="CW659" t="s">
        <v>987</v>
      </c>
      <c r="CX659" t="s">
        <v>5055</v>
      </c>
      <c r="CY659" t="s">
        <v>989</v>
      </c>
    </row>
    <row r="660" spans="1:103" hidden="1" x14ac:dyDescent="0.25">
      <c r="A660">
        <v>410000664</v>
      </c>
      <c r="B660" t="s">
        <v>5056</v>
      </c>
      <c r="C660" t="s">
        <v>5057</v>
      </c>
      <c r="D660">
        <v>401100000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1</v>
      </c>
      <c r="Y660" t="s">
        <v>972</v>
      </c>
      <c r="Z660" t="s">
        <v>5058</v>
      </c>
      <c r="AA660" t="s">
        <v>5059</v>
      </c>
      <c r="AB660" t="s">
        <v>975</v>
      </c>
      <c r="AC660">
        <v>4032</v>
      </c>
      <c r="AD660" t="s">
        <v>4038</v>
      </c>
      <c r="AE660">
        <v>32475233193</v>
      </c>
      <c r="AF660" t="s">
        <v>979</v>
      </c>
      <c r="AG660" t="s">
        <v>977</v>
      </c>
      <c r="AH660" t="s">
        <v>977</v>
      </c>
      <c r="AI660">
        <v>81220</v>
      </c>
      <c r="AJ660" t="s">
        <v>978</v>
      </c>
      <c r="AK660" t="s">
        <v>978</v>
      </c>
      <c r="AL660" t="s">
        <v>978</v>
      </c>
      <c r="AM660" t="s">
        <v>979</v>
      </c>
      <c r="AN660">
        <v>0</v>
      </c>
      <c r="AO660" t="s">
        <v>257</v>
      </c>
      <c r="AP660">
        <v>0</v>
      </c>
      <c r="AQ660">
        <v>18</v>
      </c>
      <c r="AR660">
        <v>43</v>
      </c>
      <c r="AS660">
        <v>1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1</v>
      </c>
      <c r="AZ660" t="s">
        <v>257</v>
      </c>
      <c r="BA660" t="s">
        <v>980</v>
      </c>
      <c r="BB660" t="s">
        <v>259</v>
      </c>
      <c r="BC660" t="s">
        <v>257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 t="s">
        <v>1285</v>
      </c>
      <c r="BK660" t="s">
        <v>981</v>
      </c>
      <c r="BL660" t="s">
        <v>5056</v>
      </c>
      <c r="BM660">
        <v>20201124</v>
      </c>
      <c r="BN660">
        <v>20250211</v>
      </c>
      <c r="BO660">
        <v>20250211</v>
      </c>
      <c r="BP660" t="s">
        <v>257</v>
      </c>
      <c r="BQ660" t="s">
        <v>983</v>
      </c>
      <c r="BR660" t="s">
        <v>978</v>
      </c>
      <c r="BS660" t="s">
        <v>979</v>
      </c>
      <c r="BT660">
        <v>0</v>
      </c>
      <c r="BU660">
        <v>0</v>
      </c>
      <c r="BV660" t="s">
        <v>984</v>
      </c>
      <c r="BW660" t="s">
        <v>257</v>
      </c>
      <c r="BX660">
        <v>0</v>
      </c>
      <c r="BY660" t="s">
        <v>980</v>
      </c>
      <c r="BZ660" t="s">
        <v>257</v>
      </c>
      <c r="CA660">
        <v>0</v>
      </c>
      <c r="CB660">
        <v>0</v>
      </c>
      <c r="CC660" t="s">
        <v>1507</v>
      </c>
      <c r="CD660">
        <v>0</v>
      </c>
      <c r="CE660">
        <v>0</v>
      </c>
      <c r="CF660">
        <v>0</v>
      </c>
      <c r="CG660">
        <v>0</v>
      </c>
      <c r="CH660">
        <v>0</v>
      </c>
      <c r="CI660" t="s">
        <v>983</v>
      </c>
      <c r="CJ660" t="s">
        <v>972</v>
      </c>
      <c r="CK660" t="s">
        <v>986</v>
      </c>
      <c r="CL660">
        <v>0</v>
      </c>
      <c r="CM660">
        <v>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 t="s">
        <v>987</v>
      </c>
      <c r="CV660">
        <v>400008664</v>
      </c>
      <c r="CW660" t="s">
        <v>987</v>
      </c>
      <c r="CX660" t="s">
        <v>5060</v>
      </c>
      <c r="CY660" t="s">
        <v>989</v>
      </c>
    </row>
    <row r="661" spans="1:103" hidden="1" x14ac:dyDescent="0.25">
      <c r="A661">
        <v>410000665</v>
      </c>
      <c r="B661" t="s">
        <v>5061</v>
      </c>
      <c r="C661" t="s">
        <v>5062</v>
      </c>
      <c r="D661">
        <v>401100000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1</v>
      </c>
      <c r="Y661" t="s">
        <v>972</v>
      </c>
      <c r="Z661" t="s">
        <v>987</v>
      </c>
      <c r="AA661" t="s">
        <v>5063</v>
      </c>
      <c r="AB661" t="s">
        <v>975</v>
      </c>
      <c r="AC661">
        <v>4651</v>
      </c>
      <c r="AD661" t="s">
        <v>1204</v>
      </c>
      <c r="AE661">
        <v>3287679104</v>
      </c>
      <c r="AF661" t="s">
        <v>979</v>
      </c>
      <c r="AG661" t="s">
        <v>977</v>
      </c>
      <c r="AH661" t="s">
        <v>977</v>
      </c>
      <c r="AI661">
        <v>46610</v>
      </c>
      <c r="AJ661" t="s">
        <v>978</v>
      </c>
      <c r="AK661" t="s">
        <v>978</v>
      </c>
      <c r="AL661" t="s">
        <v>978</v>
      </c>
      <c r="AM661" t="s">
        <v>979</v>
      </c>
      <c r="AN661">
        <v>0</v>
      </c>
      <c r="AO661" t="s">
        <v>257</v>
      </c>
      <c r="AP661">
        <v>0</v>
      </c>
      <c r="AQ661">
        <v>1</v>
      </c>
      <c r="AR661">
        <v>43</v>
      </c>
      <c r="AS661">
        <v>1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1</v>
      </c>
      <c r="AZ661" t="s">
        <v>257</v>
      </c>
      <c r="BA661" t="s">
        <v>980</v>
      </c>
      <c r="BB661" t="s">
        <v>981</v>
      </c>
      <c r="BC661" t="s">
        <v>257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 t="s">
        <v>998</v>
      </c>
      <c r="BK661" t="s">
        <v>981</v>
      </c>
      <c r="BL661" t="s">
        <v>5061</v>
      </c>
      <c r="BM661">
        <v>20201129</v>
      </c>
      <c r="BN661">
        <v>20201130</v>
      </c>
      <c r="BO661">
        <v>0</v>
      </c>
      <c r="BP661" t="s">
        <v>257</v>
      </c>
      <c r="BQ661" t="s">
        <v>983</v>
      </c>
      <c r="BR661" t="s">
        <v>978</v>
      </c>
      <c r="BS661" t="s">
        <v>979</v>
      </c>
      <c r="BT661">
        <v>0</v>
      </c>
      <c r="BU661">
        <v>0</v>
      </c>
      <c r="BV661" t="s">
        <v>984</v>
      </c>
      <c r="BW661" t="s">
        <v>257</v>
      </c>
      <c r="BX661">
        <v>0</v>
      </c>
      <c r="BY661" t="s">
        <v>980</v>
      </c>
      <c r="BZ661" t="s">
        <v>257</v>
      </c>
      <c r="CA661">
        <v>0</v>
      </c>
      <c r="CB661">
        <v>0</v>
      </c>
      <c r="CC661" t="s">
        <v>1499</v>
      </c>
      <c r="CD661">
        <v>0</v>
      </c>
      <c r="CE661">
        <v>0</v>
      </c>
      <c r="CF661">
        <v>0</v>
      </c>
      <c r="CG661">
        <v>0</v>
      </c>
      <c r="CH661">
        <v>0</v>
      </c>
      <c r="CI661" t="s">
        <v>983</v>
      </c>
      <c r="CJ661" t="s">
        <v>972</v>
      </c>
      <c r="CK661" t="s">
        <v>986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 t="s">
        <v>987</v>
      </c>
      <c r="CV661">
        <v>400008665</v>
      </c>
      <c r="CW661" t="s">
        <v>987</v>
      </c>
      <c r="CX661" t="s">
        <v>5064</v>
      </c>
      <c r="CY661" t="s">
        <v>989</v>
      </c>
    </row>
    <row r="662" spans="1:103" hidden="1" x14ac:dyDescent="0.25">
      <c r="A662">
        <v>410000666</v>
      </c>
      <c r="B662" t="s">
        <v>5065</v>
      </c>
      <c r="C662" t="s">
        <v>5066</v>
      </c>
      <c r="D662">
        <v>401100000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1</v>
      </c>
      <c r="Y662" t="s">
        <v>972</v>
      </c>
      <c r="Z662" t="s">
        <v>987</v>
      </c>
      <c r="AA662" t="s">
        <v>5067</v>
      </c>
      <c r="AB662" t="s">
        <v>975</v>
      </c>
      <c r="AC662">
        <v>4800</v>
      </c>
      <c r="AD662" t="s">
        <v>1124</v>
      </c>
      <c r="AE662">
        <v>3287316300</v>
      </c>
      <c r="AF662" t="s">
        <v>979</v>
      </c>
      <c r="AG662" t="s">
        <v>977</v>
      </c>
      <c r="AH662" t="s">
        <v>977</v>
      </c>
      <c r="AI662">
        <v>68311</v>
      </c>
      <c r="AJ662" t="s">
        <v>978</v>
      </c>
      <c r="AK662" t="s">
        <v>978</v>
      </c>
      <c r="AL662" t="s">
        <v>978</v>
      </c>
      <c r="AM662" t="s">
        <v>979</v>
      </c>
      <c r="AN662">
        <v>0</v>
      </c>
      <c r="AO662" t="s">
        <v>257</v>
      </c>
      <c r="AP662">
        <v>0</v>
      </c>
      <c r="AQ662">
        <v>18</v>
      </c>
      <c r="AR662">
        <v>43</v>
      </c>
      <c r="AS662">
        <v>1</v>
      </c>
      <c r="AT662">
        <v>0</v>
      </c>
      <c r="AU662">
        <v>1</v>
      </c>
      <c r="AV662">
        <v>0</v>
      </c>
      <c r="AW662">
        <v>0</v>
      </c>
      <c r="AX662">
        <v>0</v>
      </c>
      <c r="AY662">
        <v>1</v>
      </c>
      <c r="AZ662" t="s">
        <v>257</v>
      </c>
      <c r="BA662" t="s">
        <v>980</v>
      </c>
      <c r="BB662" t="s">
        <v>981</v>
      </c>
      <c r="BC662" t="s">
        <v>257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 t="s">
        <v>998</v>
      </c>
      <c r="BK662" t="s">
        <v>981</v>
      </c>
      <c r="BL662" t="s">
        <v>5065</v>
      </c>
      <c r="BM662">
        <v>20201129</v>
      </c>
      <c r="BN662">
        <v>20211021</v>
      </c>
      <c r="BO662">
        <v>0</v>
      </c>
      <c r="BP662" t="s">
        <v>257</v>
      </c>
      <c r="BQ662" t="s">
        <v>983</v>
      </c>
      <c r="BR662" t="s">
        <v>978</v>
      </c>
      <c r="BS662" t="s">
        <v>979</v>
      </c>
      <c r="BT662">
        <v>0</v>
      </c>
      <c r="BU662">
        <v>0</v>
      </c>
      <c r="BV662" t="s">
        <v>1411</v>
      </c>
      <c r="BW662" t="s">
        <v>257</v>
      </c>
      <c r="BX662">
        <v>0</v>
      </c>
      <c r="BY662" t="s">
        <v>980</v>
      </c>
      <c r="BZ662" t="s">
        <v>257</v>
      </c>
      <c r="CA662">
        <v>0</v>
      </c>
      <c r="CB662">
        <v>0</v>
      </c>
      <c r="CC662" t="s">
        <v>1128</v>
      </c>
      <c r="CD662">
        <v>0</v>
      </c>
      <c r="CE662">
        <v>0</v>
      </c>
      <c r="CF662">
        <v>0</v>
      </c>
      <c r="CG662">
        <v>0</v>
      </c>
      <c r="CH662">
        <v>0</v>
      </c>
      <c r="CI662" t="s">
        <v>983</v>
      </c>
      <c r="CJ662" t="s">
        <v>972</v>
      </c>
      <c r="CK662" t="s">
        <v>986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 t="s">
        <v>987</v>
      </c>
      <c r="CV662">
        <v>400008666</v>
      </c>
      <c r="CW662" t="s">
        <v>987</v>
      </c>
      <c r="CX662" t="s">
        <v>5068</v>
      </c>
      <c r="CY662" t="s">
        <v>989</v>
      </c>
    </row>
    <row r="663" spans="1:103" hidden="1" x14ac:dyDescent="0.25">
      <c r="A663">
        <v>410000667</v>
      </c>
      <c r="B663" t="s">
        <v>5069</v>
      </c>
      <c r="C663" t="s">
        <v>5070</v>
      </c>
      <c r="D663">
        <v>401100000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1</v>
      </c>
      <c r="Y663" t="s">
        <v>972</v>
      </c>
      <c r="Z663" t="s">
        <v>5071</v>
      </c>
      <c r="AA663" t="s">
        <v>5072</v>
      </c>
      <c r="AB663" t="s">
        <v>975</v>
      </c>
      <c r="AC663">
        <v>4800</v>
      </c>
      <c r="AD663" t="s">
        <v>1124</v>
      </c>
      <c r="AE663" t="s">
        <v>5073</v>
      </c>
      <c r="AF663" t="s">
        <v>979</v>
      </c>
      <c r="AG663" t="s">
        <v>977</v>
      </c>
      <c r="AH663" t="s">
        <v>977</v>
      </c>
      <c r="AI663">
        <v>70220</v>
      </c>
      <c r="AJ663" t="s">
        <v>978</v>
      </c>
      <c r="AK663" t="s">
        <v>978</v>
      </c>
      <c r="AL663" t="s">
        <v>978</v>
      </c>
      <c r="AM663" t="s">
        <v>979</v>
      </c>
      <c r="AN663">
        <v>0</v>
      </c>
      <c r="AO663" t="s">
        <v>257</v>
      </c>
      <c r="AP663">
        <v>0</v>
      </c>
      <c r="AQ663">
        <v>1</v>
      </c>
      <c r="AR663">
        <v>43</v>
      </c>
      <c r="AS663">
        <v>1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1</v>
      </c>
      <c r="AZ663" t="s">
        <v>257</v>
      </c>
      <c r="BA663" t="s">
        <v>980</v>
      </c>
      <c r="BB663" t="s">
        <v>981</v>
      </c>
      <c r="BC663" t="s">
        <v>257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 t="s">
        <v>998</v>
      </c>
      <c r="BK663" t="s">
        <v>981</v>
      </c>
      <c r="BL663" t="s">
        <v>5069</v>
      </c>
      <c r="BM663">
        <v>20201202</v>
      </c>
      <c r="BN663">
        <v>20201203</v>
      </c>
      <c r="BO663">
        <v>0</v>
      </c>
      <c r="BP663" t="s">
        <v>257</v>
      </c>
      <c r="BQ663" t="s">
        <v>983</v>
      </c>
      <c r="BR663" t="s">
        <v>978</v>
      </c>
      <c r="BS663" t="s">
        <v>979</v>
      </c>
      <c r="BT663">
        <v>0</v>
      </c>
      <c r="BU663">
        <v>0</v>
      </c>
      <c r="BV663" t="s">
        <v>984</v>
      </c>
      <c r="BW663" t="s">
        <v>257</v>
      </c>
      <c r="BX663">
        <v>0</v>
      </c>
      <c r="BY663" t="s">
        <v>980</v>
      </c>
      <c r="BZ663" t="s">
        <v>257</v>
      </c>
      <c r="CA663">
        <v>0</v>
      </c>
      <c r="CB663">
        <v>0</v>
      </c>
      <c r="CC663" t="s">
        <v>1128</v>
      </c>
      <c r="CD663">
        <v>0</v>
      </c>
      <c r="CE663">
        <v>0</v>
      </c>
      <c r="CF663">
        <v>0</v>
      </c>
      <c r="CG663">
        <v>0</v>
      </c>
      <c r="CH663">
        <v>0</v>
      </c>
      <c r="CI663" t="s">
        <v>983</v>
      </c>
      <c r="CJ663" t="s">
        <v>972</v>
      </c>
      <c r="CK663" t="s">
        <v>986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 t="s">
        <v>987</v>
      </c>
      <c r="CV663">
        <v>400008667</v>
      </c>
      <c r="CW663" t="s">
        <v>987</v>
      </c>
      <c r="CX663" t="s">
        <v>5074</v>
      </c>
      <c r="CY663" t="s">
        <v>989</v>
      </c>
    </row>
    <row r="664" spans="1:103" hidden="1" x14ac:dyDescent="0.25">
      <c r="A664">
        <v>410000668</v>
      </c>
      <c r="B664" t="s">
        <v>5075</v>
      </c>
      <c r="C664" t="s">
        <v>1561</v>
      </c>
      <c r="D664">
        <v>401100000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1</v>
      </c>
      <c r="Y664" t="s">
        <v>972</v>
      </c>
      <c r="Z664" t="s">
        <v>4834</v>
      </c>
      <c r="AA664" t="s">
        <v>5076</v>
      </c>
      <c r="AB664" t="s">
        <v>975</v>
      </c>
      <c r="AC664">
        <v>4430</v>
      </c>
      <c r="AD664" t="s">
        <v>1474</v>
      </c>
      <c r="AE664">
        <v>3242235363</v>
      </c>
      <c r="AF664" t="s">
        <v>979</v>
      </c>
      <c r="AG664" t="s">
        <v>5077</v>
      </c>
      <c r="AH664" t="s">
        <v>977</v>
      </c>
      <c r="AI664">
        <v>69202</v>
      </c>
      <c r="AJ664" t="s">
        <v>978</v>
      </c>
      <c r="AK664" t="s">
        <v>978</v>
      </c>
      <c r="AL664" t="s">
        <v>978</v>
      </c>
      <c r="AM664" t="s">
        <v>979</v>
      </c>
      <c r="AN664">
        <v>0</v>
      </c>
      <c r="AO664" t="s">
        <v>257</v>
      </c>
      <c r="AP664">
        <v>0</v>
      </c>
      <c r="AQ664">
        <v>1</v>
      </c>
      <c r="AR664">
        <v>43</v>
      </c>
      <c r="AS664">
        <v>1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1</v>
      </c>
      <c r="AZ664" t="s">
        <v>257</v>
      </c>
      <c r="BA664" t="s">
        <v>980</v>
      </c>
      <c r="BB664" t="s">
        <v>259</v>
      </c>
      <c r="BC664" t="s">
        <v>257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 t="s">
        <v>998</v>
      </c>
      <c r="BK664" t="s">
        <v>981</v>
      </c>
      <c r="BL664" t="s">
        <v>5075</v>
      </c>
      <c r="BM664">
        <v>20201204</v>
      </c>
      <c r="BN664">
        <v>20250204</v>
      </c>
      <c r="BO664">
        <v>20250204</v>
      </c>
      <c r="BP664" t="s">
        <v>257</v>
      </c>
      <c r="BQ664" t="s">
        <v>983</v>
      </c>
      <c r="BR664" t="s">
        <v>978</v>
      </c>
      <c r="BS664" t="s">
        <v>979</v>
      </c>
      <c r="BT664">
        <v>0</v>
      </c>
      <c r="BU664">
        <v>0</v>
      </c>
      <c r="BV664" t="s">
        <v>984</v>
      </c>
      <c r="BW664" t="s">
        <v>257</v>
      </c>
      <c r="BX664">
        <v>0</v>
      </c>
      <c r="BY664" t="s">
        <v>980</v>
      </c>
      <c r="BZ664" t="s">
        <v>257</v>
      </c>
      <c r="CA664">
        <v>0</v>
      </c>
      <c r="CB664">
        <v>0</v>
      </c>
      <c r="CC664" t="s">
        <v>1371</v>
      </c>
      <c r="CD664">
        <v>0</v>
      </c>
      <c r="CE664">
        <v>0</v>
      </c>
      <c r="CF664">
        <v>0</v>
      </c>
      <c r="CG664">
        <v>0</v>
      </c>
      <c r="CH664">
        <v>0</v>
      </c>
      <c r="CI664" t="s">
        <v>983</v>
      </c>
      <c r="CJ664" t="s">
        <v>972</v>
      </c>
      <c r="CK664" t="s">
        <v>986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 t="s">
        <v>987</v>
      </c>
      <c r="CV664">
        <v>400008668</v>
      </c>
      <c r="CW664" t="s">
        <v>987</v>
      </c>
      <c r="CX664" t="s">
        <v>5078</v>
      </c>
      <c r="CY664" t="s">
        <v>989</v>
      </c>
    </row>
    <row r="665" spans="1:103" hidden="1" x14ac:dyDescent="0.25">
      <c r="A665">
        <v>410000669</v>
      </c>
      <c r="B665" t="s">
        <v>5079</v>
      </c>
      <c r="C665" t="s">
        <v>5080</v>
      </c>
      <c r="D665">
        <v>401100000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1</v>
      </c>
      <c r="X665">
        <v>1</v>
      </c>
      <c r="Y665" t="s">
        <v>972</v>
      </c>
      <c r="Z665" t="s">
        <v>5081</v>
      </c>
      <c r="AA665" t="s">
        <v>5082</v>
      </c>
      <c r="AB665" t="s">
        <v>975</v>
      </c>
      <c r="AC665">
        <v>4960</v>
      </c>
      <c r="AD665" t="s">
        <v>1548</v>
      </c>
      <c r="AE665" t="s">
        <v>979</v>
      </c>
      <c r="AF665" t="s">
        <v>979</v>
      </c>
      <c r="AG665" t="s">
        <v>977</v>
      </c>
      <c r="AH665" t="s">
        <v>977</v>
      </c>
      <c r="AI665">
        <v>77291</v>
      </c>
      <c r="AJ665" t="s">
        <v>5083</v>
      </c>
      <c r="AK665" t="s">
        <v>978</v>
      </c>
      <c r="AL665" t="s">
        <v>978</v>
      </c>
      <c r="AM665" t="s">
        <v>979</v>
      </c>
      <c r="AN665">
        <v>0</v>
      </c>
      <c r="AO665" t="s">
        <v>257</v>
      </c>
      <c r="AP665">
        <v>0</v>
      </c>
      <c r="AQ665">
        <v>18</v>
      </c>
      <c r="AR665">
        <v>43</v>
      </c>
      <c r="AS665">
        <v>1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1</v>
      </c>
      <c r="AZ665" t="s">
        <v>257</v>
      </c>
      <c r="BA665" t="s">
        <v>980</v>
      </c>
      <c r="BB665" t="s">
        <v>981</v>
      </c>
      <c r="BC665" t="s">
        <v>257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 t="s">
        <v>998</v>
      </c>
      <c r="BK665" t="s">
        <v>981</v>
      </c>
      <c r="BL665" t="s">
        <v>5079</v>
      </c>
      <c r="BM665">
        <v>20201204</v>
      </c>
      <c r="BN665">
        <v>20211021</v>
      </c>
      <c r="BO665">
        <v>0</v>
      </c>
      <c r="BP665" t="s">
        <v>257</v>
      </c>
      <c r="BQ665" t="s">
        <v>983</v>
      </c>
      <c r="BR665" t="s">
        <v>978</v>
      </c>
      <c r="BS665" t="s">
        <v>5084</v>
      </c>
      <c r="BT665">
        <v>0</v>
      </c>
      <c r="BU665">
        <v>0</v>
      </c>
      <c r="BV665" t="s">
        <v>984</v>
      </c>
      <c r="BW665" t="s">
        <v>257</v>
      </c>
      <c r="BX665">
        <v>0</v>
      </c>
      <c r="BY665" t="s">
        <v>980</v>
      </c>
      <c r="BZ665" t="s">
        <v>257</v>
      </c>
      <c r="CA665">
        <v>0</v>
      </c>
      <c r="CB665">
        <v>0</v>
      </c>
      <c r="CC665" t="s">
        <v>1901</v>
      </c>
      <c r="CD665">
        <v>0</v>
      </c>
      <c r="CE665">
        <v>0</v>
      </c>
      <c r="CF665">
        <v>0</v>
      </c>
      <c r="CG665">
        <v>0</v>
      </c>
      <c r="CH665">
        <v>0</v>
      </c>
      <c r="CI665" t="s">
        <v>983</v>
      </c>
      <c r="CJ665" t="s">
        <v>972</v>
      </c>
      <c r="CK665" t="s">
        <v>986</v>
      </c>
      <c r="CL665">
        <v>0</v>
      </c>
      <c r="CM665">
        <v>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 t="s">
        <v>987</v>
      </c>
      <c r="CV665">
        <v>400008669</v>
      </c>
      <c r="CW665" t="s">
        <v>987</v>
      </c>
      <c r="CX665" t="s">
        <v>5085</v>
      </c>
      <c r="CY665" t="s">
        <v>989</v>
      </c>
    </row>
    <row r="666" spans="1:103" hidden="1" x14ac:dyDescent="0.25">
      <c r="A666">
        <v>410000670</v>
      </c>
      <c r="B666" t="s">
        <v>5086</v>
      </c>
      <c r="C666" t="s">
        <v>5087</v>
      </c>
      <c r="D666">
        <v>401100000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1</v>
      </c>
      <c r="Y666" t="s">
        <v>972</v>
      </c>
      <c r="Z666" t="s">
        <v>5088</v>
      </c>
      <c r="AA666" t="s">
        <v>5089</v>
      </c>
      <c r="AB666" t="s">
        <v>975</v>
      </c>
      <c r="AC666">
        <v>1410</v>
      </c>
      <c r="AD666" t="s">
        <v>2472</v>
      </c>
      <c r="AE666">
        <v>32488622864</v>
      </c>
      <c r="AF666" t="s">
        <v>979</v>
      </c>
      <c r="AG666" t="s">
        <v>977</v>
      </c>
      <c r="AH666" t="s">
        <v>977</v>
      </c>
      <c r="AI666">
        <v>70220</v>
      </c>
      <c r="AJ666" t="s">
        <v>5090</v>
      </c>
      <c r="AK666" t="s">
        <v>978</v>
      </c>
      <c r="AL666" t="s">
        <v>978</v>
      </c>
      <c r="AM666" t="s">
        <v>979</v>
      </c>
      <c r="AN666">
        <v>0</v>
      </c>
      <c r="AO666" t="s">
        <v>257</v>
      </c>
      <c r="AP666">
        <v>0</v>
      </c>
      <c r="AQ666">
        <v>1</v>
      </c>
      <c r="AR666">
        <v>43</v>
      </c>
      <c r="AS666">
        <v>1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1</v>
      </c>
      <c r="AZ666" t="s">
        <v>257</v>
      </c>
      <c r="BA666" t="s">
        <v>980</v>
      </c>
      <c r="BB666" t="s">
        <v>981</v>
      </c>
      <c r="BC666" t="s">
        <v>257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 t="s">
        <v>998</v>
      </c>
      <c r="BK666" t="s">
        <v>981</v>
      </c>
      <c r="BL666" t="s">
        <v>5086</v>
      </c>
      <c r="BM666">
        <v>20201210</v>
      </c>
      <c r="BN666">
        <v>20220207</v>
      </c>
      <c r="BO666">
        <v>0</v>
      </c>
      <c r="BP666" t="s">
        <v>257</v>
      </c>
      <c r="BQ666" t="s">
        <v>983</v>
      </c>
      <c r="BR666" t="s">
        <v>978</v>
      </c>
      <c r="BS666" t="s">
        <v>5091</v>
      </c>
      <c r="BT666">
        <v>0</v>
      </c>
      <c r="BU666">
        <v>0</v>
      </c>
      <c r="BV666" t="s">
        <v>984</v>
      </c>
      <c r="BW666" t="s">
        <v>257</v>
      </c>
      <c r="BX666">
        <v>0</v>
      </c>
      <c r="BY666" t="s">
        <v>980</v>
      </c>
      <c r="BZ666" t="s">
        <v>257</v>
      </c>
      <c r="CA666">
        <v>0</v>
      </c>
      <c r="CB666">
        <v>0</v>
      </c>
      <c r="CC666" t="s">
        <v>1901</v>
      </c>
      <c r="CD666">
        <v>0</v>
      </c>
      <c r="CE666">
        <v>0</v>
      </c>
      <c r="CF666">
        <v>0</v>
      </c>
      <c r="CG666">
        <v>0</v>
      </c>
      <c r="CH666">
        <v>0</v>
      </c>
      <c r="CI666" t="s">
        <v>983</v>
      </c>
      <c r="CJ666" t="s">
        <v>972</v>
      </c>
      <c r="CK666" t="s">
        <v>986</v>
      </c>
      <c r="CL666">
        <v>0</v>
      </c>
      <c r="CM666">
        <v>1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 t="s">
        <v>987</v>
      </c>
      <c r="CV666">
        <v>400008670</v>
      </c>
      <c r="CW666" t="s">
        <v>987</v>
      </c>
      <c r="CX666" t="s">
        <v>5092</v>
      </c>
      <c r="CY666" t="s">
        <v>989</v>
      </c>
    </row>
    <row r="667" spans="1:103" hidden="1" x14ac:dyDescent="0.25">
      <c r="A667">
        <v>410000671</v>
      </c>
      <c r="B667" t="s">
        <v>5093</v>
      </c>
      <c r="C667" t="s">
        <v>5094</v>
      </c>
      <c r="D667">
        <v>401100000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1</v>
      </c>
      <c r="Y667" t="s">
        <v>972</v>
      </c>
      <c r="Z667" t="s">
        <v>5095</v>
      </c>
      <c r="AA667" t="s">
        <v>5096</v>
      </c>
      <c r="AB667" t="s">
        <v>975</v>
      </c>
      <c r="AC667">
        <v>4000</v>
      </c>
      <c r="AD667" t="s">
        <v>1019</v>
      </c>
      <c r="AE667">
        <v>3242214404</v>
      </c>
      <c r="AF667" t="s">
        <v>979</v>
      </c>
      <c r="AG667" t="s">
        <v>977</v>
      </c>
      <c r="AH667" t="s">
        <v>977</v>
      </c>
      <c r="AI667">
        <v>86230</v>
      </c>
      <c r="AJ667" t="s">
        <v>978</v>
      </c>
      <c r="AK667" t="s">
        <v>978</v>
      </c>
      <c r="AL667" t="s">
        <v>978</v>
      </c>
      <c r="AM667" t="s">
        <v>979</v>
      </c>
      <c r="AN667">
        <v>0</v>
      </c>
      <c r="AO667" t="s">
        <v>257</v>
      </c>
      <c r="AP667">
        <v>0</v>
      </c>
      <c r="AQ667">
        <v>1</v>
      </c>
      <c r="AR667">
        <v>43</v>
      </c>
      <c r="AS667">
        <v>1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1</v>
      </c>
      <c r="AZ667" t="s">
        <v>257</v>
      </c>
      <c r="BA667" t="s">
        <v>980</v>
      </c>
      <c r="BB667" t="s">
        <v>981</v>
      </c>
      <c r="BC667" t="s">
        <v>257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 t="s">
        <v>998</v>
      </c>
      <c r="BK667" t="s">
        <v>981</v>
      </c>
      <c r="BL667" t="s">
        <v>5093</v>
      </c>
      <c r="BM667">
        <v>20201230</v>
      </c>
      <c r="BN667">
        <v>20210301</v>
      </c>
      <c r="BO667">
        <v>0</v>
      </c>
      <c r="BP667" t="s">
        <v>257</v>
      </c>
      <c r="BQ667" t="s">
        <v>983</v>
      </c>
      <c r="BR667" t="s">
        <v>978</v>
      </c>
      <c r="BS667" t="s">
        <v>979</v>
      </c>
      <c r="BT667">
        <v>0</v>
      </c>
      <c r="BU667">
        <v>0</v>
      </c>
      <c r="BV667" t="s">
        <v>984</v>
      </c>
      <c r="BW667" t="s">
        <v>257</v>
      </c>
      <c r="BX667">
        <v>0</v>
      </c>
      <c r="BY667" t="s">
        <v>980</v>
      </c>
      <c r="BZ667" t="s">
        <v>257</v>
      </c>
      <c r="CA667">
        <v>0</v>
      </c>
      <c r="CB667">
        <v>0</v>
      </c>
      <c r="CC667" t="s">
        <v>1371</v>
      </c>
      <c r="CD667">
        <v>0</v>
      </c>
      <c r="CE667">
        <v>0</v>
      </c>
      <c r="CF667">
        <v>0</v>
      </c>
      <c r="CG667">
        <v>0</v>
      </c>
      <c r="CH667">
        <v>0</v>
      </c>
      <c r="CI667" t="s">
        <v>983</v>
      </c>
      <c r="CJ667" t="s">
        <v>972</v>
      </c>
      <c r="CK667" t="s">
        <v>986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 t="s">
        <v>987</v>
      </c>
      <c r="CV667">
        <v>400008671</v>
      </c>
      <c r="CW667" t="s">
        <v>987</v>
      </c>
      <c r="CX667" t="s">
        <v>4690</v>
      </c>
      <c r="CY667" t="s">
        <v>989</v>
      </c>
    </row>
    <row r="668" spans="1:103" hidden="1" x14ac:dyDescent="0.25">
      <c r="A668">
        <v>410000672</v>
      </c>
      <c r="B668" t="s">
        <v>5097</v>
      </c>
      <c r="C668" t="s">
        <v>5098</v>
      </c>
      <c r="D668">
        <v>401100000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1</v>
      </c>
      <c r="Y668" t="s">
        <v>972</v>
      </c>
      <c r="Z668" t="s">
        <v>5099</v>
      </c>
      <c r="AA668" t="s">
        <v>5100</v>
      </c>
      <c r="AB668" t="s">
        <v>975</v>
      </c>
      <c r="AC668">
        <v>4020</v>
      </c>
      <c r="AD668" t="s">
        <v>1019</v>
      </c>
      <c r="AE668" t="s">
        <v>5101</v>
      </c>
      <c r="AF668" t="s">
        <v>979</v>
      </c>
      <c r="AG668" t="s">
        <v>977</v>
      </c>
      <c r="AH668" t="s">
        <v>977</v>
      </c>
      <c r="AI668">
        <v>62020</v>
      </c>
      <c r="AJ668" t="s">
        <v>978</v>
      </c>
      <c r="AK668" t="s">
        <v>978</v>
      </c>
      <c r="AL668" t="s">
        <v>978</v>
      </c>
      <c r="AM668" t="s">
        <v>979</v>
      </c>
      <c r="AN668">
        <v>0</v>
      </c>
      <c r="AO668" t="s">
        <v>257</v>
      </c>
      <c r="AP668">
        <v>0</v>
      </c>
      <c r="AQ668">
        <v>1</v>
      </c>
      <c r="AR668">
        <v>43</v>
      </c>
      <c r="AS668">
        <v>1</v>
      </c>
      <c r="AT668">
        <v>0</v>
      </c>
      <c r="AU668">
        <v>1</v>
      </c>
      <c r="AV668">
        <v>0</v>
      </c>
      <c r="AW668">
        <v>0</v>
      </c>
      <c r="AX668">
        <v>0</v>
      </c>
      <c r="AY668">
        <v>1</v>
      </c>
      <c r="AZ668" t="s">
        <v>257</v>
      </c>
      <c r="BA668" t="s">
        <v>980</v>
      </c>
      <c r="BB668" t="s">
        <v>981</v>
      </c>
      <c r="BC668" t="s">
        <v>257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 t="s">
        <v>998</v>
      </c>
      <c r="BK668" t="s">
        <v>981</v>
      </c>
      <c r="BL668" t="s">
        <v>5097</v>
      </c>
      <c r="BM668">
        <v>20210108</v>
      </c>
      <c r="BN668">
        <v>20220201</v>
      </c>
      <c r="BO668">
        <v>0</v>
      </c>
      <c r="BP668" t="s">
        <v>257</v>
      </c>
      <c r="BQ668" t="s">
        <v>983</v>
      </c>
      <c r="BR668" t="s">
        <v>978</v>
      </c>
      <c r="BS668" t="s">
        <v>979</v>
      </c>
      <c r="BT668">
        <v>0</v>
      </c>
      <c r="BU668">
        <v>0</v>
      </c>
      <c r="BV668" t="s">
        <v>984</v>
      </c>
      <c r="BW668" t="s">
        <v>257</v>
      </c>
      <c r="BX668">
        <v>0</v>
      </c>
      <c r="BY668" t="s">
        <v>980</v>
      </c>
      <c r="BZ668" t="s">
        <v>257</v>
      </c>
      <c r="CA668">
        <v>0</v>
      </c>
      <c r="CB668">
        <v>0</v>
      </c>
      <c r="CC668" t="s">
        <v>1119</v>
      </c>
      <c r="CD668">
        <v>0</v>
      </c>
      <c r="CE668">
        <v>0</v>
      </c>
      <c r="CF668">
        <v>0</v>
      </c>
      <c r="CG668">
        <v>0</v>
      </c>
      <c r="CH668">
        <v>0</v>
      </c>
      <c r="CI668" t="s">
        <v>983</v>
      </c>
      <c r="CJ668" t="s">
        <v>972</v>
      </c>
      <c r="CK668" t="s">
        <v>986</v>
      </c>
      <c r="CL668">
        <v>0</v>
      </c>
      <c r="CM668">
        <v>1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 t="s">
        <v>987</v>
      </c>
      <c r="CV668">
        <v>400008672</v>
      </c>
      <c r="CW668" t="s">
        <v>987</v>
      </c>
      <c r="CX668" t="s">
        <v>5102</v>
      </c>
      <c r="CY668" t="s">
        <v>989</v>
      </c>
    </row>
    <row r="669" spans="1:103" hidden="1" x14ac:dyDescent="0.25">
      <c r="A669">
        <v>410000673</v>
      </c>
      <c r="B669" t="s">
        <v>5103</v>
      </c>
      <c r="C669" t="s">
        <v>5104</v>
      </c>
      <c r="D669">
        <v>401100000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1</v>
      </c>
      <c r="Y669" t="s">
        <v>972</v>
      </c>
      <c r="Z669" t="s">
        <v>4834</v>
      </c>
      <c r="AA669" t="s">
        <v>5105</v>
      </c>
      <c r="AB669" t="s">
        <v>975</v>
      </c>
      <c r="AC669">
        <v>7000</v>
      </c>
      <c r="AD669" t="s">
        <v>4472</v>
      </c>
      <c r="AE669" t="s">
        <v>5106</v>
      </c>
      <c r="AF669" t="s">
        <v>979</v>
      </c>
      <c r="AG669" t="s">
        <v>977</v>
      </c>
      <c r="AH669" t="s">
        <v>977</v>
      </c>
      <c r="AI669">
        <v>47251</v>
      </c>
      <c r="AJ669" t="s">
        <v>5107</v>
      </c>
      <c r="AK669" t="s">
        <v>978</v>
      </c>
      <c r="AL669" t="s">
        <v>978</v>
      </c>
      <c r="AM669" t="s">
        <v>979</v>
      </c>
      <c r="AN669">
        <v>0</v>
      </c>
      <c r="AO669" t="s">
        <v>257</v>
      </c>
      <c r="AP669">
        <v>0</v>
      </c>
      <c r="AQ669">
        <v>1</v>
      </c>
      <c r="AR669">
        <v>43</v>
      </c>
      <c r="AS669">
        <v>1</v>
      </c>
      <c r="AT669">
        <v>0</v>
      </c>
      <c r="AU669">
        <v>1</v>
      </c>
      <c r="AV669">
        <v>0</v>
      </c>
      <c r="AW669">
        <v>0</v>
      </c>
      <c r="AX669">
        <v>0</v>
      </c>
      <c r="AY669">
        <v>1</v>
      </c>
      <c r="AZ669" t="s">
        <v>257</v>
      </c>
      <c r="BA669" t="s">
        <v>980</v>
      </c>
      <c r="BB669" t="s">
        <v>981</v>
      </c>
      <c r="BC669" t="s">
        <v>257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 t="s">
        <v>998</v>
      </c>
      <c r="BK669" t="s">
        <v>981</v>
      </c>
      <c r="BL669" t="s">
        <v>5103</v>
      </c>
      <c r="BM669">
        <v>20210108</v>
      </c>
      <c r="BN669">
        <v>20210111</v>
      </c>
      <c r="BO669">
        <v>0</v>
      </c>
      <c r="BP669" t="s">
        <v>257</v>
      </c>
      <c r="BQ669" t="s">
        <v>983</v>
      </c>
      <c r="BR669" t="s">
        <v>978</v>
      </c>
      <c r="BS669" t="s">
        <v>979</v>
      </c>
      <c r="BT669">
        <v>0</v>
      </c>
      <c r="BU669">
        <v>0</v>
      </c>
      <c r="BV669" t="s">
        <v>984</v>
      </c>
      <c r="BW669" t="s">
        <v>257</v>
      </c>
      <c r="BX669">
        <v>0</v>
      </c>
      <c r="BY669" t="s">
        <v>980</v>
      </c>
      <c r="BZ669" t="s">
        <v>257</v>
      </c>
      <c r="CA669">
        <v>0</v>
      </c>
      <c r="CB669">
        <v>0</v>
      </c>
      <c r="CC669" t="s">
        <v>1901</v>
      </c>
      <c r="CD669">
        <v>0</v>
      </c>
      <c r="CE669">
        <v>0</v>
      </c>
      <c r="CF669">
        <v>0</v>
      </c>
      <c r="CG669">
        <v>0</v>
      </c>
      <c r="CH669">
        <v>0</v>
      </c>
      <c r="CI669" t="s">
        <v>983</v>
      </c>
      <c r="CJ669" t="s">
        <v>972</v>
      </c>
      <c r="CK669" t="s">
        <v>986</v>
      </c>
      <c r="CL669">
        <v>0</v>
      </c>
      <c r="CM669">
        <v>1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 t="s">
        <v>987</v>
      </c>
      <c r="CV669">
        <v>400008673</v>
      </c>
      <c r="CW669" t="s">
        <v>987</v>
      </c>
      <c r="CX669" t="s">
        <v>5108</v>
      </c>
      <c r="CY669" t="s">
        <v>989</v>
      </c>
    </row>
    <row r="670" spans="1:103" hidden="1" x14ac:dyDescent="0.25">
      <c r="A670">
        <v>410000674</v>
      </c>
      <c r="B670" t="s">
        <v>5109</v>
      </c>
      <c r="C670" t="s">
        <v>5110</v>
      </c>
      <c r="D670">
        <v>401100000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1</v>
      </c>
      <c r="Y670" t="s">
        <v>972</v>
      </c>
      <c r="Z670" t="s">
        <v>5111</v>
      </c>
      <c r="AA670" t="s">
        <v>5112</v>
      </c>
      <c r="AB670" t="s">
        <v>975</v>
      </c>
      <c r="AC670">
        <v>1420</v>
      </c>
      <c r="AD670" t="s">
        <v>2333</v>
      </c>
      <c r="AE670" t="s">
        <v>979</v>
      </c>
      <c r="AF670" t="s">
        <v>979</v>
      </c>
      <c r="AG670" t="s">
        <v>977</v>
      </c>
      <c r="AH670" t="s">
        <v>977</v>
      </c>
      <c r="AI670">
        <v>62010</v>
      </c>
      <c r="AJ670" t="s">
        <v>5113</v>
      </c>
      <c r="AK670" t="s">
        <v>978</v>
      </c>
      <c r="AL670" t="s">
        <v>978</v>
      </c>
      <c r="AM670" t="s">
        <v>979</v>
      </c>
      <c r="AN670">
        <v>0</v>
      </c>
      <c r="AO670" t="s">
        <v>257</v>
      </c>
      <c r="AP670">
        <v>0</v>
      </c>
      <c r="AQ670">
        <v>1</v>
      </c>
      <c r="AR670">
        <v>43</v>
      </c>
      <c r="AS670">
        <v>1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1</v>
      </c>
      <c r="AZ670" t="s">
        <v>257</v>
      </c>
      <c r="BA670" t="s">
        <v>980</v>
      </c>
      <c r="BB670" t="s">
        <v>981</v>
      </c>
      <c r="BC670" t="s">
        <v>257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 t="s">
        <v>998</v>
      </c>
      <c r="BK670" t="s">
        <v>981</v>
      </c>
      <c r="BL670" t="s">
        <v>5109</v>
      </c>
      <c r="BM670">
        <v>20210115</v>
      </c>
      <c r="BN670">
        <v>20220201</v>
      </c>
      <c r="BO670">
        <v>0</v>
      </c>
      <c r="BP670" t="s">
        <v>257</v>
      </c>
      <c r="BQ670" t="s">
        <v>983</v>
      </c>
      <c r="BR670" t="s">
        <v>978</v>
      </c>
      <c r="BS670">
        <v>32475310202</v>
      </c>
      <c r="BT670">
        <v>0</v>
      </c>
      <c r="BU670">
        <v>0</v>
      </c>
      <c r="BV670" t="s">
        <v>984</v>
      </c>
      <c r="BW670" t="s">
        <v>257</v>
      </c>
      <c r="BX670">
        <v>0</v>
      </c>
      <c r="BY670" t="s">
        <v>980</v>
      </c>
      <c r="BZ670" t="s">
        <v>257</v>
      </c>
      <c r="CA670">
        <v>0</v>
      </c>
      <c r="CB670">
        <v>0</v>
      </c>
      <c r="CC670" t="s">
        <v>1901</v>
      </c>
      <c r="CD670">
        <v>0</v>
      </c>
      <c r="CE670">
        <v>0</v>
      </c>
      <c r="CF670">
        <v>29</v>
      </c>
      <c r="CG670">
        <v>0</v>
      </c>
      <c r="CH670">
        <v>0</v>
      </c>
      <c r="CI670" t="s">
        <v>983</v>
      </c>
      <c r="CJ670" t="s">
        <v>972</v>
      </c>
      <c r="CK670" t="s">
        <v>986</v>
      </c>
      <c r="CL670">
        <v>0</v>
      </c>
      <c r="CM670">
        <v>1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 t="s">
        <v>987</v>
      </c>
      <c r="CV670">
        <v>400008674</v>
      </c>
      <c r="CW670" t="s">
        <v>987</v>
      </c>
      <c r="CX670" t="s">
        <v>5114</v>
      </c>
      <c r="CY670" t="s">
        <v>989</v>
      </c>
    </row>
    <row r="671" spans="1:103" hidden="1" x14ac:dyDescent="0.25">
      <c r="A671">
        <v>410000675</v>
      </c>
      <c r="B671" t="s">
        <v>5115</v>
      </c>
      <c r="C671" t="s">
        <v>5116</v>
      </c>
      <c r="D671">
        <v>401100000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1</v>
      </c>
      <c r="Y671" t="s">
        <v>972</v>
      </c>
      <c r="Z671" t="s">
        <v>987</v>
      </c>
      <c r="AA671" t="s">
        <v>5117</v>
      </c>
      <c r="AB671" t="s">
        <v>975</v>
      </c>
      <c r="AC671">
        <v>4850</v>
      </c>
      <c r="AD671" t="s">
        <v>5118</v>
      </c>
      <c r="AE671" t="s">
        <v>979</v>
      </c>
      <c r="AF671" t="s">
        <v>979</v>
      </c>
      <c r="AG671" t="s">
        <v>977</v>
      </c>
      <c r="AH671" t="s">
        <v>977</v>
      </c>
      <c r="AI671">
        <v>82190</v>
      </c>
      <c r="AJ671" t="s">
        <v>978</v>
      </c>
      <c r="AK671" t="s">
        <v>978</v>
      </c>
      <c r="AL671" t="s">
        <v>978</v>
      </c>
      <c r="AM671" t="s">
        <v>979</v>
      </c>
      <c r="AN671">
        <v>0</v>
      </c>
      <c r="AO671" t="s">
        <v>257</v>
      </c>
      <c r="AP671">
        <v>0</v>
      </c>
      <c r="AQ671">
        <v>1</v>
      </c>
      <c r="AR671">
        <v>43</v>
      </c>
      <c r="AS671">
        <v>1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1</v>
      </c>
      <c r="AZ671" t="s">
        <v>257</v>
      </c>
      <c r="BA671" t="s">
        <v>980</v>
      </c>
      <c r="BB671" t="s">
        <v>981</v>
      </c>
      <c r="BC671" t="s">
        <v>257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 t="s">
        <v>998</v>
      </c>
      <c r="BK671" t="s">
        <v>981</v>
      </c>
      <c r="BL671" t="s">
        <v>5115</v>
      </c>
      <c r="BM671">
        <v>20210115</v>
      </c>
      <c r="BN671">
        <v>20210118</v>
      </c>
      <c r="BO671">
        <v>0</v>
      </c>
      <c r="BP671" t="s">
        <v>257</v>
      </c>
      <c r="BQ671" t="s">
        <v>983</v>
      </c>
      <c r="BR671" t="s">
        <v>978</v>
      </c>
      <c r="BS671" t="s">
        <v>979</v>
      </c>
      <c r="BT671">
        <v>0</v>
      </c>
      <c r="BU671">
        <v>0</v>
      </c>
      <c r="BV671" t="s">
        <v>984</v>
      </c>
      <c r="BW671" t="s">
        <v>257</v>
      </c>
      <c r="BX671">
        <v>0</v>
      </c>
      <c r="BY671" t="s">
        <v>980</v>
      </c>
      <c r="BZ671" t="s">
        <v>257</v>
      </c>
      <c r="CA671">
        <v>0</v>
      </c>
      <c r="CB671">
        <v>0</v>
      </c>
      <c r="CC671" t="s">
        <v>2456</v>
      </c>
      <c r="CD671">
        <v>0</v>
      </c>
      <c r="CE671">
        <v>0</v>
      </c>
      <c r="CF671">
        <v>0</v>
      </c>
      <c r="CG671">
        <v>0</v>
      </c>
      <c r="CH671">
        <v>0</v>
      </c>
      <c r="CI671" t="s">
        <v>983</v>
      </c>
      <c r="CJ671" t="s">
        <v>972</v>
      </c>
      <c r="CK671" t="s">
        <v>986</v>
      </c>
      <c r="CL671">
        <v>0</v>
      </c>
      <c r="CM671">
        <v>1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 t="s">
        <v>987</v>
      </c>
      <c r="CV671">
        <v>400008675</v>
      </c>
      <c r="CW671" t="s">
        <v>987</v>
      </c>
      <c r="CX671" t="s">
        <v>5119</v>
      </c>
      <c r="CY671" t="s">
        <v>989</v>
      </c>
    </row>
    <row r="672" spans="1:103" hidden="1" x14ac:dyDescent="0.25">
      <c r="A672">
        <v>410000676</v>
      </c>
      <c r="B672" t="s">
        <v>5120</v>
      </c>
      <c r="C672" t="s">
        <v>5121</v>
      </c>
      <c r="D672">
        <v>401100000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</v>
      </c>
      <c r="X672">
        <v>1</v>
      </c>
      <c r="Y672" t="s">
        <v>972</v>
      </c>
      <c r="Z672" t="s">
        <v>5122</v>
      </c>
      <c r="AA672" t="s">
        <v>5123</v>
      </c>
      <c r="AB672" t="s">
        <v>975</v>
      </c>
      <c r="AC672">
        <v>4460</v>
      </c>
      <c r="AD672" t="s">
        <v>1946</v>
      </c>
      <c r="AE672">
        <v>3242271769</v>
      </c>
      <c r="AF672" t="s">
        <v>979</v>
      </c>
      <c r="AG672" t="s">
        <v>977</v>
      </c>
      <c r="AH672" t="s">
        <v>977</v>
      </c>
      <c r="AI672">
        <v>46769</v>
      </c>
      <c r="AJ672" t="s">
        <v>978</v>
      </c>
      <c r="AK672" t="s">
        <v>978</v>
      </c>
      <c r="AL672" t="s">
        <v>978</v>
      </c>
      <c r="AM672" t="s">
        <v>979</v>
      </c>
      <c r="AN672">
        <v>0</v>
      </c>
      <c r="AO672" t="s">
        <v>257</v>
      </c>
      <c r="AP672">
        <v>0</v>
      </c>
      <c r="AQ672">
        <v>18</v>
      </c>
      <c r="AR672">
        <v>43</v>
      </c>
      <c r="AS672">
        <v>1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1</v>
      </c>
      <c r="AZ672" t="s">
        <v>257</v>
      </c>
      <c r="BA672" t="s">
        <v>257</v>
      </c>
      <c r="BB672" t="s">
        <v>981</v>
      </c>
      <c r="BC672" t="s">
        <v>257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 t="s">
        <v>998</v>
      </c>
      <c r="BK672" t="s">
        <v>981</v>
      </c>
      <c r="BL672" t="s">
        <v>5120</v>
      </c>
      <c r="BM672">
        <v>20210121</v>
      </c>
      <c r="BN672">
        <v>20211021</v>
      </c>
      <c r="BO672">
        <v>0</v>
      </c>
      <c r="BP672" t="s">
        <v>257</v>
      </c>
      <c r="BQ672" t="s">
        <v>983</v>
      </c>
      <c r="BR672" t="s">
        <v>978</v>
      </c>
      <c r="BS672" t="s">
        <v>979</v>
      </c>
      <c r="BT672">
        <v>0</v>
      </c>
      <c r="BU672">
        <v>0</v>
      </c>
      <c r="BV672" t="s">
        <v>984</v>
      </c>
      <c r="BW672" t="s">
        <v>257</v>
      </c>
      <c r="BX672">
        <v>0</v>
      </c>
      <c r="BY672" t="s">
        <v>980</v>
      </c>
      <c r="BZ672" t="s">
        <v>257</v>
      </c>
      <c r="CA672">
        <v>0</v>
      </c>
      <c r="CB672">
        <v>0</v>
      </c>
      <c r="CC672" t="s">
        <v>1499</v>
      </c>
      <c r="CD672">
        <v>0</v>
      </c>
      <c r="CE672">
        <v>0</v>
      </c>
      <c r="CF672">
        <v>0</v>
      </c>
      <c r="CG672">
        <v>0</v>
      </c>
      <c r="CH672">
        <v>0</v>
      </c>
      <c r="CI672" t="s">
        <v>983</v>
      </c>
      <c r="CJ672" t="s">
        <v>972</v>
      </c>
      <c r="CK672" t="s">
        <v>986</v>
      </c>
      <c r="CL672">
        <v>0</v>
      </c>
      <c r="CM672">
        <v>1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 t="s">
        <v>987</v>
      </c>
      <c r="CV672">
        <v>400008676</v>
      </c>
      <c r="CW672" t="s">
        <v>987</v>
      </c>
      <c r="CX672" t="s">
        <v>5124</v>
      </c>
      <c r="CY672" t="s">
        <v>989</v>
      </c>
    </row>
    <row r="673" spans="1:103" hidden="1" x14ac:dyDescent="0.25">
      <c r="A673">
        <v>410000677</v>
      </c>
      <c r="B673" t="s">
        <v>5125</v>
      </c>
      <c r="C673" t="s">
        <v>5126</v>
      </c>
      <c r="D673">
        <v>401100000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1</v>
      </c>
      <c r="X673">
        <v>1</v>
      </c>
      <c r="Y673" t="s">
        <v>972</v>
      </c>
      <c r="Z673" t="s">
        <v>987</v>
      </c>
      <c r="AA673" t="s">
        <v>5127</v>
      </c>
      <c r="AB673" t="s">
        <v>975</v>
      </c>
      <c r="AC673">
        <v>1360</v>
      </c>
      <c r="AD673" t="s">
        <v>5128</v>
      </c>
      <c r="AE673">
        <v>3281656429</v>
      </c>
      <c r="AF673" t="s">
        <v>979</v>
      </c>
      <c r="AG673" t="s">
        <v>977</v>
      </c>
      <c r="AH673" t="s">
        <v>977</v>
      </c>
      <c r="AI673">
        <v>49410</v>
      </c>
      <c r="AJ673" t="s">
        <v>5129</v>
      </c>
      <c r="AK673" t="s">
        <v>978</v>
      </c>
      <c r="AL673" t="s">
        <v>978</v>
      </c>
      <c r="AM673" t="s">
        <v>979</v>
      </c>
      <c r="AN673">
        <v>0</v>
      </c>
      <c r="AO673" t="s">
        <v>257</v>
      </c>
      <c r="AP673">
        <v>0</v>
      </c>
      <c r="AQ673">
        <v>1</v>
      </c>
      <c r="AR673">
        <v>43</v>
      </c>
      <c r="AS673">
        <v>1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1</v>
      </c>
      <c r="AZ673" t="s">
        <v>257</v>
      </c>
      <c r="BA673" t="s">
        <v>980</v>
      </c>
      <c r="BB673" t="s">
        <v>981</v>
      </c>
      <c r="BC673" t="s">
        <v>257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 t="s">
        <v>998</v>
      </c>
      <c r="BK673" t="s">
        <v>981</v>
      </c>
      <c r="BL673" t="s">
        <v>5125</v>
      </c>
      <c r="BM673">
        <v>20210125</v>
      </c>
      <c r="BN673">
        <v>20210301</v>
      </c>
      <c r="BO673">
        <v>0</v>
      </c>
      <c r="BP673" t="s">
        <v>257</v>
      </c>
      <c r="BQ673" t="s">
        <v>983</v>
      </c>
      <c r="BR673" t="s">
        <v>978</v>
      </c>
      <c r="BS673">
        <v>32474347944</v>
      </c>
      <c r="BT673">
        <v>0</v>
      </c>
      <c r="BU673">
        <v>0</v>
      </c>
      <c r="BV673" t="s">
        <v>984</v>
      </c>
      <c r="BW673" t="s">
        <v>257</v>
      </c>
      <c r="BX673">
        <v>0</v>
      </c>
      <c r="BY673" t="s">
        <v>980</v>
      </c>
      <c r="BZ673" t="s">
        <v>257</v>
      </c>
      <c r="CA673">
        <v>0</v>
      </c>
      <c r="CB673">
        <v>0</v>
      </c>
      <c r="CC673" t="s">
        <v>1901</v>
      </c>
      <c r="CD673">
        <v>0</v>
      </c>
      <c r="CE673">
        <v>0</v>
      </c>
      <c r="CF673">
        <v>0</v>
      </c>
      <c r="CG673">
        <v>0</v>
      </c>
      <c r="CH673">
        <v>0</v>
      </c>
      <c r="CI673" t="s">
        <v>983</v>
      </c>
      <c r="CJ673" t="s">
        <v>972</v>
      </c>
      <c r="CK673" t="s">
        <v>986</v>
      </c>
      <c r="CL673">
        <v>0</v>
      </c>
      <c r="CM673">
        <v>1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 t="s">
        <v>987</v>
      </c>
      <c r="CV673">
        <v>400008677</v>
      </c>
      <c r="CW673" t="s">
        <v>987</v>
      </c>
      <c r="CX673" t="s">
        <v>5130</v>
      </c>
      <c r="CY673" t="s">
        <v>989</v>
      </c>
    </row>
    <row r="674" spans="1:103" hidden="1" x14ac:dyDescent="0.25">
      <c r="A674">
        <v>410000678</v>
      </c>
      <c r="B674" t="s">
        <v>5131</v>
      </c>
      <c r="C674" t="s">
        <v>5132</v>
      </c>
      <c r="D674">
        <v>401100000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1</v>
      </c>
      <c r="Y674" t="s">
        <v>972</v>
      </c>
      <c r="Z674" t="s">
        <v>5133</v>
      </c>
      <c r="AA674" t="s">
        <v>5134</v>
      </c>
      <c r="AB674" t="s">
        <v>975</v>
      </c>
      <c r="AC674">
        <v>1350</v>
      </c>
      <c r="AD674" t="s">
        <v>5135</v>
      </c>
      <c r="AE674">
        <v>32475524024</v>
      </c>
      <c r="AF674" t="s">
        <v>979</v>
      </c>
      <c r="AG674" t="s">
        <v>977</v>
      </c>
      <c r="AH674" t="s">
        <v>977</v>
      </c>
      <c r="AI674">
        <v>69202</v>
      </c>
      <c r="AJ674" t="s">
        <v>5136</v>
      </c>
      <c r="AK674" t="s">
        <v>978</v>
      </c>
      <c r="AL674" t="s">
        <v>978</v>
      </c>
      <c r="AM674" t="s">
        <v>979</v>
      </c>
      <c r="AN674">
        <v>0</v>
      </c>
      <c r="AO674" t="s">
        <v>257</v>
      </c>
      <c r="AP674">
        <v>0</v>
      </c>
      <c r="AQ674">
        <v>1</v>
      </c>
      <c r="AR674">
        <v>43</v>
      </c>
      <c r="AS674">
        <v>1</v>
      </c>
      <c r="AT674">
        <v>0</v>
      </c>
      <c r="AU674">
        <v>1</v>
      </c>
      <c r="AV674">
        <v>0</v>
      </c>
      <c r="AW674">
        <v>0</v>
      </c>
      <c r="AX674">
        <v>0</v>
      </c>
      <c r="AY674">
        <v>1</v>
      </c>
      <c r="AZ674" t="s">
        <v>257</v>
      </c>
      <c r="BA674" t="s">
        <v>980</v>
      </c>
      <c r="BB674" t="s">
        <v>981</v>
      </c>
      <c r="BC674" t="s">
        <v>257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 t="s">
        <v>998</v>
      </c>
      <c r="BK674" t="s">
        <v>981</v>
      </c>
      <c r="BL674" t="s">
        <v>5131</v>
      </c>
      <c r="BM674">
        <v>20210127</v>
      </c>
      <c r="BN674">
        <v>20210128</v>
      </c>
      <c r="BO674">
        <v>0</v>
      </c>
      <c r="BP674" t="s">
        <v>257</v>
      </c>
      <c r="BQ674" t="s">
        <v>983</v>
      </c>
      <c r="BR674" t="s">
        <v>978</v>
      </c>
      <c r="BS674" t="s">
        <v>979</v>
      </c>
      <c r="BT674">
        <v>0</v>
      </c>
      <c r="BU674">
        <v>0</v>
      </c>
      <c r="BV674" t="s">
        <v>984</v>
      </c>
      <c r="BW674" t="s">
        <v>257</v>
      </c>
      <c r="BX674">
        <v>0</v>
      </c>
      <c r="BY674" t="s">
        <v>980</v>
      </c>
      <c r="BZ674" t="s">
        <v>257</v>
      </c>
      <c r="CA674">
        <v>0</v>
      </c>
      <c r="CB674">
        <v>0</v>
      </c>
      <c r="CC674" t="s">
        <v>1901</v>
      </c>
      <c r="CD674">
        <v>0</v>
      </c>
      <c r="CE674">
        <v>0</v>
      </c>
      <c r="CF674">
        <v>0</v>
      </c>
      <c r="CG674">
        <v>0</v>
      </c>
      <c r="CH674">
        <v>0</v>
      </c>
      <c r="CI674" t="s">
        <v>983</v>
      </c>
      <c r="CJ674" t="s">
        <v>972</v>
      </c>
      <c r="CK674" t="s">
        <v>986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 t="s">
        <v>987</v>
      </c>
      <c r="CV674">
        <v>400008678</v>
      </c>
      <c r="CW674" t="s">
        <v>987</v>
      </c>
      <c r="CX674" t="s">
        <v>5137</v>
      </c>
      <c r="CY674" t="s">
        <v>989</v>
      </c>
    </row>
    <row r="675" spans="1:103" hidden="1" x14ac:dyDescent="0.25">
      <c r="A675">
        <v>410000679</v>
      </c>
      <c r="B675" t="s">
        <v>5138</v>
      </c>
      <c r="C675" t="s">
        <v>5139</v>
      </c>
      <c r="D675">
        <v>401100000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1</v>
      </c>
      <c r="Y675" t="s">
        <v>972</v>
      </c>
      <c r="Z675" t="s">
        <v>5140</v>
      </c>
      <c r="AA675" t="s">
        <v>5141</v>
      </c>
      <c r="AB675" t="s">
        <v>975</v>
      </c>
      <c r="AC675">
        <v>4052</v>
      </c>
      <c r="AD675" t="s">
        <v>2739</v>
      </c>
      <c r="AE675">
        <v>3243608300</v>
      </c>
      <c r="AF675" t="s">
        <v>979</v>
      </c>
      <c r="AG675" t="s">
        <v>977</v>
      </c>
      <c r="AH675" t="s">
        <v>977</v>
      </c>
      <c r="AI675">
        <v>47252</v>
      </c>
      <c r="AJ675" t="s">
        <v>978</v>
      </c>
      <c r="AK675" t="s">
        <v>978</v>
      </c>
      <c r="AL675" t="s">
        <v>978</v>
      </c>
      <c r="AM675" t="s">
        <v>979</v>
      </c>
      <c r="AN675">
        <v>0</v>
      </c>
      <c r="AO675" t="s">
        <v>257</v>
      </c>
      <c r="AP675">
        <v>0</v>
      </c>
      <c r="AQ675">
        <v>1</v>
      </c>
      <c r="AR675">
        <v>43</v>
      </c>
      <c r="AS675">
        <v>1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1</v>
      </c>
      <c r="AZ675" t="s">
        <v>257</v>
      </c>
      <c r="BA675" t="s">
        <v>980</v>
      </c>
      <c r="BB675" t="s">
        <v>981</v>
      </c>
      <c r="BC675" t="s">
        <v>257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 t="s">
        <v>998</v>
      </c>
      <c r="BK675" t="s">
        <v>981</v>
      </c>
      <c r="BL675" t="s">
        <v>5138</v>
      </c>
      <c r="BM675">
        <v>20210128</v>
      </c>
      <c r="BN675">
        <v>20210202</v>
      </c>
      <c r="BO675">
        <v>0</v>
      </c>
      <c r="BP675" t="s">
        <v>257</v>
      </c>
      <c r="BQ675" t="s">
        <v>983</v>
      </c>
      <c r="BR675" t="s">
        <v>978</v>
      </c>
      <c r="BS675" t="s">
        <v>979</v>
      </c>
      <c r="BT675">
        <v>0</v>
      </c>
      <c r="BU675">
        <v>0</v>
      </c>
      <c r="BV675" t="s">
        <v>984</v>
      </c>
      <c r="BW675" t="s">
        <v>257</v>
      </c>
      <c r="BX675">
        <v>0</v>
      </c>
      <c r="BY675" t="s">
        <v>980</v>
      </c>
      <c r="BZ675" t="s">
        <v>257</v>
      </c>
      <c r="CA675">
        <v>0</v>
      </c>
      <c r="CB675">
        <v>0</v>
      </c>
      <c r="CC675" t="s">
        <v>1871</v>
      </c>
      <c r="CD675">
        <v>0</v>
      </c>
      <c r="CE675">
        <v>0</v>
      </c>
      <c r="CF675">
        <v>0</v>
      </c>
      <c r="CG675">
        <v>0</v>
      </c>
      <c r="CH675">
        <v>0</v>
      </c>
      <c r="CI675" t="s">
        <v>983</v>
      </c>
      <c r="CJ675" t="s">
        <v>972</v>
      </c>
      <c r="CK675" t="s">
        <v>986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 t="s">
        <v>987</v>
      </c>
      <c r="CV675">
        <v>400008679</v>
      </c>
      <c r="CW675" t="s">
        <v>987</v>
      </c>
      <c r="CX675" t="s">
        <v>1137</v>
      </c>
      <c r="CY675" t="s">
        <v>989</v>
      </c>
    </row>
    <row r="676" spans="1:103" hidden="1" x14ac:dyDescent="0.25">
      <c r="A676">
        <v>410000680</v>
      </c>
      <c r="B676" t="s">
        <v>5142</v>
      </c>
      <c r="C676" t="s">
        <v>5143</v>
      </c>
      <c r="D676">
        <v>401100000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1</v>
      </c>
      <c r="X676">
        <v>1</v>
      </c>
      <c r="Y676" t="s">
        <v>972</v>
      </c>
      <c r="Z676" t="s">
        <v>987</v>
      </c>
      <c r="AA676" t="s">
        <v>5144</v>
      </c>
      <c r="AB676" t="s">
        <v>975</v>
      </c>
      <c r="AC676">
        <v>1140</v>
      </c>
      <c r="AD676" t="s">
        <v>5145</v>
      </c>
      <c r="AE676" t="s">
        <v>979</v>
      </c>
      <c r="AF676" t="s">
        <v>979</v>
      </c>
      <c r="AG676" t="s">
        <v>977</v>
      </c>
      <c r="AH676" t="s">
        <v>977</v>
      </c>
      <c r="AI676">
        <v>81220</v>
      </c>
      <c r="AJ676" t="s">
        <v>978</v>
      </c>
      <c r="AK676" t="s">
        <v>978</v>
      </c>
      <c r="AL676" t="s">
        <v>978</v>
      </c>
      <c r="AM676" t="s">
        <v>979</v>
      </c>
      <c r="AN676">
        <v>0</v>
      </c>
      <c r="AO676" t="s">
        <v>257</v>
      </c>
      <c r="AP676">
        <v>0</v>
      </c>
      <c r="AQ676">
        <v>1</v>
      </c>
      <c r="AR676">
        <v>43</v>
      </c>
      <c r="AS676">
        <v>1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1</v>
      </c>
      <c r="AZ676" t="s">
        <v>257</v>
      </c>
      <c r="BA676" t="s">
        <v>980</v>
      </c>
      <c r="BB676" t="s">
        <v>981</v>
      </c>
      <c r="BC676" t="s">
        <v>257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 t="s">
        <v>998</v>
      </c>
      <c r="BK676" t="s">
        <v>981</v>
      </c>
      <c r="BL676" t="s">
        <v>5142</v>
      </c>
      <c r="BM676">
        <v>20210215</v>
      </c>
      <c r="BN676">
        <v>20210330</v>
      </c>
      <c r="BO676">
        <v>0</v>
      </c>
      <c r="BP676" t="s">
        <v>257</v>
      </c>
      <c r="BQ676" t="s">
        <v>983</v>
      </c>
      <c r="BR676" t="s">
        <v>978</v>
      </c>
      <c r="BS676" t="s">
        <v>979</v>
      </c>
      <c r="BT676">
        <v>0</v>
      </c>
      <c r="BU676">
        <v>0</v>
      </c>
      <c r="BV676" t="s">
        <v>984</v>
      </c>
      <c r="BW676" t="s">
        <v>257</v>
      </c>
      <c r="BX676">
        <v>0</v>
      </c>
      <c r="BY676" t="s">
        <v>980</v>
      </c>
      <c r="BZ676" t="s">
        <v>257</v>
      </c>
      <c r="CA676">
        <v>0</v>
      </c>
      <c r="CB676">
        <v>0</v>
      </c>
      <c r="CC676" t="s">
        <v>1033</v>
      </c>
      <c r="CD676">
        <v>0</v>
      </c>
      <c r="CE676">
        <v>0</v>
      </c>
      <c r="CF676">
        <v>0</v>
      </c>
      <c r="CG676">
        <v>0</v>
      </c>
      <c r="CH676">
        <v>0</v>
      </c>
      <c r="CI676" t="s">
        <v>983</v>
      </c>
      <c r="CJ676" t="s">
        <v>972</v>
      </c>
      <c r="CK676" t="s">
        <v>986</v>
      </c>
      <c r="CL676">
        <v>0</v>
      </c>
      <c r="CM676">
        <v>1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 t="s">
        <v>987</v>
      </c>
      <c r="CV676">
        <v>400008680</v>
      </c>
      <c r="CW676" t="s">
        <v>987</v>
      </c>
      <c r="CX676" t="s">
        <v>5146</v>
      </c>
      <c r="CY676" t="s">
        <v>989</v>
      </c>
    </row>
    <row r="677" spans="1:103" hidden="1" x14ac:dyDescent="0.25">
      <c r="A677">
        <v>410000681</v>
      </c>
      <c r="B677" t="s">
        <v>5147</v>
      </c>
      <c r="C677" t="s">
        <v>5148</v>
      </c>
      <c r="D677">
        <v>401100000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1</v>
      </c>
      <c r="Y677" t="s">
        <v>972</v>
      </c>
      <c r="Z677" t="s">
        <v>5149</v>
      </c>
      <c r="AA677" t="s">
        <v>5150</v>
      </c>
      <c r="AB677" t="s">
        <v>975</v>
      </c>
      <c r="AC677">
        <v>4040</v>
      </c>
      <c r="AD677" t="s">
        <v>976</v>
      </c>
      <c r="AE677">
        <v>3243434233</v>
      </c>
      <c r="AF677" t="s">
        <v>979</v>
      </c>
      <c r="AG677" t="s">
        <v>977</v>
      </c>
      <c r="AH677" t="s">
        <v>977</v>
      </c>
      <c r="AI677">
        <v>43999</v>
      </c>
      <c r="AJ677" t="s">
        <v>978</v>
      </c>
      <c r="AK677" t="s">
        <v>978</v>
      </c>
      <c r="AL677" t="s">
        <v>978</v>
      </c>
      <c r="AM677" t="s">
        <v>979</v>
      </c>
      <c r="AN677">
        <v>0</v>
      </c>
      <c r="AO677" t="s">
        <v>257</v>
      </c>
      <c r="AP677">
        <v>0</v>
      </c>
      <c r="AQ677">
        <v>1</v>
      </c>
      <c r="AR677">
        <v>43</v>
      </c>
      <c r="AS677">
        <v>1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1</v>
      </c>
      <c r="AZ677" t="s">
        <v>257</v>
      </c>
      <c r="BA677" t="s">
        <v>980</v>
      </c>
      <c r="BB677" t="s">
        <v>1010</v>
      </c>
      <c r="BC677" t="s">
        <v>257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 t="s">
        <v>998</v>
      </c>
      <c r="BK677" t="s">
        <v>981</v>
      </c>
      <c r="BL677" t="s">
        <v>5147</v>
      </c>
      <c r="BM677">
        <v>20210222</v>
      </c>
      <c r="BN677">
        <v>20251103</v>
      </c>
      <c r="BO677">
        <v>20251103</v>
      </c>
      <c r="BP677" t="s">
        <v>257</v>
      </c>
      <c r="BQ677" t="s">
        <v>983</v>
      </c>
      <c r="BR677" t="s">
        <v>978</v>
      </c>
      <c r="BS677">
        <v>32486138294</v>
      </c>
      <c r="BT677">
        <v>0</v>
      </c>
      <c r="BU677">
        <v>0</v>
      </c>
      <c r="BV677" t="s">
        <v>984</v>
      </c>
      <c r="BW677" t="s">
        <v>257</v>
      </c>
      <c r="BX677">
        <v>0</v>
      </c>
      <c r="BY677" t="s">
        <v>980</v>
      </c>
      <c r="BZ677" t="s">
        <v>257</v>
      </c>
      <c r="CA677">
        <v>0</v>
      </c>
      <c r="CB677">
        <v>0</v>
      </c>
      <c r="CC677" t="s">
        <v>3623</v>
      </c>
      <c r="CD677">
        <v>0</v>
      </c>
      <c r="CE677">
        <v>0</v>
      </c>
      <c r="CF677">
        <v>0</v>
      </c>
      <c r="CG677">
        <v>0</v>
      </c>
      <c r="CH677">
        <v>0</v>
      </c>
      <c r="CI677" t="s">
        <v>983</v>
      </c>
      <c r="CJ677" t="s">
        <v>972</v>
      </c>
      <c r="CK677" t="s">
        <v>986</v>
      </c>
      <c r="CL677">
        <v>0</v>
      </c>
      <c r="CM677">
        <v>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 t="s">
        <v>987</v>
      </c>
      <c r="CV677">
        <v>400008681</v>
      </c>
      <c r="CW677" t="s">
        <v>987</v>
      </c>
      <c r="CX677" t="s">
        <v>4139</v>
      </c>
      <c r="CY677" t="s">
        <v>989</v>
      </c>
    </row>
    <row r="678" spans="1:103" hidden="1" x14ac:dyDescent="0.25">
      <c r="A678">
        <v>410000682</v>
      </c>
      <c r="B678" t="s">
        <v>5151</v>
      </c>
      <c r="C678" t="s">
        <v>5152</v>
      </c>
      <c r="D678">
        <v>401100000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1</v>
      </c>
      <c r="Y678" t="s">
        <v>972</v>
      </c>
      <c r="Z678" t="s">
        <v>5153</v>
      </c>
      <c r="AA678" t="s">
        <v>5154</v>
      </c>
      <c r="AB678" t="s">
        <v>975</v>
      </c>
      <c r="AC678">
        <v>5300</v>
      </c>
      <c r="AD678" t="s">
        <v>5155</v>
      </c>
      <c r="AE678">
        <v>3281402842</v>
      </c>
      <c r="AF678" t="s">
        <v>979</v>
      </c>
      <c r="AG678" t="s">
        <v>977</v>
      </c>
      <c r="AH678" t="s">
        <v>977</v>
      </c>
      <c r="AI678">
        <v>70220</v>
      </c>
      <c r="AJ678" t="s">
        <v>5156</v>
      </c>
      <c r="AK678" t="s">
        <v>978</v>
      </c>
      <c r="AL678" t="s">
        <v>978</v>
      </c>
      <c r="AM678" t="s">
        <v>979</v>
      </c>
      <c r="AN678">
        <v>0</v>
      </c>
      <c r="AO678" t="s">
        <v>257</v>
      </c>
      <c r="AP678">
        <v>0</v>
      </c>
      <c r="AQ678">
        <v>1</v>
      </c>
      <c r="AR678">
        <v>43</v>
      </c>
      <c r="AS678">
        <v>1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1</v>
      </c>
      <c r="AZ678" t="s">
        <v>257</v>
      </c>
      <c r="BA678" t="s">
        <v>980</v>
      </c>
      <c r="BB678" t="s">
        <v>981</v>
      </c>
      <c r="BC678" t="s">
        <v>257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 t="s">
        <v>998</v>
      </c>
      <c r="BK678" t="s">
        <v>981</v>
      </c>
      <c r="BL678" t="s">
        <v>5151</v>
      </c>
      <c r="BM678">
        <v>20210224</v>
      </c>
      <c r="BN678">
        <v>20210225</v>
      </c>
      <c r="BO678">
        <v>0</v>
      </c>
      <c r="BP678" t="s">
        <v>257</v>
      </c>
      <c r="BQ678" t="s">
        <v>983</v>
      </c>
      <c r="BR678" t="s">
        <v>978</v>
      </c>
      <c r="BS678" t="s">
        <v>979</v>
      </c>
      <c r="BT678">
        <v>0</v>
      </c>
      <c r="BU678">
        <v>0</v>
      </c>
      <c r="BV678" t="s">
        <v>984</v>
      </c>
      <c r="BW678" t="s">
        <v>257</v>
      </c>
      <c r="BX678">
        <v>0</v>
      </c>
      <c r="BY678" t="s">
        <v>980</v>
      </c>
      <c r="BZ678" t="s">
        <v>257</v>
      </c>
      <c r="CA678">
        <v>0</v>
      </c>
      <c r="CB678">
        <v>0</v>
      </c>
      <c r="CC678" t="s">
        <v>1901</v>
      </c>
      <c r="CD678">
        <v>0</v>
      </c>
      <c r="CE678">
        <v>0</v>
      </c>
      <c r="CF678">
        <v>0</v>
      </c>
      <c r="CG678">
        <v>0</v>
      </c>
      <c r="CH678">
        <v>0</v>
      </c>
      <c r="CI678" t="s">
        <v>983</v>
      </c>
      <c r="CJ678" t="s">
        <v>972</v>
      </c>
      <c r="CK678" t="s">
        <v>986</v>
      </c>
      <c r="CL678">
        <v>0</v>
      </c>
      <c r="CM678">
        <v>1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 t="s">
        <v>987</v>
      </c>
      <c r="CV678">
        <v>400008682</v>
      </c>
      <c r="CW678" t="s">
        <v>987</v>
      </c>
      <c r="CX678" t="s">
        <v>5157</v>
      </c>
      <c r="CY678" t="s">
        <v>989</v>
      </c>
    </row>
    <row r="679" spans="1:103" hidden="1" x14ac:dyDescent="0.25">
      <c r="A679">
        <v>410000683</v>
      </c>
      <c r="B679" t="s">
        <v>5158</v>
      </c>
      <c r="C679" t="s">
        <v>5159</v>
      </c>
      <c r="D679">
        <v>401100000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1</v>
      </c>
      <c r="Y679" t="s">
        <v>5160</v>
      </c>
      <c r="Z679" t="s">
        <v>987</v>
      </c>
      <c r="AA679" t="s">
        <v>5161</v>
      </c>
      <c r="AB679" t="s">
        <v>975</v>
      </c>
      <c r="AC679">
        <v>4020</v>
      </c>
      <c r="AD679" t="s">
        <v>1019</v>
      </c>
      <c r="AE679" t="s">
        <v>979</v>
      </c>
      <c r="AF679" t="s">
        <v>979</v>
      </c>
      <c r="AG679" t="s">
        <v>977</v>
      </c>
      <c r="AH679" t="s">
        <v>977</v>
      </c>
      <c r="AI679" t="s">
        <v>977</v>
      </c>
      <c r="AJ679" t="s">
        <v>978</v>
      </c>
      <c r="AK679" t="s">
        <v>978</v>
      </c>
      <c r="AL679" t="s">
        <v>978</v>
      </c>
      <c r="AM679" t="s">
        <v>979</v>
      </c>
      <c r="AN679">
        <v>0</v>
      </c>
      <c r="AO679" t="s">
        <v>257</v>
      </c>
      <c r="AP679">
        <v>0</v>
      </c>
      <c r="AQ679">
        <v>18</v>
      </c>
      <c r="AR679">
        <v>43</v>
      </c>
      <c r="AS679">
        <v>1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1</v>
      </c>
      <c r="AZ679" t="s">
        <v>257</v>
      </c>
      <c r="BA679" t="s">
        <v>980</v>
      </c>
      <c r="BB679" t="s">
        <v>981</v>
      </c>
      <c r="BC679" t="s">
        <v>257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 t="s">
        <v>998</v>
      </c>
      <c r="BK679" t="s">
        <v>981</v>
      </c>
      <c r="BL679" t="s">
        <v>5158</v>
      </c>
      <c r="BM679">
        <v>20210301</v>
      </c>
      <c r="BN679">
        <v>20211014</v>
      </c>
      <c r="BO679">
        <v>0</v>
      </c>
      <c r="BP679" t="s">
        <v>257</v>
      </c>
      <c r="BQ679" t="s">
        <v>983</v>
      </c>
      <c r="BR679" t="s">
        <v>978</v>
      </c>
      <c r="BS679" t="s">
        <v>979</v>
      </c>
      <c r="BT679">
        <v>0</v>
      </c>
      <c r="BU679">
        <v>0</v>
      </c>
      <c r="BV679" t="s">
        <v>984</v>
      </c>
      <c r="BW679" t="s">
        <v>257</v>
      </c>
      <c r="BX679">
        <v>0</v>
      </c>
      <c r="BY679" t="s">
        <v>980</v>
      </c>
      <c r="BZ679" t="s">
        <v>257</v>
      </c>
      <c r="CA679">
        <v>0</v>
      </c>
      <c r="CB679">
        <v>0</v>
      </c>
      <c r="CC679" t="s">
        <v>2498</v>
      </c>
      <c r="CD679">
        <v>0</v>
      </c>
      <c r="CE679">
        <v>0</v>
      </c>
      <c r="CF679">
        <v>0</v>
      </c>
      <c r="CG679">
        <v>0</v>
      </c>
      <c r="CH679">
        <v>0</v>
      </c>
      <c r="CI679" t="s">
        <v>983</v>
      </c>
      <c r="CJ679" t="s">
        <v>972</v>
      </c>
      <c r="CK679" t="s">
        <v>986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 t="s">
        <v>987</v>
      </c>
      <c r="CV679">
        <v>400008683</v>
      </c>
      <c r="CW679" t="s">
        <v>987</v>
      </c>
      <c r="CX679" t="s">
        <v>5162</v>
      </c>
      <c r="CY679" t="s">
        <v>989</v>
      </c>
    </row>
    <row r="680" spans="1:103" hidden="1" x14ac:dyDescent="0.25">
      <c r="A680">
        <v>410000684</v>
      </c>
      <c r="B680" t="s">
        <v>5163</v>
      </c>
      <c r="C680" t="s">
        <v>5164</v>
      </c>
      <c r="D680">
        <v>401100000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1</v>
      </c>
      <c r="X680">
        <v>1</v>
      </c>
      <c r="Y680" t="s">
        <v>972</v>
      </c>
      <c r="Z680" t="s">
        <v>987</v>
      </c>
      <c r="AA680" t="s">
        <v>5165</v>
      </c>
      <c r="AB680" t="s">
        <v>975</v>
      </c>
      <c r="AC680">
        <v>5651</v>
      </c>
      <c r="AD680" t="s">
        <v>5166</v>
      </c>
      <c r="AE680">
        <v>3271217150</v>
      </c>
      <c r="AF680" t="s">
        <v>979</v>
      </c>
      <c r="AG680" t="s">
        <v>977</v>
      </c>
      <c r="AH680" t="s">
        <v>977</v>
      </c>
      <c r="AI680">
        <v>45194</v>
      </c>
      <c r="AJ680" t="s">
        <v>5167</v>
      </c>
      <c r="AK680" t="s">
        <v>978</v>
      </c>
      <c r="AL680" t="s">
        <v>978</v>
      </c>
      <c r="AM680" t="s">
        <v>979</v>
      </c>
      <c r="AN680">
        <v>0</v>
      </c>
      <c r="AO680" t="s">
        <v>70</v>
      </c>
      <c r="AP680">
        <v>0</v>
      </c>
      <c r="AQ680">
        <v>1</v>
      </c>
      <c r="AR680">
        <v>43</v>
      </c>
      <c r="AS680">
        <v>1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1</v>
      </c>
      <c r="AZ680" t="s">
        <v>257</v>
      </c>
      <c r="BA680" t="s">
        <v>257</v>
      </c>
      <c r="BB680" t="s">
        <v>981</v>
      </c>
      <c r="BC680" t="s">
        <v>257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 t="s">
        <v>998</v>
      </c>
      <c r="BK680" t="s">
        <v>981</v>
      </c>
      <c r="BL680" t="s">
        <v>5163</v>
      </c>
      <c r="BM680">
        <v>20210308</v>
      </c>
      <c r="BN680">
        <v>20211018</v>
      </c>
      <c r="BO680">
        <v>0</v>
      </c>
      <c r="BP680" t="s">
        <v>257</v>
      </c>
      <c r="BQ680" t="s">
        <v>983</v>
      </c>
      <c r="BR680" t="s">
        <v>978</v>
      </c>
      <c r="BS680">
        <v>324777695737</v>
      </c>
      <c r="BT680">
        <v>0</v>
      </c>
      <c r="BU680">
        <v>0</v>
      </c>
      <c r="BV680" t="s">
        <v>984</v>
      </c>
      <c r="BW680" t="s">
        <v>257</v>
      </c>
      <c r="BX680">
        <v>0</v>
      </c>
      <c r="BY680" t="s">
        <v>980</v>
      </c>
      <c r="BZ680" t="s">
        <v>257</v>
      </c>
      <c r="CA680">
        <v>0</v>
      </c>
      <c r="CB680">
        <v>0</v>
      </c>
      <c r="CC680" t="s">
        <v>1901</v>
      </c>
      <c r="CD680">
        <v>0</v>
      </c>
      <c r="CE680">
        <v>0</v>
      </c>
      <c r="CF680">
        <v>0</v>
      </c>
      <c r="CG680">
        <v>0</v>
      </c>
      <c r="CH680">
        <v>0</v>
      </c>
      <c r="CI680" t="s">
        <v>983</v>
      </c>
      <c r="CJ680" t="s">
        <v>972</v>
      </c>
      <c r="CK680" t="s">
        <v>986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 t="s">
        <v>987</v>
      </c>
      <c r="CV680">
        <v>400008684</v>
      </c>
      <c r="CW680" t="s">
        <v>987</v>
      </c>
      <c r="CX680" t="s">
        <v>5168</v>
      </c>
      <c r="CY680" t="s">
        <v>989</v>
      </c>
    </row>
    <row r="681" spans="1:103" hidden="1" x14ac:dyDescent="0.25">
      <c r="A681">
        <v>410000685</v>
      </c>
      <c r="B681" t="s">
        <v>5169</v>
      </c>
      <c r="C681" t="s">
        <v>5170</v>
      </c>
      <c r="D681">
        <v>401100000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1</v>
      </c>
      <c r="X681">
        <v>1</v>
      </c>
      <c r="Y681" t="s">
        <v>972</v>
      </c>
      <c r="Z681" t="s">
        <v>4660</v>
      </c>
      <c r="AA681" t="s">
        <v>5171</v>
      </c>
      <c r="AB681" t="s">
        <v>975</v>
      </c>
      <c r="AC681">
        <v>6040</v>
      </c>
      <c r="AD681" t="s">
        <v>4580</v>
      </c>
      <c r="AE681">
        <v>3271158582</v>
      </c>
      <c r="AF681" t="s">
        <v>979</v>
      </c>
      <c r="AG681" t="s">
        <v>977</v>
      </c>
      <c r="AH681" t="s">
        <v>977</v>
      </c>
      <c r="AI681">
        <v>77320</v>
      </c>
      <c r="AJ681" t="s">
        <v>4581</v>
      </c>
      <c r="AK681" t="s">
        <v>978</v>
      </c>
      <c r="AL681" t="s">
        <v>978</v>
      </c>
      <c r="AM681" t="s">
        <v>979</v>
      </c>
      <c r="AN681">
        <v>0</v>
      </c>
      <c r="AO681" t="s">
        <v>257</v>
      </c>
      <c r="AP681">
        <v>0</v>
      </c>
      <c r="AQ681">
        <v>1</v>
      </c>
      <c r="AR681">
        <v>69</v>
      </c>
      <c r="AS681">
        <v>1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1</v>
      </c>
      <c r="AZ681" t="s">
        <v>257</v>
      </c>
      <c r="BA681" t="s">
        <v>980</v>
      </c>
      <c r="BB681" t="s">
        <v>981</v>
      </c>
      <c r="BC681" t="s">
        <v>257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 t="s">
        <v>998</v>
      </c>
      <c r="BK681" t="s">
        <v>981</v>
      </c>
      <c r="BL681" t="s">
        <v>5169</v>
      </c>
      <c r="BM681">
        <v>20210308</v>
      </c>
      <c r="BN681">
        <v>20240910</v>
      </c>
      <c r="BO681">
        <v>0</v>
      </c>
      <c r="BP681" t="s">
        <v>257</v>
      </c>
      <c r="BQ681" t="s">
        <v>983</v>
      </c>
      <c r="BR681" t="s">
        <v>978</v>
      </c>
      <c r="BS681">
        <v>32472894817</v>
      </c>
      <c r="BT681">
        <v>0</v>
      </c>
      <c r="BU681">
        <v>0</v>
      </c>
      <c r="BV681" t="s">
        <v>984</v>
      </c>
      <c r="BW681" t="s">
        <v>257</v>
      </c>
      <c r="BX681">
        <v>0</v>
      </c>
      <c r="BY681" t="s">
        <v>980</v>
      </c>
      <c r="BZ681" t="s">
        <v>257</v>
      </c>
      <c r="CA681">
        <v>0</v>
      </c>
      <c r="CB681">
        <v>0</v>
      </c>
      <c r="CC681" t="s">
        <v>1901</v>
      </c>
      <c r="CD681">
        <v>0</v>
      </c>
      <c r="CE681">
        <v>0</v>
      </c>
      <c r="CF681">
        <v>0</v>
      </c>
      <c r="CG681">
        <v>0</v>
      </c>
      <c r="CH681">
        <v>0</v>
      </c>
      <c r="CI681" t="s">
        <v>983</v>
      </c>
      <c r="CJ681" t="s">
        <v>972</v>
      </c>
      <c r="CK681" t="s">
        <v>986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 t="s">
        <v>987</v>
      </c>
      <c r="CV681">
        <v>400008685</v>
      </c>
      <c r="CW681" t="s">
        <v>987</v>
      </c>
      <c r="CX681" t="s">
        <v>5172</v>
      </c>
      <c r="CY681" t="s">
        <v>989</v>
      </c>
    </row>
    <row r="682" spans="1:103" hidden="1" x14ac:dyDescent="0.25">
      <c r="A682">
        <v>410000686</v>
      </c>
      <c r="B682" t="s">
        <v>5173</v>
      </c>
      <c r="C682" t="s">
        <v>5174</v>
      </c>
      <c r="D682">
        <v>401100000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1</v>
      </c>
      <c r="X682">
        <v>1</v>
      </c>
      <c r="Y682" t="s">
        <v>972</v>
      </c>
      <c r="Z682" t="s">
        <v>4052</v>
      </c>
      <c r="AA682" t="s">
        <v>5175</v>
      </c>
      <c r="AB682" t="s">
        <v>975</v>
      </c>
      <c r="AC682">
        <v>4537</v>
      </c>
      <c r="AD682" t="s">
        <v>3069</v>
      </c>
      <c r="AE682" t="s">
        <v>979</v>
      </c>
      <c r="AF682" t="s">
        <v>979</v>
      </c>
      <c r="AG682" t="s">
        <v>977</v>
      </c>
      <c r="AH682" t="s">
        <v>977</v>
      </c>
      <c r="AI682">
        <v>10520</v>
      </c>
      <c r="AJ682" t="s">
        <v>978</v>
      </c>
      <c r="AK682" t="s">
        <v>978</v>
      </c>
      <c r="AL682" t="s">
        <v>978</v>
      </c>
      <c r="AM682" t="s">
        <v>979</v>
      </c>
      <c r="AN682">
        <v>0</v>
      </c>
      <c r="AO682" t="s">
        <v>257</v>
      </c>
      <c r="AP682">
        <v>0</v>
      </c>
      <c r="AQ682">
        <v>1</v>
      </c>
      <c r="AR682">
        <v>43</v>
      </c>
      <c r="AS682">
        <v>1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1</v>
      </c>
      <c r="AZ682" t="s">
        <v>257</v>
      </c>
      <c r="BA682" t="s">
        <v>980</v>
      </c>
      <c r="BB682" t="s">
        <v>981</v>
      </c>
      <c r="BC682" t="s">
        <v>257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 t="s">
        <v>998</v>
      </c>
      <c r="BK682" t="s">
        <v>981</v>
      </c>
      <c r="BL682" t="s">
        <v>5173</v>
      </c>
      <c r="BM682">
        <v>20210316</v>
      </c>
      <c r="BN682">
        <v>20211220</v>
      </c>
      <c r="BO682">
        <v>0</v>
      </c>
      <c r="BP682" t="s">
        <v>257</v>
      </c>
      <c r="BQ682" t="s">
        <v>983</v>
      </c>
      <c r="BR682" t="s">
        <v>978</v>
      </c>
      <c r="BS682" t="s">
        <v>979</v>
      </c>
      <c r="BT682">
        <v>0</v>
      </c>
      <c r="BU682">
        <v>0</v>
      </c>
      <c r="BV682" t="s">
        <v>984</v>
      </c>
      <c r="BW682" t="s">
        <v>257</v>
      </c>
      <c r="BX682">
        <v>0</v>
      </c>
      <c r="BY682" t="s">
        <v>980</v>
      </c>
      <c r="BZ682" t="s">
        <v>257</v>
      </c>
      <c r="CA682">
        <v>0</v>
      </c>
      <c r="CB682">
        <v>0</v>
      </c>
      <c r="CC682" t="s">
        <v>1161</v>
      </c>
      <c r="CD682">
        <v>0</v>
      </c>
      <c r="CE682">
        <v>0</v>
      </c>
      <c r="CF682">
        <v>0</v>
      </c>
      <c r="CG682">
        <v>0</v>
      </c>
      <c r="CH682">
        <v>0</v>
      </c>
      <c r="CI682" t="s">
        <v>983</v>
      </c>
      <c r="CJ682" t="s">
        <v>972</v>
      </c>
      <c r="CK682" t="s">
        <v>986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 t="s">
        <v>987</v>
      </c>
      <c r="CV682">
        <v>400008686</v>
      </c>
      <c r="CW682" t="s">
        <v>987</v>
      </c>
      <c r="CX682" t="s">
        <v>5176</v>
      </c>
      <c r="CY682" t="s">
        <v>989</v>
      </c>
    </row>
    <row r="683" spans="1:103" hidden="1" x14ac:dyDescent="0.25">
      <c r="A683">
        <v>410000687</v>
      </c>
      <c r="B683" t="s">
        <v>5177</v>
      </c>
      <c r="C683" t="s">
        <v>5178</v>
      </c>
      <c r="D683">
        <v>401100000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1</v>
      </c>
      <c r="X683">
        <v>1</v>
      </c>
      <c r="Y683" t="s">
        <v>972</v>
      </c>
      <c r="Z683" t="s">
        <v>987</v>
      </c>
      <c r="AA683" t="s">
        <v>5179</v>
      </c>
      <c r="AB683" t="s">
        <v>975</v>
      </c>
      <c r="AC683">
        <v>4432</v>
      </c>
      <c r="AD683" t="s">
        <v>1313</v>
      </c>
      <c r="AE683">
        <v>32497789605</v>
      </c>
      <c r="AF683" t="s">
        <v>979</v>
      </c>
      <c r="AG683" t="s">
        <v>977</v>
      </c>
      <c r="AH683" t="s">
        <v>977</v>
      </c>
      <c r="AI683">
        <v>43211</v>
      </c>
      <c r="AJ683" t="s">
        <v>978</v>
      </c>
      <c r="AK683" t="s">
        <v>978</v>
      </c>
      <c r="AL683" t="s">
        <v>978</v>
      </c>
      <c r="AM683" t="s">
        <v>979</v>
      </c>
      <c r="AN683">
        <v>0</v>
      </c>
      <c r="AO683" t="s">
        <v>257</v>
      </c>
      <c r="AP683">
        <v>0</v>
      </c>
      <c r="AQ683">
        <v>1</v>
      </c>
      <c r="AR683">
        <v>43</v>
      </c>
      <c r="AS683">
        <v>1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1</v>
      </c>
      <c r="AZ683" t="s">
        <v>257</v>
      </c>
      <c r="BA683" t="s">
        <v>980</v>
      </c>
      <c r="BB683" t="s">
        <v>981</v>
      </c>
      <c r="BC683" t="s">
        <v>257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 t="s">
        <v>998</v>
      </c>
      <c r="BK683" t="s">
        <v>981</v>
      </c>
      <c r="BL683" t="s">
        <v>5177</v>
      </c>
      <c r="BM683">
        <v>20210325</v>
      </c>
      <c r="BN683">
        <v>20210326</v>
      </c>
      <c r="BO683">
        <v>0</v>
      </c>
      <c r="BP683" t="s">
        <v>257</v>
      </c>
      <c r="BQ683" t="s">
        <v>983</v>
      </c>
      <c r="BR683" t="s">
        <v>978</v>
      </c>
      <c r="BS683" t="s">
        <v>979</v>
      </c>
      <c r="BT683">
        <v>0</v>
      </c>
      <c r="BU683">
        <v>0</v>
      </c>
      <c r="BV683" t="s">
        <v>984</v>
      </c>
      <c r="BW683" t="s">
        <v>257</v>
      </c>
      <c r="BX683">
        <v>0</v>
      </c>
      <c r="BY683" t="s">
        <v>980</v>
      </c>
      <c r="BZ683" t="s">
        <v>257</v>
      </c>
      <c r="CA683">
        <v>0</v>
      </c>
      <c r="CB683">
        <v>0</v>
      </c>
      <c r="CC683" t="s">
        <v>1317</v>
      </c>
      <c r="CD683">
        <v>0</v>
      </c>
      <c r="CE683">
        <v>0</v>
      </c>
      <c r="CF683">
        <v>0</v>
      </c>
      <c r="CG683">
        <v>0</v>
      </c>
      <c r="CH683">
        <v>0</v>
      </c>
      <c r="CI683" t="s">
        <v>983</v>
      </c>
      <c r="CJ683" t="s">
        <v>972</v>
      </c>
      <c r="CK683" t="s">
        <v>986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 t="s">
        <v>987</v>
      </c>
      <c r="CV683">
        <v>400008687</v>
      </c>
      <c r="CW683" t="s">
        <v>987</v>
      </c>
      <c r="CX683" t="s">
        <v>5180</v>
      </c>
      <c r="CY683" t="s">
        <v>989</v>
      </c>
    </row>
    <row r="684" spans="1:103" hidden="1" x14ac:dyDescent="0.25">
      <c r="A684">
        <v>410000688</v>
      </c>
      <c r="B684" t="s">
        <v>5181</v>
      </c>
      <c r="C684" t="s">
        <v>5182</v>
      </c>
      <c r="D684">
        <v>401100000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1</v>
      </c>
      <c r="X684">
        <v>1</v>
      </c>
      <c r="Y684" t="s">
        <v>972</v>
      </c>
      <c r="Z684" t="s">
        <v>987</v>
      </c>
      <c r="AA684" t="s">
        <v>5183</v>
      </c>
      <c r="AB684" t="s">
        <v>975</v>
      </c>
      <c r="AC684">
        <v>4340</v>
      </c>
      <c r="AD684" t="s">
        <v>1076</v>
      </c>
      <c r="AE684" t="s">
        <v>5184</v>
      </c>
      <c r="AF684" t="s">
        <v>979</v>
      </c>
      <c r="AG684" t="s">
        <v>977</v>
      </c>
      <c r="AH684" t="s">
        <v>977</v>
      </c>
      <c r="AI684">
        <v>69202</v>
      </c>
      <c r="AJ684" t="s">
        <v>978</v>
      </c>
      <c r="AK684" t="s">
        <v>978</v>
      </c>
      <c r="AL684" t="s">
        <v>978</v>
      </c>
      <c r="AM684" t="s">
        <v>979</v>
      </c>
      <c r="AN684">
        <v>0</v>
      </c>
      <c r="AO684" t="s">
        <v>257</v>
      </c>
      <c r="AP684">
        <v>0</v>
      </c>
      <c r="AQ684">
        <v>1</v>
      </c>
      <c r="AR684">
        <v>43</v>
      </c>
      <c r="AS684">
        <v>1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1</v>
      </c>
      <c r="AZ684" t="s">
        <v>257</v>
      </c>
      <c r="BA684" t="s">
        <v>980</v>
      </c>
      <c r="BB684" t="s">
        <v>981</v>
      </c>
      <c r="BC684" t="s">
        <v>257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 t="s">
        <v>998</v>
      </c>
      <c r="BK684" t="s">
        <v>981</v>
      </c>
      <c r="BL684" t="s">
        <v>5181</v>
      </c>
      <c r="BM684">
        <v>20210414</v>
      </c>
      <c r="BN684">
        <v>20240422</v>
      </c>
      <c r="BO684">
        <v>0</v>
      </c>
      <c r="BP684" t="s">
        <v>257</v>
      </c>
      <c r="BQ684" t="s">
        <v>983</v>
      </c>
      <c r="BR684" t="s">
        <v>978</v>
      </c>
      <c r="BS684" t="s">
        <v>979</v>
      </c>
      <c r="BT684">
        <v>0</v>
      </c>
      <c r="BU684">
        <v>0</v>
      </c>
      <c r="BV684" t="s">
        <v>984</v>
      </c>
      <c r="BW684" t="s">
        <v>257</v>
      </c>
      <c r="BX684">
        <v>0</v>
      </c>
      <c r="BY684" t="s">
        <v>980</v>
      </c>
      <c r="BZ684" t="s">
        <v>257</v>
      </c>
      <c r="CA684">
        <v>0</v>
      </c>
      <c r="CB684">
        <v>0</v>
      </c>
      <c r="CC684" t="s">
        <v>1220</v>
      </c>
      <c r="CD684">
        <v>0</v>
      </c>
      <c r="CE684">
        <v>0</v>
      </c>
      <c r="CF684">
        <v>0</v>
      </c>
      <c r="CG684">
        <v>0</v>
      </c>
      <c r="CH684">
        <v>0</v>
      </c>
      <c r="CI684" t="s">
        <v>983</v>
      </c>
      <c r="CJ684" t="s">
        <v>972</v>
      </c>
      <c r="CK684" t="s">
        <v>986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 t="s">
        <v>987</v>
      </c>
      <c r="CV684">
        <v>400008688</v>
      </c>
      <c r="CW684" t="s">
        <v>987</v>
      </c>
      <c r="CX684" t="s">
        <v>5185</v>
      </c>
      <c r="CY684" t="s">
        <v>989</v>
      </c>
    </row>
    <row r="685" spans="1:103" hidden="1" x14ac:dyDescent="0.25">
      <c r="A685">
        <v>410000689</v>
      </c>
      <c r="B685" t="s">
        <v>5186</v>
      </c>
      <c r="C685" t="s">
        <v>5187</v>
      </c>
      <c r="D685">
        <v>401100000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1</v>
      </c>
      <c r="X685">
        <v>1</v>
      </c>
      <c r="Y685" t="s">
        <v>972</v>
      </c>
      <c r="Z685" t="s">
        <v>987</v>
      </c>
      <c r="AA685" t="s">
        <v>5188</v>
      </c>
      <c r="AB685" t="s">
        <v>975</v>
      </c>
      <c r="AC685">
        <v>6032</v>
      </c>
      <c r="AD685" t="s">
        <v>1048</v>
      </c>
      <c r="AE685" t="s">
        <v>979</v>
      </c>
      <c r="AF685" t="s">
        <v>979</v>
      </c>
      <c r="AG685" t="s">
        <v>977</v>
      </c>
      <c r="AH685" t="s">
        <v>977</v>
      </c>
      <c r="AI685" t="s">
        <v>977</v>
      </c>
      <c r="AJ685" t="s">
        <v>5189</v>
      </c>
      <c r="AK685" t="s">
        <v>978</v>
      </c>
      <c r="AL685" t="s">
        <v>978</v>
      </c>
      <c r="AM685" t="s">
        <v>979</v>
      </c>
      <c r="AN685">
        <v>0</v>
      </c>
      <c r="AO685" t="s">
        <v>257</v>
      </c>
      <c r="AP685">
        <v>0</v>
      </c>
      <c r="AQ685">
        <v>1</v>
      </c>
      <c r="AR685">
        <v>43</v>
      </c>
      <c r="AS685">
        <v>1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1</v>
      </c>
      <c r="AZ685" t="s">
        <v>257</v>
      </c>
      <c r="BA685" t="s">
        <v>980</v>
      </c>
      <c r="BB685" t="s">
        <v>981</v>
      </c>
      <c r="BC685" t="s">
        <v>257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 t="s">
        <v>998</v>
      </c>
      <c r="BK685" t="s">
        <v>981</v>
      </c>
      <c r="BL685" t="s">
        <v>5186</v>
      </c>
      <c r="BM685">
        <v>20210416</v>
      </c>
      <c r="BN685">
        <v>20241021</v>
      </c>
      <c r="BO685">
        <v>0</v>
      </c>
      <c r="BP685" t="s">
        <v>257</v>
      </c>
      <c r="BQ685" t="s">
        <v>983</v>
      </c>
      <c r="BR685" t="s">
        <v>978</v>
      </c>
      <c r="BS685">
        <v>32491597690</v>
      </c>
      <c r="BT685">
        <v>0</v>
      </c>
      <c r="BU685">
        <v>0</v>
      </c>
      <c r="BV685" t="s">
        <v>984</v>
      </c>
      <c r="BW685" t="s">
        <v>257</v>
      </c>
      <c r="BX685">
        <v>0</v>
      </c>
      <c r="BY685" t="s">
        <v>980</v>
      </c>
      <c r="BZ685" t="s">
        <v>257</v>
      </c>
      <c r="CA685">
        <v>0</v>
      </c>
      <c r="CB685">
        <v>0</v>
      </c>
      <c r="CC685" t="s">
        <v>1901</v>
      </c>
      <c r="CD685">
        <v>0</v>
      </c>
      <c r="CE685">
        <v>0</v>
      </c>
      <c r="CF685">
        <v>0</v>
      </c>
      <c r="CG685">
        <v>0</v>
      </c>
      <c r="CH685">
        <v>0</v>
      </c>
      <c r="CI685" t="s">
        <v>983</v>
      </c>
      <c r="CJ685" t="s">
        <v>972</v>
      </c>
      <c r="CK685" t="s">
        <v>986</v>
      </c>
      <c r="CL685">
        <v>0</v>
      </c>
      <c r="CM685">
        <v>1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 t="s">
        <v>987</v>
      </c>
      <c r="CV685">
        <v>400008689</v>
      </c>
      <c r="CW685" t="s">
        <v>987</v>
      </c>
      <c r="CX685" t="s">
        <v>5190</v>
      </c>
      <c r="CY685" t="s">
        <v>989</v>
      </c>
    </row>
    <row r="686" spans="1:103" hidden="1" x14ac:dyDescent="0.25">
      <c r="A686">
        <v>410000690</v>
      </c>
      <c r="B686" t="s">
        <v>5191</v>
      </c>
      <c r="C686" t="s">
        <v>5192</v>
      </c>
      <c r="D686">
        <v>401100000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1</v>
      </c>
      <c r="X686">
        <v>1</v>
      </c>
      <c r="Y686" t="s">
        <v>972</v>
      </c>
      <c r="Z686" t="s">
        <v>5193</v>
      </c>
      <c r="AA686" t="s">
        <v>5194</v>
      </c>
      <c r="AB686" t="s">
        <v>975</v>
      </c>
      <c r="AC686">
        <v>4610</v>
      </c>
      <c r="AD686" t="s">
        <v>2912</v>
      </c>
      <c r="AE686">
        <v>3243626857</v>
      </c>
      <c r="AF686" t="s">
        <v>979</v>
      </c>
      <c r="AG686" t="s">
        <v>977</v>
      </c>
      <c r="AH686" t="s">
        <v>977</v>
      </c>
      <c r="AI686">
        <v>43320</v>
      </c>
      <c r="AJ686" t="s">
        <v>978</v>
      </c>
      <c r="AK686" t="s">
        <v>978</v>
      </c>
      <c r="AL686" t="s">
        <v>978</v>
      </c>
      <c r="AM686" t="s">
        <v>979</v>
      </c>
      <c r="AN686">
        <v>0</v>
      </c>
      <c r="AO686" t="s">
        <v>257</v>
      </c>
      <c r="AP686">
        <v>0</v>
      </c>
      <c r="AQ686">
        <v>1</v>
      </c>
      <c r="AR686">
        <v>43</v>
      </c>
      <c r="AS686">
        <v>1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1</v>
      </c>
      <c r="AZ686" t="s">
        <v>257</v>
      </c>
      <c r="BA686" t="s">
        <v>980</v>
      </c>
      <c r="BB686" t="s">
        <v>981</v>
      </c>
      <c r="BC686" t="s">
        <v>257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 t="s">
        <v>998</v>
      </c>
      <c r="BK686" t="s">
        <v>981</v>
      </c>
      <c r="BL686" t="s">
        <v>5191</v>
      </c>
      <c r="BM686">
        <v>20210416</v>
      </c>
      <c r="BN686">
        <v>20210420</v>
      </c>
      <c r="BO686">
        <v>0</v>
      </c>
      <c r="BP686" t="s">
        <v>257</v>
      </c>
      <c r="BQ686" t="s">
        <v>983</v>
      </c>
      <c r="BR686" t="s">
        <v>978</v>
      </c>
      <c r="BS686" t="s">
        <v>979</v>
      </c>
      <c r="BT686">
        <v>0</v>
      </c>
      <c r="BU686">
        <v>0</v>
      </c>
      <c r="BV686" t="s">
        <v>984</v>
      </c>
      <c r="BW686" t="s">
        <v>257</v>
      </c>
      <c r="BX686">
        <v>0</v>
      </c>
      <c r="BY686" t="s">
        <v>980</v>
      </c>
      <c r="BZ686" t="s">
        <v>257</v>
      </c>
      <c r="CA686">
        <v>0</v>
      </c>
      <c r="CB686">
        <v>0</v>
      </c>
      <c r="CC686" t="s">
        <v>1848</v>
      </c>
      <c r="CD686">
        <v>0</v>
      </c>
      <c r="CE686">
        <v>0</v>
      </c>
      <c r="CF686">
        <v>0</v>
      </c>
      <c r="CG686">
        <v>0</v>
      </c>
      <c r="CH686">
        <v>0</v>
      </c>
      <c r="CI686" t="s">
        <v>983</v>
      </c>
      <c r="CJ686" t="s">
        <v>972</v>
      </c>
      <c r="CK686" t="s">
        <v>986</v>
      </c>
      <c r="CL686">
        <v>0</v>
      </c>
      <c r="CM686">
        <v>1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 t="s">
        <v>987</v>
      </c>
      <c r="CV686">
        <v>400008690</v>
      </c>
      <c r="CW686" t="s">
        <v>987</v>
      </c>
      <c r="CX686" t="s">
        <v>5195</v>
      </c>
      <c r="CY686" t="s">
        <v>989</v>
      </c>
    </row>
    <row r="687" spans="1:103" hidden="1" x14ac:dyDescent="0.25">
      <c r="A687">
        <v>410000691</v>
      </c>
      <c r="B687" t="s">
        <v>5196</v>
      </c>
      <c r="C687" t="s">
        <v>5197</v>
      </c>
      <c r="D687">
        <v>401100000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1</v>
      </c>
      <c r="Y687" t="s">
        <v>972</v>
      </c>
      <c r="Z687" t="s">
        <v>987</v>
      </c>
      <c r="AA687" t="s">
        <v>5198</v>
      </c>
      <c r="AB687" t="s">
        <v>975</v>
      </c>
      <c r="AC687">
        <v>4651</v>
      </c>
      <c r="AD687" t="s">
        <v>1093</v>
      </c>
      <c r="AE687" t="s">
        <v>979</v>
      </c>
      <c r="AF687" t="s">
        <v>979</v>
      </c>
      <c r="AG687" t="s">
        <v>977</v>
      </c>
      <c r="AH687" t="s">
        <v>977</v>
      </c>
      <c r="AI687">
        <v>28220</v>
      </c>
      <c r="AJ687" t="s">
        <v>978</v>
      </c>
      <c r="AK687" t="s">
        <v>978</v>
      </c>
      <c r="AL687" t="s">
        <v>978</v>
      </c>
      <c r="AM687" t="s">
        <v>979</v>
      </c>
      <c r="AN687">
        <v>0</v>
      </c>
      <c r="AO687" t="s">
        <v>257</v>
      </c>
      <c r="AP687">
        <v>0</v>
      </c>
      <c r="AQ687">
        <v>1</v>
      </c>
      <c r="AR687">
        <v>43</v>
      </c>
      <c r="AS687">
        <v>1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1</v>
      </c>
      <c r="AZ687" t="s">
        <v>257</v>
      </c>
      <c r="BA687" t="s">
        <v>980</v>
      </c>
      <c r="BB687" t="s">
        <v>981</v>
      </c>
      <c r="BC687" t="s">
        <v>257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 t="s">
        <v>998</v>
      </c>
      <c r="BK687" t="s">
        <v>981</v>
      </c>
      <c r="BL687" t="s">
        <v>5196</v>
      </c>
      <c r="BM687">
        <v>20210419</v>
      </c>
      <c r="BN687">
        <v>20210420</v>
      </c>
      <c r="BO687">
        <v>0</v>
      </c>
      <c r="BP687" t="s">
        <v>257</v>
      </c>
      <c r="BQ687" t="s">
        <v>983</v>
      </c>
      <c r="BR687" t="s">
        <v>978</v>
      </c>
      <c r="BS687">
        <v>32496560803</v>
      </c>
      <c r="BT687">
        <v>0</v>
      </c>
      <c r="BU687">
        <v>0</v>
      </c>
      <c r="BV687" t="s">
        <v>984</v>
      </c>
      <c r="BW687" t="s">
        <v>257</v>
      </c>
      <c r="BX687">
        <v>0</v>
      </c>
      <c r="BY687" t="s">
        <v>980</v>
      </c>
      <c r="BZ687" t="s">
        <v>257</v>
      </c>
      <c r="CA687">
        <v>0</v>
      </c>
      <c r="CB687">
        <v>0</v>
      </c>
      <c r="CC687" t="s">
        <v>1113</v>
      </c>
      <c r="CD687">
        <v>0</v>
      </c>
      <c r="CE687">
        <v>0</v>
      </c>
      <c r="CF687">
        <v>0</v>
      </c>
      <c r="CG687">
        <v>0</v>
      </c>
      <c r="CH687">
        <v>0</v>
      </c>
      <c r="CI687" t="s">
        <v>983</v>
      </c>
      <c r="CJ687" t="s">
        <v>972</v>
      </c>
      <c r="CK687" t="s">
        <v>986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 t="s">
        <v>987</v>
      </c>
      <c r="CV687">
        <v>400008691</v>
      </c>
      <c r="CW687" t="s">
        <v>987</v>
      </c>
      <c r="CX687" t="s">
        <v>5199</v>
      </c>
      <c r="CY687" t="s">
        <v>989</v>
      </c>
    </row>
    <row r="688" spans="1:103" hidden="1" x14ac:dyDescent="0.25">
      <c r="A688">
        <v>410000692</v>
      </c>
      <c r="B688" t="s">
        <v>5200</v>
      </c>
      <c r="C688" t="s">
        <v>5201</v>
      </c>
      <c r="D688">
        <v>401100000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1</v>
      </c>
      <c r="X688">
        <v>1</v>
      </c>
      <c r="Y688" t="s">
        <v>972</v>
      </c>
      <c r="Z688" t="s">
        <v>4834</v>
      </c>
      <c r="AA688" t="s">
        <v>5202</v>
      </c>
      <c r="AB688" t="s">
        <v>975</v>
      </c>
      <c r="AC688">
        <v>4910</v>
      </c>
      <c r="AD688" t="s">
        <v>5203</v>
      </c>
      <c r="AE688">
        <v>3287773938</v>
      </c>
      <c r="AF688">
        <v>3287220925</v>
      </c>
      <c r="AG688" t="s">
        <v>5204</v>
      </c>
      <c r="AH688" t="s">
        <v>977</v>
      </c>
      <c r="AI688">
        <v>69201</v>
      </c>
      <c r="AJ688" t="s">
        <v>978</v>
      </c>
      <c r="AK688" t="s">
        <v>978</v>
      </c>
      <c r="AL688" t="s">
        <v>978</v>
      </c>
      <c r="AM688" t="s">
        <v>979</v>
      </c>
      <c r="AN688">
        <v>0</v>
      </c>
      <c r="AO688" t="s">
        <v>257</v>
      </c>
      <c r="AP688">
        <v>0</v>
      </c>
      <c r="AQ688">
        <v>18</v>
      </c>
      <c r="AR688">
        <v>43</v>
      </c>
      <c r="AS688">
        <v>1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1</v>
      </c>
      <c r="AZ688" t="s">
        <v>257</v>
      </c>
      <c r="BA688" t="s">
        <v>980</v>
      </c>
      <c r="BB688" t="s">
        <v>981</v>
      </c>
      <c r="BC688" t="s">
        <v>257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 t="s">
        <v>998</v>
      </c>
      <c r="BK688" t="s">
        <v>981</v>
      </c>
      <c r="BL688" t="s">
        <v>5200</v>
      </c>
      <c r="BM688">
        <v>20210428</v>
      </c>
      <c r="BN688">
        <v>20220208</v>
      </c>
      <c r="BO688">
        <v>0</v>
      </c>
      <c r="BP688" t="s">
        <v>257</v>
      </c>
      <c r="BQ688" t="s">
        <v>983</v>
      </c>
      <c r="BR688" t="s">
        <v>978</v>
      </c>
      <c r="BS688">
        <v>32496375433</v>
      </c>
      <c r="BT688">
        <v>0</v>
      </c>
      <c r="BU688">
        <v>0</v>
      </c>
      <c r="BV688" t="s">
        <v>984</v>
      </c>
      <c r="BW688" t="s">
        <v>257</v>
      </c>
      <c r="BX688">
        <v>0</v>
      </c>
      <c r="BY688" t="s">
        <v>980</v>
      </c>
      <c r="BZ688" t="s">
        <v>257</v>
      </c>
      <c r="CA688">
        <v>0</v>
      </c>
      <c r="CB688">
        <v>0</v>
      </c>
      <c r="CC688" t="s">
        <v>1062</v>
      </c>
      <c r="CD688">
        <v>0</v>
      </c>
      <c r="CE688">
        <v>0</v>
      </c>
      <c r="CF688">
        <v>0</v>
      </c>
      <c r="CG688">
        <v>0</v>
      </c>
      <c r="CH688">
        <v>0</v>
      </c>
      <c r="CI688" t="s">
        <v>983</v>
      </c>
      <c r="CJ688" t="s">
        <v>972</v>
      </c>
      <c r="CK688" t="s">
        <v>986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 t="s">
        <v>987</v>
      </c>
      <c r="CV688">
        <v>400008692</v>
      </c>
      <c r="CW688" t="s">
        <v>987</v>
      </c>
      <c r="CX688" t="s">
        <v>5205</v>
      </c>
      <c r="CY688" t="s">
        <v>989</v>
      </c>
    </row>
    <row r="689" spans="1:103" hidden="1" x14ac:dyDescent="0.25">
      <c r="A689">
        <v>410000693</v>
      </c>
      <c r="B689" t="s">
        <v>5206</v>
      </c>
      <c r="C689" t="s">
        <v>5207</v>
      </c>
      <c r="D689">
        <v>401100000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1</v>
      </c>
      <c r="Y689" t="s">
        <v>972</v>
      </c>
      <c r="Z689" t="s">
        <v>987</v>
      </c>
      <c r="AA689" t="s">
        <v>5208</v>
      </c>
      <c r="AB689" t="s">
        <v>975</v>
      </c>
      <c r="AC689">
        <v>4000</v>
      </c>
      <c r="AD689" t="s">
        <v>1019</v>
      </c>
      <c r="AE689">
        <v>3242777020</v>
      </c>
      <c r="AF689" t="s">
        <v>979</v>
      </c>
      <c r="AG689" t="s">
        <v>977</v>
      </c>
      <c r="AH689" t="s">
        <v>977</v>
      </c>
      <c r="AI689">
        <v>70220</v>
      </c>
      <c r="AJ689" t="s">
        <v>978</v>
      </c>
      <c r="AK689" t="s">
        <v>978</v>
      </c>
      <c r="AL689" t="s">
        <v>978</v>
      </c>
      <c r="AM689" t="s">
        <v>979</v>
      </c>
      <c r="AN689">
        <v>0</v>
      </c>
      <c r="AO689" t="s">
        <v>257</v>
      </c>
      <c r="AP689">
        <v>0</v>
      </c>
      <c r="AQ689">
        <v>1</v>
      </c>
      <c r="AR689">
        <v>43</v>
      </c>
      <c r="AS689">
        <v>1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1</v>
      </c>
      <c r="AZ689" t="s">
        <v>257</v>
      </c>
      <c r="BA689" t="s">
        <v>980</v>
      </c>
      <c r="BB689" t="s">
        <v>1010</v>
      </c>
      <c r="BC689" t="s">
        <v>257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 t="s">
        <v>998</v>
      </c>
      <c r="BK689" t="s">
        <v>981</v>
      </c>
      <c r="BL689" t="s">
        <v>5206</v>
      </c>
      <c r="BM689">
        <v>20210429</v>
      </c>
      <c r="BN689">
        <v>20230411</v>
      </c>
      <c r="BO689">
        <v>20210630</v>
      </c>
      <c r="BP689" t="s">
        <v>257</v>
      </c>
      <c r="BQ689" t="s">
        <v>983</v>
      </c>
      <c r="BR689" t="s">
        <v>978</v>
      </c>
      <c r="BS689">
        <v>3249527473</v>
      </c>
      <c r="BT689">
        <v>0</v>
      </c>
      <c r="BU689">
        <v>0</v>
      </c>
      <c r="BV689" t="s">
        <v>984</v>
      </c>
      <c r="BW689" t="s">
        <v>257</v>
      </c>
      <c r="BX689">
        <v>0</v>
      </c>
      <c r="BY689" t="s">
        <v>980</v>
      </c>
      <c r="BZ689" t="s">
        <v>257</v>
      </c>
      <c r="CA689">
        <v>0</v>
      </c>
      <c r="CB689">
        <v>0</v>
      </c>
      <c r="CC689" t="s">
        <v>985</v>
      </c>
      <c r="CD689">
        <v>0</v>
      </c>
      <c r="CE689">
        <v>0</v>
      </c>
      <c r="CF689">
        <v>0</v>
      </c>
      <c r="CG689">
        <v>0</v>
      </c>
      <c r="CH689">
        <v>0</v>
      </c>
      <c r="CI689" t="s">
        <v>983</v>
      </c>
      <c r="CJ689" t="s">
        <v>972</v>
      </c>
      <c r="CK689" t="s">
        <v>986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 t="s">
        <v>987</v>
      </c>
      <c r="CV689">
        <v>400008693</v>
      </c>
      <c r="CW689" t="s">
        <v>987</v>
      </c>
      <c r="CX689" t="s">
        <v>5209</v>
      </c>
      <c r="CY689" t="s">
        <v>989</v>
      </c>
    </row>
    <row r="690" spans="1:103" hidden="1" x14ac:dyDescent="0.25">
      <c r="A690">
        <v>410000694</v>
      </c>
      <c r="B690" t="s">
        <v>5210</v>
      </c>
      <c r="C690" t="s">
        <v>5211</v>
      </c>
      <c r="D690">
        <v>401100000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1</v>
      </c>
      <c r="Y690" t="s">
        <v>972</v>
      </c>
      <c r="Z690" t="s">
        <v>5212</v>
      </c>
      <c r="AA690" t="s">
        <v>5213</v>
      </c>
      <c r="AB690" t="s">
        <v>975</v>
      </c>
      <c r="AC690">
        <v>5310</v>
      </c>
      <c r="AD690" t="s">
        <v>5214</v>
      </c>
      <c r="AE690" t="s">
        <v>979</v>
      </c>
      <c r="AF690" t="s">
        <v>979</v>
      </c>
      <c r="AG690" t="s">
        <v>977</v>
      </c>
      <c r="AH690" t="s">
        <v>977</v>
      </c>
      <c r="AI690">
        <v>64200</v>
      </c>
      <c r="AJ690" t="s">
        <v>978</v>
      </c>
      <c r="AK690" t="s">
        <v>978</v>
      </c>
      <c r="AL690" t="s">
        <v>978</v>
      </c>
      <c r="AM690" t="s">
        <v>979</v>
      </c>
      <c r="AN690">
        <v>0</v>
      </c>
      <c r="AO690" t="s">
        <v>257</v>
      </c>
      <c r="AP690">
        <v>0</v>
      </c>
      <c r="AQ690">
        <v>1</v>
      </c>
      <c r="AR690">
        <v>43</v>
      </c>
      <c r="AS690">
        <v>1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1</v>
      </c>
      <c r="AZ690" t="s">
        <v>257</v>
      </c>
      <c r="BA690" t="s">
        <v>980</v>
      </c>
      <c r="BB690" t="s">
        <v>981</v>
      </c>
      <c r="BC690" t="s">
        <v>257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 t="s">
        <v>998</v>
      </c>
      <c r="BK690" t="s">
        <v>981</v>
      </c>
      <c r="BL690" t="s">
        <v>5210</v>
      </c>
      <c r="BM690">
        <v>20210510</v>
      </c>
      <c r="BN690">
        <v>20210510</v>
      </c>
      <c r="BO690">
        <v>0</v>
      </c>
      <c r="BP690" t="s">
        <v>257</v>
      </c>
      <c r="BQ690" t="s">
        <v>983</v>
      </c>
      <c r="BR690" t="s">
        <v>978</v>
      </c>
      <c r="BS690">
        <v>32479953844</v>
      </c>
      <c r="BT690">
        <v>0</v>
      </c>
      <c r="BU690">
        <v>0</v>
      </c>
      <c r="BV690" t="s">
        <v>984</v>
      </c>
      <c r="BW690" t="s">
        <v>257</v>
      </c>
      <c r="BX690">
        <v>0</v>
      </c>
      <c r="BY690" t="s">
        <v>980</v>
      </c>
      <c r="BZ690" t="s">
        <v>257</v>
      </c>
      <c r="CA690">
        <v>0</v>
      </c>
      <c r="CB690">
        <v>0</v>
      </c>
      <c r="CC690" t="s">
        <v>5215</v>
      </c>
      <c r="CD690">
        <v>0</v>
      </c>
      <c r="CE690">
        <v>0</v>
      </c>
      <c r="CF690">
        <v>0</v>
      </c>
      <c r="CG690">
        <v>0</v>
      </c>
      <c r="CH690">
        <v>0</v>
      </c>
      <c r="CI690" t="s">
        <v>983</v>
      </c>
      <c r="CJ690" t="s">
        <v>972</v>
      </c>
      <c r="CK690" t="s">
        <v>986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 t="s">
        <v>987</v>
      </c>
      <c r="CV690">
        <v>400008694</v>
      </c>
      <c r="CW690" t="s">
        <v>987</v>
      </c>
      <c r="CX690" t="s">
        <v>5216</v>
      </c>
      <c r="CY690" t="s">
        <v>989</v>
      </c>
    </row>
    <row r="691" spans="1:103" hidden="1" x14ac:dyDescent="0.25">
      <c r="A691">
        <v>410000695</v>
      </c>
      <c r="B691" t="s">
        <v>5217</v>
      </c>
      <c r="C691" t="s">
        <v>5218</v>
      </c>
      <c r="D691">
        <v>401100000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1</v>
      </c>
      <c r="Y691" t="s">
        <v>972</v>
      </c>
      <c r="Z691" t="s">
        <v>5219</v>
      </c>
      <c r="AA691" t="s">
        <v>5220</v>
      </c>
      <c r="AB691" t="s">
        <v>975</v>
      </c>
      <c r="AC691">
        <v>4834</v>
      </c>
      <c r="AD691" t="s">
        <v>2108</v>
      </c>
      <c r="AE691">
        <v>3287300308</v>
      </c>
      <c r="AF691" t="s">
        <v>979</v>
      </c>
      <c r="AG691" t="s">
        <v>977</v>
      </c>
      <c r="AH691" t="s">
        <v>977</v>
      </c>
      <c r="AI691">
        <v>16230</v>
      </c>
      <c r="AJ691" t="s">
        <v>978</v>
      </c>
      <c r="AK691" t="s">
        <v>978</v>
      </c>
      <c r="AL691" t="s">
        <v>978</v>
      </c>
      <c r="AM691" t="s">
        <v>979</v>
      </c>
      <c r="AN691">
        <v>0</v>
      </c>
      <c r="AO691" t="s">
        <v>257</v>
      </c>
      <c r="AP691">
        <v>0</v>
      </c>
      <c r="AQ691">
        <v>1</v>
      </c>
      <c r="AR691">
        <v>43</v>
      </c>
      <c r="AS691">
        <v>1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1</v>
      </c>
      <c r="AZ691" t="s">
        <v>257</v>
      </c>
      <c r="BA691" t="s">
        <v>980</v>
      </c>
      <c r="BB691" t="s">
        <v>981</v>
      </c>
      <c r="BC691" t="s">
        <v>257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 t="s">
        <v>998</v>
      </c>
      <c r="BK691" t="s">
        <v>981</v>
      </c>
      <c r="BL691" t="s">
        <v>5217</v>
      </c>
      <c r="BM691">
        <v>20210510</v>
      </c>
      <c r="BN691">
        <v>20210511</v>
      </c>
      <c r="BO691">
        <v>0</v>
      </c>
      <c r="BP691" t="s">
        <v>257</v>
      </c>
      <c r="BQ691" t="s">
        <v>983</v>
      </c>
      <c r="BR691" t="s">
        <v>978</v>
      </c>
      <c r="BS691">
        <v>32494850101</v>
      </c>
      <c r="BT691">
        <v>0</v>
      </c>
      <c r="BU691">
        <v>0</v>
      </c>
      <c r="BV691" t="s">
        <v>984</v>
      </c>
      <c r="BW691" t="s">
        <v>257</v>
      </c>
      <c r="BX691">
        <v>0</v>
      </c>
      <c r="BY691" t="s">
        <v>980</v>
      </c>
      <c r="BZ691" t="s">
        <v>257</v>
      </c>
      <c r="CA691">
        <v>0</v>
      </c>
      <c r="CB691">
        <v>0</v>
      </c>
      <c r="CC691" t="s">
        <v>2356</v>
      </c>
      <c r="CD691">
        <v>0</v>
      </c>
      <c r="CE691">
        <v>0</v>
      </c>
      <c r="CF691">
        <v>0</v>
      </c>
      <c r="CG691">
        <v>0</v>
      </c>
      <c r="CH691">
        <v>0</v>
      </c>
      <c r="CI691" t="s">
        <v>983</v>
      </c>
      <c r="CJ691" t="s">
        <v>972</v>
      </c>
      <c r="CK691" t="s">
        <v>986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 t="s">
        <v>987</v>
      </c>
      <c r="CV691">
        <v>400008695</v>
      </c>
      <c r="CW691" t="s">
        <v>987</v>
      </c>
      <c r="CX691" t="s">
        <v>5221</v>
      </c>
      <c r="CY691" t="s">
        <v>989</v>
      </c>
    </row>
    <row r="692" spans="1:103" hidden="1" x14ac:dyDescent="0.25">
      <c r="A692">
        <v>410000696</v>
      </c>
      <c r="B692" t="s">
        <v>5222</v>
      </c>
      <c r="C692" t="s">
        <v>5223</v>
      </c>
      <c r="D692">
        <v>401100000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</v>
      </c>
      <c r="X692">
        <v>1</v>
      </c>
      <c r="Y692" t="s">
        <v>972</v>
      </c>
      <c r="Z692" t="s">
        <v>987</v>
      </c>
      <c r="AA692" t="s">
        <v>5224</v>
      </c>
      <c r="AB692" t="s">
        <v>975</v>
      </c>
      <c r="AC692">
        <v>5100</v>
      </c>
      <c r="AD692" t="s">
        <v>2417</v>
      </c>
      <c r="AE692">
        <v>3281322222</v>
      </c>
      <c r="AF692" t="s">
        <v>979</v>
      </c>
      <c r="AG692" t="s">
        <v>977</v>
      </c>
      <c r="AH692" t="s">
        <v>977</v>
      </c>
      <c r="AI692">
        <v>69201</v>
      </c>
      <c r="AJ692" t="s">
        <v>978</v>
      </c>
      <c r="AK692" t="s">
        <v>978</v>
      </c>
      <c r="AL692" t="s">
        <v>978</v>
      </c>
      <c r="AM692" t="s">
        <v>979</v>
      </c>
      <c r="AN692">
        <v>0</v>
      </c>
      <c r="AO692" t="s">
        <v>257</v>
      </c>
      <c r="AP692">
        <v>0</v>
      </c>
      <c r="AQ692">
        <v>1</v>
      </c>
      <c r="AR692">
        <v>43</v>
      </c>
      <c r="AS692">
        <v>1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1</v>
      </c>
      <c r="AZ692" t="s">
        <v>257</v>
      </c>
      <c r="BA692" t="s">
        <v>980</v>
      </c>
      <c r="BB692" t="s">
        <v>981</v>
      </c>
      <c r="BC692" t="s">
        <v>257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 t="s">
        <v>998</v>
      </c>
      <c r="BK692" t="s">
        <v>981</v>
      </c>
      <c r="BL692" t="s">
        <v>5222</v>
      </c>
      <c r="BM692">
        <v>20210528</v>
      </c>
      <c r="BN692">
        <v>20240212</v>
      </c>
      <c r="BO692">
        <v>0</v>
      </c>
      <c r="BP692" t="s">
        <v>257</v>
      </c>
      <c r="BQ692" t="s">
        <v>983</v>
      </c>
      <c r="BR692" t="s">
        <v>978</v>
      </c>
      <c r="BS692" t="s">
        <v>979</v>
      </c>
      <c r="BT692">
        <v>0</v>
      </c>
      <c r="BU692">
        <v>0</v>
      </c>
      <c r="BV692" t="s">
        <v>984</v>
      </c>
      <c r="BW692" t="s">
        <v>257</v>
      </c>
      <c r="BX692">
        <v>0</v>
      </c>
      <c r="BY692" t="s">
        <v>980</v>
      </c>
      <c r="BZ692" t="s">
        <v>257</v>
      </c>
      <c r="CA692">
        <v>0</v>
      </c>
      <c r="CB692">
        <v>0</v>
      </c>
      <c r="CC692" t="s">
        <v>1033</v>
      </c>
      <c r="CD692">
        <v>0</v>
      </c>
      <c r="CE692">
        <v>0</v>
      </c>
      <c r="CF692">
        <v>0</v>
      </c>
      <c r="CG692">
        <v>0</v>
      </c>
      <c r="CH692">
        <v>0</v>
      </c>
      <c r="CI692" t="s">
        <v>983</v>
      </c>
      <c r="CJ692" t="s">
        <v>972</v>
      </c>
      <c r="CK692" t="s">
        <v>986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 t="s">
        <v>987</v>
      </c>
      <c r="CV692">
        <v>400008696</v>
      </c>
      <c r="CW692" t="s">
        <v>987</v>
      </c>
      <c r="CX692" t="s">
        <v>5225</v>
      </c>
      <c r="CY692" t="s">
        <v>989</v>
      </c>
    </row>
    <row r="693" spans="1:103" hidden="1" x14ac:dyDescent="0.25">
      <c r="A693">
        <v>410000697</v>
      </c>
      <c r="B693" t="s">
        <v>5226</v>
      </c>
      <c r="C693" t="s">
        <v>5227</v>
      </c>
      <c r="D693">
        <v>401100000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1</v>
      </c>
      <c r="Y693" t="s">
        <v>972</v>
      </c>
      <c r="Z693" t="s">
        <v>4834</v>
      </c>
      <c r="AA693" t="s">
        <v>5228</v>
      </c>
      <c r="AB693" t="s">
        <v>975</v>
      </c>
      <c r="AC693">
        <v>4621</v>
      </c>
      <c r="AD693" t="s">
        <v>1368</v>
      </c>
      <c r="AE693" t="s">
        <v>979</v>
      </c>
      <c r="AF693" t="s">
        <v>979</v>
      </c>
      <c r="AG693" t="s">
        <v>977</v>
      </c>
      <c r="AH693" t="s">
        <v>977</v>
      </c>
      <c r="AI693">
        <v>86901</v>
      </c>
      <c r="AJ693" t="s">
        <v>978</v>
      </c>
      <c r="AK693" t="s">
        <v>978</v>
      </c>
      <c r="AL693" t="s">
        <v>978</v>
      </c>
      <c r="AM693" t="s">
        <v>979</v>
      </c>
      <c r="AN693">
        <v>0</v>
      </c>
      <c r="AO693" t="s">
        <v>257</v>
      </c>
      <c r="AP693">
        <v>0</v>
      </c>
      <c r="AQ693">
        <v>1</v>
      </c>
      <c r="AR693">
        <v>43</v>
      </c>
      <c r="AS693">
        <v>1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1</v>
      </c>
      <c r="AZ693" t="s">
        <v>257</v>
      </c>
      <c r="BA693" t="s">
        <v>980</v>
      </c>
      <c r="BB693" t="s">
        <v>981</v>
      </c>
      <c r="BC693" t="s">
        <v>257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 t="s">
        <v>998</v>
      </c>
      <c r="BK693" t="s">
        <v>981</v>
      </c>
      <c r="BL693" t="s">
        <v>5226</v>
      </c>
      <c r="BM693">
        <v>20210603</v>
      </c>
      <c r="BN693">
        <v>20210614</v>
      </c>
      <c r="BO693">
        <v>0</v>
      </c>
      <c r="BP693" t="s">
        <v>257</v>
      </c>
      <c r="BQ693" t="s">
        <v>983</v>
      </c>
      <c r="BR693" t="s">
        <v>978</v>
      </c>
      <c r="BS693">
        <v>32495283215</v>
      </c>
      <c r="BT693">
        <v>0</v>
      </c>
      <c r="BU693">
        <v>0</v>
      </c>
      <c r="BV693" t="s">
        <v>984</v>
      </c>
      <c r="BW693" t="s">
        <v>257</v>
      </c>
      <c r="BX693">
        <v>0</v>
      </c>
      <c r="BY693" t="s">
        <v>980</v>
      </c>
      <c r="BZ693" t="s">
        <v>257</v>
      </c>
      <c r="CA693">
        <v>0</v>
      </c>
      <c r="CB693">
        <v>0</v>
      </c>
      <c r="CC693" t="s">
        <v>1317</v>
      </c>
      <c r="CD693">
        <v>0</v>
      </c>
      <c r="CE693">
        <v>0</v>
      </c>
      <c r="CF693">
        <v>0</v>
      </c>
      <c r="CG693">
        <v>0</v>
      </c>
      <c r="CH693">
        <v>0</v>
      </c>
      <c r="CI693" t="s">
        <v>983</v>
      </c>
      <c r="CJ693" t="s">
        <v>972</v>
      </c>
      <c r="CK693" t="s">
        <v>986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 t="s">
        <v>987</v>
      </c>
      <c r="CV693">
        <v>400008697</v>
      </c>
      <c r="CW693" t="s">
        <v>987</v>
      </c>
      <c r="CX693" t="s">
        <v>5229</v>
      </c>
      <c r="CY693" t="s">
        <v>989</v>
      </c>
    </row>
    <row r="694" spans="1:103" hidden="1" x14ac:dyDescent="0.25">
      <c r="A694">
        <v>410000698</v>
      </c>
      <c r="B694" t="s">
        <v>5230</v>
      </c>
      <c r="C694" t="s">
        <v>5231</v>
      </c>
      <c r="D694">
        <v>401100000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1</v>
      </c>
      <c r="X694">
        <v>1</v>
      </c>
      <c r="Y694" t="s">
        <v>972</v>
      </c>
      <c r="Z694" t="s">
        <v>987</v>
      </c>
      <c r="AA694" t="s">
        <v>5232</v>
      </c>
      <c r="AB694" t="s">
        <v>975</v>
      </c>
      <c r="AC694">
        <v>4100</v>
      </c>
      <c r="AD694" t="s">
        <v>1655</v>
      </c>
      <c r="AE694" t="s">
        <v>979</v>
      </c>
      <c r="AF694" t="s">
        <v>979</v>
      </c>
      <c r="AG694" t="s">
        <v>977</v>
      </c>
      <c r="AH694" t="s">
        <v>977</v>
      </c>
      <c r="AI694">
        <v>25501</v>
      </c>
      <c r="AJ694" t="s">
        <v>978</v>
      </c>
      <c r="AK694" t="s">
        <v>978</v>
      </c>
      <c r="AL694" t="s">
        <v>978</v>
      </c>
      <c r="AM694" t="s">
        <v>979</v>
      </c>
      <c r="AN694">
        <v>0</v>
      </c>
      <c r="AO694" t="s">
        <v>257</v>
      </c>
      <c r="AP694">
        <v>0</v>
      </c>
      <c r="AQ694">
        <v>1</v>
      </c>
      <c r="AR694">
        <v>43</v>
      </c>
      <c r="AS694">
        <v>1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1</v>
      </c>
      <c r="AZ694" t="s">
        <v>257</v>
      </c>
      <c r="BA694" t="s">
        <v>980</v>
      </c>
      <c r="BB694" t="s">
        <v>981</v>
      </c>
      <c r="BC694" t="s">
        <v>257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 t="s">
        <v>998</v>
      </c>
      <c r="BK694" t="s">
        <v>981</v>
      </c>
      <c r="BL694" t="s">
        <v>5230</v>
      </c>
      <c r="BM694">
        <v>20210624</v>
      </c>
      <c r="BN694">
        <v>20210625</v>
      </c>
      <c r="BO694">
        <v>0</v>
      </c>
      <c r="BP694" t="s">
        <v>257</v>
      </c>
      <c r="BQ694" t="s">
        <v>983</v>
      </c>
      <c r="BR694" t="s">
        <v>978</v>
      </c>
      <c r="BS694">
        <v>32472391864</v>
      </c>
      <c r="BT694">
        <v>0</v>
      </c>
      <c r="BU694">
        <v>0</v>
      </c>
      <c r="BV694" t="s">
        <v>984</v>
      </c>
      <c r="BW694" t="s">
        <v>257</v>
      </c>
      <c r="BX694">
        <v>0</v>
      </c>
      <c r="BY694" t="s">
        <v>980</v>
      </c>
      <c r="BZ694" t="s">
        <v>257</v>
      </c>
      <c r="CA694">
        <v>0</v>
      </c>
      <c r="CB694">
        <v>0</v>
      </c>
      <c r="CC694" t="s">
        <v>1391</v>
      </c>
      <c r="CD694">
        <v>0</v>
      </c>
      <c r="CE694">
        <v>0</v>
      </c>
      <c r="CF694">
        <v>0</v>
      </c>
      <c r="CG694">
        <v>0</v>
      </c>
      <c r="CH694">
        <v>0</v>
      </c>
      <c r="CI694" t="s">
        <v>983</v>
      </c>
      <c r="CJ694" t="s">
        <v>972</v>
      </c>
      <c r="CK694" t="s">
        <v>986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 t="s">
        <v>987</v>
      </c>
      <c r="CV694">
        <v>400008698</v>
      </c>
      <c r="CW694" t="s">
        <v>987</v>
      </c>
      <c r="CX694" t="s">
        <v>5233</v>
      </c>
      <c r="CY694" t="s">
        <v>989</v>
      </c>
    </row>
    <row r="695" spans="1:103" hidden="1" x14ac:dyDescent="0.25">
      <c r="A695">
        <v>410000699</v>
      </c>
      <c r="B695" t="s">
        <v>5234</v>
      </c>
      <c r="C695" t="s">
        <v>5235</v>
      </c>
      <c r="D695">
        <v>401100000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</v>
      </c>
      <c r="X695">
        <v>1</v>
      </c>
      <c r="Y695" t="s">
        <v>972</v>
      </c>
      <c r="Z695" t="s">
        <v>987</v>
      </c>
      <c r="AA695" t="s">
        <v>5236</v>
      </c>
      <c r="AB695" t="s">
        <v>975</v>
      </c>
      <c r="AC695">
        <v>4367</v>
      </c>
      <c r="AD695" t="s">
        <v>5006</v>
      </c>
      <c r="AE695">
        <v>3242574541</v>
      </c>
      <c r="AF695" t="s">
        <v>979</v>
      </c>
      <c r="AG695" t="s">
        <v>977</v>
      </c>
      <c r="AH695" t="s">
        <v>977</v>
      </c>
      <c r="AI695" t="s">
        <v>977</v>
      </c>
      <c r="AJ695" t="s">
        <v>978</v>
      </c>
      <c r="AK695" t="s">
        <v>978</v>
      </c>
      <c r="AL695" t="s">
        <v>978</v>
      </c>
      <c r="AM695" t="s">
        <v>979</v>
      </c>
      <c r="AN695">
        <v>0</v>
      </c>
      <c r="AO695" t="s">
        <v>257</v>
      </c>
      <c r="AP695">
        <v>0</v>
      </c>
      <c r="AQ695">
        <v>1</v>
      </c>
      <c r="AR695">
        <v>43</v>
      </c>
      <c r="AS695">
        <v>1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1</v>
      </c>
      <c r="AZ695" t="s">
        <v>257</v>
      </c>
      <c r="BA695" t="s">
        <v>980</v>
      </c>
      <c r="BB695" t="s">
        <v>1010</v>
      </c>
      <c r="BC695" t="s">
        <v>257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 t="s">
        <v>998</v>
      </c>
      <c r="BK695" t="s">
        <v>981</v>
      </c>
      <c r="BL695" t="s">
        <v>5234</v>
      </c>
      <c r="BM695">
        <v>20210628</v>
      </c>
      <c r="BN695">
        <v>20231002</v>
      </c>
      <c r="BO695">
        <v>20231002</v>
      </c>
      <c r="BP695" t="s">
        <v>257</v>
      </c>
      <c r="BQ695" t="s">
        <v>983</v>
      </c>
      <c r="BR695" t="s">
        <v>978</v>
      </c>
      <c r="BS695">
        <v>32478455198</v>
      </c>
      <c r="BT695">
        <v>0</v>
      </c>
      <c r="BU695">
        <v>0</v>
      </c>
      <c r="BV695" t="s">
        <v>984</v>
      </c>
      <c r="BW695" t="s">
        <v>257</v>
      </c>
      <c r="BX695">
        <v>0</v>
      </c>
      <c r="BY695" t="s">
        <v>980</v>
      </c>
      <c r="BZ695" t="s">
        <v>257</v>
      </c>
      <c r="CA695">
        <v>0</v>
      </c>
      <c r="CB695">
        <v>0</v>
      </c>
      <c r="CC695" t="s">
        <v>1469</v>
      </c>
      <c r="CD695">
        <v>0</v>
      </c>
      <c r="CE695">
        <v>0</v>
      </c>
      <c r="CF695">
        <v>0</v>
      </c>
      <c r="CG695">
        <v>0</v>
      </c>
      <c r="CH695">
        <v>0</v>
      </c>
      <c r="CI695" t="s">
        <v>983</v>
      </c>
      <c r="CJ695" t="s">
        <v>972</v>
      </c>
      <c r="CK695" t="s">
        <v>986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 t="s">
        <v>987</v>
      </c>
      <c r="CV695">
        <v>400008699</v>
      </c>
      <c r="CW695" t="s">
        <v>987</v>
      </c>
      <c r="CX695" t="s">
        <v>5237</v>
      </c>
      <c r="CY695" t="s">
        <v>989</v>
      </c>
    </row>
    <row r="696" spans="1:103" hidden="1" x14ac:dyDescent="0.25">
      <c r="A696">
        <v>410000700</v>
      </c>
      <c r="B696" t="s">
        <v>5238</v>
      </c>
      <c r="C696" t="s">
        <v>5239</v>
      </c>
      <c r="D696">
        <v>401100000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1</v>
      </c>
      <c r="Y696" t="s">
        <v>972</v>
      </c>
      <c r="Z696" t="s">
        <v>5240</v>
      </c>
      <c r="AA696" t="s">
        <v>5241</v>
      </c>
      <c r="AB696" t="s">
        <v>975</v>
      </c>
      <c r="AC696">
        <v>4000</v>
      </c>
      <c r="AD696" t="s">
        <v>1019</v>
      </c>
      <c r="AE696">
        <v>3242792505</v>
      </c>
      <c r="AF696">
        <v>3242795900</v>
      </c>
      <c r="AG696" t="s">
        <v>5242</v>
      </c>
      <c r="AH696" t="s">
        <v>977</v>
      </c>
      <c r="AI696" t="s">
        <v>977</v>
      </c>
      <c r="AJ696" t="s">
        <v>978</v>
      </c>
      <c r="AK696" t="s">
        <v>978</v>
      </c>
      <c r="AL696" t="s">
        <v>978</v>
      </c>
      <c r="AM696" t="s">
        <v>979</v>
      </c>
      <c r="AN696">
        <v>0</v>
      </c>
      <c r="AO696" t="s">
        <v>257</v>
      </c>
      <c r="AP696">
        <v>0</v>
      </c>
      <c r="AQ696">
        <v>1</v>
      </c>
      <c r="AR696">
        <v>11</v>
      </c>
      <c r="AS696">
        <v>1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1</v>
      </c>
      <c r="AZ696" t="s">
        <v>257</v>
      </c>
      <c r="BA696" t="s">
        <v>980</v>
      </c>
      <c r="BB696" t="s">
        <v>981</v>
      </c>
      <c r="BC696" t="s">
        <v>257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 t="s">
        <v>998</v>
      </c>
      <c r="BK696" t="s">
        <v>981</v>
      </c>
      <c r="BL696" t="s">
        <v>5238</v>
      </c>
      <c r="BM696">
        <v>20210707</v>
      </c>
      <c r="BN696">
        <v>20250512</v>
      </c>
      <c r="BO696">
        <v>0</v>
      </c>
      <c r="BP696" t="s">
        <v>257</v>
      </c>
      <c r="BQ696" t="s">
        <v>983</v>
      </c>
      <c r="BR696" t="s">
        <v>978</v>
      </c>
      <c r="BS696">
        <v>32479279192</v>
      </c>
      <c r="BT696">
        <v>0</v>
      </c>
      <c r="BU696">
        <v>0</v>
      </c>
      <c r="BV696" t="s">
        <v>984</v>
      </c>
      <c r="BW696" t="s">
        <v>257</v>
      </c>
      <c r="BX696">
        <v>0</v>
      </c>
      <c r="BY696" t="s">
        <v>980</v>
      </c>
      <c r="BZ696" t="s">
        <v>257</v>
      </c>
      <c r="CA696">
        <v>0</v>
      </c>
      <c r="CB696">
        <v>0</v>
      </c>
      <c r="CC696" t="s">
        <v>1220</v>
      </c>
      <c r="CD696">
        <v>0</v>
      </c>
      <c r="CE696">
        <v>0</v>
      </c>
      <c r="CF696">
        <v>0</v>
      </c>
      <c r="CG696">
        <v>0</v>
      </c>
      <c r="CH696">
        <v>0</v>
      </c>
      <c r="CI696" t="s">
        <v>983</v>
      </c>
      <c r="CJ696" t="s">
        <v>972</v>
      </c>
      <c r="CK696" t="s">
        <v>986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 t="s">
        <v>987</v>
      </c>
      <c r="CV696">
        <v>400008700</v>
      </c>
      <c r="CW696" t="s">
        <v>987</v>
      </c>
      <c r="CX696" t="s">
        <v>5243</v>
      </c>
      <c r="CY696" t="s">
        <v>989</v>
      </c>
    </row>
    <row r="697" spans="1:103" hidden="1" x14ac:dyDescent="0.25">
      <c r="A697">
        <v>410000701</v>
      </c>
      <c r="B697" t="s">
        <v>5244</v>
      </c>
      <c r="C697" t="s">
        <v>5245</v>
      </c>
      <c r="D697">
        <v>401100000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1</v>
      </c>
      <c r="Y697" t="s">
        <v>972</v>
      </c>
      <c r="Z697" t="s">
        <v>5246</v>
      </c>
      <c r="AA697" t="s">
        <v>5247</v>
      </c>
      <c r="AB697" t="s">
        <v>975</v>
      </c>
      <c r="AC697">
        <v>1050</v>
      </c>
      <c r="AD697" t="s">
        <v>2200</v>
      </c>
      <c r="AE697" t="s">
        <v>5248</v>
      </c>
      <c r="AF697" t="s">
        <v>979</v>
      </c>
      <c r="AG697" t="s">
        <v>977</v>
      </c>
      <c r="AH697" t="s">
        <v>977</v>
      </c>
      <c r="AI697">
        <v>95110</v>
      </c>
      <c r="AJ697" t="s">
        <v>5249</v>
      </c>
      <c r="AK697" t="s">
        <v>978</v>
      </c>
      <c r="AL697" t="s">
        <v>978</v>
      </c>
      <c r="AM697" t="s">
        <v>979</v>
      </c>
      <c r="AN697">
        <v>0</v>
      </c>
      <c r="AO697" t="s">
        <v>257</v>
      </c>
      <c r="AP697">
        <v>0</v>
      </c>
      <c r="AQ697">
        <v>18</v>
      </c>
      <c r="AR697">
        <v>69</v>
      </c>
      <c r="AS697">
        <v>1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1</v>
      </c>
      <c r="AZ697" t="s">
        <v>257</v>
      </c>
      <c r="BA697" t="s">
        <v>980</v>
      </c>
      <c r="BB697" t="s">
        <v>981</v>
      </c>
      <c r="BC697" t="s">
        <v>257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 t="s">
        <v>998</v>
      </c>
      <c r="BK697" t="s">
        <v>981</v>
      </c>
      <c r="BL697" t="s">
        <v>5244</v>
      </c>
      <c r="BM697">
        <v>20210714</v>
      </c>
      <c r="BN697">
        <v>20240910</v>
      </c>
      <c r="BO697">
        <v>0</v>
      </c>
      <c r="BP697" t="s">
        <v>257</v>
      </c>
      <c r="BQ697" t="s">
        <v>983</v>
      </c>
      <c r="BR697" t="s">
        <v>978</v>
      </c>
      <c r="BS697" t="s">
        <v>979</v>
      </c>
      <c r="BT697">
        <v>0</v>
      </c>
      <c r="BU697">
        <v>0</v>
      </c>
      <c r="BV697" t="s">
        <v>984</v>
      </c>
      <c r="BW697" t="s">
        <v>257</v>
      </c>
      <c r="BX697">
        <v>0</v>
      </c>
      <c r="BY697" t="s">
        <v>980</v>
      </c>
      <c r="BZ697" t="s">
        <v>257</v>
      </c>
      <c r="CA697">
        <v>0</v>
      </c>
      <c r="CB697">
        <v>0</v>
      </c>
      <c r="CC697" t="s">
        <v>1901</v>
      </c>
      <c r="CD697">
        <v>0</v>
      </c>
      <c r="CE697">
        <v>0</v>
      </c>
      <c r="CF697">
        <v>0</v>
      </c>
      <c r="CG697">
        <v>0</v>
      </c>
      <c r="CH697">
        <v>0</v>
      </c>
      <c r="CI697" t="s">
        <v>983</v>
      </c>
      <c r="CJ697" t="s">
        <v>972</v>
      </c>
      <c r="CK697" t="s">
        <v>986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 t="s">
        <v>987</v>
      </c>
      <c r="CV697">
        <v>400008701</v>
      </c>
      <c r="CW697" t="s">
        <v>987</v>
      </c>
      <c r="CX697" t="s">
        <v>5250</v>
      </c>
      <c r="CY697" t="s">
        <v>989</v>
      </c>
    </row>
    <row r="698" spans="1:103" hidden="1" x14ac:dyDescent="0.25">
      <c r="A698">
        <v>410000702</v>
      </c>
      <c r="B698" t="s">
        <v>5251</v>
      </c>
      <c r="C698" t="s">
        <v>5252</v>
      </c>
      <c r="D698">
        <v>401100000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1</v>
      </c>
      <c r="X698">
        <v>1</v>
      </c>
      <c r="Y698" t="s">
        <v>972</v>
      </c>
      <c r="Z698" t="s">
        <v>987</v>
      </c>
      <c r="AA698" t="s">
        <v>5253</v>
      </c>
      <c r="AB698" t="s">
        <v>975</v>
      </c>
      <c r="AC698">
        <v>4500</v>
      </c>
      <c r="AD698" t="s">
        <v>1445</v>
      </c>
      <c r="AE698" t="s">
        <v>979</v>
      </c>
      <c r="AF698" t="s">
        <v>979</v>
      </c>
      <c r="AG698" t="s">
        <v>977</v>
      </c>
      <c r="AH698" t="s">
        <v>977</v>
      </c>
      <c r="AI698" t="s">
        <v>977</v>
      </c>
      <c r="AJ698" t="s">
        <v>978</v>
      </c>
      <c r="AK698" t="s">
        <v>978</v>
      </c>
      <c r="AL698" t="s">
        <v>978</v>
      </c>
      <c r="AM698" t="s">
        <v>979</v>
      </c>
      <c r="AN698">
        <v>0</v>
      </c>
      <c r="AO698" t="s">
        <v>257</v>
      </c>
      <c r="AP698">
        <v>0</v>
      </c>
      <c r="AQ698">
        <v>1</v>
      </c>
      <c r="AR698">
        <v>43</v>
      </c>
      <c r="AS698">
        <v>1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1</v>
      </c>
      <c r="AZ698" t="s">
        <v>257</v>
      </c>
      <c r="BA698" t="s">
        <v>980</v>
      </c>
      <c r="BB698" t="s">
        <v>981</v>
      </c>
      <c r="BC698" t="s">
        <v>257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 t="s">
        <v>998</v>
      </c>
      <c r="BK698" t="s">
        <v>981</v>
      </c>
      <c r="BL698" t="s">
        <v>5251</v>
      </c>
      <c r="BM698">
        <v>20210726</v>
      </c>
      <c r="BN698">
        <v>0</v>
      </c>
      <c r="BO698">
        <v>0</v>
      </c>
      <c r="BP698" t="s">
        <v>257</v>
      </c>
      <c r="BQ698" t="s">
        <v>983</v>
      </c>
      <c r="BR698" t="s">
        <v>978</v>
      </c>
      <c r="BS698">
        <v>32497421531</v>
      </c>
      <c r="BT698">
        <v>0</v>
      </c>
      <c r="BU698">
        <v>0</v>
      </c>
      <c r="BV698" t="s">
        <v>984</v>
      </c>
      <c r="BW698" t="s">
        <v>257</v>
      </c>
      <c r="BX698">
        <v>0</v>
      </c>
      <c r="BY698" t="s">
        <v>980</v>
      </c>
      <c r="BZ698" t="s">
        <v>257</v>
      </c>
      <c r="CA698">
        <v>0</v>
      </c>
      <c r="CB698">
        <v>0</v>
      </c>
      <c r="CC698" t="s">
        <v>1070</v>
      </c>
      <c r="CD698">
        <v>0</v>
      </c>
      <c r="CE698">
        <v>0</v>
      </c>
      <c r="CF698">
        <v>0</v>
      </c>
      <c r="CG698">
        <v>0</v>
      </c>
      <c r="CH698">
        <v>0</v>
      </c>
      <c r="CI698" t="s">
        <v>983</v>
      </c>
      <c r="CJ698" t="s">
        <v>972</v>
      </c>
      <c r="CK698" t="s">
        <v>986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 t="s">
        <v>987</v>
      </c>
      <c r="CV698">
        <v>400008702</v>
      </c>
      <c r="CW698" t="s">
        <v>987</v>
      </c>
      <c r="CX698" t="s">
        <v>5254</v>
      </c>
      <c r="CY698" t="s">
        <v>989</v>
      </c>
    </row>
    <row r="699" spans="1:103" hidden="1" x14ac:dyDescent="0.25">
      <c r="A699">
        <v>410000703</v>
      </c>
      <c r="B699" t="s">
        <v>5255</v>
      </c>
      <c r="C699" t="s">
        <v>978</v>
      </c>
      <c r="D699">
        <v>401100000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</v>
      </c>
      <c r="W699">
        <v>1</v>
      </c>
      <c r="X699">
        <v>1</v>
      </c>
      <c r="Y699" t="s">
        <v>972</v>
      </c>
      <c r="Z699" t="s">
        <v>987</v>
      </c>
      <c r="AA699" t="s">
        <v>5256</v>
      </c>
      <c r="AB699" t="s">
        <v>975</v>
      </c>
      <c r="AC699">
        <v>5361</v>
      </c>
      <c r="AD699" t="s">
        <v>3629</v>
      </c>
      <c r="AE699">
        <v>3283611973</v>
      </c>
      <c r="AF699" t="s">
        <v>979</v>
      </c>
      <c r="AG699" t="s">
        <v>977</v>
      </c>
      <c r="AH699" t="s">
        <v>1558</v>
      </c>
      <c r="AI699" t="s">
        <v>977</v>
      </c>
      <c r="AJ699" t="s">
        <v>5257</v>
      </c>
      <c r="AK699" t="s">
        <v>978</v>
      </c>
      <c r="AL699" t="s">
        <v>978</v>
      </c>
      <c r="AM699" t="s">
        <v>979</v>
      </c>
      <c r="AN699">
        <v>0</v>
      </c>
      <c r="AO699" t="s">
        <v>257</v>
      </c>
      <c r="AP699">
        <v>0</v>
      </c>
      <c r="AQ699">
        <v>18</v>
      </c>
      <c r="AR699">
        <v>43</v>
      </c>
      <c r="AS699">
        <v>1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1</v>
      </c>
      <c r="AZ699" t="s">
        <v>257</v>
      </c>
      <c r="BA699" t="s">
        <v>980</v>
      </c>
      <c r="BB699" t="s">
        <v>981</v>
      </c>
      <c r="BC699" t="s">
        <v>257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 t="s">
        <v>998</v>
      </c>
      <c r="BK699" t="s">
        <v>981</v>
      </c>
      <c r="BL699" t="s">
        <v>5255</v>
      </c>
      <c r="BM699">
        <v>20210818</v>
      </c>
      <c r="BN699">
        <v>20211021</v>
      </c>
      <c r="BO699">
        <v>0</v>
      </c>
      <c r="BP699" t="s">
        <v>257</v>
      </c>
      <c r="BQ699" t="s">
        <v>983</v>
      </c>
      <c r="BR699" t="s">
        <v>978</v>
      </c>
      <c r="BS699" t="s">
        <v>979</v>
      </c>
      <c r="BT699">
        <v>0</v>
      </c>
      <c r="BU699">
        <v>0</v>
      </c>
      <c r="BV699" t="s">
        <v>984</v>
      </c>
      <c r="BW699" t="s">
        <v>257</v>
      </c>
      <c r="BX699">
        <v>0</v>
      </c>
      <c r="BY699" t="s">
        <v>980</v>
      </c>
      <c r="BZ699" t="s">
        <v>257</v>
      </c>
      <c r="CA699">
        <v>0</v>
      </c>
      <c r="CB699">
        <v>0</v>
      </c>
      <c r="CC699" t="s">
        <v>1901</v>
      </c>
      <c r="CD699">
        <v>0</v>
      </c>
      <c r="CE699">
        <v>0</v>
      </c>
      <c r="CF699">
        <v>0</v>
      </c>
      <c r="CG699">
        <v>0</v>
      </c>
      <c r="CH699">
        <v>0</v>
      </c>
      <c r="CI699" t="s">
        <v>983</v>
      </c>
      <c r="CJ699" t="s">
        <v>972</v>
      </c>
      <c r="CK699" t="s">
        <v>986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 t="s">
        <v>987</v>
      </c>
      <c r="CV699">
        <v>400008703</v>
      </c>
      <c r="CW699" t="s">
        <v>987</v>
      </c>
      <c r="CX699" t="s">
        <v>5258</v>
      </c>
      <c r="CY699" t="s">
        <v>989</v>
      </c>
    </row>
    <row r="700" spans="1:103" hidden="1" x14ac:dyDescent="0.25">
      <c r="A700">
        <v>410000704</v>
      </c>
      <c r="B700" t="s">
        <v>5259</v>
      </c>
      <c r="C700" t="s">
        <v>1432</v>
      </c>
      <c r="D700">
        <v>401100000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1</v>
      </c>
      <c r="X700">
        <v>1</v>
      </c>
      <c r="Y700" t="s">
        <v>972</v>
      </c>
      <c r="Z700" t="s">
        <v>5260</v>
      </c>
      <c r="AA700" t="s">
        <v>5261</v>
      </c>
      <c r="AB700" t="s">
        <v>975</v>
      </c>
      <c r="AC700">
        <v>5520</v>
      </c>
      <c r="AD700" t="s">
        <v>5262</v>
      </c>
      <c r="AE700" t="s">
        <v>5263</v>
      </c>
      <c r="AF700" t="s">
        <v>979</v>
      </c>
      <c r="AG700" t="s">
        <v>977</v>
      </c>
      <c r="AH700" t="s">
        <v>977</v>
      </c>
      <c r="AI700" t="s">
        <v>977</v>
      </c>
      <c r="AJ700" t="s">
        <v>5264</v>
      </c>
      <c r="AK700" t="s">
        <v>978</v>
      </c>
      <c r="AL700" t="s">
        <v>978</v>
      </c>
      <c r="AM700" t="s">
        <v>979</v>
      </c>
      <c r="AN700">
        <v>0</v>
      </c>
      <c r="AO700" t="s">
        <v>257</v>
      </c>
      <c r="AP700">
        <v>0</v>
      </c>
      <c r="AQ700">
        <v>1</v>
      </c>
      <c r="AR700">
        <v>43</v>
      </c>
      <c r="AS700">
        <v>1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1</v>
      </c>
      <c r="AZ700" t="s">
        <v>257</v>
      </c>
      <c r="BA700" t="s">
        <v>980</v>
      </c>
      <c r="BB700" t="s">
        <v>981</v>
      </c>
      <c r="BC700" t="s">
        <v>257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 t="s">
        <v>998</v>
      </c>
      <c r="BK700" t="s">
        <v>981</v>
      </c>
      <c r="BL700" t="s">
        <v>5259</v>
      </c>
      <c r="BM700">
        <v>20210819</v>
      </c>
      <c r="BN700">
        <v>20210819</v>
      </c>
      <c r="BO700">
        <v>0</v>
      </c>
      <c r="BP700" t="s">
        <v>257</v>
      </c>
      <c r="BQ700" t="s">
        <v>983</v>
      </c>
      <c r="BR700" t="s">
        <v>978</v>
      </c>
      <c r="BS700" t="s">
        <v>979</v>
      </c>
      <c r="BT700">
        <v>0</v>
      </c>
      <c r="BU700">
        <v>0</v>
      </c>
      <c r="BV700" t="s">
        <v>984</v>
      </c>
      <c r="BW700" t="s">
        <v>257</v>
      </c>
      <c r="BX700">
        <v>0</v>
      </c>
      <c r="BY700" t="s">
        <v>980</v>
      </c>
      <c r="BZ700" t="s">
        <v>257</v>
      </c>
      <c r="CA700">
        <v>0</v>
      </c>
      <c r="CB700">
        <v>0</v>
      </c>
      <c r="CC700" t="s">
        <v>1901</v>
      </c>
      <c r="CD700">
        <v>0</v>
      </c>
      <c r="CE700">
        <v>0</v>
      </c>
      <c r="CF700">
        <v>0</v>
      </c>
      <c r="CG700">
        <v>0</v>
      </c>
      <c r="CH700">
        <v>0</v>
      </c>
      <c r="CI700" t="s">
        <v>983</v>
      </c>
      <c r="CJ700" t="s">
        <v>972</v>
      </c>
      <c r="CK700" t="s">
        <v>986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 t="s">
        <v>987</v>
      </c>
      <c r="CV700">
        <v>400008704</v>
      </c>
      <c r="CW700" t="s">
        <v>987</v>
      </c>
      <c r="CX700" t="s">
        <v>5265</v>
      </c>
      <c r="CY700" t="s">
        <v>989</v>
      </c>
    </row>
    <row r="701" spans="1:103" hidden="1" x14ac:dyDescent="0.25">
      <c r="A701">
        <v>410000705</v>
      </c>
      <c r="B701" t="s">
        <v>5266</v>
      </c>
      <c r="C701" t="s">
        <v>5267</v>
      </c>
      <c r="D701">
        <v>401100000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1</v>
      </c>
      <c r="Y701" t="s">
        <v>5268</v>
      </c>
      <c r="Z701" t="s">
        <v>5269</v>
      </c>
      <c r="AA701" t="s">
        <v>5270</v>
      </c>
      <c r="AB701" t="s">
        <v>975</v>
      </c>
      <c r="AC701">
        <v>5000</v>
      </c>
      <c r="AD701" t="s">
        <v>1789</v>
      </c>
      <c r="AE701" t="s">
        <v>5271</v>
      </c>
      <c r="AF701" t="s">
        <v>979</v>
      </c>
      <c r="AG701" t="s">
        <v>977</v>
      </c>
      <c r="AH701" t="s">
        <v>977</v>
      </c>
      <c r="AI701" t="s">
        <v>977</v>
      </c>
      <c r="AJ701" t="s">
        <v>978</v>
      </c>
      <c r="AK701" t="s">
        <v>978</v>
      </c>
      <c r="AL701" t="s">
        <v>978</v>
      </c>
      <c r="AM701" t="s">
        <v>979</v>
      </c>
      <c r="AN701">
        <v>0</v>
      </c>
      <c r="AO701" t="s">
        <v>257</v>
      </c>
      <c r="AP701">
        <v>0</v>
      </c>
      <c r="AQ701">
        <v>1</v>
      </c>
      <c r="AR701">
        <v>43</v>
      </c>
      <c r="AS701">
        <v>1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1</v>
      </c>
      <c r="AZ701" t="s">
        <v>257</v>
      </c>
      <c r="BA701" t="s">
        <v>257</v>
      </c>
      <c r="BB701" t="s">
        <v>981</v>
      </c>
      <c r="BC701" t="s">
        <v>257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 t="s">
        <v>998</v>
      </c>
      <c r="BK701" t="s">
        <v>981</v>
      </c>
      <c r="BL701" t="s">
        <v>5272</v>
      </c>
      <c r="BM701">
        <v>20210913</v>
      </c>
      <c r="BN701">
        <v>20210913</v>
      </c>
      <c r="BO701">
        <v>0</v>
      </c>
      <c r="BP701" t="s">
        <v>257</v>
      </c>
      <c r="BQ701" t="s">
        <v>983</v>
      </c>
      <c r="BR701" t="s">
        <v>978</v>
      </c>
      <c r="BS701" t="s">
        <v>979</v>
      </c>
      <c r="BT701">
        <v>0</v>
      </c>
      <c r="BU701">
        <v>0</v>
      </c>
      <c r="BV701" t="s">
        <v>984</v>
      </c>
      <c r="BW701" t="s">
        <v>257</v>
      </c>
      <c r="BX701">
        <v>0</v>
      </c>
      <c r="BY701" t="s">
        <v>980</v>
      </c>
      <c r="BZ701" t="s">
        <v>257</v>
      </c>
      <c r="CA701">
        <v>0</v>
      </c>
      <c r="CB701">
        <v>0</v>
      </c>
      <c r="CC701" t="s">
        <v>985</v>
      </c>
      <c r="CD701">
        <v>0</v>
      </c>
      <c r="CE701">
        <v>0</v>
      </c>
      <c r="CF701">
        <v>0</v>
      </c>
      <c r="CG701">
        <v>0</v>
      </c>
      <c r="CH701">
        <v>0</v>
      </c>
      <c r="CI701" t="s">
        <v>983</v>
      </c>
      <c r="CJ701" t="s">
        <v>972</v>
      </c>
      <c r="CK701" t="s">
        <v>986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 t="s">
        <v>987</v>
      </c>
      <c r="CV701">
        <v>400008705</v>
      </c>
      <c r="CW701" t="s">
        <v>987</v>
      </c>
      <c r="CX701" t="s">
        <v>4364</v>
      </c>
      <c r="CY701" t="s">
        <v>989</v>
      </c>
    </row>
    <row r="702" spans="1:103" hidden="1" x14ac:dyDescent="0.25">
      <c r="A702">
        <v>410000706</v>
      </c>
      <c r="B702" t="s">
        <v>5273</v>
      </c>
      <c r="C702" t="s">
        <v>5274</v>
      </c>
      <c r="D702">
        <v>401100000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1</v>
      </c>
      <c r="Y702" t="s">
        <v>972</v>
      </c>
      <c r="Z702" t="s">
        <v>987</v>
      </c>
      <c r="AA702" t="s">
        <v>5275</v>
      </c>
      <c r="AB702" t="s">
        <v>975</v>
      </c>
      <c r="AC702">
        <v>4040</v>
      </c>
      <c r="AD702" t="s">
        <v>976</v>
      </c>
      <c r="AE702">
        <v>3242483983</v>
      </c>
      <c r="AF702" t="s">
        <v>979</v>
      </c>
      <c r="AG702" t="s">
        <v>977</v>
      </c>
      <c r="AH702" t="s">
        <v>977</v>
      </c>
      <c r="AI702">
        <v>70220</v>
      </c>
      <c r="AJ702" t="s">
        <v>978</v>
      </c>
      <c r="AK702" t="s">
        <v>978</v>
      </c>
      <c r="AL702" t="s">
        <v>978</v>
      </c>
      <c r="AM702" t="s">
        <v>979</v>
      </c>
      <c r="AN702">
        <v>0</v>
      </c>
      <c r="AO702" t="s">
        <v>257</v>
      </c>
      <c r="AP702">
        <v>0</v>
      </c>
      <c r="AQ702">
        <v>1</v>
      </c>
      <c r="AR702">
        <v>43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1</v>
      </c>
      <c r="AZ702" t="s">
        <v>257</v>
      </c>
      <c r="BA702" t="s">
        <v>980</v>
      </c>
      <c r="BB702" t="s">
        <v>1010</v>
      </c>
      <c r="BC702" t="s">
        <v>257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410000730</v>
      </c>
      <c r="BJ702" t="s">
        <v>998</v>
      </c>
      <c r="BK702" t="s">
        <v>981</v>
      </c>
      <c r="BL702" t="s">
        <v>5273</v>
      </c>
      <c r="BM702">
        <v>20210927</v>
      </c>
      <c r="BN702">
        <v>20221205</v>
      </c>
      <c r="BO702">
        <v>20221205</v>
      </c>
      <c r="BP702" t="s">
        <v>257</v>
      </c>
      <c r="BQ702" t="s">
        <v>983</v>
      </c>
      <c r="BR702" t="s">
        <v>978</v>
      </c>
      <c r="BS702" t="s">
        <v>979</v>
      </c>
      <c r="BT702">
        <v>0</v>
      </c>
      <c r="BU702">
        <v>0</v>
      </c>
      <c r="BV702" t="s">
        <v>984</v>
      </c>
      <c r="BW702" t="s">
        <v>257</v>
      </c>
      <c r="BX702">
        <v>0</v>
      </c>
      <c r="BY702" t="s">
        <v>980</v>
      </c>
      <c r="BZ702" t="s">
        <v>257</v>
      </c>
      <c r="CA702">
        <v>0</v>
      </c>
      <c r="CB702">
        <v>0</v>
      </c>
      <c r="CC702" t="s">
        <v>3623</v>
      </c>
      <c r="CD702">
        <v>0</v>
      </c>
      <c r="CE702">
        <v>0</v>
      </c>
      <c r="CF702">
        <v>0</v>
      </c>
      <c r="CG702">
        <v>0</v>
      </c>
      <c r="CH702">
        <v>0</v>
      </c>
      <c r="CI702" t="s">
        <v>983</v>
      </c>
      <c r="CJ702" t="s">
        <v>972</v>
      </c>
      <c r="CK702" t="s">
        <v>986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 t="s">
        <v>987</v>
      </c>
      <c r="CV702">
        <v>400008706</v>
      </c>
      <c r="CW702" t="s">
        <v>987</v>
      </c>
      <c r="CX702" t="s">
        <v>5276</v>
      </c>
      <c r="CY702" t="s">
        <v>989</v>
      </c>
    </row>
    <row r="703" spans="1:103" hidden="1" x14ac:dyDescent="0.25">
      <c r="A703">
        <v>410000707</v>
      </c>
      <c r="B703" t="s">
        <v>5277</v>
      </c>
      <c r="C703" t="s">
        <v>5278</v>
      </c>
      <c r="D703">
        <v>401100000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1</v>
      </c>
      <c r="Y703" t="s">
        <v>972</v>
      </c>
      <c r="Z703" t="s">
        <v>987</v>
      </c>
      <c r="AA703" t="s">
        <v>5279</v>
      </c>
      <c r="AB703" t="s">
        <v>975</v>
      </c>
      <c r="AC703">
        <v>4041</v>
      </c>
      <c r="AD703" t="s">
        <v>1730</v>
      </c>
      <c r="AE703">
        <v>3242772525</v>
      </c>
      <c r="AF703" t="s">
        <v>979</v>
      </c>
      <c r="AG703" t="s">
        <v>977</v>
      </c>
      <c r="AH703" t="s">
        <v>977</v>
      </c>
      <c r="AI703">
        <v>55100</v>
      </c>
      <c r="AJ703" t="s">
        <v>978</v>
      </c>
      <c r="AK703" t="s">
        <v>978</v>
      </c>
      <c r="AL703" t="s">
        <v>978</v>
      </c>
      <c r="AM703" t="s">
        <v>979</v>
      </c>
      <c r="AN703">
        <v>0</v>
      </c>
      <c r="AO703" t="s">
        <v>257</v>
      </c>
      <c r="AP703">
        <v>0</v>
      </c>
      <c r="AQ703">
        <v>18</v>
      </c>
      <c r="AR703">
        <v>43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1</v>
      </c>
      <c r="AZ703" t="s">
        <v>257</v>
      </c>
      <c r="BA703" t="s">
        <v>980</v>
      </c>
      <c r="BB703" t="s">
        <v>981</v>
      </c>
      <c r="BC703" t="s">
        <v>257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 t="s">
        <v>998</v>
      </c>
      <c r="BK703" t="s">
        <v>981</v>
      </c>
      <c r="BL703" t="s">
        <v>5277</v>
      </c>
      <c r="BM703">
        <v>20210927</v>
      </c>
      <c r="BN703">
        <v>20211021</v>
      </c>
      <c r="BO703">
        <v>0</v>
      </c>
      <c r="BP703" t="s">
        <v>257</v>
      </c>
      <c r="BQ703" t="s">
        <v>983</v>
      </c>
      <c r="BR703" t="s">
        <v>978</v>
      </c>
      <c r="BS703" t="s">
        <v>979</v>
      </c>
      <c r="BT703">
        <v>0</v>
      </c>
      <c r="BU703">
        <v>0</v>
      </c>
      <c r="BV703" t="s">
        <v>984</v>
      </c>
      <c r="BW703" t="s">
        <v>257</v>
      </c>
      <c r="BX703">
        <v>0</v>
      </c>
      <c r="BY703" t="s">
        <v>980</v>
      </c>
      <c r="BZ703" t="s">
        <v>257</v>
      </c>
      <c r="CA703">
        <v>0</v>
      </c>
      <c r="CB703">
        <v>0</v>
      </c>
      <c r="CC703" t="s">
        <v>2342</v>
      </c>
      <c r="CD703">
        <v>0</v>
      </c>
      <c r="CE703">
        <v>0</v>
      </c>
      <c r="CF703">
        <v>0</v>
      </c>
      <c r="CG703">
        <v>0</v>
      </c>
      <c r="CH703">
        <v>0</v>
      </c>
      <c r="CI703" t="s">
        <v>983</v>
      </c>
      <c r="CJ703" t="s">
        <v>972</v>
      </c>
      <c r="CK703" t="s">
        <v>986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 t="s">
        <v>987</v>
      </c>
      <c r="CV703">
        <v>400008707</v>
      </c>
      <c r="CW703" t="s">
        <v>987</v>
      </c>
      <c r="CX703" t="s">
        <v>5280</v>
      </c>
      <c r="CY703" t="s">
        <v>989</v>
      </c>
    </row>
    <row r="704" spans="1:103" hidden="1" x14ac:dyDescent="0.25">
      <c r="A704">
        <v>410000708</v>
      </c>
      <c r="B704" t="s">
        <v>5281</v>
      </c>
      <c r="C704" t="s">
        <v>5282</v>
      </c>
      <c r="D704">
        <v>401100000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1</v>
      </c>
      <c r="Y704" t="s">
        <v>972</v>
      </c>
      <c r="Z704" t="s">
        <v>5283</v>
      </c>
      <c r="AA704" t="s">
        <v>5284</v>
      </c>
      <c r="AB704" t="s">
        <v>975</v>
      </c>
      <c r="AC704">
        <v>4960</v>
      </c>
      <c r="AD704" t="s">
        <v>1548</v>
      </c>
      <c r="AE704" t="s">
        <v>979</v>
      </c>
      <c r="AF704" t="s">
        <v>979</v>
      </c>
      <c r="AG704" t="s">
        <v>977</v>
      </c>
      <c r="AH704" t="s">
        <v>977</v>
      </c>
      <c r="AI704">
        <v>56301</v>
      </c>
      <c r="AJ704" t="s">
        <v>5285</v>
      </c>
      <c r="AK704" t="s">
        <v>978</v>
      </c>
      <c r="AL704" t="s">
        <v>978</v>
      </c>
      <c r="AM704" t="s">
        <v>979</v>
      </c>
      <c r="AN704">
        <v>0</v>
      </c>
      <c r="AO704" t="s">
        <v>257</v>
      </c>
      <c r="AP704">
        <v>0</v>
      </c>
      <c r="AQ704">
        <v>1</v>
      </c>
      <c r="AR704">
        <v>43</v>
      </c>
      <c r="AS704">
        <v>1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1</v>
      </c>
      <c r="AZ704" t="s">
        <v>257</v>
      </c>
      <c r="BA704" t="s">
        <v>980</v>
      </c>
      <c r="BB704" t="s">
        <v>981</v>
      </c>
      <c r="BC704" t="s">
        <v>257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 t="s">
        <v>998</v>
      </c>
      <c r="BK704" t="s">
        <v>981</v>
      </c>
      <c r="BL704" t="s">
        <v>5281</v>
      </c>
      <c r="BM704">
        <v>20210929</v>
      </c>
      <c r="BN704">
        <v>20211006</v>
      </c>
      <c r="BO704">
        <v>0</v>
      </c>
      <c r="BP704" t="s">
        <v>257</v>
      </c>
      <c r="BQ704" t="s">
        <v>983</v>
      </c>
      <c r="BR704" t="s">
        <v>978</v>
      </c>
      <c r="BS704">
        <v>32497271031</v>
      </c>
      <c r="BT704">
        <v>0</v>
      </c>
      <c r="BU704">
        <v>0</v>
      </c>
      <c r="BV704" t="s">
        <v>984</v>
      </c>
      <c r="BW704" t="s">
        <v>257</v>
      </c>
      <c r="BX704">
        <v>0</v>
      </c>
      <c r="BY704" t="s">
        <v>980</v>
      </c>
      <c r="BZ704" t="s">
        <v>257</v>
      </c>
      <c r="CA704">
        <v>0</v>
      </c>
      <c r="CB704">
        <v>0</v>
      </c>
      <c r="CC704" t="s">
        <v>1901</v>
      </c>
      <c r="CD704">
        <v>0</v>
      </c>
      <c r="CE704">
        <v>0</v>
      </c>
      <c r="CF704">
        <v>0</v>
      </c>
      <c r="CG704">
        <v>0</v>
      </c>
      <c r="CH704">
        <v>0</v>
      </c>
      <c r="CI704" t="s">
        <v>983</v>
      </c>
      <c r="CJ704" t="s">
        <v>972</v>
      </c>
      <c r="CK704" t="s">
        <v>986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 t="s">
        <v>987</v>
      </c>
      <c r="CV704">
        <v>400008708</v>
      </c>
      <c r="CW704" t="s">
        <v>987</v>
      </c>
      <c r="CX704" t="s">
        <v>5286</v>
      </c>
      <c r="CY704" t="s">
        <v>989</v>
      </c>
    </row>
    <row r="705" spans="1:103" hidden="1" x14ac:dyDescent="0.25">
      <c r="A705">
        <v>410000709</v>
      </c>
      <c r="B705" t="s">
        <v>5287</v>
      </c>
      <c r="C705" t="s">
        <v>5288</v>
      </c>
      <c r="D705">
        <v>401100000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1</v>
      </c>
      <c r="Y705" t="s">
        <v>972</v>
      </c>
      <c r="Z705" t="s">
        <v>987</v>
      </c>
      <c r="AA705" t="s">
        <v>5289</v>
      </c>
      <c r="AB705" t="s">
        <v>975</v>
      </c>
      <c r="AC705">
        <v>4260</v>
      </c>
      <c r="AD705" t="s">
        <v>5290</v>
      </c>
      <c r="AE705" t="s">
        <v>979</v>
      </c>
      <c r="AF705" t="s">
        <v>979</v>
      </c>
      <c r="AG705" t="s">
        <v>977</v>
      </c>
      <c r="AH705" t="s">
        <v>977</v>
      </c>
      <c r="AI705">
        <v>46341</v>
      </c>
      <c r="AJ705" t="s">
        <v>978</v>
      </c>
      <c r="AK705" t="s">
        <v>978</v>
      </c>
      <c r="AL705" t="s">
        <v>978</v>
      </c>
      <c r="AM705" t="s">
        <v>979</v>
      </c>
      <c r="AN705">
        <v>0</v>
      </c>
      <c r="AO705" t="s">
        <v>257</v>
      </c>
      <c r="AP705">
        <v>0</v>
      </c>
      <c r="AQ705">
        <v>1</v>
      </c>
      <c r="AR705">
        <v>43</v>
      </c>
      <c r="AS705">
        <v>1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1</v>
      </c>
      <c r="AZ705" t="s">
        <v>257</v>
      </c>
      <c r="BA705" t="s">
        <v>257</v>
      </c>
      <c r="BB705" t="s">
        <v>981</v>
      </c>
      <c r="BC705" t="s">
        <v>257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 t="s">
        <v>998</v>
      </c>
      <c r="BK705" t="s">
        <v>981</v>
      </c>
      <c r="BL705" t="s">
        <v>5287</v>
      </c>
      <c r="BM705">
        <v>20211008</v>
      </c>
      <c r="BN705">
        <v>20211028</v>
      </c>
      <c r="BO705">
        <v>0</v>
      </c>
      <c r="BP705" t="s">
        <v>257</v>
      </c>
      <c r="BQ705" t="s">
        <v>983</v>
      </c>
      <c r="BR705" t="s">
        <v>978</v>
      </c>
      <c r="BS705" t="s">
        <v>979</v>
      </c>
      <c r="BT705">
        <v>0</v>
      </c>
      <c r="BU705">
        <v>0</v>
      </c>
      <c r="BV705" t="s">
        <v>2341</v>
      </c>
      <c r="BW705" t="s">
        <v>257</v>
      </c>
      <c r="BX705">
        <v>0</v>
      </c>
      <c r="BY705" t="s">
        <v>980</v>
      </c>
      <c r="BZ705" t="s">
        <v>257</v>
      </c>
      <c r="CA705">
        <v>0</v>
      </c>
      <c r="CB705">
        <v>0</v>
      </c>
      <c r="CC705" t="s">
        <v>1430</v>
      </c>
      <c r="CD705">
        <v>0</v>
      </c>
      <c r="CE705">
        <v>0</v>
      </c>
      <c r="CF705">
        <v>0</v>
      </c>
      <c r="CG705">
        <v>0</v>
      </c>
      <c r="CH705">
        <v>0</v>
      </c>
      <c r="CI705" t="s">
        <v>983</v>
      </c>
      <c r="CJ705" t="s">
        <v>972</v>
      </c>
      <c r="CK705" t="s">
        <v>986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 t="s">
        <v>987</v>
      </c>
      <c r="CV705">
        <v>400008709</v>
      </c>
      <c r="CW705" t="s">
        <v>987</v>
      </c>
      <c r="CX705" t="s">
        <v>1081</v>
      </c>
      <c r="CY705" t="s">
        <v>989</v>
      </c>
    </row>
    <row r="706" spans="1:103" hidden="1" x14ac:dyDescent="0.25">
      <c r="A706">
        <v>410000710</v>
      </c>
      <c r="B706" t="s">
        <v>5291</v>
      </c>
      <c r="C706" t="s">
        <v>5292</v>
      </c>
      <c r="D706">
        <v>401100000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1</v>
      </c>
      <c r="X706">
        <v>1</v>
      </c>
      <c r="Y706" t="s">
        <v>972</v>
      </c>
      <c r="Z706" t="s">
        <v>987</v>
      </c>
      <c r="AA706" t="s">
        <v>5293</v>
      </c>
      <c r="AB706" t="s">
        <v>975</v>
      </c>
      <c r="AC706">
        <v>1560</v>
      </c>
      <c r="AD706" t="s">
        <v>5294</v>
      </c>
      <c r="AE706" t="s">
        <v>979</v>
      </c>
      <c r="AF706" t="s">
        <v>979</v>
      </c>
      <c r="AG706" t="s">
        <v>977</v>
      </c>
      <c r="AH706" t="s">
        <v>977</v>
      </c>
      <c r="AI706">
        <v>62010</v>
      </c>
      <c r="AJ706" t="s">
        <v>5249</v>
      </c>
      <c r="AK706" t="s">
        <v>978</v>
      </c>
      <c r="AL706" t="s">
        <v>978</v>
      </c>
      <c r="AM706" t="s">
        <v>979</v>
      </c>
      <c r="AN706">
        <v>0</v>
      </c>
      <c r="AO706" t="s">
        <v>257</v>
      </c>
      <c r="AP706">
        <v>0</v>
      </c>
      <c r="AQ706">
        <v>1</v>
      </c>
      <c r="AR706">
        <v>43</v>
      </c>
      <c r="AS706">
        <v>1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1</v>
      </c>
      <c r="AZ706" t="s">
        <v>257</v>
      </c>
      <c r="BA706" t="s">
        <v>980</v>
      </c>
      <c r="BB706" t="s">
        <v>981</v>
      </c>
      <c r="BC706" t="s">
        <v>257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 t="s">
        <v>982</v>
      </c>
      <c r="BK706" t="s">
        <v>981</v>
      </c>
      <c r="BL706" t="s">
        <v>5291</v>
      </c>
      <c r="BM706">
        <v>20211014</v>
      </c>
      <c r="BN706">
        <v>20220901</v>
      </c>
      <c r="BO706">
        <v>0</v>
      </c>
      <c r="BP706" t="s">
        <v>257</v>
      </c>
      <c r="BQ706" t="s">
        <v>983</v>
      </c>
      <c r="BR706" t="s">
        <v>978</v>
      </c>
      <c r="BS706" t="s">
        <v>979</v>
      </c>
      <c r="BT706">
        <v>0</v>
      </c>
      <c r="BU706">
        <v>0</v>
      </c>
      <c r="BV706" t="s">
        <v>984</v>
      </c>
      <c r="BW706" t="s">
        <v>257</v>
      </c>
      <c r="BX706">
        <v>0</v>
      </c>
      <c r="BY706" t="s">
        <v>980</v>
      </c>
      <c r="BZ706" t="s">
        <v>257</v>
      </c>
      <c r="CA706">
        <v>0</v>
      </c>
      <c r="CB706">
        <v>0</v>
      </c>
      <c r="CC706" t="s">
        <v>1901</v>
      </c>
      <c r="CD706">
        <v>0</v>
      </c>
      <c r="CE706">
        <v>0</v>
      </c>
      <c r="CF706">
        <v>0</v>
      </c>
      <c r="CG706">
        <v>0</v>
      </c>
      <c r="CH706">
        <v>0</v>
      </c>
      <c r="CI706" t="s">
        <v>983</v>
      </c>
      <c r="CJ706" t="s">
        <v>972</v>
      </c>
      <c r="CK706" t="s">
        <v>986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 t="s">
        <v>987</v>
      </c>
      <c r="CV706">
        <v>400008710</v>
      </c>
      <c r="CW706" t="s">
        <v>987</v>
      </c>
      <c r="CX706" t="s">
        <v>5295</v>
      </c>
      <c r="CY706" t="s">
        <v>989</v>
      </c>
    </row>
    <row r="707" spans="1:103" hidden="1" x14ac:dyDescent="0.25">
      <c r="A707">
        <v>410000711</v>
      </c>
      <c r="B707" t="s">
        <v>5296</v>
      </c>
      <c r="C707" t="s">
        <v>5297</v>
      </c>
      <c r="D707">
        <v>401100000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1</v>
      </c>
      <c r="X707">
        <v>1</v>
      </c>
      <c r="Y707" t="s">
        <v>972</v>
      </c>
      <c r="Z707" t="s">
        <v>5298</v>
      </c>
      <c r="AA707" t="s">
        <v>5299</v>
      </c>
      <c r="AB707" t="s">
        <v>975</v>
      </c>
      <c r="AC707">
        <v>3000</v>
      </c>
      <c r="AD707" t="s">
        <v>3750</v>
      </c>
      <c r="AE707" t="s">
        <v>979</v>
      </c>
      <c r="AF707" t="s">
        <v>979</v>
      </c>
      <c r="AG707" t="s">
        <v>977</v>
      </c>
      <c r="AH707" t="s">
        <v>977</v>
      </c>
      <c r="AI707">
        <v>69202</v>
      </c>
      <c r="AJ707" t="s">
        <v>5300</v>
      </c>
      <c r="AK707" t="s">
        <v>978</v>
      </c>
      <c r="AL707" t="s">
        <v>978</v>
      </c>
      <c r="AM707" t="s">
        <v>979</v>
      </c>
      <c r="AN707">
        <v>0</v>
      </c>
      <c r="AO707" t="s">
        <v>257</v>
      </c>
      <c r="AP707">
        <v>0</v>
      </c>
      <c r="AQ707">
        <v>19</v>
      </c>
      <c r="AR707">
        <v>69</v>
      </c>
      <c r="AS707">
        <v>1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1</v>
      </c>
      <c r="AZ707" t="s">
        <v>257</v>
      </c>
      <c r="BA707" t="s">
        <v>980</v>
      </c>
      <c r="BB707" t="s">
        <v>981</v>
      </c>
      <c r="BC707" t="s">
        <v>257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 t="s">
        <v>998</v>
      </c>
      <c r="BK707" t="s">
        <v>981</v>
      </c>
      <c r="BL707" t="s">
        <v>5296</v>
      </c>
      <c r="BM707">
        <v>20211015</v>
      </c>
      <c r="BN707">
        <v>20240910</v>
      </c>
      <c r="BO707">
        <v>0</v>
      </c>
      <c r="BP707" t="s">
        <v>257</v>
      </c>
      <c r="BQ707" t="s">
        <v>983</v>
      </c>
      <c r="BR707" t="s">
        <v>978</v>
      </c>
      <c r="BS707">
        <v>32475534719</v>
      </c>
      <c r="BT707">
        <v>0</v>
      </c>
      <c r="BU707">
        <v>0</v>
      </c>
      <c r="BV707" t="s">
        <v>984</v>
      </c>
      <c r="BW707" t="s">
        <v>257</v>
      </c>
      <c r="BX707">
        <v>0</v>
      </c>
      <c r="BY707" t="s">
        <v>980</v>
      </c>
      <c r="BZ707" t="s">
        <v>257</v>
      </c>
      <c r="CA707">
        <v>0</v>
      </c>
      <c r="CB707">
        <v>0</v>
      </c>
      <c r="CC707" t="s">
        <v>1901</v>
      </c>
      <c r="CD707">
        <v>0</v>
      </c>
      <c r="CE707">
        <v>0</v>
      </c>
      <c r="CF707">
        <v>0</v>
      </c>
      <c r="CG707">
        <v>0</v>
      </c>
      <c r="CH707">
        <v>0</v>
      </c>
      <c r="CI707" t="s">
        <v>983</v>
      </c>
      <c r="CJ707" t="s">
        <v>972</v>
      </c>
      <c r="CK707" t="s">
        <v>986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 t="s">
        <v>987</v>
      </c>
      <c r="CV707">
        <v>400008711</v>
      </c>
      <c r="CW707" t="s">
        <v>987</v>
      </c>
      <c r="CX707" t="s">
        <v>5301</v>
      </c>
      <c r="CY707" t="s">
        <v>989</v>
      </c>
    </row>
    <row r="708" spans="1:103" hidden="1" x14ac:dyDescent="0.25">
      <c r="A708">
        <v>410000712</v>
      </c>
      <c r="B708" t="s">
        <v>5302</v>
      </c>
      <c r="C708" t="s">
        <v>5303</v>
      </c>
      <c r="D708">
        <v>401100000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1</v>
      </c>
      <c r="X708">
        <v>1</v>
      </c>
      <c r="Y708" t="s">
        <v>972</v>
      </c>
      <c r="Z708" t="s">
        <v>987</v>
      </c>
      <c r="AA708" t="s">
        <v>5304</v>
      </c>
      <c r="AB708" t="s">
        <v>975</v>
      </c>
      <c r="AC708">
        <v>4000</v>
      </c>
      <c r="AD708" t="s">
        <v>1019</v>
      </c>
      <c r="AE708">
        <v>3242531969</v>
      </c>
      <c r="AF708" t="s">
        <v>979</v>
      </c>
      <c r="AG708" t="s">
        <v>977</v>
      </c>
      <c r="AH708" t="s">
        <v>977</v>
      </c>
      <c r="AI708">
        <v>71111</v>
      </c>
      <c r="AJ708" t="s">
        <v>978</v>
      </c>
      <c r="AK708" t="s">
        <v>978</v>
      </c>
      <c r="AL708" t="s">
        <v>978</v>
      </c>
      <c r="AM708" t="s">
        <v>979</v>
      </c>
      <c r="AN708">
        <v>0</v>
      </c>
      <c r="AO708" t="s">
        <v>257</v>
      </c>
      <c r="AP708">
        <v>0</v>
      </c>
      <c r="AQ708">
        <v>1</v>
      </c>
      <c r="AR708">
        <v>43</v>
      </c>
      <c r="AS708">
        <v>1</v>
      </c>
      <c r="AT708">
        <v>0</v>
      </c>
      <c r="AU708">
        <v>1</v>
      </c>
      <c r="AV708">
        <v>0</v>
      </c>
      <c r="AW708">
        <v>0</v>
      </c>
      <c r="AX708">
        <v>0</v>
      </c>
      <c r="AY708">
        <v>1</v>
      </c>
      <c r="AZ708" t="s">
        <v>257</v>
      </c>
      <c r="BA708" t="s">
        <v>980</v>
      </c>
      <c r="BB708" t="s">
        <v>981</v>
      </c>
      <c r="BC708" t="s">
        <v>257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 t="s">
        <v>998</v>
      </c>
      <c r="BK708" t="s">
        <v>981</v>
      </c>
      <c r="BL708" t="s">
        <v>5302</v>
      </c>
      <c r="BM708">
        <v>20211028</v>
      </c>
      <c r="BN708">
        <v>20221114</v>
      </c>
      <c r="BO708">
        <v>0</v>
      </c>
      <c r="BP708" t="s">
        <v>257</v>
      </c>
      <c r="BQ708" t="s">
        <v>983</v>
      </c>
      <c r="BR708" t="s">
        <v>978</v>
      </c>
      <c r="BS708" t="s">
        <v>979</v>
      </c>
      <c r="BT708">
        <v>0</v>
      </c>
      <c r="BU708">
        <v>0</v>
      </c>
      <c r="BV708" t="s">
        <v>984</v>
      </c>
      <c r="BW708" t="s">
        <v>257</v>
      </c>
      <c r="BX708">
        <v>0</v>
      </c>
      <c r="BY708" t="s">
        <v>980</v>
      </c>
      <c r="BZ708" t="s">
        <v>257</v>
      </c>
      <c r="CA708">
        <v>0</v>
      </c>
      <c r="CB708">
        <v>0</v>
      </c>
      <c r="CC708" t="s">
        <v>1152</v>
      </c>
      <c r="CD708">
        <v>0</v>
      </c>
      <c r="CE708">
        <v>0</v>
      </c>
      <c r="CF708">
        <v>0</v>
      </c>
      <c r="CG708">
        <v>0</v>
      </c>
      <c r="CH708">
        <v>0</v>
      </c>
      <c r="CI708" t="s">
        <v>983</v>
      </c>
      <c r="CJ708" t="s">
        <v>972</v>
      </c>
      <c r="CK708" t="s">
        <v>986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 t="s">
        <v>987</v>
      </c>
      <c r="CV708">
        <v>400008712</v>
      </c>
      <c r="CW708" t="s">
        <v>987</v>
      </c>
      <c r="CX708" t="s">
        <v>5305</v>
      </c>
      <c r="CY708" t="s">
        <v>989</v>
      </c>
    </row>
    <row r="709" spans="1:103" hidden="1" x14ac:dyDescent="0.25">
      <c r="A709">
        <v>410000713</v>
      </c>
      <c r="B709" t="s">
        <v>5306</v>
      </c>
      <c r="C709" t="s">
        <v>5307</v>
      </c>
      <c r="D709">
        <v>401100000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1</v>
      </c>
      <c r="X709">
        <v>1</v>
      </c>
      <c r="Y709" t="s">
        <v>972</v>
      </c>
      <c r="Z709" t="s">
        <v>987</v>
      </c>
      <c r="AA709" t="s">
        <v>5308</v>
      </c>
      <c r="AB709" t="s">
        <v>975</v>
      </c>
      <c r="AC709">
        <v>1410</v>
      </c>
      <c r="AD709" t="s">
        <v>2472</v>
      </c>
      <c r="AE709" t="s">
        <v>979</v>
      </c>
      <c r="AF709" t="s">
        <v>979</v>
      </c>
      <c r="AG709" t="s">
        <v>977</v>
      </c>
      <c r="AH709" t="s">
        <v>977</v>
      </c>
      <c r="AI709" t="s">
        <v>977</v>
      </c>
      <c r="AJ709" t="s">
        <v>978</v>
      </c>
      <c r="AK709" t="s">
        <v>978</v>
      </c>
      <c r="AL709" t="s">
        <v>978</v>
      </c>
      <c r="AM709" t="s">
        <v>979</v>
      </c>
      <c r="AN709">
        <v>0</v>
      </c>
      <c r="AO709" t="s">
        <v>257</v>
      </c>
      <c r="AP709">
        <v>0</v>
      </c>
      <c r="AQ709">
        <v>1</v>
      </c>
      <c r="AR709">
        <v>43</v>
      </c>
      <c r="AS709">
        <v>3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1</v>
      </c>
      <c r="AZ709" t="s">
        <v>257</v>
      </c>
      <c r="BA709" t="s">
        <v>980</v>
      </c>
      <c r="BB709" t="s">
        <v>1010</v>
      </c>
      <c r="BC709" t="s">
        <v>257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 t="s">
        <v>998</v>
      </c>
      <c r="BK709" t="s">
        <v>981</v>
      </c>
      <c r="BL709" t="s">
        <v>5306</v>
      </c>
      <c r="BM709">
        <v>20211028</v>
      </c>
      <c r="BN709">
        <v>20250102</v>
      </c>
      <c r="BO709">
        <v>20211110</v>
      </c>
      <c r="BP709" t="s">
        <v>257</v>
      </c>
      <c r="BQ709" t="s">
        <v>983</v>
      </c>
      <c r="BR709" t="s">
        <v>978</v>
      </c>
      <c r="BS709" t="s">
        <v>979</v>
      </c>
      <c r="BT709">
        <v>0</v>
      </c>
      <c r="BU709">
        <v>0</v>
      </c>
      <c r="BV709" t="s">
        <v>984</v>
      </c>
      <c r="BW709" t="s">
        <v>257</v>
      </c>
      <c r="BX709">
        <v>0</v>
      </c>
      <c r="BY709" t="s">
        <v>980</v>
      </c>
      <c r="BZ709" t="s">
        <v>257</v>
      </c>
      <c r="CA709">
        <v>0</v>
      </c>
      <c r="CB709">
        <v>0</v>
      </c>
      <c r="CC709" t="s">
        <v>2113</v>
      </c>
      <c r="CD709">
        <v>0</v>
      </c>
      <c r="CE709">
        <v>0</v>
      </c>
      <c r="CF709">
        <v>0</v>
      </c>
      <c r="CG709">
        <v>0</v>
      </c>
      <c r="CH709">
        <v>0</v>
      </c>
      <c r="CI709" t="s">
        <v>983</v>
      </c>
      <c r="CJ709" t="s">
        <v>972</v>
      </c>
      <c r="CK709" t="s">
        <v>986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 t="s">
        <v>987</v>
      </c>
      <c r="CV709">
        <v>400008713</v>
      </c>
      <c r="CW709" t="s">
        <v>987</v>
      </c>
      <c r="CX709" t="s">
        <v>5309</v>
      </c>
      <c r="CY709" t="s">
        <v>989</v>
      </c>
    </row>
    <row r="710" spans="1:103" hidden="1" x14ac:dyDescent="0.25">
      <c r="A710">
        <v>410000714</v>
      </c>
      <c r="B710" t="s">
        <v>5310</v>
      </c>
      <c r="C710" t="s">
        <v>5311</v>
      </c>
      <c r="D710">
        <v>401100000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1</v>
      </c>
      <c r="X710">
        <v>1</v>
      </c>
      <c r="Y710" t="s">
        <v>972</v>
      </c>
      <c r="Z710" t="s">
        <v>5312</v>
      </c>
      <c r="AA710" t="s">
        <v>5313</v>
      </c>
      <c r="AB710" t="s">
        <v>975</v>
      </c>
      <c r="AC710">
        <v>4600</v>
      </c>
      <c r="AD710" t="s">
        <v>1813</v>
      </c>
      <c r="AE710" t="s">
        <v>5314</v>
      </c>
      <c r="AF710" t="s">
        <v>979</v>
      </c>
      <c r="AG710" t="s">
        <v>977</v>
      </c>
      <c r="AH710" t="s">
        <v>977</v>
      </c>
      <c r="AI710">
        <v>29320</v>
      </c>
      <c r="AJ710" t="s">
        <v>978</v>
      </c>
      <c r="AK710" t="s">
        <v>978</v>
      </c>
      <c r="AL710" t="s">
        <v>978</v>
      </c>
      <c r="AM710" t="s">
        <v>979</v>
      </c>
      <c r="AN710">
        <v>0</v>
      </c>
      <c r="AO710" t="s">
        <v>257</v>
      </c>
      <c r="AP710">
        <v>0</v>
      </c>
      <c r="AQ710">
        <v>18</v>
      </c>
      <c r="AR710">
        <v>43</v>
      </c>
      <c r="AS710">
        <v>1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1</v>
      </c>
      <c r="AZ710" t="s">
        <v>257</v>
      </c>
      <c r="BA710" t="s">
        <v>980</v>
      </c>
      <c r="BB710" t="s">
        <v>981</v>
      </c>
      <c r="BC710" t="s">
        <v>257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 t="s">
        <v>998</v>
      </c>
      <c r="BK710" t="s">
        <v>981</v>
      </c>
      <c r="BL710" t="s">
        <v>5310</v>
      </c>
      <c r="BM710">
        <v>20211104</v>
      </c>
      <c r="BN710">
        <v>20211104</v>
      </c>
      <c r="BO710">
        <v>0</v>
      </c>
      <c r="BP710" t="s">
        <v>257</v>
      </c>
      <c r="BQ710" t="s">
        <v>983</v>
      </c>
      <c r="BR710" t="s">
        <v>978</v>
      </c>
      <c r="BS710" t="s">
        <v>979</v>
      </c>
      <c r="BT710">
        <v>0</v>
      </c>
      <c r="BU710">
        <v>0</v>
      </c>
      <c r="BV710" t="s">
        <v>984</v>
      </c>
      <c r="BW710" t="s">
        <v>257</v>
      </c>
      <c r="BX710">
        <v>0</v>
      </c>
      <c r="BY710" t="s">
        <v>980</v>
      </c>
      <c r="BZ710" t="s">
        <v>257</v>
      </c>
      <c r="CA710">
        <v>0</v>
      </c>
      <c r="CB710">
        <v>0</v>
      </c>
      <c r="CC710" t="s">
        <v>1848</v>
      </c>
      <c r="CD710">
        <v>0</v>
      </c>
      <c r="CE710">
        <v>0</v>
      </c>
      <c r="CF710">
        <v>0</v>
      </c>
      <c r="CG710">
        <v>0</v>
      </c>
      <c r="CH710">
        <v>0</v>
      </c>
      <c r="CI710" t="s">
        <v>983</v>
      </c>
      <c r="CJ710" t="s">
        <v>972</v>
      </c>
      <c r="CK710" t="s">
        <v>986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 t="s">
        <v>987</v>
      </c>
      <c r="CV710">
        <v>400008714</v>
      </c>
      <c r="CW710" t="s">
        <v>987</v>
      </c>
      <c r="CX710" t="s">
        <v>5315</v>
      </c>
      <c r="CY710" t="s">
        <v>989</v>
      </c>
    </row>
    <row r="711" spans="1:103" hidden="1" x14ac:dyDescent="0.25">
      <c r="A711">
        <v>410000715</v>
      </c>
      <c r="B711" t="s">
        <v>5316</v>
      </c>
      <c r="C711" t="s">
        <v>5317</v>
      </c>
      <c r="D711">
        <v>401100000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1</v>
      </c>
      <c r="Y711" t="s">
        <v>972</v>
      </c>
      <c r="Z711" t="s">
        <v>5318</v>
      </c>
      <c r="AA711" t="s">
        <v>5319</v>
      </c>
      <c r="AB711" t="s">
        <v>975</v>
      </c>
      <c r="AC711">
        <v>4420</v>
      </c>
      <c r="AD711" t="s">
        <v>4314</v>
      </c>
      <c r="AE711">
        <v>32497525254</v>
      </c>
      <c r="AF711" t="s">
        <v>979</v>
      </c>
      <c r="AG711" t="s">
        <v>977</v>
      </c>
      <c r="AH711" t="s">
        <v>977</v>
      </c>
      <c r="AI711">
        <v>71111</v>
      </c>
      <c r="AJ711" t="s">
        <v>978</v>
      </c>
      <c r="AK711" t="s">
        <v>978</v>
      </c>
      <c r="AL711" t="s">
        <v>978</v>
      </c>
      <c r="AM711" t="s">
        <v>979</v>
      </c>
      <c r="AN711">
        <v>0</v>
      </c>
      <c r="AO711" t="s">
        <v>257</v>
      </c>
      <c r="AP711">
        <v>0</v>
      </c>
      <c r="AQ711">
        <v>1</v>
      </c>
      <c r="AR711">
        <v>43</v>
      </c>
      <c r="AS711">
        <v>1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1</v>
      </c>
      <c r="AZ711" t="s">
        <v>257</v>
      </c>
      <c r="BA711" t="s">
        <v>980</v>
      </c>
      <c r="BB711" t="s">
        <v>981</v>
      </c>
      <c r="BC711" t="s">
        <v>257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 t="s">
        <v>998</v>
      </c>
      <c r="BK711" t="s">
        <v>981</v>
      </c>
      <c r="BL711" t="s">
        <v>5316</v>
      </c>
      <c r="BM711">
        <v>20211112</v>
      </c>
      <c r="BN711">
        <v>20211112</v>
      </c>
      <c r="BO711">
        <v>0</v>
      </c>
      <c r="BP711" t="s">
        <v>257</v>
      </c>
      <c r="BQ711" t="s">
        <v>983</v>
      </c>
      <c r="BR711" t="s">
        <v>978</v>
      </c>
      <c r="BS711" t="s">
        <v>979</v>
      </c>
      <c r="BT711">
        <v>0</v>
      </c>
      <c r="BU711">
        <v>0</v>
      </c>
      <c r="BV711" t="s">
        <v>984</v>
      </c>
      <c r="BW711" t="s">
        <v>257</v>
      </c>
      <c r="BX711">
        <v>0</v>
      </c>
      <c r="BY711" t="s">
        <v>980</v>
      </c>
      <c r="BZ711" t="s">
        <v>257</v>
      </c>
      <c r="CA711">
        <v>0</v>
      </c>
      <c r="CB711">
        <v>0</v>
      </c>
      <c r="CC711" t="s">
        <v>1391</v>
      </c>
      <c r="CD711">
        <v>0</v>
      </c>
      <c r="CE711">
        <v>0</v>
      </c>
      <c r="CF711">
        <v>0</v>
      </c>
      <c r="CG711">
        <v>0</v>
      </c>
      <c r="CH711">
        <v>0</v>
      </c>
      <c r="CI711" t="s">
        <v>983</v>
      </c>
      <c r="CJ711" t="s">
        <v>972</v>
      </c>
      <c r="CK711" t="s">
        <v>986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 t="s">
        <v>987</v>
      </c>
      <c r="CV711">
        <v>400008715</v>
      </c>
      <c r="CW711" t="s">
        <v>987</v>
      </c>
      <c r="CX711" t="s">
        <v>5320</v>
      </c>
      <c r="CY711" t="s">
        <v>989</v>
      </c>
    </row>
    <row r="712" spans="1:103" hidden="1" x14ac:dyDescent="0.25">
      <c r="A712">
        <v>410000716</v>
      </c>
      <c r="B712" t="s">
        <v>5321</v>
      </c>
      <c r="C712" t="s">
        <v>5322</v>
      </c>
      <c r="D712">
        <v>401100000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</v>
      </c>
      <c r="W712">
        <v>1</v>
      </c>
      <c r="X712">
        <v>1</v>
      </c>
      <c r="Y712" t="s">
        <v>972</v>
      </c>
      <c r="Z712" t="s">
        <v>5323</v>
      </c>
      <c r="AA712" t="s">
        <v>5324</v>
      </c>
      <c r="AB712" t="s">
        <v>975</v>
      </c>
      <c r="AC712">
        <v>4800</v>
      </c>
      <c r="AD712" t="s">
        <v>1124</v>
      </c>
      <c r="AE712">
        <v>3287569611</v>
      </c>
      <c r="AF712" t="s">
        <v>979</v>
      </c>
      <c r="AG712" t="s">
        <v>5325</v>
      </c>
      <c r="AH712" t="s">
        <v>977</v>
      </c>
      <c r="AI712">
        <v>93110</v>
      </c>
      <c r="AJ712" t="s">
        <v>978</v>
      </c>
      <c r="AK712" t="s">
        <v>978</v>
      </c>
      <c r="AL712" t="s">
        <v>978</v>
      </c>
      <c r="AM712" t="s">
        <v>979</v>
      </c>
      <c r="AN712">
        <v>0</v>
      </c>
      <c r="AO712" t="s">
        <v>257</v>
      </c>
      <c r="AP712">
        <v>0</v>
      </c>
      <c r="AQ712">
        <v>18</v>
      </c>
      <c r="AR712">
        <v>43</v>
      </c>
      <c r="AS712">
        <v>1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1</v>
      </c>
      <c r="AZ712" t="s">
        <v>257</v>
      </c>
      <c r="BA712" t="s">
        <v>980</v>
      </c>
      <c r="BB712" t="s">
        <v>981</v>
      </c>
      <c r="BC712" t="s">
        <v>257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 t="s">
        <v>998</v>
      </c>
      <c r="BK712" t="s">
        <v>981</v>
      </c>
      <c r="BL712" t="s">
        <v>5321</v>
      </c>
      <c r="BM712">
        <v>20211112</v>
      </c>
      <c r="BN712">
        <v>20211112</v>
      </c>
      <c r="BO712">
        <v>0</v>
      </c>
      <c r="BP712" t="s">
        <v>257</v>
      </c>
      <c r="BQ712" t="s">
        <v>983</v>
      </c>
      <c r="BR712" t="s">
        <v>978</v>
      </c>
      <c r="BS712" t="s">
        <v>979</v>
      </c>
      <c r="BT712">
        <v>0</v>
      </c>
      <c r="BU712">
        <v>0</v>
      </c>
      <c r="BV712" t="s">
        <v>984</v>
      </c>
      <c r="BW712" t="s">
        <v>257</v>
      </c>
      <c r="BX712">
        <v>0</v>
      </c>
      <c r="BY712" t="s">
        <v>980</v>
      </c>
      <c r="BZ712" t="s">
        <v>257</v>
      </c>
      <c r="CA712">
        <v>0</v>
      </c>
      <c r="CB712">
        <v>0</v>
      </c>
      <c r="CC712" t="s">
        <v>1128</v>
      </c>
      <c r="CD712">
        <v>0</v>
      </c>
      <c r="CE712">
        <v>0</v>
      </c>
      <c r="CF712">
        <v>0</v>
      </c>
      <c r="CG712">
        <v>0</v>
      </c>
      <c r="CH712">
        <v>0</v>
      </c>
      <c r="CI712" t="s">
        <v>983</v>
      </c>
      <c r="CJ712" t="s">
        <v>972</v>
      </c>
      <c r="CK712" t="s">
        <v>986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 t="s">
        <v>987</v>
      </c>
      <c r="CV712">
        <v>400008716</v>
      </c>
      <c r="CW712" t="s">
        <v>987</v>
      </c>
      <c r="CX712" t="s">
        <v>5326</v>
      </c>
      <c r="CY712" t="s">
        <v>989</v>
      </c>
    </row>
    <row r="713" spans="1:103" hidden="1" x14ac:dyDescent="0.25">
      <c r="A713">
        <v>410000717</v>
      </c>
      <c r="B713" t="s">
        <v>5327</v>
      </c>
      <c r="C713" t="s">
        <v>5328</v>
      </c>
      <c r="D713">
        <v>401100000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1</v>
      </c>
      <c r="Y713" t="s">
        <v>972</v>
      </c>
      <c r="Z713" t="s">
        <v>5329</v>
      </c>
      <c r="AA713" t="s">
        <v>5330</v>
      </c>
      <c r="AB713" t="s">
        <v>975</v>
      </c>
      <c r="AC713">
        <v>4052</v>
      </c>
      <c r="AD713" t="s">
        <v>1261</v>
      </c>
      <c r="AE713">
        <v>3243686060</v>
      </c>
      <c r="AF713" t="s">
        <v>979</v>
      </c>
      <c r="AG713" t="s">
        <v>5331</v>
      </c>
      <c r="AH713" t="s">
        <v>977</v>
      </c>
      <c r="AI713" t="s">
        <v>977</v>
      </c>
      <c r="AJ713" t="s">
        <v>978</v>
      </c>
      <c r="AK713" t="s">
        <v>978</v>
      </c>
      <c r="AL713" t="s">
        <v>978</v>
      </c>
      <c r="AM713" t="s">
        <v>979</v>
      </c>
      <c r="AN713">
        <v>0</v>
      </c>
      <c r="AO713" t="s">
        <v>257</v>
      </c>
      <c r="AP713">
        <v>0</v>
      </c>
      <c r="AQ713">
        <v>1</v>
      </c>
      <c r="AR713">
        <v>43</v>
      </c>
      <c r="AS713">
        <v>1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1</v>
      </c>
      <c r="AZ713" t="s">
        <v>257</v>
      </c>
      <c r="BA713" t="s">
        <v>980</v>
      </c>
      <c r="BB713" t="s">
        <v>981</v>
      </c>
      <c r="BC713" t="s">
        <v>257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 t="s">
        <v>998</v>
      </c>
      <c r="BK713" t="s">
        <v>981</v>
      </c>
      <c r="BL713" t="s">
        <v>5327</v>
      </c>
      <c r="BM713">
        <v>20211115</v>
      </c>
      <c r="BN713">
        <v>20211115</v>
      </c>
      <c r="BO713">
        <v>0</v>
      </c>
      <c r="BP713" t="s">
        <v>257</v>
      </c>
      <c r="BQ713" t="s">
        <v>983</v>
      </c>
      <c r="BR713" t="s">
        <v>978</v>
      </c>
      <c r="BS713" t="s">
        <v>979</v>
      </c>
      <c r="BT713">
        <v>0</v>
      </c>
      <c r="BU713">
        <v>0</v>
      </c>
      <c r="BV713" t="s">
        <v>984</v>
      </c>
      <c r="BW713" t="s">
        <v>257</v>
      </c>
      <c r="BX713">
        <v>0</v>
      </c>
      <c r="BY713" t="s">
        <v>980</v>
      </c>
      <c r="BZ713" t="s">
        <v>257</v>
      </c>
      <c r="CA713">
        <v>0</v>
      </c>
      <c r="CB713">
        <v>0</v>
      </c>
      <c r="CC713" t="s">
        <v>1916</v>
      </c>
      <c r="CD713">
        <v>0</v>
      </c>
      <c r="CE713">
        <v>0</v>
      </c>
      <c r="CF713">
        <v>0</v>
      </c>
      <c r="CG713">
        <v>0</v>
      </c>
      <c r="CH713">
        <v>0</v>
      </c>
      <c r="CI713" t="s">
        <v>983</v>
      </c>
      <c r="CJ713" t="s">
        <v>972</v>
      </c>
      <c r="CK713" t="s">
        <v>986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 t="s">
        <v>987</v>
      </c>
      <c r="CV713">
        <v>400008717</v>
      </c>
      <c r="CW713" t="s">
        <v>987</v>
      </c>
      <c r="CX713" t="s">
        <v>5332</v>
      </c>
      <c r="CY713" t="s">
        <v>989</v>
      </c>
    </row>
    <row r="714" spans="1:103" hidden="1" x14ac:dyDescent="0.25">
      <c r="A714">
        <v>410000718</v>
      </c>
      <c r="B714" t="s">
        <v>5333</v>
      </c>
      <c r="C714" t="s">
        <v>5334</v>
      </c>
      <c r="D714">
        <v>401100000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1</v>
      </c>
      <c r="Y714" t="s">
        <v>972</v>
      </c>
      <c r="Z714" t="s">
        <v>5335</v>
      </c>
      <c r="AA714" t="s">
        <v>5336</v>
      </c>
      <c r="AB714" t="s">
        <v>975</v>
      </c>
      <c r="AC714">
        <v>4690</v>
      </c>
      <c r="AD714" t="s">
        <v>1540</v>
      </c>
      <c r="AE714">
        <v>32479409399</v>
      </c>
      <c r="AF714" t="s">
        <v>979</v>
      </c>
      <c r="AG714" t="s">
        <v>977</v>
      </c>
      <c r="AH714" t="s">
        <v>977</v>
      </c>
      <c r="AI714">
        <v>93110</v>
      </c>
      <c r="AJ714" t="s">
        <v>978</v>
      </c>
      <c r="AK714" t="s">
        <v>978</v>
      </c>
      <c r="AL714" t="s">
        <v>978</v>
      </c>
      <c r="AM714" t="s">
        <v>979</v>
      </c>
      <c r="AN714">
        <v>0</v>
      </c>
      <c r="AO714" t="s">
        <v>257</v>
      </c>
      <c r="AP714">
        <v>0</v>
      </c>
      <c r="AQ714">
        <v>1</v>
      </c>
      <c r="AR714">
        <v>43</v>
      </c>
      <c r="AS714">
        <v>1</v>
      </c>
      <c r="AT714">
        <v>0</v>
      </c>
      <c r="AU714">
        <v>1</v>
      </c>
      <c r="AV714">
        <v>0</v>
      </c>
      <c r="AW714">
        <v>0</v>
      </c>
      <c r="AX714">
        <v>0</v>
      </c>
      <c r="AY714">
        <v>1</v>
      </c>
      <c r="AZ714" t="s">
        <v>257</v>
      </c>
      <c r="BA714" t="s">
        <v>980</v>
      </c>
      <c r="BB714" t="s">
        <v>981</v>
      </c>
      <c r="BC714" t="s">
        <v>257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 t="s">
        <v>998</v>
      </c>
      <c r="BK714" t="s">
        <v>981</v>
      </c>
      <c r="BL714" t="s">
        <v>5333</v>
      </c>
      <c r="BM714">
        <v>20211115</v>
      </c>
      <c r="BN714">
        <v>20211115</v>
      </c>
      <c r="BO714">
        <v>0</v>
      </c>
      <c r="BP714" t="s">
        <v>257</v>
      </c>
      <c r="BQ714" t="s">
        <v>983</v>
      </c>
      <c r="BR714" t="s">
        <v>978</v>
      </c>
      <c r="BS714" t="s">
        <v>979</v>
      </c>
      <c r="BT714">
        <v>0</v>
      </c>
      <c r="BU714">
        <v>0</v>
      </c>
      <c r="BV714" t="s">
        <v>984</v>
      </c>
      <c r="BW714" t="s">
        <v>257</v>
      </c>
      <c r="BX714">
        <v>0</v>
      </c>
      <c r="BY714" t="s">
        <v>980</v>
      </c>
      <c r="BZ714" t="s">
        <v>257</v>
      </c>
      <c r="CA714">
        <v>0</v>
      </c>
      <c r="CB714">
        <v>0</v>
      </c>
      <c r="CC714" t="s">
        <v>1371</v>
      </c>
      <c r="CD714">
        <v>0</v>
      </c>
      <c r="CE714">
        <v>0</v>
      </c>
      <c r="CF714">
        <v>0</v>
      </c>
      <c r="CG714">
        <v>0</v>
      </c>
      <c r="CH714">
        <v>0</v>
      </c>
      <c r="CI714" t="s">
        <v>983</v>
      </c>
      <c r="CJ714" t="s">
        <v>972</v>
      </c>
      <c r="CK714" t="s">
        <v>986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 t="s">
        <v>987</v>
      </c>
      <c r="CV714">
        <v>400008718</v>
      </c>
      <c r="CW714" t="s">
        <v>987</v>
      </c>
      <c r="CX714" t="s">
        <v>5337</v>
      </c>
      <c r="CY714" t="s">
        <v>989</v>
      </c>
    </row>
    <row r="715" spans="1:103" hidden="1" x14ac:dyDescent="0.25">
      <c r="A715">
        <v>410000719</v>
      </c>
      <c r="B715" t="s">
        <v>5338</v>
      </c>
      <c r="C715" t="s">
        <v>5339</v>
      </c>
      <c r="D715">
        <v>401100000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</v>
      </c>
      <c r="W715">
        <v>1</v>
      </c>
      <c r="X715">
        <v>1</v>
      </c>
      <c r="Y715" t="s">
        <v>972</v>
      </c>
      <c r="Z715" t="s">
        <v>5340</v>
      </c>
      <c r="AA715" t="s">
        <v>5341</v>
      </c>
      <c r="AB715" t="s">
        <v>975</v>
      </c>
      <c r="AC715">
        <v>4000</v>
      </c>
      <c r="AD715" t="s">
        <v>1019</v>
      </c>
      <c r="AE715">
        <v>32497556145</v>
      </c>
      <c r="AF715" t="s">
        <v>979</v>
      </c>
      <c r="AG715" t="s">
        <v>977</v>
      </c>
      <c r="AH715" t="s">
        <v>977</v>
      </c>
      <c r="AI715" t="s">
        <v>977</v>
      </c>
      <c r="AJ715" t="s">
        <v>978</v>
      </c>
      <c r="AK715" t="s">
        <v>978</v>
      </c>
      <c r="AL715" t="s">
        <v>978</v>
      </c>
      <c r="AM715" t="s">
        <v>979</v>
      </c>
      <c r="AN715">
        <v>0</v>
      </c>
      <c r="AO715" t="s">
        <v>257</v>
      </c>
      <c r="AP715">
        <v>0</v>
      </c>
      <c r="AQ715">
        <v>1</v>
      </c>
      <c r="AR715">
        <v>43</v>
      </c>
      <c r="AS715">
        <v>1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1</v>
      </c>
      <c r="AZ715" t="s">
        <v>257</v>
      </c>
      <c r="BA715" t="s">
        <v>980</v>
      </c>
      <c r="BB715" t="s">
        <v>981</v>
      </c>
      <c r="BC715" t="s">
        <v>257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 t="s">
        <v>998</v>
      </c>
      <c r="BK715" t="s">
        <v>981</v>
      </c>
      <c r="BL715" t="s">
        <v>5338</v>
      </c>
      <c r="BM715">
        <v>20211115</v>
      </c>
      <c r="BN715">
        <v>0</v>
      </c>
      <c r="BO715">
        <v>0</v>
      </c>
      <c r="BP715" t="s">
        <v>257</v>
      </c>
      <c r="BQ715" t="s">
        <v>983</v>
      </c>
      <c r="BR715" t="s">
        <v>978</v>
      </c>
      <c r="BS715" t="s">
        <v>979</v>
      </c>
      <c r="BT715">
        <v>0</v>
      </c>
      <c r="BU715">
        <v>0</v>
      </c>
      <c r="BV715" t="s">
        <v>984</v>
      </c>
      <c r="BW715" t="s">
        <v>257</v>
      </c>
      <c r="BX715">
        <v>0</v>
      </c>
      <c r="BY715" t="s">
        <v>980</v>
      </c>
      <c r="BZ715" t="s">
        <v>257</v>
      </c>
      <c r="CA715">
        <v>0</v>
      </c>
      <c r="CB715">
        <v>0</v>
      </c>
      <c r="CC715" t="s">
        <v>1371</v>
      </c>
      <c r="CD715">
        <v>0</v>
      </c>
      <c r="CE715">
        <v>0</v>
      </c>
      <c r="CF715">
        <v>0</v>
      </c>
      <c r="CG715">
        <v>0</v>
      </c>
      <c r="CH715">
        <v>0</v>
      </c>
      <c r="CI715" t="s">
        <v>983</v>
      </c>
      <c r="CJ715" t="s">
        <v>972</v>
      </c>
      <c r="CK715" t="s">
        <v>986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 t="s">
        <v>987</v>
      </c>
      <c r="CV715">
        <v>400008719</v>
      </c>
      <c r="CW715" t="s">
        <v>987</v>
      </c>
      <c r="CX715" t="s">
        <v>5342</v>
      </c>
      <c r="CY715" t="s">
        <v>989</v>
      </c>
    </row>
    <row r="716" spans="1:103" hidden="1" x14ac:dyDescent="0.25">
      <c r="A716">
        <v>410000720</v>
      </c>
      <c r="B716" t="s">
        <v>5343</v>
      </c>
      <c r="C716" t="s">
        <v>5344</v>
      </c>
      <c r="D716">
        <v>401100000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1</v>
      </c>
      <c r="Y716" t="s">
        <v>972</v>
      </c>
      <c r="Z716" t="s">
        <v>987</v>
      </c>
      <c r="AA716" t="s">
        <v>5345</v>
      </c>
      <c r="AB716" t="s">
        <v>975</v>
      </c>
      <c r="AC716">
        <v>4910</v>
      </c>
      <c r="AD716" t="s">
        <v>1189</v>
      </c>
      <c r="AE716">
        <v>3287293939</v>
      </c>
      <c r="AF716" t="s">
        <v>979</v>
      </c>
      <c r="AG716" t="s">
        <v>977</v>
      </c>
      <c r="AH716" t="s">
        <v>5346</v>
      </c>
      <c r="AI716">
        <v>77110</v>
      </c>
      <c r="AJ716" t="s">
        <v>978</v>
      </c>
      <c r="AK716" t="s">
        <v>5347</v>
      </c>
      <c r="AL716" t="s">
        <v>978</v>
      </c>
      <c r="AM716" t="s">
        <v>979</v>
      </c>
      <c r="AN716">
        <v>0</v>
      </c>
      <c r="AO716" t="s">
        <v>257</v>
      </c>
      <c r="AP716">
        <v>0</v>
      </c>
      <c r="AQ716">
        <v>1</v>
      </c>
      <c r="AR716">
        <v>43</v>
      </c>
      <c r="AS716">
        <v>1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1</v>
      </c>
      <c r="AZ716" t="s">
        <v>257</v>
      </c>
      <c r="BA716" t="s">
        <v>980</v>
      </c>
      <c r="BB716" t="s">
        <v>981</v>
      </c>
      <c r="BC716" t="s">
        <v>257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 t="s">
        <v>998</v>
      </c>
      <c r="BK716" t="s">
        <v>981</v>
      </c>
      <c r="BL716" t="s">
        <v>5343</v>
      </c>
      <c r="BM716">
        <v>20211115</v>
      </c>
      <c r="BN716">
        <v>20211116</v>
      </c>
      <c r="BO716">
        <v>0</v>
      </c>
      <c r="BP716" t="s">
        <v>257</v>
      </c>
      <c r="BQ716" t="s">
        <v>983</v>
      </c>
      <c r="BR716" t="s">
        <v>978</v>
      </c>
      <c r="BS716" t="s">
        <v>979</v>
      </c>
      <c r="BT716">
        <v>0</v>
      </c>
      <c r="BU716">
        <v>0</v>
      </c>
      <c r="BV716" t="s">
        <v>984</v>
      </c>
      <c r="BW716" t="s">
        <v>257</v>
      </c>
      <c r="BX716">
        <v>0</v>
      </c>
      <c r="BY716" t="s">
        <v>980</v>
      </c>
      <c r="BZ716" t="s">
        <v>257</v>
      </c>
      <c r="CA716">
        <v>0</v>
      </c>
      <c r="CB716">
        <v>0</v>
      </c>
      <c r="CC716" t="s">
        <v>2709</v>
      </c>
      <c r="CD716">
        <v>0</v>
      </c>
      <c r="CE716">
        <v>0</v>
      </c>
      <c r="CF716">
        <v>0</v>
      </c>
      <c r="CG716">
        <v>0</v>
      </c>
      <c r="CH716">
        <v>0</v>
      </c>
      <c r="CI716" t="s">
        <v>983</v>
      </c>
      <c r="CJ716" t="s">
        <v>972</v>
      </c>
      <c r="CK716" t="s">
        <v>986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 t="s">
        <v>987</v>
      </c>
      <c r="CV716">
        <v>400008720</v>
      </c>
      <c r="CW716" t="s">
        <v>987</v>
      </c>
      <c r="CX716" t="s">
        <v>5348</v>
      </c>
      <c r="CY716" t="s">
        <v>989</v>
      </c>
    </row>
    <row r="717" spans="1:103" hidden="1" x14ac:dyDescent="0.25">
      <c r="A717">
        <v>410000721</v>
      </c>
      <c r="B717" t="s">
        <v>5349</v>
      </c>
      <c r="C717" t="s">
        <v>5350</v>
      </c>
      <c r="D717">
        <v>401100000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1</v>
      </c>
      <c r="Y717" t="s">
        <v>972</v>
      </c>
      <c r="Z717" t="s">
        <v>4052</v>
      </c>
      <c r="AA717" t="s">
        <v>5351</v>
      </c>
      <c r="AB717" t="s">
        <v>975</v>
      </c>
      <c r="AC717">
        <v>4032</v>
      </c>
      <c r="AD717" t="s">
        <v>4038</v>
      </c>
      <c r="AE717">
        <v>32495446457</v>
      </c>
      <c r="AF717" t="s">
        <v>979</v>
      </c>
      <c r="AG717" t="s">
        <v>5352</v>
      </c>
      <c r="AH717" t="s">
        <v>977</v>
      </c>
      <c r="AI717">
        <v>47252</v>
      </c>
      <c r="AJ717" t="s">
        <v>978</v>
      </c>
      <c r="AK717" t="s">
        <v>978</v>
      </c>
      <c r="AL717" t="s">
        <v>978</v>
      </c>
      <c r="AM717" t="s">
        <v>979</v>
      </c>
      <c r="AN717">
        <v>0</v>
      </c>
      <c r="AO717" t="s">
        <v>257</v>
      </c>
      <c r="AP717">
        <v>0</v>
      </c>
      <c r="AQ717">
        <v>1</v>
      </c>
      <c r="AR717">
        <v>43</v>
      </c>
      <c r="AS717">
        <v>1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1</v>
      </c>
      <c r="AZ717" t="s">
        <v>257</v>
      </c>
      <c r="BA717" t="s">
        <v>980</v>
      </c>
      <c r="BB717" t="s">
        <v>981</v>
      </c>
      <c r="BC717" t="s">
        <v>257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 t="s">
        <v>998</v>
      </c>
      <c r="BK717" t="s">
        <v>981</v>
      </c>
      <c r="BL717" t="s">
        <v>5349</v>
      </c>
      <c r="BM717">
        <v>20211116</v>
      </c>
      <c r="BN717">
        <v>20211116</v>
      </c>
      <c r="BO717">
        <v>0</v>
      </c>
      <c r="BP717" t="s">
        <v>257</v>
      </c>
      <c r="BQ717" t="s">
        <v>983</v>
      </c>
      <c r="BR717" t="s">
        <v>978</v>
      </c>
      <c r="BS717" t="s">
        <v>979</v>
      </c>
      <c r="BT717">
        <v>0</v>
      </c>
      <c r="BU717">
        <v>0</v>
      </c>
      <c r="BV717" t="s">
        <v>984</v>
      </c>
      <c r="BW717" t="s">
        <v>257</v>
      </c>
      <c r="BX717">
        <v>0</v>
      </c>
      <c r="BY717" t="s">
        <v>980</v>
      </c>
      <c r="BZ717" t="s">
        <v>257</v>
      </c>
      <c r="CA717">
        <v>0</v>
      </c>
      <c r="CB717">
        <v>0</v>
      </c>
      <c r="CC717" t="s">
        <v>1220</v>
      </c>
      <c r="CD717">
        <v>0</v>
      </c>
      <c r="CE717">
        <v>0</v>
      </c>
      <c r="CF717">
        <v>0</v>
      </c>
      <c r="CG717">
        <v>0</v>
      </c>
      <c r="CH717">
        <v>0</v>
      </c>
      <c r="CI717" t="s">
        <v>983</v>
      </c>
      <c r="CJ717" t="s">
        <v>972</v>
      </c>
      <c r="CK717" t="s">
        <v>986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 t="s">
        <v>987</v>
      </c>
      <c r="CV717">
        <v>400008721</v>
      </c>
      <c r="CW717" t="s">
        <v>987</v>
      </c>
      <c r="CX717" t="s">
        <v>5353</v>
      </c>
      <c r="CY717" t="s">
        <v>989</v>
      </c>
    </row>
    <row r="718" spans="1:103" hidden="1" x14ac:dyDescent="0.25">
      <c r="A718">
        <v>410000722</v>
      </c>
      <c r="B718" t="s">
        <v>5354</v>
      </c>
      <c r="C718" t="s">
        <v>5355</v>
      </c>
      <c r="D718">
        <v>401100000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1</v>
      </c>
      <c r="X718">
        <v>1</v>
      </c>
      <c r="Y718" t="s">
        <v>972</v>
      </c>
      <c r="Z718" t="s">
        <v>5356</v>
      </c>
      <c r="AA718" t="s">
        <v>5357</v>
      </c>
      <c r="AB718" t="s">
        <v>975</v>
      </c>
      <c r="AC718">
        <v>4601</v>
      </c>
      <c r="AD718" t="s">
        <v>3764</v>
      </c>
      <c r="AE718">
        <v>32478839852</v>
      </c>
      <c r="AF718" t="s">
        <v>979</v>
      </c>
      <c r="AG718" t="s">
        <v>977</v>
      </c>
      <c r="AH718" t="s">
        <v>977</v>
      </c>
      <c r="AI718">
        <v>47761</v>
      </c>
      <c r="AJ718" t="s">
        <v>978</v>
      </c>
      <c r="AK718" t="s">
        <v>978</v>
      </c>
      <c r="AL718" t="s">
        <v>978</v>
      </c>
      <c r="AM718" t="s">
        <v>979</v>
      </c>
      <c r="AN718">
        <v>0</v>
      </c>
      <c r="AO718" t="s">
        <v>257</v>
      </c>
      <c r="AP718">
        <v>0</v>
      </c>
      <c r="AQ718">
        <v>1</v>
      </c>
      <c r="AR718">
        <v>43</v>
      </c>
      <c r="AS718">
        <v>1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1</v>
      </c>
      <c r="AZ718" t="s">
        <v>257</v>
      </c>
      <c r="BA718" t="s">
        <v>980</v>
      </c>
      <c r="BB718" t="s">
        <v>981</v>
      </c>
      <c r="BC718" t="s">
        <v>257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 t="s">
        <v>998</v>
      </c>
      <c r="BK718" t="s">
        <v>981</v>
      </c>
      <c r="BL718" t="s">
        <v>5354</v>
      </c>
      <c r="BM718">
        <v>20211116</v>
      </c>
      <c r="BN718">
        <v>20211116</v>
      </c>
      <c r="BO718">
        <v>0</v>
      </c>
      <c r="BP718" t="s">
        <v>257</v>
      </c>
      <c r="BQ718" t="s">
        <v>983</v>
      </c>
      <c r="BR718" t="s">
        <v>978</v>
      </c>
      <c r="BS718" t="s">
        <v>979</v>
      </c>
      <c r="BT718">
        <v>0</v>
      </c>
      <c r="BU718">
        <v>0</v>
      </c>
      <c r="BV718" t="s">
        <v>984</v>
      </c>
      <c r="BW718" t="s">
        <v>257</v>
      </c>
      <c r="BX718">
        <v>0</v>
      </c>
      <c r="BY718" t="s">
        <v>980</v>
      </c>
      <c r="BZ718" t="s">
        <v>257</v>
      </c>
      <c r="CA718">
        <v>0</v>
      </c>
      <c r="CB718">
        <v>0</v>
      </c>
      <c r="CC718" t="s">
        <v>1119</v>
      </c>
      <c r="CD718">
        <v>0</v>
      </c>
      <c r="CE718">
        <v>0</v>
      </c>
      <c r="CF718">
        <v>0</v>
      </c>
      <c r="CG718">
        <v>0</v>
      </c>
      <c r="CH718">
        <v>0</v>
      </c>
      <c r="CI718" t="s">
        <v>983</v>
      </c>
      <c r="CJ718" t="s">
        <v>972</v>
      </c>
      <c r="CK718" t="s">
        <v>986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 t="s">
        <v>987</v>
      </c>
      <c r="CV718">
        <v>400008722</v>
      </c>
      <c r="CW718" t="s">
        <v>987</v>
      </c>
      <c r="CX718" t="s">
        <v>5358</v>
      </c>
      <c r="CY718" t="s">
        <v>989</v>
      </c>
    </row>
    <row r="719" spans="1:103" hidden="1" x14ac:dyDescent="0.25">
      <c r="A719">
        <v>410000723</v>
      </c>
      <c r="B719" t="s">
        <v>5359</v>
      </c>
      <c r="C719" t="s">
        <v>5360</v>
      </c>
      <c r="D719">
        <v>401100000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1</v>
      </c>
      <c r="Y719" t="s">
        <v>972</v>
      </c>
      <c r="Z719" t="s">
        <v>5361</v>
      </c>
      <c r="AA719" t="s">
        <v>5362</v>
      </c>
      <c r="AB719" t="s">
        <v>975</v>
      </c>
      <c r="AC719">
        <v>4000</v>
      </c>
      <c r="AD719" t="s">
        <v>1019</v>
      </c>
      <c r="AE719">
        <v>32475719296</v>
      </c>
      <c r="AF719" t="s">
        <v>979</v>
      </c>
      <c r="AG719" t="s">
        <v>977</v>
      </c>
      <c r="AH719" t="s">
        <v>977</v>
      </c>
      <c r="AI719">
        <v>56101</v>
      </c>
      <c r="AJ719" t="s">
        <v>978</v>
      </c>
      <c r="AK719" t="s">
        <v>978</v>
      </c>
      <c r="AL719" t="s">
        <v>978</v>
      </c>
      <c r="AM719" t="s">
        <v>979</v>
      </c>
      <c r="AN719">
        <v>0</v>
      </c>
      <c r="AO719" t="s">
        <v>257</v>
      </c>
      <c r="AP719">
        <v>0</v>
      </c>
      <c r="AQ719">
        <v>1</v>
      </c>
      <c r="AR719">
        <v>43</v>
      </c>
      <c r="AS719">
        <v>1</v>
      </c>
      <c r="AT719">
        <v>0</v>
      </c>
      <c r="AU719">
        <v>1</v>
      </c>
      <c r="AV719">
        <v>0</v>
      </c>
      <c r="AW719">
        <v>0</v>
      </c>
      <c r="AX719">
        <v>0</v>
      </c>
      <c r="AY719">
        <v>1</v>
      </c>
      <c r="AZ719" t="s">
        <v>257</v>
      </c>
      <c r="BA719" t="s">
        <v>980</v>
      </c>
      <c r="BB719" t="s">
        <v>981</v>
      </c>
      <c r="BC719" t="s">
        <v>257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 t="s">
        <v>998</v>
      </c>
      <c r="BK719" t="s">
        <v>981</v>
      </c>
      <c r="BL719" t="s">
        <v>5359</v>
      </c>
      <c r="BM719">
        <v>20211116</v>
      </c>
      <c r="BN719">
        <v>20211116</v>
      </c>
      <c r="BO719">
        <v>0</v>
      </c>
      <c r="BP719" t="s">
        <v>257</v>
      </c>
      <c r="BQ719" t="s">
        <v>983</v>
      </c>
      <c r="BR719" t="s">
        <v>978</v>
      </c>
      <c r="BS719" t="s">
        <v>979</v>
      </c>
      <c r="BT719">
        <v>0</v>
      </c>
      <c r="BU719">
        <v>0</v>
      </c>
      <c r="BV719" t="s">
        <v>984</v>
      </c>
      <c r="BW719" t="s">
        <v>257</v>
      </c>
      <c r="BX719">
        <v>0</v>
      </c>
      <c r="BY719" t="s">
        <v>980</v>
      </c>
      <c r="BZ719" t="s">
        <v>257</v>
      </c>
      <c r="CA719">
        <v>0</v>
      </c>
      <c r="CB719">
        <v>0</v>
      </c>
      <c r="CC719" t="s">
        <v>1119</v>
      </c>
      <c r="CD719">
        <v>0</v>
      </c>
      <c r="CE719">
        <v>0</v>
      </c>
      <c r="CF719">
        <v>0</v>
      </c>
      <c r="CG719">
        <v>0</v>
      </c>
      <c r="CH719">
        <v>0</v>
      </c>
      <c r="CI719" t="s">
        <v>983</v>
      </c>
      <c r="CJ719" t="s">
        <v>972</v>
      </c>
      <c r="CK719" t="s">
        <v>986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 t="s">
        <v>987</v>
      </c>
      <c r="CV719">
        <v>400008723</v>
      </c>
      <c r="CW719" t="s">
        <v>987</v>
      </c>
      <c r="CX719" t="s">
        <v>5363</v>
      </c>
      <c r="CY719" t="s">
        <v>989</v>
      </c>
    </row>
    <row r="720" spans="1:103" hidden="1" x14ac:dyDescent="0.25">
      <c r="A720">
        <v>410000724</v>
      </c>
      <c r="B720" t="s">
        <v>5364</v>
      </c>
      <c r="C720" t="s">
        <v>5365</v>
      </c>
      <c r="D720">
        <v>401100000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1</v>
      </c>
      <c r="Y720" t="s">
        <v>972</v>
      </c>
      <c r="Z720" t="s">
        <v>4052</v>
      </c>
      <c r="AA720" t="s">
        <v>5366</v>
      </c>
      <c r="AB720" t="s">
        <v>975</v>
      </c>
      <c r="AC720">
        <v>4000</v>
      </c>
      <c r="AD720" t="s">
        <v>1019</v>
      </c>
      <c r="AE720">
        <v>32491878292</v>
      </c>
      <c r="AF720" t="s">
        <v>979</v>
      </c>
      <c r="AG720" t="s">
        <v>5367</v>
      </c>
      <c r="AH720" t="s">
        <v>977</v>
      </c>
      <c r="AI720">
        <v>56301</v>
      </c>
      <c r="AJ720" t="s">
        <v>978</v>
      </c>
      <c r="AK720" t="s">
        <v>978</v>
      </c>
      <c r="AL720" t="s">
        <v>978</v>
      </c>
      <c r="AM720" t="s">
        <v>979</v>
      </c>
      <c r="AN720">
        <v>0</v>
      </c>
      <c r="AO720" t="s">
        <v>257</v>
      </c>
      <c r="AP720">
        <v>0</v>
      </c>
      <c r="AQ720">
        <v>1</v>
      </c>
      <c r="AR720">
        <v>43</v>
      </c>
      <c r="AS720">
        <v>1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1</v>
      </c>
      <c r="AZ720" t="s">
        <v>257</v>
      </c>
      <c r="BA720" t="s">
        <v>980</v>
      </c>
      <c r="BB720" t="s">
        <v>981</v>
      </c>
      <c r="BC720" t="s">
        <v>257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 t="s">
        <v>998</v>
      </c>
      <c r="BK720" t="s">
        <v>981</v>
      </c>
      <c r="BL720" t="s">
        <v>5364</v>
      </c>
      <c r="BM720">
        <v>20211116</v>
      </c>
      <c r="BN720">
        <v>20211117</v>
      </c>
      <c r="BO720">
        <v>0</v>
      </c>
      <c r="BP720" t="s">
        <v>257</v>
      </c>
      <c r="BQ720" t="s">
        <v>983</v>
      </c>
      <c r="BR720" t="s">
        <v>978</v>
      </c>
      <c r="BS720" t="s">
        <v>979</v>
      </c>
      <c r="BT720">
        <v>0</v>
      </c>
      <c r="BU720">
        <v>0</v>
      </c>
      <c r="BV720" t="s">
        <v>984</v>
      </c>
      <c r="BW720" t="s">
        <v>257</v>
      </c>
      <c r="BX720">
        <v>0</v>
      </c>
      <c r="BY720" t="s">
        <v>980</v>
      </c>
      <c r="BZ720" t="s">
        <v>257</v>
      </c>
      <c r="CA720">
        <v>0</v>
      </c>
      <c r="CB720">
        <v>0</v>
      </c>
      <c r="CC720" t="s">
        <v>1391</v>
      </c>
      <c r="CD720">
        <v>0</v>
      </c>
      <c r="CE720">
        <v>0</v>
      </c>
      <c r="CF720">
        <v>0</v>
      </c>
      <c r="CG720">
        <v>0</v>
      </c>
      <c r="CH720">
        <v>0</v>
      </c>
      <c r="CI720" t="s">
        <v>983</v>
      </c>
      <c r="CJ720" t="s">
        <v>972</v>
      </c>
      <c r="CK720" t="s">
        <v>986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 t="s">
        <v>987</v>
      </c>
      <c r="CV720">
        <v>400008724</v>
      </c>
      <c r="CW720" t="s">
        <v>987</v>
      </c>
      <c r="CX720" t="s">
        <v>5368</v>
      </c>
      <c r="CY720" t="s">
        <v>989</v>
      </c>
    </row>
    <row r="721" spans="1:103" hidden="1" x14ac:dyDescent="0.25">
      <c r="A721">
        <v>410000725</v>
      </c>
      <c r="B721" t="s">
        <v>5369</v>
      </c>
      <c r="C721" t="s">
        <v>5370</v>
      </c>
      <c r="D721">
        <v>401100000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1</v>
      </c>
      <c r="Y721" t="s">
        <v>972</v>
      </c>
      <c r="Z721" t="s">
        <v>987</v>
      </c>
      <c r="AA721" t="s">
        <v>5371</v>
      </c>
      <c r="AB721" t="s">
        <v>975</v>
      </c>
      <c r="AC721">
        <v>4802</v>
      </c>
      <c r="AD721" t="s">
        <v>1124</v>
      </c>
      <c r="AE721">
        <v>3287227104</v>
      </c>
      <c r="AF721" t="s">
        <v>979</v>
      </c>
      <c r="AG721" t="s">
        <v>977</v>
      </c>
      <c r="AH721" t="s">
        <v>977</v>
      </c>
      <c r="AI721">
        <v>46412</v>
      </c>
      <c r="AJ721" t="s">
        <v>978</v>
      </c>
      <c r="AK721" t="s">
        <v>978</v>
      </c>
      <c r="AL721" t="s">
        <v>978</v>
      </c>
      <c r="AM721" t="s">
        <v>979</v>
      </c>
      <c r="AN721">
        <v>0</v>
      </c>
      <c r="AO721" t="s">
        <v>257</v>
      </c>
      <c r="AP721">
        <v>0</v>
      </c>
      <c r="AQ721">
        <v>1</v>
      </c>
      <c r="AR721">
        <v>43</v>
      </c>
      <c r="AS721">
        <v>1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1</v>
      </c>
      <c r="AZ721" t="s">
        <v>257</v>
      </c>
      <c r="BA721" t="s">
        <v>980</v>
      </c>
      <c r="BB721" t="s">
        <v>981</v>
      </c>
      <c r="BC721" t="s">
        <v>257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 t="s">
        <v>998</v>
      </c>
      <c r="BK721" t="s">
        <v>981</v>
      </c>
      <c r="BL721" t="s">
        <v>5369</v>
      </c>
      <c r="BM721">
        <v>20211126</v>
      </c>
      <c r="BN721">
        <v>20211127</v>
      </c>
      <c r="BO721">
        <v>0</v>
      </c>
      <c r="BP721" t="s">
        <v>257</v>
      </c>
      <c r="BQ721" t="s">
        <v>983</v>
      </c>
      <c r="BR721" t="s">
        <v>978</v>
      </c>
      <c r="BS721" t="s">
        <v>979</v>
      </c>
      <c r="BT721">
        <v>0</v>
      </c>
      <c r="BU721">
        <v>0</v>
      </c>
      <c r="BV721" t="s">
        <v>984</v>
      </c>
      <c r="BW721" t="s">
        <v>257</v>
      </c>
      <c r="BX721">
        <v>0</v>
      </c>
      <c r="BY721" t="s">
        <v>980</v>
      </c>
      <c r="BZ721" t="s">
        <v>257</v>
      </c>
      <c r="CA721">
        <v>0</v>
      </c>
      <c r="CB721">
        <v>0</v>
      </c>
      <c r="CC721" t="s">
        <v>1871</v>
      </c>
      <c r="CD721">
        <v>0</v>
      </c>
      <c r="CE721">
        <v>0</v>
      </c>
      <c r="CF721">
        <v>0</v>
      </c>
      <c r="CG721">
        <v>0</v>
      </c>
      <c r="CH721">
        <v>0</v>
      </c>
      <c r="CI721" t="s">
        <v>983</v>
      </c>
      <c r="CJ721" t="s">
        <v>972</v>
      </c>
      <c r="CK721" t="s">
        <v>986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 t="s">
        <v>987</v>
      </c>
      <c r="CV721">
        <v>400008725</v>
      </c>
      <c r="CW721" t="s">
        <v>987</v>
      </c>
      <c r="CX721" t="s">
        <v>5372</v>
      </c>
      <c r="CY721" t="s">
        <v>989</v>
      </c>
    </row>
    <row r="722" spans="1:103" hidden="1" x14ac:dyDescent="0.25">
      <c r="A722">
        <v>410000726</v>
      </c>
      <c r="B722" t="s">
        <v>5373</v>
      </c>
      <c r="C722" t="s">
        <v>5374</v>
      </c>
      <c r="D722">
        <v>401100000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1</v>
      </c>
      <c r="Y722" t="s">
        <v>972</v>
      </c>
      <c r="Z722" t="s">
        <v>987</v>
      </c>
      <c r="AA722" t="s">
        <v>5375</v>
      </c>
      <c r="AB722" t="s">
        <v>975</v>
      </c>
      <c r="AC722">
        <v>4000</v>
      </c>
      <c r="AD722" t="s">
        <v>1019</v>
      </c>
      <c r="AE722">
        <v>3242271977</v>
      </c>
      <c r="AF722" t="s">
        <v>979</v>
      </c>
      <c r="AG722" t="s">
        <v>977</v>
      </c>
      <c r="AH722" t="s">
        <v>977</v>
      </c>
      <c r="AI722">
        <v>46610</v>
      </c>
      <c r="AJ722" t="s">
        <v>978</v>
      </c>
      <c r="AK722" t="s">
        <v>978</v>
      </c>
      <c r="AL722" t="s">
        <v>978</v>
      </c>
      <c r="AM722" t="s">
        <v>979</v>
      </c>
      <c r="AN722">
        <v>0</v>
      </c>
      <c r="AO722" t="s">
        <v>257</v>
      </c>
      <c r="AP722">
        <v>0</v>
      </c>
      <c r="AQ722">
        <v>1</v>
      </c>
      <c r="AR722">
        <v>43</v>
      </c>
      <c r="AS722">
        <v>1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1</v>
      </c>
      <c r="AZ722" t="s">
        <v>257</v>
      </c>
      <c r="BA722" t="s">
        <v>980</v>
      </c>
      <c r="BB722" t="s">
        <v>981</v>
      </c>
      <c r="BC722" t="s">
        <v>257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 t="s">
        <v>998</v>
      </c>
      <c r="BK722" t="s">
        <v>981</v>
      </c>
      <c r="BL722" t="s">
        <v>5373</v>
      </c>
      <c r="BM722">
        <v>20211129</v>
      </c>
      <c r="BN722">
        <v>20211130</v>
      </c>
      <c r="BO722">
        <v>0</v>
      </c>
      <c r="BP722" t="s">
        <v>257</v>
      </c>
      <c r="BQ722" t="s">
        <v>983</v>
      </c>
      <c r="BR722" t="s">
        <v>978</v>
      </c>
      <c r="BS722" t="s">
        <v>979</v>
      </c>
      <c r="BT722">
        <v>0</v>
      </c>
      <c r="BU722">
        <v>0</v>
      </c>
      <c r="BV722" t="s">
        <v>984</v>
      </c>
      <c r="BW722" t="s">
        <v>257</v>
      </c>
      <c r="BX722">
        <v>0</v>
      </c>
      <c r="BY722" t="s">
        <v>980</v>
      </c>
      <c r="BZ722" t="s">
        <v>257</v>
      </c>
      <c r="CA722">
        <v>0</v>
      </c>
      <c r="CB722">
        <v>0</v>
      </c>
      <c r="CC722" t="s">
        <v>985</v>
      </c>
      <c r="CD722">
        <v>0</v>
      </c>
      <c r="CE722">
        <v>0</v>
      </c>
      <c r="CF722">
        <v>0</v>
      </c>
      <c r="CG722">
        <v>0</v>
      </c>
      <c r="CH722">
        <v>0</v>
      </c>
      <c r="CI722" t="s">
        <v>983</v>
      </c>
      <c r="CJ722" t="s">
        <v>972</v>
      </c>
      <c r="CK722" t="s">
        <v>986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 t="s">
        <v>987</v>
      </c>
      <c r="CV722">
        <v>400008726</v>
      </c>
      <c r="CW722" t="s">
        <v>987</v>
      </c>
      <c r="CX722" t="s">
        <v>5376</v>
      </c>
      <c r="CY722" t="s">
        <v>989</v>
      </c>
    </row>
    <row r="723" spans="1:103" hidden="1" x14ac:dyDescent="0.25">
      <c r="A723">
        <v>410000727</v>
      </c>
      <c r="B723" t="s">
        <v>5377</v>
      </c>
      <c r="C723" t="s">
        <v>5378</v>
      </c>
      <c r="D723">
        <v>401100000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1</v>
      </c>
      <c r="Y723" t="s">
        <v>972</v>
      </c>
      <c r="Z723" t="s">
        <v>987</v>
      </c>
      <c r="AA723" t="s">
        <v>5379</v>
      </c>
      <c r="AB723" t="s">
        <v>975</v>
      </c>
      <c r="AC723">
        <v>4520</v>
      </c>
      <c r="AD723" t="s">
        <v>2090</v>
      </c>
      <c r="AE723">
        <v>3285255263</v>
      </c>
      <c r="AF723" t="s">
        <v>979</v>
      </c>
      <c r="AG723" t="s">
        <v>977</v>
      </c>
      <c r="AH723" t="s">
        <v>977</v>
      </c>
      <c r="AI723">
        <v>47252</v>
      </c>
      <c r="AJ723" t="s">
        <v>978</v>
      </c>
      <c r="AK723" t="s">
        <v>978</v>
      </c>
      <c r="AL723" t="s">
        <v>978</v>
      </c>
      <c r="AM723" t="s">
        <v>979</v>
      </c>
      <c r="AN723">
        <v>0</v>
      </c>
      <c r="AO723" t="s">
        <v>257</v>
      </c>
      <c r="AP723">
        <v>0</v>
      </c>
      <c r="AQ723">
        <v>1</v>
      </c>
      <c r="AR723">
        <v>43</v>
      </c>
      <c r="AS723">
        <v>1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1</v>
      </c>
      <c r="AZ723" t="s">
        <v>257</v>
      </c>
      <c r="BA723" t="s">
        <v>980</v>
      </c>
      <c r="BB723" t="s">
        <v>981</v>
      </c>
      <c r="BC723" t="s">
        <v>257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 t="s">
        <v>998</v>
      </c>
      <c r="BK723" t="s">
        <v>981</v>
      </c>
      <c r="BL723" t="s">
        <v>5377</v>
      </c>
      <c r="BM723">
        <v>20211130</v>
      </c>
      <c r="BN723">
        <v>20211130</v>
      </c>
      <c r="BO723">
        <v>0</v>
      </c>
      <c r="BP723" t="s">
        <v>257</v>
      </c>
      <c r="BQ723" t="s">
        <v>983</v>
      </c>
      <c r="BR723" t="s">
        <v>978</v>
      </c>
      <c r="BS723" t="s">
        <v>979</v>
      </c>
      <c r="BT723">
        <v>0</v>
      </c>
      <c r="BU723">
        <v>0</v>
      </c>
      <c r="BV723" t="s">
        <v>984</v>
      </c>
      <c r="BW723" t="s">
        <v>257</v>
      </c>
      <c r="BX723">
        <v>0</v>
      </c>
      <c r="BY723" t="s">
        <v>980</v>
      </c>
      <c r="BZ723" t="s">
        <v>257</v>
      </c>
      <c r="CA723">
        <v>0</v>
      </c>
      <c r="CB723">
        <v>0</v>
      </c>
      <c r="CC723" t="s">
        <v>1871</v>
      </c>
      <c r="CD723">
        <v>0</v>
      </c>
      <c r="CE723">
        <v>0</v>
      </c>
      <c r="CF723">
        <v>0</v>
      </c>
      <c r="CG723">
        <v>0</v>
      </c>
      <c r="CH723">
        <v>0</v>
      </c>
      <c r="CI723" t="s">
        <v>983</v>
      </c>
      <c r="CJ723" t="s">
        <v>972</v>
      </c>
      <c r="CK723" t="s">
        <v>986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 t="s">
        <v>987</v>
      </c>
      <c r="CV723">
        <v>400008727</v>
      </c>
      <c r="CW723" t="s">
        <v>987</v>
      </c>
      <c r="CX723" t="s">
        <v>1137</v>
      </c>
      <c r="CY723" t="s">
        <v>989</v>
      </c>
    </row>
    <row r="724" spans="1:103" hidden="1" x14ac:dyDescent="0.25">
      <c r="A724">
        <v>410000730</v>
      </c>
      <c r="B724" t="s">
        <v>5380</v>
      </c>
      <c r="C724" t="s">
        <v>5274</v>
      </c>
      <c r="D724">
        <v>401100000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1</v>
      </c>
      <c r="Y724" t="s">
        <v>972</v>
      </c>
      <c r="Z724" t="s">
        <v>987</v>
      </c>
      <c r="AA724" t="s">
        <v>5381</v>
      </c>
      <c r="AB724" t="s">
        <v>975</v>
      </c>
      <c r="AC724">
        <v>4040</v>
      </c>
      <c r="AD724" t="s">
        <v>976</v>
      </c>
      <c r="AE724">
        <v>3242483983</v>
      </c>
      <c r="AF724" t="s">
        <v>979</v>
      </c>
      <c r="AG724" t="s">
        <v>977</v>
      </c>
      <c r="AH724" t="s">
        <v>977</v>
      </c>
      <c r="AI724">
        <v>28220</v>
      </c>
      <c r="AJ724" t="s">
        <v>978</v>
      </c>
      <c r="AK724" t="s">
        <v>978</v>
      </c>
      <c r="AL724" t="s">
        <v>978</v>
      </c>
      <c r="AM724" t="s">
        <v>979</v>
      </c>
      <c r="AN724">
        <v>0</v>
      </c>
      <c r="AO724" t="s">
        <v>257</v>
      </c>
      <c r="AP724">
        <v>0</v>
      </c>
      <c r="AQ724">
        <v>1</v>
      </c>
      <c r="AR724">
        <v>43</v>
      </c>
      <c r="AS724">
        <v>1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1</v>
      </c>
      <c r="AZ724" t="s">
        <v>257</v>
      </c>
      <c r="BA724" t="s">
        <v>257</v>
      </c>
      <c r="BB724" t="s">
        <v>981</v>
      </c>
      <c r="BC724" t="s">
        <v>257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 t="s">
        <v>998</v>
      </c>
      <c r="BK724" t="s">
        <v>981</v>
      </c>
      <c r="BL724" t="s">
        <v>5380</v>
      </c>
      <c r="BM724">
        <v>20211203</v>
      </c>
      <c r="BN724">
        <v>20230404</v>
      </c>
      <c r="BO724">
        <v>0</v>
      </c>
      <c r="BP724" t="s">
        <v>257</v>
      </c>
      <c r="BQ724" t="s">
        <v>983</v>
      </c>
      <c r="BR724" t="s">
        <v>978</v>
      </c>
      <c r="BS724" t="s">
        <v>979</v>
      </c>
      <c r="BT724">
        <v>0</v>
      </c>
      <c r="BU724">
        <v>0</v>
      </c>
      <c r="BV724" t="s">
        <v>984</v>
      </c>
      <c r="BW724" t="s">
        <v>257</v>
      </c>
      <c r="BX724">
        <v>0</v>
      </c>
      <c r="BY724" t="s">
        <v>980</v>
      </c>
      <c r="BZ724" t="s">
        <v>257</v>
      </c>
      <c r="CA724">
        <v>0</v>
      </c>
      <c r="CB724">
        <v>0</v>
      </c>
      <c r="CC724" t="s">
        <v>1317</v>
      </c>
      <c r="CD724">
        <v>0</v>
      </c>
      <c r="CE724">
        <v>0</v>
      </c>
      <c r="CF724">
        <v>0</v>
      </c>
      <c r="CG724">
        <v>0</v>
      </c>
      <c r="CH724">
        <v>0</v>
      </c>
      <c r="CI724" t="s">
        <v>983</v>
      </c>
      <c r="CJ724" t="s">
        <v>972</v>
      </c>
      <c r="CK724" t="s">
        <v>986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 t="s">
        <v>987</v>
      </c>
      <c r="CV724">
        <v>400008730</v>
      </c>
      <c r="CW724" t="s">
        <v>987</v>
      </c>
      <c r="CX724" t="s">
        <v>5276</v>
      </c>
      <c r="CY724" t="s">
        <v>989</v>
      </c>
    </row>
    <row r="725" spans="1:103" hidden="1" x14ac:dyDescent="0.25">
      <c r="A725">
        <v>410000731</v>
      </c>
      <c r="B725" t="s">
        <v>5382</v>
      </c>
      <c r="C725" t="s">
        <v>7614</v>
      </c>
      <c r="D725">
        <v>401100000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1</v>
      </c>
      <c r="Y725" t="s">
        <v>972</v>
      </c>
      <c r="Z725" t="s">
        <v>987</v>
      </c>
      <c r="AA725" t="s">
        <v>5383</v>
      </c>
      <c r="AB725" t="s">
        <v>975</v>
      </c>
      <c r="AC725">
        <v>5300</v>
      </c>
      <c r="AD725" t="s">
        <v>5384</v>
      </c>
      <c r="AE725">
        <v>3285514674</v>
      </c>
      <c r="AF725" t="s">
        <v>979</v>
      </c>
      <c r="AG725" t="s">
        <v>977</v>
      </c>
      <c r="AH725" t="s">
        <v>977</v>
      </c>
      <c r="AI725">
        <v>69202</v>
      </c>
      <c r="AJ725" t="s">
        <v>978</v>
      </c>
      <c r="AK725" t="s">
        <v>978</v>
      </c>
      <c r="AL725" t="s">
        <v>978</v>
      </c>
      <c r="AM725" t="s">
        <v>979</v>
      </c>
      <c r="AN725">
        <v>0</v>
      </c>
      <c r="AO725" t="s">
        <v>257</v>
      </c>
      <c r="AP725">
        <v>0</v>
      </c>
      <c r="AQ725">
        <v>1</v>
      </c>
      <c r="AR725">
        <v>43</v>
      </c>
      <c r="AS725">
        <v>2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1</v>
      </c>
      <c r="AZ725" t="s">
        <v>257</v>
      </c>
      <c r="BA725" t="s">
        <v>257</v>
      </c>
      <c r="BB725" t="s">
        <v>981</v>
      </c>
      <c r="BC725" t="s">
        <v>257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410001145</v>
      </c>
      <c r="BJ725" t="s">
        <v>998</v>
      </c>
      <c r="BK725" t="s">
        <v>981</v>
      </c>
      <c r="BL725" t="s">
        <v>5382</v>
      </c>
      <c r="BM725">
        <v>20211207</v>
      </c>
      <c r="BN725">
        <v>20251231</v>
      </c>
      <c r="BO725">
        <v>0</v>
      </c>
      <c r="BP725" t="s">
        <v>257</v>
      </c>
      <c r="BQ725" t="s">
        <v>983</v>
      </c>
      <c r="BR725" t="s">
        <v>978</v>
      </c>
      <c r="BS725">
        <v>497331045</v>
      </c>
      <c r="BT725">
        <v>0</v>
      </c>
      <c r="BU725">
        <v>0</v>
      </c>
      <c r="BV725" t="s">
        <v>984</v>
      </c>
      <c r="BW725" t="s">
        <v>257</v>
      </c>
      <c r="BX725">
        <v>0</v>
      </c>
      <c r="BY725" t="s">
        <v>980</v>
      </c>
      <c r="BZ725" t="s">
        <v>257</v>
      </c>
      <c r="CA725">
        <v>0</v>
      </c>
      <c r="CB725">
        <v>0</v>
      </c>
      <c r="CC725" t="s">
        <v>1430</v>
      </c>
      <c r="CD725">
        <v>0</v>
      </c>
      <c r="CE725">
        <v>0</v>
      </c>
      <c r="CF725">
        <v>0</v>
      </c>
      <c r="CG725">
        <v>0</v>
      </c>
      <c r="CH725">
        <v>0</v>
      </c>
      <c r="CI725" t="s">
        <v>983</v>
      </c>
      <c r="CJ725" t="s">
        <v>972</v>
      </c>
      <c r="CK725" t="s">
        <v>986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 t="s">
        <v>987</v>
      </c>
      <c r="CV725">
        <v>400008731</v>
      </c>
      <c r="CW725" t="s">
        <v>987</v>
      </c>
      <c r="CX725" t="s">
        <v>5385</v>
      </c>
      <c r="CY725" t="s">
        <v>989</v>
      </c>
    </row>
    <row r="726" spans="1:103" hidden="1" x14ac:dyDescent="0.25">
      <c r="A726">
        <v>410000732</v>
      </c>
      <c r="B726" t="s">
        <v>5386</v>
      </c>
      <c r="C726" t="s">
        <v>5387</v>
      </c>
      <c r="D726">
        <v>401100000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1</v>
      </c>
      <c r="Y726" t="s">
        <v>972</v>
      </c>
      <c r="Z726" t="s">
        <v>987</v>
      </c>
      <c r="AA726" t="s">
        <v>5388</v>
      </c>
      <c r="AB726" t="s">
        <v>975</v>
      </c>
      <c r="AC726">
        <v>5570</v>
      </c>
      <c r="AD726" t="s">
        <v>5389</v>
      </c>
      <c r="AE726">
        <v>477447140</v>
      </c>
      <c r="AF726" t="s">
        <v>979</v>
      </c>
      <c r="AG726" t="s">
        <v>977</v>
      </c>
      <c r="AH726" t="s">
        <v>977</v>
      </c>
      <c r="AI726">
        <v>62020</v>
      </c>
      <c r="AJ726" t="s">
        <v>978</v>
      </c>
      <c r="AK726" t="s">
        <v>978</v>
      </c>
      <c r="AL726" t="s">
        <v>978</v>
      </c>
      <c r="AM726" t="s">
        <v>979</v>
      </c>
      <c r="AN726">
        <v>0</v>
      </c>
      <c r="AO726" t="s">
        <v>257</v>
      </c>
      <c r="AP726">
        <v>0</v>
      </c>
      <c r="AQ726">
        <v>1</v>
      </c>
      <c r="AR726">
        <v>43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1</v>
      </c>
      <c r="AZ726" t="s">
        <v>257</v>
      </c>
      <c r="BA726" t="s">
        <v>980</v>
      </c>
      <c r="BB726" t="s">
        <v>981</v>
      </c>
      <c r="BC726" t="s">
        <v>257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 t="s">
        <v>998</v>
      </c>
      <c r="BK726" t="s">
        <v>981</v>
      </c>
      <c r="BL726" t="s">
        <v>5386</v>
      </c>
      <c r="BM726">
        <v>20211214</v>
      </c>
      <c r="BN726">
        <v>20211215</v>
      </c>
      <c r="BO726">
        <v>0</v>
      </c>
      <c r="BP726" t="s">
        <v>257</v>
      </c>
      <c r="BQ726" t="s">
        <v>983</v>
      </c>
      <c r="BR726" t="s">
        <v>978</v>
      </c>
      <c r="BS726" t="s">
        <v>979</v>
      </c>
      <c r="BT726">
        <v>0</v>
      </c>
      <c r="BU726">
        <v>0</v>
      </c>
      <c r="BV726" t="s">
        <v>984</v>
      </c>
      <c r="BW726" t="s">
        <v>257</v>
      </c>
      <c r="BX726">
        <v>0</v>
      </c>
      <c r="BY726" t="s">
        <v>980</v>
      </c>
      <c r="BZ726" t="s">
        <v>257</v>
      </c>
      <c r="CA726">
        <v>0</v>
      </c>
      <c r="CB726">
        <v>0</v>
      </c>
      <c r="CC726" t="s">
        <v>5390</v>
      </c>
      <c r="CD726">
        <v>0</v>
      </c>
      <c r="CE726">
        <v>0</v>
      </c>
      <c r="CF726">
        <v>0</v>
      </c>
      <c r="CG726">
        <v>0</v>
      </c>
      <c r="CH726">
        <v>0</v>
      </c>
      <c r="CI726" t="s">
        <v>983</v>
      </c>
      <c r="CJ726" t="s">
        <v>972</v>
      </c>
      <c r="CK726" t="s">
        <v>986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 t="s">
        <v>987</v>
      </c>
      <c r="CV726">
        <v>400008732</v>
      </c>
      <c r="CW726" t="s">
        <v>987</v>
      </c>
      <c r="CX726" t="s">
        <v>5391</v>
      </c>
      <c r="CY726" t="s">
        <v>989</v>
      </c>
    </row>
    <row r="727" spans="1:103" hidden="1" x14ac:dyDescent="0.25">
      <c r="A727">
        <v>410000733</v>
      </c>
      <c r="B727" t="s">
        <v>5392</v>
      </c>
      <c r="C727" t="s">
        <v>5393</v>
      </c>
      <c r="D727">
        <v>401100000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1</v>
      </c>
      <c r="Y727" t="s">
        <v>972</v>
      </c>
      <c r="Z727" t="s">
        <v>987</v>
      </c>
      <c r="AA727" t="s">
        <v>5394</v>
      </c>
      <c r="AB727" t="s">
        <v>975</v>
      </c>
      <c r="AC727">
        <v>4602</v>
      </c>
      <c r="AD727" t="s">
        <v>3848</v>
      </c>
      <c r="AE727" t="s">
        <v>979</v>
      </c>
      <c r="AF727" t="s">
        <v>979</v>
      </c>
      <c r="AG727" t="s">
        <v>977</v>
      </c>
      <c r="AH727" t="s">
        <v>977</v>
      </c>
      <c r="AI727" t="s">
        <v>977</v>
      </c>
      <c r="AJ727" t="s">
        <v>978</v>
      </c>
      <c r="AK727" t="s">
        <v>978</v>
      </c>
      <c r="AL727" t="s">
        <v>978</v>
      </c>
      <c r="AM727" t="s">
        <v>979</v>
      </c>
      <c r="AN727">
        <v>0</v>
      </c>
      <c r="AO727" t="s">
        <v>257</v>
      </c>
      <c r="AP727">
        <v>0</v>
      </c>
      <c r="AQ727">
        <v>18</v>
      </c>
      <c r="AR727">
        <v>69</v>
      </c>
      <c r="AS727">
        <v>1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1</v>
      </c>
      <c r="AZ727" t="s">
        <v>257</v>
      </c>
      <c r="BA727" t="s">
        <v>257</v>
      </c>
      <c r="BB727" t="s">
        <v>981</v>
      </c>
      <c r="BC727" t="s">
        <v>257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 t="s">
        <v>998</v>
      </c>
      <c r="BK727" t="s">
        <v>981</v>
      </c>
      <c r="BL727" t="s">
        <v>5392</v>
      </c>
      <c r="BM727">
        <v>20211220</v>
      </c>
      <c r="BN727">
        <v>20240911</v>
      </c>
      <c r="BO727">
        <v>0</v>
      </c>
      <c r="BP727" t="s">
        <v>257</v>
      </c>
      <c r="BQ727" t="s">
        <v>983</v>
      </c>
      <c r="BR727" t="s">
        <v>978</v>
      </c>
      <c r="BS727">
        <v>32476909339</v>
      </c>
      <c r="BT727">
        <v>0</v>
      </c>
      <c r="BU727">
        <v>0</v>
      </c>
      <c r="BV727" t="s">
        <v>984</v>
      </c>
      <c r="BW727" t="s">
        <v>257</v>
      </c>
      <c r="BX727">
        <v>0</v>
      </c>
      <c r="BY727" t="s">
        <v>980</v>
      </c>
      <c r="BZ727" t="s">
        <v>257</v>
      </c>
      <c r="CA727">
        <v>0</v>
      </c>
      <c r="CB727">
        <v>0</v>
      </c>
      <c r="CC727" t="s">
        <v>985</v>
      </c>
      <c r="CD727">
        <v>0</v>
      </c>
      <c r="CE727">
        <v>0</v>
      </c>
      <c r="CF727">
        <v>0</v>
      </c>
      <c r="CG727">
        <v>0</v>
      </c>
      <c r="CH727">
        <v>0</v>
      </c>
      <c r="CI727" t="s">
        <v>983</v>
      </c>
      <c r="CJ727" t="s">
        <v>972</v>
      </c>
      <c r="CK727" t="s">
        <v>986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 t="s">
        <v>987</v>
      </c>
      <c r="CV727">
        <v>400008733</v>
      </c>
      <c r="CW727" t="s">
        <v>987</v>
      </c>
      <c r="CX727" t="s">
        <v>5395</v>
      </c>
      <c r="CY727" t="s">
        <v>989</v>
      </c>
    </row>
    <row r="728" spans="1:103" hidden="1" x14ac:dyDescent="0.25">
      <c r="A728">
        <v>410000734</v>
      </c>
      <c r="B728" t="s">
        <v>5396</v>
      </c>
      <c r="C728" t="s">
        <v>5397</v>
      </c>
      <c r="D728">
        <v>401100000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1</v>
      </c>
      <c r="Y728" t="s">
        <v>972</v>
      </c>
      <c r="Z728" t="s">
        <v>5398</v>
      </c>
      <c r="AA728" t="s">
        <v>5399</v>
      </c>
      <c r="AB728" t="s">
        <v>975</v>
      </c>
      <c r="AC728">
        <v>4052</v>
      </c>
      <c r="AD728" t="s">
        <v>1261</v>
      </c>
      <c r="AE728" t="s">
        <v>5400</v>
      </c>
      <c r="AF728" t="s">
        <v>979</v>
      </c>
      <c r="AG728" t="s">
        <v>977</v>
      </c>
      <c r="AH728" t="s">
        <v>977</v>
      </c>
      <c r="AI728">
        <v>41101</v>
      </c>
      <c r="AJ728" t="s">
        <v>978</v>
      </c>
      <c r="AK728" t="s">
        <v>978</v>
      </c>
      <c r="AL728" t="s">
        <v>978</v>
      </c>
      <c r="AM728" t="s">
        <v>979</v>
      </c>
      <c r="AN728">
        <v>0</v>
      </c>
      <c r="AO728" t="s">
        <v>257</v>
      </c>
      <c r="AP728">
        <v>0</v>
      </c>
      <c r="AQ728">
        <v>1</v>
      </c>
      <c r="AR728">
        <v>43</v>
      </c>
      <c r="AS728">
        <v>1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1</v>
      </c>
      <c r="AZ728" t="s">
        <v>257</v>
      </c>
      <c r="BA728" t="s">
        <v>980</v>
      </c>
      <c r="BB728" t="s">
        <v>981</v>
      </c>
      <c r="BC728" t="s">
        <v>257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 t="s">
        <v>998</v>
      </c>
      <c r="BK728" t="s">
        <v>981</v>
      </c>
      <c r="BL728" t="s">
        <v>5396</v>
      </c>
      <c r="BM728">
        <v>20211223</v>
      </c>
      <c r="BN728">
        <v>20211223</v>
      </c>
      <c r="BO728">
        <v>0</v>
      </c>
      <c r="BP728" t="s">
        <v>257</v>
      </c>
      <c r="BQ728" t="s">
        <v>983</v>
      </c>
      <c r="BR728" t="s">
        <v>978</v>
      </c>
      <c r="BS728" t="s">
        <v>979</v>
      </c>
      <c r="BT728">
        <v>0</v>
      </c>
      <c r="BU728">
        <v>0</v>
      </c>
      <c r="BV728" t="s">
        <v>984</v>
      </c>
      <c r="BW728" t="s">
        <v>257</v>
      </c>
      <c r="BX728">
        <v>0</v>
      </c>
      <c r="BY728" t="s">
        <v>980</v>
      </c>
      <c r="BZ728" t="s">
        <v>257</v>
      </c>
      <c r="CA728">
        <v>0</v>
      </c>
      <c r="CB728">
        <v>0</v>
      </c>
      <c r="CC728" t="s">
        <v>2356</v>
      </c>
      <c r="CD728">
        <v>0</v>
      </c>
      <c r="CE728">
        <v>0</v>
      </c>
      <c r="CF728">
        <v>0</v>
      </c>
      <c r="CG728">
        <v>0</v>
      </c>
      <c r="CH728">
        <v>0</v>
      </c>
      <c r="CI728" t="s">
        <v>983</v>
      </c>
      <c r="CJ728" t="s">
        <v>972</v>
      </c>
      <c r="CK728" t="s">
        <v>986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 t="s">
        <v>987</v>
      </c>
      <c r="CV728">
        <v>400008734</v>
      </c>
      <c r="CW728" t="s">
        <v>987</v>
      </c>
      <c r="CX728" t="s">
        <v>5401</v>
      </c>
      <c r="CY728" t="s">
        <v>989</v>
      </c>
    </row>
    <row r="729" spans="1:103" hidden="1" x14ac:dyDescent="0.25">
      <c r="A729">
        <v>410000735</v>
      </c>
      <c r="B729" t="s">
        <v>5402</v>
      </c>
      <c r="C729" t="s">
        <v>5403</v>
      </c>
      <c r="D729">
        <v>401100000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1</v>
      </c>
      <c r="Y729" t="s">
        <v>972</v>
      </c>
      <c r="Z729" t="s">
        <v>5404</v>
      </c>
      <c r="AA729" t="s">
        <v>5405</v>
      </c>
      <c r="AB729" t="s">
        <v>975</v>
      </c>
      <c r="AC729">
        <v>1380</v>
      </c>
      <c r="AD729" t="s">
        <v>2836</v>
      </c>
      <c r="AE729">
        <v>32476314778</v>
      </c>
      <c r="AF729" t="s">
        <v>979</v>
      </c>
      <c r="AG729" t="s">
        <v>977</v>
      </c>
      <c r="AH729" t="s">
        <v>977</v>
      </c>
      <c r="AI729">
        <v>69202</v>
      </c>
      <c r="AJ729" t="s">
        <v>5264</v>
      </c>
      <c r="AK729" t="s">
        <v>978</v>
      </c>
      <c r="AL729" t="s">
        <v>978</v>
      </c>
      <c r="AM729" t="s">
        <v>979</v>
      </c>
      <c r="AN729">
        <v>0</v>
      </c>
      <c r="AO729" t="s">
        <v>257</v>
      </c>
      <c r="AP729">
        <v>0</v>
      </c>
      <c r="AQ729">
        <v>1</v>
      </c>
      <c r="AR729">
        <v>43</v>
      </c>
      <c r="AS729">
        <v>1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1</v>
      </c>
      <c r="AZ729" t="s">
        <v>257</v>
      </c>
      <c r="BA729" t="s">
        <v>980</v>
      </c>
      <c r="BB729" t="s">
        <v>981</v>
      </c>
      <c r="BC729" t="s">
        <v>257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 t="s">
        <v>998</v>
      </c>
      <c r="BK729" t="s">
        <v>981</v>
      </c>
      <c r="BL729" t="s">
        <v>5402</v>
      </c>
      <c r="BM729">
        <v>20220103</v>
      </c>
      <c r="BN729">
        <v>20250402</v>
      </c>
      <c r="BO729">
        <v>0</v>
      </c>
      <c r="BP729" t="s">
        <v>257</v>
      </c>
      <c r="BQ729" t="s">
        <v>983</v>
      </c>
      <c r="BR729" t="s">
        <v>978</v>
      </c>
      <c r="BS729" t="s">
        <v>979</v>
      </c>
      <c r="BT729">
        <v>0</v>
      </c>
      <c r="BU729">
        <v>0</v>
      </c>
      <c r="BV729" t="s">
        <v>984</v>
      </c>
      <c r="BW729" t="s">
        <v>257</v>
      </c>
      <c r="BX729">
        <v>0</v>
      </c>
      <c r="BY729" t="s">
        <v>980</v>
      </c>
      <c r="BZ729" t="s">
        <v>257</v>
      </c>
      <c r="CA729">
        <v>0</v>
      </c>
      <c r="CB729">
        <v>0</v>
      </c>
      <c r="CC729" t="s">
        <v>1901</v>
      </c>
      <c r="CD729">
        <v>0</v>
      </c>
      <c r="CE729">
        <v>0</v>
      </c>
      <c r="CF729">
        <v>0</v>
      </c>
      <c r="CG729">
        <v>0</v>
      </c>
      <c r="CH729">
        <v>0</v>
      </c>
      <c r="CI729" t="s">
        <v>983</v>
      </c>
      <c r="CJ729" t="s">
        <v>972</v>
      </c>
      <c r="CK729" t="s">
        <v>986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 t="s">
        <v>987</v>
      </c>
      <c r="CV729">
        <v>400008735</v>
      </c>
      <c r="CW729" t="s">
        <v>987</v>
      </c>
      <c r="CX729" t="s">
        <v>5406</v>
      </c>
      <c r="CY729" t="s">
        <v>989</v>
      </c>
    </row>
    <row r="730" spans="1:103" hidden="1" x14ac:dyDescent="0.25">
      <c r="A730">
        <v>410000736</v>
      </c>
      <c r="B730" t="s">
        <v>5407</v>
      </c>
      <c r="C730" t="s">
        <v>5408</v>
      </c>
      <c r="D730">
        <v>401100000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1</v>
      </c>
      <c r="Y730" t="s">
        <v>972</v>
      </c>
      <c r="Z730" t="s">
        <v>987</v>
      </c>
      <c r="AA730" t="s">
        <v>5409</v>
      </c>
      <c r="AB730" t="s">
        <v>975</v>
      </c>
      <c r="AC730">
        <v>4031</v>
      </c>
      <c r="AD730" t="s">
        <v>1283</v>
      </c>
      <c r="AE730" t="s">
        <v>979</v>
      </c>
      <c r="AF730" t="s">
        <v>979</v>
      </c>
      <c r="AG730" t="s">
        <v>977</v>
      </c>
      <c r="AH730" t="s">
        <v>977</v>
      </c>
      <c r="AI730">
        <v>69101</v>
      </c>
      <c r="AJ730" t="s">
        <v>978</v>
      </c>
      <c r="AK730" t="s">
        <v>978</v>
      </c>
      <c r="AL730" t="s">
        <v>978</v>
      </c>
      <c r="AM730" t="s">
        <v>979</v>
      </c>
      <c r="AN730">
        <v>0</v>
      </c>
      <c r="AO730" t="s">
        <v>257</v>
      </c>
      <c r="AP730">
        <v>0</v>
      </c>
      <c r="AQ730">
        <v>18</v>
      </c>
      <c r="AR730">
        <v>43</v>
      </c>
      <c r="AS730">
        <v>1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1</v>
      </c>
      <c r="AZ730" t="s">
        <v>257</v>
      </c>
      <c r="BA730" t="s">
        <v>980</v>
      </c>
      <c r="BB730" t="s">
        <v>981</v>
      </c>
      <c r="BC730" t="s">
        <v>257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 t="s">
        <v>998</v>
      </c>
      <c r="BK730" t="s">
        <v>981</v>
      </c>
      <c r="BL730" t="s">
        <v>5407</v>
      </c>
      <c r="BM730">
        <v>20220112</v>
      </c>
      <c r="BN730">
        <v>20220113</v>
      </c>
      <c r="BO730">
        <v>0</v>
      </c>
      <c r="BP730" t="s">
        <v>257</v>
      </c>
      <c r="BQ730" t="s">
        <v>983</v>
      </c>
      <c r="BR730" t="s">
        <v>978</v>
      </c>
      <c r="BS730">
        <v>475916652</v>
      </c>
      <c r="BT730">
        <v>0</v>
      </c>
      <c r="BU730">
        <v>0</v>
      </c>
      <c r="BV730" t="s">
        <v>984</v>
      </c>
      <c r="BW730" t="s">
        <v>257</v>
      </c>
      <c r="BX730">
        <v>0</v>
      </c>
      <c r="BY730" t="s">
        <v>980</v>
      </c>
      <c r="BZ730" t="s">
        <v>257</v>
      </c>
      <c r="CA730">
        <v>0</v>
      </c>
      <c r="CB730">
        <v>0</v>
      </c>
      <c r="CC730" t="s">
        <v>1207</v>
      </c>
      <c r="CD730">
        <v>0</v>
      </c>
      <c r="CE730">
        <v>0</v>
      </c>
      <c r="CF730">
        <v>0</v>
      </c>
      <c r="CG730">
        <v>0</v>
      </c>
      <c r="CH730">
        <v>0</v>
      </c>
      <c r="CI730" t="s">
        <v>983</v>
      </c>
      <c r="CJ730" t="s">
        <v>972</v>
      </c>
      <c r="CK730" t="s">
        <v>986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 t="s">
        <v>987</v>
      </c>
      <c r="CV730">
        <v>400008736</v>
      </c>
      <c r="CW730" t="s">
        <v>987</v>
      </c>
      <c r="CX730" t="s">
        <v>5410</v>
      </c>
      <c r="CY730" t="s">
        <v>989</v>
      </c>
    </row>
    <row r="731" spans="1:103" hidden="1" x14ac:dyDescent="0.25">
      <c r="A731">
        <v>410000737</v>
      </c>
      <c r="B731" t="s">
        <v>5411</v>
      </c>
      <c r="C731" t="s">
        <v>5412</v>
      </c>
      <c r="D731">
        <v>401100000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1</v>
      </c>
      <c r="Y731" t="s">
        <v>972</v>
      </c>
      <c r="Z731" t="s">
        <v>987</v>
      </c>
      <c r="AA731" t="s">
        <v>5413</v>
      </c>
      <c r="AB731" t="s">
        <v>975</v>
      </c>
      <c r="AC731">
        <v>4800</v>
      </c>
      <c r="AD731" t="s">
        <v>1124</v>
      </c>
      <c r="AE731">
        <v>495506606</v>
      </c>
      <c r="AF731" t="s">
        <v>979</v>
      </c>
      <c r="AG731" t="s">
        <v>977</v>
      </c>
      <c r="AH731" t="s">
        <v>977</v>
      </c>
      <c r="AI731">
        <v>70220</v>
      </c>
      <c r="AJ731" t="s">
        <v>978</v>
      </c>
      <c r="AK731" t="s">
        <v>978</v>
      </c>
      <c r="AL731" t="s">
        <v>978</v>
      </c>
      <c r="AM731" t="s">
        <v>979</v>
      </c>
      <c r="AN731">
        <v>0</v>
      </c>
      <c r="AO731" t="s">
        <v>257</v>
      </c>
      <c r="AP731">
        <v>0</v>
      </c>
      <c r="AQ731">
        <v>1</v>
      </c>
      <c r="AR731">
        <v>43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1</v>
      </c>
      <c r="AZ731" t="s">
        <v>257</v>
      </c>
      <c r="BA731" t="s">
        <v>980</v>
      </c>
      <c r="BB731" t="s">
        <v>981</v>
      </c>
      <c r="BC731" t="s">
        <v>257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 t="s">
        <v>998</v>
      </c>
      <c r="BK731" t="s">
        <v>981</v>
      </c>
      <c r="BL731" t="s">
        <v>5411</v>
      </c>
      <c r="BM731">
        <v>20220113</v>
      </c>
      <c r="BN731">
        <v>20220223</v>
      </c>
      <c r="BO731">
        <v>0</v>
      </c>
      <c r="BP731" t="s">
        <v>257</v>
      </c>
      <c r="BQ731" t="s">
        <v>983</v>
      </c>
      <c r="BR731" t="s">
        <v>978</v>
      </c>
      <c r="BS731" t="s">
        <v>979</v>
      </c>
      <c r="BT731">
        <v>0</v>
      </c>
      <c r="BU731">
        <v>0</v>
      </c>
      <c r="BV731" t="s">
        <v>984</v>
      </c>
      <c r="BW731" t="s">
        <v>257</v>
      </c>
      <c r="BX731">
        <v>0</v>
      </c>
      <c r="BY731" t="s">
        <v>980</v>
      </c>
      <c r="BZ731" t="s">
        <v>257</v>
      </c>
      <c r="CA731">
        <v>0</v>
      </c>
      <c r="CB731">
        <v>0</v>
      </c>
      <c r="CC731" t="s">
        <v>1916</v>
      </c>
      <c r="CD731">
        <v>0</v>
      </c>
      <c r="CE731">
        <v>0</v>
      </c>
      <c r="CF731">
        <v>0</v>
      </c>
      <c r="CG731">
        <v>0</v>
      </c>
      <c r="CH731">
        <v>0</v>
      </c>
      <c r="CI731" t="s">
        <v>983</v>
      </c>
      <c r="CJ731" t="s">
        <v>972</v>
      </c>
      <c r="CK731" t="s">
        <v>986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 t="s">
        <v>987</v>
      </c>
      <c r="CV731">
        <v>400008737</v>
      </c>
      <c r="CW731" t="s">
        <v>987</v>
      </c>
      <c r="CX731" t="s">
        <v>5414</v>
      </c>
      <c r="CY731" t="s">
        <v>989</v>
      </c>
    </row>
    <row r="732" spans="1:103" hidden="1" x14ac:dyDescent="0.25">
      <c r="A732">
        <v>410000738</v>
      </c>
      <c r="B732" t="s">
        <v>5415</v>
      </c>
      <c r="C732" t="s">
        <v>5031</v>
      </c>
      <c r="D732">
        <v>401100000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1</v>
      </c>
      <c r="Y732" t="s">
        <v>972</v>
      </c>
      <c r="Z732" t="s">
        <v>987</v>
      </c>
      <c r="AA732" t="s">
        <v>5416</v>
      </c>
      <c r="AB732" t="s">
        <v>975</v>
      </c>
      <c r="AC732">
        <v>4600</v>
      </c>
      <c r="AD732" t="s">
        <v>1813</v>
      </c>
      <c r="AE732">
        <v>458532658</v>
      </c>
      <c r="AF732" t="s">
        <v>979</v>
      </c>
      <c r="AG732" t="s">
        <v>977</v>
      </c>
      <c r="AH732" t="s">
        <v>977</v>
      </c>
      <c r="AI732">
        <v>46699</v>
      </c>
      <c r="AJ732" t="s">
        <v>978</v>
      </c>
      <c r="AK732" t="s">
        <v>978</v>
      </c>
      <c r="AL732" t="s">
        <v>978</v>
      </c>
      <c r="AM732" t="s">
        <v>979</v>
      </c>
      <c r="AN732">
        <v>0</v>
      </c>
      <c r="AO732" t="s">
        <v>257</v>
      </c>
      <c r="AP732">
        <v>0</v>
      </c>
      <c r="AQ732">
        <v>1</v>
      </c>
      <c r="AR732">
        <v>43</v>
      </c>
      <c r="AS732">
        <v>1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1</v>
      </c>
      <c r="AZ732" t="s">
        <v>257</v>
      </c>
      <c r="BA732" t="s">
        <v>980</v>
      </c>
      <c r="BB732" t="s">
        <v>259</v>
      </c>
      <c r="BC732" t="s">
        <v>257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 t="s">
        <v>998</v>
      </c>
      <c r="BK732" t="s">
        <v>981</v>
      </c>
      <c r="BL732" t="s">
        <v>5415</v>
      </c>
      <c r="BM732">
        <v>20220113</v>
      </c>
      <c r="BN732">
        <v>20220224</v>
      </c>
      <c r="BO732">
        <v>20220224</v>
      </c>
      <c r="BP732" t="s">
        <v>257</v>
      </c>
      <c r="BQ732" t="s">
        <v>983</v>
      </c>
      <c r="BR732" t="s">
        <v>978</v>
      </c>
      <c r="BS732" t="s">
        <v>979</v>
      </c>
      <c r="BT732">
        <v>0</v>
      </c>
      <c r="BU732">
        <v>0</v>
      </c>
      <c r="BV732" t="s">
        <v>984</v>
      </c>
      <c r="BW732" t="s">
        <v>257</v>
      </c>
      <c r="BX732">
        <v>0</v>
      </c>
      <c r="BY732" t="s">
        <v>980</v>
      </c>
      <c r="BZ732" t="s">
        <v>257</v>
      </c>
      <c r="CA732">
        <v>0</v>
      </c>
      <c r="CB732">
        <v>0</v>
      </c>
      <c r="CC732" t="s">
        <v>2000</v>
      </c>
      <c r="CD732">
        <v>0</v>
      </c>
      <c r="CE732">
        <v>0</v>
      </c>
      <c r="CF732">
        <v>0</v>
      </c>
      <c r="CG732">
        <v>0</v>
      </c>
      <c r="CH732">
        <v>0</v>
      </c>
      <c r="CI732" t="s">
        <v>983</v>
      </c>
      <c r="CJ732" t="s">
        <v>972</v>
      </c>
      <c r="CK732" t="s">
        <v>986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 t="s">
        <v>987</v>
      </c>
      <c r="CV732">
        <v>400008738</v>
      </c>
      <c r="CW732" t="s">
        <v>987</v>
      </c>
      <c r="CX732" t="s">
        <v>5033</v>
      </c>
      <c r="CY732" t="s">
        <v>989</v>
      </c>
    </row>
    <row r="733" spans="1:103" hidden="1" x14ac:dyDescent="0.25">
      <c r="A733">
        <v>410000739</v>
      </c>
      <c r="B733" t="s">
        <v>5417</v>
      </c>
      <c r="C733" t="s">
        <v>5418</v>
      </c>
      <c r="D733">
        <v>401100000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1</v>
      </c>
      <c r="Y733" t="s">
        <v>972</v>
      </c>
      <c r="Z733" t="s">
        <v>5419</v>
      </c>
      <c r="AA733" t="s">
        <v>5420</v>
      </c>
      <c r="AB733" t="s">
        <v>975</v>
      </c>
      <c r="AC733">
        <v>4140</v>
      </c>
      <c r="AD733" t="s">
        <v>2353</v>
      </c>
      <c r="AE733">
        <v>471471046</v>
      </c>
      <c r="AF733" t="s">
        <v>979</v>
      </c>
      <c r="AG733" t="s">
        <v>977</v>
      </c>
      <c r="AH733" t="s">
        <v>977</v>
      </c>
      <c r="AI733" t="s">
        <v>977</v>
      </c>
      <c r="AJ733" t="s">
        <v>978</v>
      </c>
      <c r="AK733" t="s">
        <v>978</v>
      </c>
      <c r="AL733" t="s">
        <v>978</v>
      </c>
      <c r="AM733" t="s">
        <v>979</v>
      </c>
      <c r="AN733">
        <v>0</v>
      </c>
      <c r="AO733" t="s">
        <v>257</v>
      </c>
      <c r="AP733">
        <v>0</v>
      </c>
      <c r="AQ733">
        <v>1</v>
      </c>
      <c r="AR733">
        <v>43</v>
      </c>
      <c r="AS733">
        <v>1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1</v>
      </c>
      <c r="AZ733" t="s">
        <v>257</v>
      </c>
      <c r="BA733" t="s">
        <v>980</v>
      </c>
      <c r="BB733" t="s">
        <v>981</v>
      </c>
      <c r="BC733" t="s">
        <v>257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 t="s">
        <v>998</v>
      </c>
      <c r="BK733" t="s">
        <v>981</v>
      </c>
      <c r="BL733" t="s">
        <v>5417</v>
      </c>
      <c r="BM733">
        <v>20220117</v>
      </c>
      <c r="BN733">
        <v>0</v>
      </c>
      <c r="BO733">
        <v>0</v>
      </c>
      <c r="BP733" t="s">
        <v>257</v>
      </c>
      <c r="BQ733" t="s">
        <v>983</v>
      </c>
      <c r="BR733" t="s">
        <v>978</v>
      </c>
      <c r="BS733" t="s">
        <v>979</v>
      </c>
      <c r="BT733">
        <v>0</v>
      </c>
      <c r="BU733">
        <v>0</v>
      </c>
      <c r="BV733" t="s">
        <v>984</v>
      </c>
      <c r="BW733" t="s">
        <v>257</v>
      </c>
      <c r="BX733">
        <v>0</v>
      </c>
      <c r="BY733" t="s">
        <v>980</v>
      </c>
      <c r="BZ733" t="s">
        <v>257</v>
      </c>
      <c r="CA733">
        <v>0</v>
      </c>
      <c r="CB733">
        <v>0</v>
      </c>
      <c r="CC733" t="s">
        <v>5421</v>
      </c>
      <c r="CD733">
        <v>0</v>
      </c>
      <c r="CE733">
        <v>0</v>
      </c>
      <c r="CF733">
        <v>0</v>
      </c>
      <c r="CG733">
        <v>0</v>
      </c>
      <c r="CH733">
        <v>0</v>
      </c>
      <c r="CI733" t="s">
        <v>983</v>
      </c>
      <c r="CJ733" t="s">
        <v>972</v>
      </c>
      <c r="CK733" t="s">
        <v>986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 t="s">
        <v>987</v>
      </c>
      <c r="CV733">
        <v>400008739</v>
      </c>
      <c r="CW733" t="s">
        <v>987</v>
      </c>
      <c r="CX733" t="s">
        <v>5422</v>
      </c>
      <c r="CY733" t="s">
        <v>989</v>
      </c>
    </row>
    <row r="734" spans="1:103" hidden="1" x14ac:dyDescent="0.25">
      <c r="A734">
        <v>410000740</v>
      </c>
      <c r="B734" t="s">
        <v>5423</v>
      </c>
      <c r="C734" t="s">
        <v>5424</v>
      </c>
      <c r="D734">
        <v>401100000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1</v>
      </c>
      <c r="X734">
        <v>1</v>
      </c>
      <c r="Y734" t="s">
        <v>972</v>
      </c>
      <c r="Z734" t="s">
        <v>5425</v>
      </c>
      <c r="AA734" t="s">
        <v>5426</v>
      </c>
      <c r="AB734" t="s">
        <v>975</v>
      </c>
      <c r="AC734">
        <v>1435</v>
      </c>
      <c r="AD734" t="s">
        <v>1978</v>
      </c>
      <c r="AE734">
        <v>473373070</v>
      </c>
      <c r="AF734" t="s">
        <v>979</v>
      </c>
      <c r="AG734" t="s">
        <v>977</v>
      </c>
      <c r="AH734" t="s">
        <v>977</v>
      </c>
      <c r="AI734">
        <v>77330</v>
      </c>
      <c r="AJ734" t="s">
        <v>5427</v>
      </c>
      <c r="AK734" t="s">
        <v>978</v>
      </c>
      <c r="AL734" t="s">
        <v>978</v>
      </c>
      <c r="AM734" t="s">
        <v>979</v>
      </c>
      <c r="AN734">
        <v>0</v>
      </c>
      <c r="AO734" t="s">
        <v>257</v>
      </c>
      <c r="AP734">
        <v>0</v>
      </c>
      <c r="AQ734">
        <v>1</v>
      </c>
      <c r="AR734">
        <v>43</v>
      </c>
      <c r="AS734">
        <v>1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1</v>
      </c>
      <c r="AZ734" t="s">
        <v>257</v>
      </c>
      <c r="BA734" t="s">
        <v>980</v>
      </c>
      <c r="BB734" t="s">
        <v>1010</v>
      </c>
      <c r="BC734" t="s">
        <v>257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 t="s">
        <v>998</v>
      </c>
      <c r="BK734" t="s">
        <v>981</v>
      </c>
      <c r="BL734" t="s">
        <v>5423</v>
      </c>
      <c r="BM734">
        <v>20220117</v>
      </c>
      <c r="BN734">
        <v>20240415</v>
      </c>
      <c r="BO734">
        <v>20240415</v>
      </c>
      <c r="BP734" t="s">
        <v>257</v>
      </c>
      <c r="BQ734" t="s">
        <v>983</v>
      </c>
      <c r="BR734" t="s">
        <v>978</v>
      </c>
      <c r="BS734" t="s">
        <v>979</v>
      </c>
      <c r="BT734">
        <v>0</v>
      </c>
      <c r="BU734">
        <v>0</v>
      </c>
      <c r="BV734" t="s">
        <v>984</v>
      </c>
      <c r="BW734" t="s">
        <v>257</v>
      </c>
      <c r="BX734">
        <v>0</v>
      </c>
      <c r="BY734" t="s">
        <v>980</v>
      </c>
      <c r="BZ734" t="s">
        <v>257</v>
      </c>
      <c r="CA734">
        <v>0</v>
      </c>
      <c r="CB734">
        <v>0</v>
      </c>
      <c r="CC734" t="s">
        <v>1901</v>
      </c>
      <c r="CD734">
        <v>0</v>
      </c>
      <c r="CE734">
        <v>0</v>
      </c>
      <c r="CF734">
        <v>0</v>
      </c>
      <c r="CG734">
        <v>0</v>
      </c>
      <c r="CH734">
        <v>0</v>
      </c>
      <c r="CI734" t="s">
        <v>983</v>
      </c>
      <c r="CJ734" t="s">
        <v>972</v>
      </c>
      <c r="CK734" t="s">
        <v>986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 t="s">
        <v>987</v>
      </c>
      <c r="CV734">
        <v>400008740</v>
      </c>
      <c r="CW734" t="s">
        <v>987</v>
      </c>
      <c r="CX734" t="s">
        <v>5428</v>
      </c>
      <c r="CY734" t="s">
        <v>989</v>
      </c>
    </row>
    <row r="735" spans="1:103" hidden="1" x14ac:dyDescent="0.25">
      <c r="A735">
        <v>410000741</v>
      </c>
      <c r="B735" t="s">
        <v>5429</v>
      </c>
      <c r="C735" t="s">
        <v>5430</v>
      </c>
      <c r="D735">
        <v>401100000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1</v>
      </c>
      <c r="Y735" t="s">
        <v>972</v>
      </c>
      <c r="Z735" t="s">
        <v>5431</v>
      </c>
      <c r="AA735" t="s">
        <v>5432</v>
      </c>
      <c r="AB735" t="s">
        <v>975</v>
      </c>
      <c r="AC735">
        <v>4000</v>
      </c>
      <c r="AD735" t="s">
        <v>1019</v>
      </c>
      <c r="AE735">
        <v>42347232</v>
      </c>
      <c r="AF735" t="s">
        <v>979</v>
      </c>
      <c r="AG735" t="s">
        <v>977</v>
      </c>
      <c r="AH735" t="s">
        <v>977</v>
      </c>
      <c r="AI735">
        <v>24510</v>
      </c>
      <c r="AJ735" t="s">
        <v>978</v>
      </c>
      <c r="AK735" t="s">
        <v>978</v>
      </c>
      <c r="AL735" t="s">
        <v>978</v>
      </c>
      <c r="AM735" t="s">
        <v>979</v>
      </c>
      <c r="AN735">
        <v>0</v>
      </c>
      <c r="AO735" t="s">
        <v>257</v>
      </c>
      <c r="AP735">
        <v>0</v>
      </c>
      <c r="AQ735">
        <v>1</v>
      </c>
      <c r="AR735">
        <v>43</v>
      </c>
      <c r="AS735">
        <v>1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1</v>
      </c>
      <c r="AZ735" t="s">
        <v>257</v>
      </c>
      <c r="BA735" t="s">
        <v>980</v>
      </c>
      <c r="BB735" t="s">
        <v>981</v>
      </c>
      <c r="BC735" t="s">
        <v>257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 t="s">
        <v>998</v>
      </c>
      <c r="BK735" t="s">
        <v>981</v>
      </c>
      <c r="BL735" t="s">
        <v>5429</v>
      </c>
      <c r="BM735">
        <v>20220118</v>
      </c>
      <c r="BN735">
        <v>20220119</v>
      </c>
      <c r="BO735">
        <v>0</v>
      </c>
      <c r="BP735" t="s">
        <v>257</v>
      </c>
      <c r="BQ735" t="s">
        <v>983</v>
      </c>
      <c r="BR735" t="s">
        <v>978</v>
      </c>
      <c r="BS735" t="s">
        <v>979</v>
      </c>
      <c r="BT735">
        <v>0</v>
      </c>
      <c r="BU735">
        <v>0</v>
      </c>
      <c r="BV735" t="s">
        <v>984</v>
      </c>
      <c r="BW735" t="s">
        <v>257</v>
      </c>
      <c r="BX735">
        <v>0</v>
      </c>
      <c r="BY735" t="s">
        <v>980</v>
      </c>
      <c r="BZ735" t="s">
        <v>257</v>
      </c>
      <c r="CA735">
        <v>0</v>
      </c>
      <c r="CB735">
        <v>0</v>
      </c>
      <c r="CC735" t="s">
        <v>1391</v>
      </c>
      <c r="CD735">
        <v>0</v>
      </c>
      <c r="CE735">
        <v>0</v>
      </c>
      <c r="CF735">
        <v>0</v>
      </c>
      <c r="CG735">
        <v>0</v>
      </c>
      <c r="CH735">
        <v>0</v>
      </c>
      <c r="CI735" t="s">
        <v>983</v>
      </c>
      <c r="CJ735" t="s">
        <v>972</v>
      </c>
      <c r="CK735" t="s">
        <v>986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 t="s">
        <v>987</v>
      </c>
      <c r="CV735">
        <v>400008741</v>
      </c>
      <c r="CW735" t="s">
        <v>987</v>
      </c>
      <c r="CX735" t="s">
        <v>5433</v>
      </c>
      <c r="CY735" t="s">
        <v>989</v>
      </c>
    </row>
    <row r="736" spans="1:103" hidden="1" x14ac:dyDescent="0.25">
      <c r="A736">
        <v>410000742</v>
      </c>
      <c r="B736" t="s">
        <v>5434</v>
      </c>
      <c r="C736" t="s">
        <v>5435</v>
      </c>
      <c r="D736">
        <v>401100000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1</v>
      </c>
      <c r="Y736" t="s">
        <v>972</v>
      </c>
      <c r="Z736" t="s">
        <v>5436</v>
      </c>
      <c r="AA736" t="s">
        <v>5437</v>
      </c>
      <c r="AB736" t="s">
        <v>975</v>
      </c>
      <c r="AC736">
        <v>4430</v>
      </c>
      <c r="AD736" t="s">
        <v>1474</v>
      </c>
      <c r="AE736">
        <v>3243843400</v>
      </c>
      <c r="AF736" t="s">
        <v>979</v>
      </c>
      <c r="AG736" t="s">
        <v>977</v>
      </c>
      <c r="AH736" t="s">
        <v>977</v>
      </c>
      <c r="AI736">
        <v>69203</v>
      </c>
      <c r="AJ736" t="s">
        <v>978</v>
      </c>
      <c r="AK736" t="s">
        <v>978</v>
      </c>
      <c r="AL736" t="s">
        <v>978</v>
      </c>
      <c r="AM736" t="s">
        <v>979</v>
      </c>
      <c r="AN736">
        <v>0</v>
      </c>
      <c r="AO736" t="s">
        <v>257</v>
      </c>
      <c r="AP736">
        <v>0</v>
      </c>
      <c r="AQ736">
        <v>1</v>
      </c>
      <c r="AR736">
        <v>43</v>
      </c>
      <c r="AS736">
        <v>1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1</v>
      </c>
      <c r="AZ736" t="s">
        <v>257</v>
      </c>
      <c r="BA736" t="s">
        <v>980</v>
      </c>
      <c r="BB736" t="s">
        <v>259</v>
      </c>
      <c r="BC736" t="s">
        <v>257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 t="s">
        <v>998</v>
      </c>
      <c r="BK736" t="s">
        <v>981</v>
      </c>
      <c r="BL736" t="s">
        <v>5434</v>
      </c>
      <c r="BM736">
        <v>20220119</v>
      </c>
      <c r="BN736">
        <v>20250204</v>
      </c>
      <c r="BO736">
        <v>20250204</v>
      </c>
      <c r="BP736" t="s">
        <v>257</v>
      </c>
      <c r="BQ736" t="s">
        <v>983</v>
      </c>
      <c r="BR736" t="s">
        <v>978</v>
      </c>
      <c r="BS736" t="s">
        <v>979</v>
      </c>
      <c r="BT736">
        <v>0</v>
      </c>
      <c r="BU736">
        <v>0</v>
      </c>
      <c r="BV736" t="s">
        <v>984</v>
      </c>
      <c r="BW736" t="s">
        <v>257</v>
      </c>
      <c r="BX736">
        <v>0</v>
      </c>
      <c r="BY736" t="s">
        <v>980</v>
      </c>
      <c r="BZ736" t="s">
        <v>257</v>
      </c>
      <c r="CA736">
        <v>0</v>
      </c>
      <c r="CB736">
        <v>0</v>
      </c>
      <c r="CC736" t="s">
        <v>1371</v>
      </c>
      <c r="CD736">
        <v>0</v>
      </c>
      <c r="CE736">
        <v>0</v>
      </c>
      <c r="CF736">
        <v>0</v>
      </c>
      <c r="CG736">
        <v>0</v>
      </c>
      <c r="CH736">
        <v>0</v>
      </c>
      <c r="CI736" t="s">
        <v>983</v>
      </c>
      <c r="CJ736" t="s">
        <v>972</v>
      </c>
      <c r="CK736" t="s">
        <v>986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 t="s">
        <v>987</v>
      </c>
      <c r="CV736">
        <v>400008742</v>
      </c>
      <c r="CW736" t="s">
        <v>987</v>
      </c>
      <c r="CX736" t="s">
        <v>5438</v>
      </c>
      <c r="CY736" t="s">
        <v>989</v>
      </c>
    </row>
    <row r="737" spans="1:103" hidden="1" x14ac:dyDescent="0.25">
      <c r="A737">
        <v>410000743</v>
      </c>
      <c r="B737" t="s">
        <v>5439</v>
      </c>
      <c r="C737" t="s">
        <v>5440</v>
      </c>
      <c r="D737">
        <v>401100000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1</v>
      </c>
      <c r="X737">
        <v>1</v>
      </c>
      <c r="Y737" t="s">
        <v>972</v>
      </c>
      <c r="Z737" t="s">
        <v>5441</v>
      </c>
      <c r="AA737" t="s">
        <v>5442</v>
      </c>
      <c r="AB737" t="s">
        <v>975</v>
      </c>
      <c r="AC737">
        <v>4877</v>
      </c>
      <c r="AD737" t="s">
        <v>1322</v>
      </c>
      <c r="AE737" t="s">
        <v>979</v>
      </c>
      <c r="AF737" t="s">
        <v>979</v>
      </c>
      <c r="AG737" t="s">
        <v>977</v>
      </c>
      <c r="AH737" t="s">
        <v>977</v>
      </c>
      <c r="AI737">
        <v>1430</v>
      </c>
      <c r="AJ737" t="s">
        <v>978</v>
      </c>
      <c r="AK737" t="s">
        <v>978</v>
      </c>
      <c r="AL737" t="s">
        <v>978</v>
      </c>
      <c r="AM737" t="s">
        <v>979</v>
      </c>
      <c r="AN737">
        <v>0</v>
      </c>
      <c r="AO737" t="s">
        <v>257</v>
      </c>
      <c r="AP737">
        <v>0</v>
      </c>
      <c r="AQ737">
        <v>1</v>
      </c>
      <c r="AR737">
        <v>43</v>
      </c>
      <c r="AS737">
        <v>1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1</v>
      </c>
      <c r="AZ737" t="s">
        <v>257</v>
      </c>
      <c r="BA737" t="s">
        <v>980</v>
      </c>
      <c r="BB737" t="s">
        <v>981</v>
      </c>
      <c r="BC737" t="s">
        <v>257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 t="s">
        <v>998</v>
      </c>
      <c r="BK737" t="s">
        <v>981</v>
      </c>
      <c r="BL737" t="s">
        <v>5439</v>
      </c>
      <c r="BM737">
        <v>20220126</v>
      </c>
      <c r="BN737">
        <v>20220127</v>
      </c>
      <c r="BO737">
        <v>0</v>
      </c>
      <c r="BP737" t="s">
        <v>257</v>
      </c>
      <c r="BQ737" t="s">
        <v>983</v>
      </c>
      <c r="BR737" t="s">
        <v>978</v>
      </c>
      <c r="BS737" t="s">
        <v>5443</v>
      </c>
      <c r="BT737">
        <v>0</v>
      </c>
      <c r="BU737">
        <v>0</v>
      </c>
      <c r="BV737" t="s">
        <v>984</v>
      </c>
      <c r="BW737" t="s">
        <v>257</v>
      </c>
      <c r="BX737">
        <v>0</v>
      </c>
      <c r="BY737" t="s">
        <v>980</v>
      </c>
      <c r="BZ737" t="s">
        <v>257</v>
      </c>
      <c r="CA737">
        <v>0</v>
      </c>
      <c r="CB737">
        <v>0</v>
      </c>
      <c r="CC737" t="s">
        <v>1391</v>
      </c>
      <c r="CD737">
        <v>0</v>
      </c>
      <c r="CE737">
        <v>0</v>
      </c>
      <c r="CF737">
        <v>0</v>
      </c>
      <c r="CG737">
        <v>0</v>
      </c>
      <c r="CH737">
        <v>0</v>
      </c>
      <c r="CI737" t="s">
        <v>983</v>
      </c>
      <c r="CJ737" t="s">
        <v>972</v>
      </c>
      <c r="CK737" t="s">
        <v>986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 t="s">
        <v>987</v>
      </c>
      <c r="CV737">
        <v>400008743</v>
      </c>
      <c r="CW737" t="s">
        <v>987</v>
      </c>
      <c r="CX737" t="s">
        <v>5444</v>
      </c>
      <c r="CY737" t="s">
        <v>989</v>
      </c>
    </row>
    <row r="738" spans="1:103" hidden="1" x14ac:dyDescent="0.25">
      <c r="A738">
        <v>410000744</v>
      </c>
      <c r="B738" t="s">
        <v>5445</v>
      </c>
      <c r="C738" t="s">
        <v>5446</v>
      </c>
      <c r="D738">
        <v>401100000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1</v>
      </c>
      <c r="Y738" t="s">
        <v>972</v>
      </c>
      <c r="Z738" t="s">
        <v>4834</v>
      </c>
      <c r="AA738" t="s">
        <v>5447</v>
      </c>
      <c r="AB738" t="s">
        <v>975</v>
      </c>
      <c r="AC738">
        <v>4032</v>
      </c>
      <c r="AD738" t="s">
        <v>4038</v>
      </c>
      <c r="AE738" t="s">
        <v>979</v>
      </c>
      <c r="AF738" t="s">
        <v>979</v>
      </c>
      <c r="AG738" t="s">
        <v>5448</v>
      </c>
      <c r="AH738" t="s">
        <v>977</v>
      </c>
      <c r="AI738">
        <v>69202</v>
      </c>
      <c r="AJ738" t="s">
        <v>978</v>
      </c>
      <c r="AK738" t="s">
        <v>978</v>
      </c>
      <c r="AL738" t="s">
        <v>978</v>
      </c>
      <c r="AM738" t="s">
        <v>979</v>
      </c>
      <c r="AN738">
        <v>0</v>
      </c>
      <c r="AO738" t="s">
        <v>257</v>
      </c>
      <c r="AP738">
        <v>0</v>
      </c>
      <c r="AQ738">
        <v>1</v>
      </c>
      <c r="AR738">
        <v>43</v>
      </c>
      <c r="AS738">
        <v>1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1</v>
      </c>
      <c r="AZ738" t="s">
        <v>257</v>
      </c>
      <c r="BA738" t="s">
        <v>980</v>
      </c>
      <c r="BB738" t="s">
        <v>981</v>
      </c>
      <c r="BC738" t="s">
        <v>257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 t="s">
        <v>998</v>
      </c>
      <c r="BK738" t="s">
        <v>981</v>
      </c>
      <c r="BL738" t="s">
        <v>5445</v>
      </c>
      <c r="BM738">
        <v>20220204</v>
      </c>
      <c r="BN738">
        <v>20250402</v>
      </c>
      <c r="BO738">
        <v>0</v>
      </c>
      <c r="BP738" t="s">
        <v>257</v>
      </c>
      <c r="BQ738" t="s">
        <v>983</v>
      </c>
      <c r="BR738" t="s">
        <v>978</v>
      </c>
      <c r="BS738">
        <v>475432192</v>
      </c>
      <c r="BT738">
        <v>0</v>
      </c>
      <c r="BU738">
        <v>0</v>
      </c>
      <c r="BV738" t="s">
        <v>984</v>
      </c>
      <c r="BW738" t="s">
        <v>257</v>
      </c>
      <c r="BX738">
        <v>0</v>
      </c>
      <c r="BY738" t="s">
        <v>980</v>
      </c>
      <c r="BZ738" t="s">
        <v>257</v>
      </c>
      <c r="CA738">
        <v>0</v>
      </c>
      <c r="CB738">
        <v>0</v>
      </c>
      <c r="CC738" t="s">
        <v>1220</v>
      </c>
      <c r="CD738">
        <v>0</v>
      </c>
      <c r="CE738">
        <v>0</v>
      </c>
      <c r="CF738">
        <v>0</v>
      </c>
      <c r="CG738">
        <v>0</v>
      </c>
      <c r="CH738">
        <v>0</v>
      </c>
      <c r="CI738" t="s">
        <v>983</v>
      </c>
      <c r="CJ738" t="s">
        <v>972</v>
      </c>
      <c r="CK738" t="s">
        <v>986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 t="s">
        <v>987</v>
      </c>
      <c r="CV738">
        <v>400008744</v>
      </c>
      <c r="CW738" t="s">
        <v>987</v>
      </c>
      <c r="CX738" t="s">
        <v>5449</v>
      </c>
      <c r="CY738" t="s">
        <v>989</v>
      </c>
    </row>
    <row r="739" spans="1:103" hidden="1" x14ac:dyDescent="0.25">
      <c r="A739">
        <v>410000745</v>
      </c>
      <c r="B739" t="s">
        <v>5450</v>
      </c>
      <c r="C739" t="s">
        <v>5451</v>
      </c>
      <c r="D739">
        <v>401100000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1</v>
      </c>
      <c r="Y739" t="s">
        <v>972</v>
      </c>
      <c r="Z739" t="s">
        <v>5452</v>
      </c>
      <c r="AA739" t="s">
        <v>5453</v>
      </c>
      <c r="AB739" t="s">
        <v>975</v>
      </c>
      <c r="AC739">
        <v>5650</v>
      </c>
      <c r="AD739" t="s">
        <v>5166</v>
      </c>
      <c r="AE739">
        <v>3271611131</v>
      </c>
      <c r="AF739" t="s">
        <v>979</v>
      </c>
      <c r="AG739" t="s">
        <v>977</v>
      </c>
      <c r="AH739" t="s">
        <v>977</v>
      </c>
      <c r="AI739">
        <v>69202</v>
      </c>
      <c r="AJ739" t="s">
        <v>5454</v>
      </c>
      <c r="AK739" t="s">
        <v>978</v>
      </c>
      <c r="AL739" t="s">
        <v>978</v>
      </c>
      <c r="AM739" t="s">
        <v>979</v>
      </c>
      <c r="AN739">
        <v>0</v>
      </c>
      <c r="AO739" t="s">
        <v>257</v>
      </c>
      <c r="AP739">
        <v>0</v>
      </c>
      <c r="AQ739">
        <v>1</v>
      </c>
      <c r="AR739">
        <v>43</v>
      </c>
      <c r="AS739">
        <v>1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1</v>
      </c>
      <c r="AZ739" t="s">
        <v>257</v>
      </c>
      <c r="BA739" t="s">
        <v>980</v>
      </c>
      <c r="BB739" t="s">
        <v>981</v>
      </c>
      <c r="BC739" t="s">
        <v>257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 t="s">
        <v>998</v>
      </c>
      <c r="BK739" t="s">
        <v>981</v>
      </c>
      <c r="BL739" t="s">
        <v>5450</v>
      </c>
      <c r="BM739">
        <v>20220207</v>
      </c>
      <c r="BN739">
        <v>20220207</v>
      </c>
      <c r="BO739">
        <v>0</v>
      </c>
      <c r="BP739" t="s">
        <v>257</v>
      </c>
      <c r="BQ739" t="s">
        <v>983</v>
      </c>
      <c r="BR739" t="s">
        <v>978</v>
      </c>
      <c r="BS739">
        <v>32497648426</v>
      </c>
      <c r="BT739">
        <v>0</v>
      </c>
      <c r="BU739">
        <v>0</v>
      </c>
      <c r="BV739" t="s">
        <v>984</v>
      </c>
      <c r="BW739" t="s">
        <v>257</v>
      </c>
      <c r="BX739">
        <v>0</v>
      </c>
      <c r="BY739" t="s">
        <v>980</v>
      </c>
      <c r="BZ739" t="s">
        <v>257</v>
      </c>
      <c r="CA739">
        <v>0</v>
      </c>
      <c r="CB739">
        <v>0</v>
      </c>
      <c r="CC739" t="s">
        <v>1901</v>
      </c>
      <c r="CD739">
        <v>0</v>
      </c>
      <c r="CE739">
        <v>0</v>
      </c>
      <c r="CF739">
        <v>0</v>
      </c>
      <c r="CG739">
        <v>0</v>
      </c>
      <c r="CH739">
        <v>0</v>
      </c>
      <c r="CI739" t="s">
        <v>983</v>
      </c>
      <c r="CJ739" t="s">
        <v>972</v>
      </c>
      <c r="CK739" t="s">
        <v>986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 t="s">
        <v>987</v>
      </c>
      <c r="CV739">
        <v>400008745</v>
      </c>
      <c r="CW739" t="s">
        <v>987</v>
      </c>
      <c r="CX739" t="s">
        <v>5455</v>
      </c>
      <c r="CY739" t="s">
        <v>989</v>
      </c>
    </row>
    <row r="740" spans="1:103" hidden="1" x14ac:dyDescent="0.25">
      <c r="A740">
        <v>410000746</v>
      </c>
      <c r="B740" t="s">
        <v>5456</v>
      </c>
      <c r="C740" t="s">
        <v>971</v>
      </c>
      <c r="D740">
        <v>401100000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1</v>
      </c>
      <c r="Y740" t="s">
        <v>972</v>
      </c>
      <c r="Z740" t="s">
        <v>5457</v>
      </c>
      <c r="AA740" t="s">
        <v>5458</v>
      </c>
      <c r="AB740" t="s">
        <v>975</v>
      </c>
      <c r="AC740">
        <v>5020</v>
      </c>
      <c r="AD740" t="s">
        <v>5459</v>
      </c>
      <c r="AE740">
        <v>81844634</v>
      </c>
      <c r="AF740" t="s">
        <v>979</v>
      </c>
      <c r="AG740" t="s">
        <v>977</v>
      </c>
      <c r="AH740" t="s">
        <v>977</v>
      </c>
      <c r="AI740">
        <v>47740</v>
      </c>
      <c r="AJ740" t="s">
        <v>5460</v>
      </c>
      <c r="AK740" t="s">
        <v>978</v>
      </c>
      <c r="AL740" t="s">
        <v>978</v>
      </c>
      <c r="AM740" t="s">
        <v>979</v>
      </c>
      <c r="AN740">
        <v>0</v>
      </c>
      <c r="AO740" t="s">
        <v>257</v>
      </c>
      <c r="AP740">
        <v>0</v>
      </c>
      <c r="AQ740">
        <v>1</v>
      </c>
      <c r="AR740">
        <v>43</v>
      </c>
      <c r="AS740">
        <v>1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1</v>
      </c>
      <c r="AZ740" t="s">
        <v>257</v>
      </c>
      <c r="BA740" t="s">
        <v>980</v>
      </c>
      <c r="BB740" t="s">
        <v>981</v>
      </c>
      <c r="BC740" t="s">
        <v>257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410000001</v>
      </c>
      <c r="BJ740" t="s">
        <v>982</v>
      </c>
      <c r="BK740" t="s">
        <v>981</v>
      </c>
      <c r="BL740" t="s">
        <v>5456</v>
      </c>
      <c r="BM740">
        <v>20220211</v>
      </c>
      <c r="BN740">
        <v>20231109</v>
      </c>
      <c r="BO740">
        <v>0</v>
      </c>
      <c r="BP740" t="s">
        <v>257</v>
      </c>
      <c r="BQ740" t="s">
        <v>983</v>
      </c>
      <c r="BR740" t="s">
        <v>978</v>
      </c>
      <c r="BS740" t="s">
        <v>979</v>
      </c>
      <c r="BT740">
        <v>0</v>
      </c>
      <c r="BU740">
        <v>0</v>
      </c>
      <c r="BV740" t="s">
        <v>984</v>
      </c>
      <c r="BW740" t="s">
        <v>257</v>
      </c>
      <c r="BX740">
        <v>0</v>
      </c>
      <c r="BY740" t="s">
        <v>980</v>
      </c>
      <c r="BZ740" t="s">
        <v>257</v>
      </c>
      <c r="CA740">
        <v>0</v>
      </c>
      <c r="CB740">
        <v>0</v>
      </c>
      <c r="CC740" t="s">
        <v>1901</v>
      </c>
      <c r="CD740">
        <v>0</v>
      </c>
      <c r="CE740">
        <v>0</v>
      </c>
      <c r="CF740">
        <v>0</v>
      </c>
      <c r="CG740">
        <v>0</v>
      </c>
      <c r="CH740">
        <v>0</v>
      </c>
      <c r="CI740" t="s">
        <v>983</v>
      </c>
      <c r="CJ740" t="s">
        <v>972</v>
      </c>
      <c r="CK740" t="s">
        <v>986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 t="s">
        <v>987</v>
      </c>
      <c r="CV740">
        <v>400008746</v>
      </c>
      <c r="CW740" t="s">
        <v>987</v>
      </c>
      <c r="CX740" t="s">
        <v>1023</v>
      </c>
      <c r="CY740" t="s">
        <v>989</v>
      </c>
    </row>
    <row r="741" spans="1:103" hidden="1" x14ac:dyDescent="0.25">
      <c r="A741">
        <v>410000747</v>
      </c>
      <c r="B741" t="s">
        <v>5461</v>
      </c>
      <c r="C741" t="s">
        <v>5462</v>
      </c>
      <c r="D741">
        <v>401100000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1</v>
      </c>
      <c r="Y741" t="s">
        <v>972</v>
      </c>
      <c r="Z741" t="s">
        <v>987</v>
      </c>
      <c r="AA741" t="s">
        <v>5463</v>
      </c>
      <c r="AB741" t="s">
        <v>975</v>
      </c>
      <c r="AC741">
        <v>3730</v>
      </c>
      <c r="AD741" t="s">
        <v>5464</v>
      </c>
      <c r="AE741">
        <v>32486117755</v>
      </c>
      <c r="AF741" t="s">
        <v>979</v>
      </c>
      <c r="AG741" t="s">
        <v>977</v>
      </c>
      <c r="AH741" t="s">
        <v>977</v>
      </c>
      <c r="AI741">
        <v>69201</v>
      </c>
      <c r="AJ741" t="s">
        <v>978</v>
      </c>
      <c r="AK741" t="s">
        <v>978</v>
      </c>
      <c r="AL741" t="s">
        <v>978</v>
      </c>
      <c r="AM741" t="s">
        <v>979</v>
      </c>
      <c r="AN741">
        <v>0</v>
      </c>
      <c r="AO741" t="s">
        <v>257</v>
      </c>
      <c r="AP741">
        <v>0</v>
      </c>
      <c r="AQ741">
        <v>1</v>
      </c>
      <c r="AR741">
        <v>43</v>
      </c>
      <c r="AS741">
        <v>1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1</v>
      </c>
      <c r="AZ741" t="s">
        <v>257</v>
      </c>
      <c r="BA741" t="s">
        <v>980</v>
      </c>
      <c r="BB741" t="s">
        <v>981</v>
      </c>
      <c r="BC741" t="s">
        <v>257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 t="s">
        <v>998</v>
      </c>
      <c r="BK741" t="s">
        <v>981</v>
      </c>
      <c r="BL741" t="s">
        <v>5461</v>
      </c>
      <c r="BM741">
        <v>20220303</v>
      </c>
      <c r="BN741">
        <v>20220304</v>
      </c>
      <c r="BO741">
        <v>0</v>
      </c>
      <c r="BP741" t="s">
        <v>257</v>
      </c>
      <c r="BQ741" t="s">
        <v>983</v>
      </c>
      <c r="BR741" t="s">
        <v>978</v>
      </c>
      <c r="BS741" t="s">
        <v>979</v>
      </c>
      <c r="BT741">
        <v>0</v>
      </c>
      <c r="BU741">
        <v>0</v>
      </c>
      <c r="BV741" t="s">
        <v>984</v>
      </c>
      <c r="BW741" t="s">
        <v>257</v>
      </c>
      <c r="BX741">
        <v>0</v>
      </c>
      <c r="BY741" t="s">
        <v>980</v>
      </c>
      <c r="BZ741" t="s">
        <v>257</v>
      </c>
      <c r="CA741">
        <v>0</v>
      </c>
      <c r="CB741">
        <v>0</v>
      </c>
      <c r="CC741" t="s">
        <v>1871</v>
      </c>
      <c r="CD741">
        <v>0</v>
      </c>
      <c r="CE741">
        <v>0</v>
      </c>
      <c r="CF741">
        <v>0</v>
      </c>
      <c r="CG741">
        <v>0</v>
      </c>
      <c r="CH741">
        <v>0</v>
      </c>
      <c r="CI741" t="s">
        <v>983</v>
      </c>
      <c r="CJ741" t="s">
        <v>972</v>
      </c>
      <c r="CK741" t="s">
        <v>986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 t="s">
        <v>987</v>
      </c>
      <c r="CV741">
        <v>400008747</v>
      </c>
      <c r="CW741" t="s">
        <v>987</v>
      </c>
      <c r="CX741" t="s">
        <v>5465</v>
      </c>
      <c r="CY741" t="s">
        <v>989</v>
      </c>
    </row>
    <row r="742" spans="1:103" hidden="1" x14ac:dyDescent="0.25">
      <c r="A742">
        <v>410000748</v>
      </c>
      <c r="B742" t="s">
        <v>5466</v>
      </c>
      <c r="C742" t="s">
        <v>5467</v>
      </c>
      <c r="D742">
        <v>401100000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1</v>
      </c>
      <c r="X742">
        <v>1</v>
      </c>
      <c r="Y742" t="s">
        <v>972</v>
      </c>
      <c r="Z742" t="s">
        <v>5468</v>
      </c>
      <c r="AA742" t="s">
        <v>5469</v>
      </c>
      <c r="AB742" t="s">
        <v>1626</v>
      </c>
      <c r="AC742">
        <v>4320</v>
      </c>
      <c r="AD742" t="s">
        <v>5470</v>
      </c>
      <c r="AE742">
        <v>2610803520</v>
      </c>
      <c r="AF742" t="s">
        <v>979</v>
      </c>
      <c r="AG742" t="s">
        <v>977</v>
      </c>
      <c r="AH742" t="s">
        <v>977</v>
      </c>
      <c r="AI742" t="s">
        <v>977</v>
      </c>
      <c r="AJ742" t="s">
        <v>978</v>
      </c>
      <c r="AK742" t="s">
        <v>978</v>
      </c>
      <c r="AL742" t="s">
        <v>978</v>
      </c>
      <c r="AM742" t="s">
        <v>979</v>
      </c>
      <c r="AN742">
        <v>0</v>
      </c>
      <c r="AO742" t="s">
        <v>257</v>
      </c>
      <c r="AP742">
        <v>0</v>
      </c>
      <c r="AQ742">
        <v>1</v>
      </c>
      <c r="AR742">
        <v>43</v>
      </c>
      <c r="AS742">
        <v>1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1</v>
      </c>
      <c r="AZ742" t="s">
        <v>257</v>
      </c>
      <c r="BA742" t="s">
        <v>257</v>
      </c>
      <c r="BB742" t="s">
        <v>1010</v>
      </c>
      <c r="BC742" t="s">
        <v>257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 t="s">
        <v>998</v>
      </c>
      <c r="BK742" t="s">
        <v>981</v>
      </c>
      <c r="BL742" t="s">
        <v>5466</v>
      </c>
      <c r="BM742">
        <v>20220311</v>
      </c>
      <c r="BN742">
        <v>20220905</v>
      </c>
      <c r="BO742">
        <v>20220905</v>
      </c>
      <c r="BP742" t="s">
        <v>257</v>
      </c>
      <c r="BQ742" t="s">
        <v>983</v>
      </c>
      <c r="BR742" t="s">
        <v>978</v>
      </c>
      <c r="BS742" t="s">
        <v>979</v>
      </c>
      <c r="BT742">
        <v>0</v>
      </c>
      <c r="BU742">
        <v>0</v>
      </c>
      <c r="BV742" t="s">
        <v>984</v>
      </c>
      <c r="BW742" t="s">
        <v>257</v>
      </c>
      <c r="BX742">
        <v>0</v>
      </c>
      <c r="BY742" t="s">
        <v>980</v>
      </c>
      <c r="BZ742" t="s">
        <v>257</v>
      </c>
      <c r="CA742">
        <v>0</v>
      </c>
      <c r="CB742">
        <v>0</v>
      </c>
      <c r="CC742" t="s">
        <v>985</v>
      </c>
      <c r="CD742">
        <v>0</v>
      </c>
      <c r="CE742">
        <v>0</v>
      </c>
      <c r="CF742">
        <v>0</v>
      </c>
      <c r="CG742">
        <v>0</v>
      </c>
      <c r="CH742">
        <v>0</v>
      </c>
      <c r="CI742" t="s">
        <v>983</v>
      </c>
      <c r="CJ742" t="s">
        <v>972</v>
      </c>
      <c r="CK742" t="s">
        <v>986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 t="s">
        <v>987</v>
      </c>
      <c r="CV742">
        <v>400008748</v>
      </c>
      <c r="CW742" t="s">
        <v>987</v>
      </c>
      <c r="CX742" t="s">
        <v>5471</v>
      </c>
      <c r="CY742" t="s">
        <v>989</v>
      </c>
    </row>
    <row r="743" spans="1:103" hidden="1" x14ac:dyDescent="0.25">
      <c r="A743">
        <v>410000749</v>
      </c>
      <c r="B743" t="s">
        <v>5472</v>
      </c>
      <c r="C743" t="s">
        <v>5473</v>
      </c>
      <c r="D743">
        <v>401100000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1</v>
      </c>
      <c r="Y743" t="s">
        <v>972</v>
      </c>
      <c r="Z743" t="s">
        <v>987</v>
      </c>
      <c r="AA743" t="s">
        <v>5474</v>
      </c>
      <c r="AB743" t="s">
        <v>975</v>
      </c>
      <c r="AC743">
        <v>6200</v>
      </c>
      <c r="AD743" t="s">
        <v>5475</v>
      </c>
      <c r="AE743">
        <v>32497801934</v>
      </c>
      <c r="AF743" t="s">
        <v>979</v>
      </c>
      <c r="AG743" t="s">
        <v>5476</v>
      </c>
      <c r="AH743" t="s">
        <v>977</v>
      </c>
      <c r="AI743">
        <v>43211</v>
      </c>
      <c r="AJ743" t="s">
        <v>978</v>
      </c>
      <c r="AK743" t="s">
        <v>978</v>
      </c>
      <c r="AL743" t="s">
        <v>978</v>
      </c>
      <c r="AM743" t="s">
        <v>979</v>
      </c>
      <c r="AN743">
        <v>0</v>
      </c>
      <c r="AO743" t="s">
        <v>257</v>
      </c>
      <c r="AP743">
        <v>30</v>
      </c>
      <c r="AQ743">
        <v>1</v>
      </c>
      <c r="AR743">
        <v>69</v>
      </c>
      <c r="AS743">
        <v>1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1</v>
      </c>
      <c r="AZ743" t="s">
        <v>257</v>
      </c>
      <c r="BA743" t="s">
        <v>980</v>
      </c>
      <c r="BB743" t="s">
        <v>981</v>
      </c>
      <c r="BC743" t="s">
        <v>257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 t="s">
        <v>998</v>
      </c>
      <c r="BK743" t="s">
        <v>981</v>
      </c>
      <c r="BL743" t="s">
        <v>5472</v>
      </c>
      <c r="BM743">
        <v>20220329</v>
      </c>
      <c r="BN743">
        <v>20240910</v>
      </c>
      <c r="BO743">
        <v>0</v>
      </c>
      <c r="BP743" t="s">
        <v>257</v>
      </c>
      <c r="BQ743" t="s">
        <v>983</v>
      </c>
      <c r="BR743" t="s">
        <v>978</v>
      </c>
      <c r="BS743" t="s">
        <v>979</v>
      </c>
      <c r="BT743">
        <v>0</v>
      </c>
      <c r="BU743">
        <v>0</v>
      </c>
      <c r="BV743" t="s">
        <v>984</v>
      </c>
      <c r="BW743" t="s">
        <v>257</v>
      </c>
      <c r="BX743">
        <v>0</v>
      </c>
      <c r="BY743" t="s">
        <v>980</v>
      </c>
      <c r="BZ743" t="s">
        <v>257</v>
      </c>
      <c r="CA743">
        <v>0</v>
      </c>
      <c r="CB743">
        <v>0</v>
      </c>
      <c r="CC743" t="s">
        <v>985</v>
      </c>
      <c r="CD743">
        <v>0</v>
      </c>
      <c r="CE743">
        <v>0</v>
      </c>
      <c r="CF743">
        <v>0</v>
      </c>
      <c r="CG743">
        <v>0</v>
      </c>
      <c r="CH743">
        <v>0</v>
      </c>
      <c r="CI743" t="s">
        <v>983</v>
      </c>
      <c r="CJ743" t="s">
        <v>972</v>
      </c>
      <c r="CK743" t="s">
        <v>986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 t="s">
        <v>987</v>
      </c>
      <c r="CV743">
        <v>400008749</v>
      </c>
      <c r="CW743" t="s">
        <v>987</v>
      </c>
      <c r="CX743" t="s">
        <v>5477</v>
      </c>
      <c r="CY743" t="s">
        <v>989</v>
      </c>
    </row>
    <row r="744" spans="1:103" hidden="1" x14ac:dyDescent="0.25">
      <c r="A744">
        <v>410000750</v>
      </c>
      <c r="B744" t="s">
        <v>5478</v>
      </c>
      <c r="C744" t="s">
        <v>5479</v>
      </c>
      <c r="D744">
        <v>401100000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1</v>
      </c>
      <c r="Y744" t="s">
        <v>972</v>
      </c>
      <c r="Z744" t="s">
        <v>4834</v>
      </c>
      <c r="AA744" t="s">
        <v>5480</v>
      </c>
      <c r="AB744" t="s">
        <v>975</v>
      </c>
      <c r="AC744">
        <v>4800</v>
      </c>
      <c r="AD744" t="s">
        <v>1124</v>
      </c>
      <c r="AE744" t="s">
        <v>979</v>
      </c>
      <c r="AF744" t="s">
        <v>979</v>
      </c>
      <c r="AG744" t="s">
        <v>5481</v>
      </c>
      <c r="AH744" t="s">
        <v>977</v>
      </c>
      <c r="AI744">
        <v>46190</v>
      </c>
      <c r="AJ744" t="s">
        <v>978</v>
      </c>
      <c r="AK744" t="s">
        <v>978</v>
      </c>
      <c r="AL744" t="s">
        <v>978</v>
      </c>
      <c r="AM744" t="s">
        <v>979</v>
      </c>
      <c r="AN744">
        <v>0</v>
      </c>
      <c r="AO744" t="s">
        <v>257</v>
      </c>
      <c r="AP744">
        <v>0</v>
      </c>
      <c r="AQ744">
        <v>1</v>
      </c>
      <c r="AR744">
        <v>43</v>
      </c>
      <c r="AS744">
        <v>1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1</v>
      </c>
      <c r="AZ744" t="s">
        <v>257</v>
      </c>
      <c r="BA744" t="s">
        <v>980</v>
      </c>
      <c r="BB744" t="s">
        <v>981</v>
      </c>
      <c r="BC744" t="s">
        <v>257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 t="s">
        <v>998</v>
      </c>
      <c r="BK744" t="s">
        <v>981</v>
      </c>
      <c r="BL744" t="s">
        <v>5478</v>
      </c>
      <c r="BM744">
        <v>20220405</v>
      </c>
      <c r="BN744">
        <v>20230116</v>
      </c>
      <c r="BO744">
        <v>0</v>
      </c>
      <c r="BP744" t="s">
        <v>257</v>
      </c>
      <c r="BQ744" t="s">
        <v>983</v>
      </c>
      <c r="BR744" t="s">
        <v>978</v>
      </c>
      <c r="BS744" t="s">
        <v>5482</v>
      </c>
      <c r="BT744">
        <v>0</v>
      </c>
      <c r="BU744">
        <v>0</v>
      </c>
      <c r="BV744" t="s">
        <v>984</v>
      </c>
      <c r="BW744" t="s">
        <v>257</v>
      </c>
      <c r="BX744">
        <v>0</v>
      </c>
      <c r="BY744" t="s">
        <v>980</v>
      </c>
      <c r="BZ744" t="s">
        <v>257</v>
      </c>
      <c r="CA744">
        <v>0</v>
      </c>
      <c r="CB744">
        <v>0</v>
      </c>
      <c r="CC744" t="s">
        <v>1916</v>
      </c>
      <c r="CD744">
        <v>0</v>
      </c>
      <c r="CE744">
        <v>0</v>
      </c>
      <c r="CF744">
        <v>0</v>
      </c>
      <c r="CG744">
        <v>0</v>
      </c>
      <c r="CH744">
        <v>0</v>
      </c>
      <c r="CI744" t="s">
        <v>983</v>
      </c>
      <c r="CJ744" t="s">
        <v>972</v>
      </c>
      <c r="CK744" t="s">
        <v>986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 t="s">
        <v>987</v>
      </c>
      <c r="CV744">
        <v>400008750</v>
      </c>
      <c r="CW744" t="s">
        <v>987</v>
      </c>
      <c r="CX744" t="s">
        <v>5483</v>
      </c>
      <c r="CY744" t="s">
        <v>989</v>
      </c>
    </row>
    <row r="745" spans="1:103" hidden="1" x14ac:dyDescent="0.25">
      <c r="A745">
        <v>410000751</v>
      </c>
      <c r="B745" t="s">
        <v>5484</v>
      </c>
      <c r="C745" t="s">
        <v>5485</v>
      </c>
      <c r="D745">
        <v>401100000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1</v>
      </c>
      <c r="X745">
        <v>1</v>
      </c>
      <c r="Y745" t="s">
        <v>972</v>
      </c>
      <c r="Z745" t="s">
        <v>987</v>
      </c>
      <c r="AA745" t="s">
        <v>5486</v>
      </c>
      <c r="AB745" t="s">
        <v>975</v>
      </c>
      <c r="AC745">
        <v>1435</v>
      </c>
      <c r="AD745" t="s">
        <v>1978</v>
      </c>
      <c r="AE745">
        <v>3210655738</v>
      </c>
      <c r="AF745" t="s">
        <v>979</v>
      </c>
      <c r="AG745" t="s">
        <v>977</v>
      </c>
      <c r="AH745" t="s">
        <v>977</v>
      </c>
      <c r="AI745">
        <v>47761</v>
      </c>
      <c r="AJ745" t="s">
        <v>5487</v>
      </c>
      <c r="AK745" t="s">
        <v>978</v>
      </c>
      <c r="AL745" t="s">
        <v>978</v>
      </c>
      <c r="AM745" t="s">
        <v>979</v>
      </c>
      <c r="AN745">
        <v>0</v>
      </c>
      <c r="AO745" t="s">
        <v>257</v>
      </c>
      <c r="AP745">
        <v>0</v>
      </c>
      <c r="AQ745">
        <v>19</v>
      </c>
      <c r="AR745">
        <v>69</v>
      </c>
      <c r="AS745">
        <v>1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1</v>
      </c>
      <c r="AZ745" t="s">
        <v>257</v>
      </c>
      <c r="BA745" t="s">
        <v>980</v>
      </c>
      <c r="BB745" t="s">
        <v>981</v>
      </c>
      <c r="BC745" t="s">
        <v>257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 t="s">
        <v>998</v>
      </c>
      <c r="BK745" t="s">
        <v>981</v>
      </c>
      <c r="BL745" t="s">
        <v>5484</v>
      </c>
      <c r="BM745">
        <v>20220411</v>
      </c>
      <c r="BN745">
        <v>20250123</v>
      </c>
      <c r="BO745">
        <v>0</v>
      </c>
      <c r="BP745" t="s">
        <v>257</v>
      </c>
      <c r="BQ745" t="s">
        <v>983</v>
      </c>
      <c r="BR745" t="s">
        <v>978</v>
      </c>
      <c r="BS745" t="s">
        <v>979</v>
      </c>
      <c r="BT745">
        <v>0</v>
      </c>
      <c r="BU745">
        <v>0</v>
      </c>
      <c r="BV745" t="s">
        <v>984</v>
      </c>
      <c r="BW745" t="s">
        <v>257</v>
      </c>
      <c r="BX745">
        <v>0</v>
      </c>
      <c r="BY745" t="s">
        <v>980</v>
      </c>
      <c r="BZ745" t="s">
        <v>257</v>
      </c>
      <c r="CA745">
        <v>0</v>
      </c>
      <c r="CB745">
        <v>0</v>
      </c>
      <c r="CC745" t="s">
        <v>1901</v>
      </c>
      <c r="CD745">
        <v>0</v>
      </c>
      <c r="CE745">
        <v>0</v>
      </c>
      <c r="CF745">
        <v>0</v>
      </c>
      <c r="CG745">
        <v>0</v>
      </c>
      <c r="CH745">
        <v>0</v>
      </c>
      <c r="CI745" t="s">
        <v>983</v>
      </c>
      <c r="CJ745" t="s">
        <v>972</v>
      </c>
      <c r="CK745" t="s">
        <v>986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 t="s">
        <v>987</v>
      </c>
      <c r="CV745">
        <v>400008751</v>
      </c>
      <c r="CW745" t="s">
        <v>987</v>
      </c>
      <c r="CX745" t="s">
        <v>5488</v>
      </c>
      <c r="CY745" t="s">
        <v>989</v>
      </c>
    </row>
    <row r="746" spans="1:103" hidden="1" x14ac:dyDescent="0.25">
      <c r="A746">
        <v>410000752</v>
      </c>
      <c r="B746" t="s">
        <v>5489</v>
      </c>
      <c r="C746" t="s">
        <v>5490</v>
      </c>
      <c r="D746">
        <v>401100000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1</v>
      </c>
      <c r="X746">
        <v>1</v>
      </c>
      <c r="Y746" t="s">
        <v>972</v>
      </c>
      <c r="Z746" t="s">
        <v>5491</v>
      </c>
      <c r="AA746" t="s">
        <v>5492</v>
      </c>
      <c r="AB746" t="s">
        <v>975</v>
      </c>
      <c r="AC746">
        <v>4458</v>
      </c>
      <c r="AD746" t="s">
        <v>5493</v>
      </c>
      <c r="AE746">
        <v>32494181142</v>
      </c>
      <c r="AF746" t="s">
        <v>979</v>
      </c>
      <c r="AG746" t="s">
        <v>977</v>
      </c>
      <c r="AH746" t="s">
        <v>977</v>
      </c>
      <c r="AI746">
        <v>43222</v>
      </c>
      <c r="AJ746" t="s">
        <v>978</v>
      </c>
      <c r="AK746" t="s">
        <v>978</v>
      </c>
      <c r="AL746" t="s">
        <v>978</v>
      </c>
      <c r="AM746" t="s">
        <v>979</v>
      </c>
      <c r="AN746">
        <v>0</v>
      </c>
      <c r="AO746" t="s">
        <v>257</v>
      </c>
      <c r="AP746">
        <v>0</v>
      </c>
      <c r="AQ746">
        <v>1</v>
      </c>
      <c r="AR746">
        <v>43</v>
      </c>
      <c r="AS746">
        <v>1</v>
      </c>
      <c r="AT746">
        <v>0</v>
      </c>
      <c r="AU746">
        <v>1</v>
      </c>
      <c r="AV746">
        <v>0</v>
      </c>
      <c r="AW746">
        <v>0</v>
      </c>
      <c r="AX746">
        <v>0</v>
      </c>
      <c r="AY746">
        <v>1</v>
      </c>
      <c r="AZ746" t="s">
        <v>257</v>
      </c>
      <c r="BA746" t="s">
        <v>980</v>
      </c>
      <c r="BB746" t="s">
        <v>981</v>
      </c>
      <c r="BC746" t="s">
        <v>257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 t="s">
        <v>998</v>
      </c>
      <c r="BK746" t="s">
        <v>981</v>
      </c>
      <c r="BL746" t="s">
        <v>5489</v>
      </c>
      <c r="BM746">
        <v>20220413</v>
      </c>
      <c r="BN746">
        <v>20220415</v>
      </c>
      <c r="BO746">
        <v>0</v>
      </c>
      <c r="BP746" t="s">
        <v>257</v>
      </c>
      <c r="BQ746" t="s">
        <v>983</v>
      </c>
      <c r="BR746" t="s">
        <v>978</v>
      </c>
      <c r="BS746" t="s">
        <v>979</v>
      </c>
      <c r="BT746">
        <v>0</v>
      </c>
      <c r="BU746">
        <v>0</v>
      </c>
      <c r="BV746" t="s">
        <v>984</v>
      </c>
      <c r="BW746" t="s">
        <v>257</v>
      </c>
      <c r="BX746">
        <v>0</v>
      </c>
      <c r="BY746" t="s">
        <v>980</v>
      </c>
      <c r="BZ746" t="s">
        <v>257</v>
      </c>
      <c r="CA746">
        <v>0</v>
      </c>
      <c r="CB746">
        <v>0</v>
      </c>
      <c r="CC746" t="s">
        <v>2322</v>
      </c>
      <c r="CD746">
        <v>0</v>
      </c>
      <c r="CE746">
        <v>0</v>
      </c>
      <c r="CF746">
        <v>0</v>
      </c>
      <c r="CG746">
        <v>0</v>
      </c>
      <c r="CH746">
        <v>0</v>
      </c>
      <c r="CI746" t="s">
        <v>983</v>
      </c>
      <c r="CJ746" t="s">
        <v>972</v>
      </c>
      <c r="CK746" t="s">
        <v>986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 t="s">
        <v>987</v>
      </c>
      <c r="CV746">
        <v>400008752</v>
      </c>
      <c r="CW746" t="s">
        <v>987</v>
      </c>
      <c r="CX746" t="s">
        <v>5494</v>
      </c>
      <c r="CY746" t="s">
        <v>989</v>
      </c>
    </row>
    <row r="747" spans="1:103" hidden="1" x14ac:dyDescent="0.25">
      <c r="A747">
        <v>410000753</v>
      </c>
      <c r="B747" t="s">
        <v>5495</v>
      </c>
      <c r="C747" t="s">
        <v>5496</v>
      </c>
      <c r="D747">
        <v>401100000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1</v>
      </c>
      <c r="Y747" t="s">
        <v>972</v>
      </c>
      <c r="Z747" t="s">
        <v>987</v>
      </c>
      <c r="AA747" t="s">
        <v>5497</v>
      </c>
      <c r="AB747" t="s">
        <v>975</v>
      </c>
      <c r="AC747">
        <v>1020</v>
      </c>
      <c r="AD747" t="s">
        <v>1066</v>
      </c>
      <c r="AE747">
        <v>3222620262</v>
      </c>
      <c r="AF747" t="s">
        <v>979</v>
      </c>
      <c r="AG747" t="s">
        <v>977</v>
      </c>
      <c r="AH747" t="s">
        <v>977</v>
      </c>
      <c r="AI747" t="s">
        <v>5498</v>
      </c>
      <c r="AJ747" t="s">
        <v>5499</v>
      </c>
      <c r="AK747" t="s">
        <v>978</v>
      </c>
      <c r="AL747" t="s">
        <v>978</v>
      </c>
      <c r="AM747" t="s">
        <v>979</v>
      </c>
      <c r="AN747">
        <v>0</v>
      </c>
      <c r="AO747" t="s">
        <v>257</v>
      </c>
      <c r="AP747">
        <v>0</v>
      </c>
      <c r="AQ747">
        <v>19</v>
      </c>
      <c r="AR747">
        <v>43</v>
      </c>
      <c r="AS747">
        <v>1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1</v>
      </c>
      <c r="AZ747" t="s">
        <v>257</v>
      </c>
      <c r="BA747" t="s">
        <v>980</v>
      </c>
      <c r="BB747" t="s">
        <v>981</v>
      </c>
      <c r="BC747" t="s">
        <v>257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 t="s">
        <v>998</v>
      </c>
      <c r="BK747" t="s">
        <v>981</v>
      </c>
      <c r="BL747" t="s">
        <v>5495</v>
      </c>
      <c r="BM747">
        <v>20220414</v>
      </c>
      <c r="BN747">
        <v>20250911</v>
      </c>
      <c r="BO747">
        <v>0</v>
      </c>
      <c r="BP747" t="s">
        <v>257</v>
      </c>
      <c r="BQ747" t="s">
        <v>983</v>
      </c>
      <c r="BR747" t="s">
        <v>978</v>
      </c>
      <c r="BS747" t="s">
        <v>979</v>
      </c>
      <c r="BT747">
        <v>0</v>
      </c>
      <c r="BU747">
        <v>0</v>
      </c>
      <c r="BV747" t="s">
        <v>984</v>
      </c>
      <c r="BW747" t="s">
        <v>257</v>
      </c>
      <c r="BX747">
        <v>0</v>
      </c>
      <c r="BY747" t="s">
        <v>980</v>
      </c>
      <c r="BZ747" t="s">
        <v>257</v>
      </c>
      <c r="CA747">
        <v>0</v>
      </c>
      <c r="CB747">
        <v>0</v>
      </c>
      <c r="CC747" t="s">
        <v>1901</v>
      </c>
      <c r="CD747">
        <v>0</v>
      </c>
      <c r="CE747">
        <v>0</v>
      </c>
      <c r="CF747">
        <v>0</v>
      </c>
      <c r="CG747">
        <v>0</v>
      </c>
      <c r="CH747">
        <v>0</v>
      </c>
      <c r="CI747" t="s">
        <v>983</v>
      </c>
      <c r="CJ747" t="s">
        <v>972</v>
      </c>
      <c r="CK747" t="s">
        <v>986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 t="s">
        <v>987</v>
      </c>
      <c r="CV747">
        <v>400008753</v>
      </c>
      <c r="CW747" t="s">
        <v>987</v>
      </c>
      <c r="CX747" t="s">
        <v>7319</v>
      </c>
      <c r="CY747" t="s">
        <v>989</v>
      </c>
    </row>
    <row r="748" spans="1:103" hidden="1" x14ac:dyDescent="0.25">
      <c r="A748">
        <v>410000754</v>
      </c>
      <c r="B748" t="s">
        <v>5500</v>
      </c>
      <c r="C748" t="s">
        <v>5501</v>
      </c>
      <c r="D748">
        <v>401100000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</v>
      </c>
      <c r="W748">
        <v>1</v>
      </c>
      <c r="X748">
        <v>1</v>
      </c>
      <c r="Y748" t="s">
        <v>972</v>
      </c>
      <c r="Z748" t="s">
        <v>5502</v>
      </c>
      <c r="AA748" t="s">
        <v>5503</v>
      </c>
      <c r="AB748" t="s">
        <v>5504</v>
      </c>
      <c r="AC748">
        <v>6302</v>
      </c>
      <c r="AD748" t="s">
        <v>5505</v>
      </c>
      <c r="AE748" t="s">
        <v>979</v>
      </c>
      <c r="AF748" t="s">
        <v>979</v>
      </c>
      <c r="AG748" t="s">
        <v>977</v>
      </c>
      <c r="AH748" t="s">
        <v>5506</v>
      </c>
      <c r="AI748" t="s">
        <v>977</v>
      </c>
      <c r="AJ748" t="s">
        <v>5507</v>
      </c>
      <c r="AK748" t="s">
        <v>978</v>
      </c>
      <c r="AL748" t="s">
        <v>978</v>
      </c>
      <c r="AM748" t="s">
        <v>979</v>
      </c>
      <c r="AN748">
        <v>0</v>
      </c>
      <c r="AO748" t="s">
        <v>257</v>
      </c>
      <c r="AP748">
        <v>0</v>
      </c>
      <c r="AQ748">
        <v>1</v>
      </c>
      <c r="AR748">
        <v>43</v>
      </c>
      <c r="AS748">
        <v>1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1</v>
      </c>
      <c r="AZ748" t="s">
        <v>257</v>
      </c>
      <c r="BA748" t="s">
        <v>980</v>
      </c>
      <c r="BB748" t="s">
        <v>981</v>
      </c>
      <c r="BC748" t="s">
        <v>257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 t="s">
        <v>998</v>
      </c>
      <c r="BK748" t="s">
        <v>981</v>
      </c>
      <c r="BL748" t="s">
        <v>5500</v>
      </c>
      <c r="BM748">
        <v>20220415</v>
      </c>
      <c r="BN748">
        <v>20220415</v>
      </c>
      <c r="BO748">
        <v>0</v>
      </c>
      <c r="BP748" t="s">
        <v>257</v>
      </c>
      <c r="BQ748" t="s">
        <v>983</v>
      </c>
      <c r="BR748" t="s">
        <v>978</v>
      </c>
      <c r="BS748">
        <v>32497707155</v>
      </c>
      <c r="BT748">
        <v>0</v>
      </c>
      <c r="BU748">
        <v>0</v>
      </c>
      <c r="BV748" t="s">
        <v>984</v>
      </c>
      <c r="BW748" t="s">
        <v>257</v>
      </c>
      <c r="BX748">
        <v>0</v>
      </c>
      <c r="BY748" t="s">
        <v>980</v>
      </c>
      <c r="BZ748" t="s">
        <v>257</v>
      </c>
      <c r="CA748">
        <v>0</v>
      </c>
      <c r="CB748">
        <v>0</v>
      </c>
      <c r="CC748" t="s">
        <v>985</v>
      </c>
      <c r="CD748">
        <v>0</v>
      </c>
      <c r="CE748">
        <v>0</v>
      </c>
      <c r="CF748">
        <v>0</v>
      </c>
      <c r="CG748">
        <v>0</v>
      </c>
      <c r="CH748">
        <v>0</v>
      </c>
      <c r="CI748" t="s">
        <v>983</v>
      </c>
      <c r="CJ748" t="s">
        <v>972</v>
      </c>
      <c r="CK748" t="s">
        <v>986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 t="s">
        <v>987</v>
      </c>
      <c r="CV748">
        <v>400008754</v>
      </c>
      <c r="CW748" t="s">
        <v>987</v>
      </c>
      <c r="CX748" t="s">
        <v>5508</v>
      </c>
      <c r="CY748" t="s">
        <v>989</v>
      </c>
    </row>
    <row r="749" spans="1:103" hidden="1" x14ac:dyDescent="0.25">
      <c r="A749">
        <v>410000755</v>
      </c>
      <c r="B749" t="s">
        <v>5509</v>
      </c>
      <c r="C749" t="s">
        <v>4214</v>
      </c>
      <c r="D749">
        <v>401100000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1</v>
      </c>
      <c r="X749">
        <v>1</v>
      </c>
      <c r="Y749" t="s">
        <v>972</v>
      </c>
      <c r="Z749" t="s">
        <v>5510</v>
      </c>
      <c r="AA749" t="s">
        <v>5511</v>
      </c>
      <c r="AB749" t="s">
        <v>975</v>
      </c>
      <c r="AC749">
        <v>2070</v>
      </c>
      <c r="AD749" t="s">
        <v>5512</v>
      </c>
      <c r="AE749">
        <v>3235417140</v>
      </c>
      <c r="AF749" t="s">
        <v>979</v>
      </c>
      <c r="AG749" t="s">
        <v>977</v>
      </c>
      <c r="AH749" t="s">
        <v>977</v>
      </c>
      <c r="AI749" t="s">
        <v>5513</v>
      </c>
      <c r="AJ749" t="s">
        <v>5514</v>
      </c>
      <c r="AK749" t="s">
        <v>5515</v>
      </c>
      <c r="AL749" t="s">
        <v>5516</v>
      </c>
      <c r="AM749" t="s">
        <v>979</v>
      </c>
      <c r="AN749">
        <v>0</v>
      </c>
      <c r="AO749" t="s">
        <v>257</v>
      </c>
      <c r="AP749">
        <v>0</v>
      </c>
      <c r="AQ749">
        <v>1</v>
      </c>
      <c r="AR749">
        <v>43</v>
      </c>
      <c r="AS749">
        <v>1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1</v>
      </c>
      <c r="AZ749" t="s">
        <v>257</v>
      </c>
      <c r="BA749" t="s">
        <v>980</v>
      </c>
      <c r="BB749" t="s">
        <v>981</v>
      </c>
      <c r="BC749" t="s">
        <v>257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 t="s">
        <v>998</v>
      </c>
      <c r="BK749" t="s">
        <v>981</v>
      </c>
      <c r="BL749" t="s">
        <v>5509</v>
      </c>
      <c r="BM749">
        <v>20220415</v>
      </c>
      <c r="BN749">
        <v>20221219</v>
      </c>
      <c r="BO749">
        <v>0</v>
      </c>
      <c r="BP749" t="s">
        <v>257</v>
      </c>
      <c r="BQ749" t="s">
        <v>983</v>
      </c>
      <c r="BR749" t="s">
        <v>978</v>
      </c>
      <c r="BS749" t="s">
        <v>979</v>
      </c>
      <c r="BT749">
        <v>0</v>
      </c>
      <c r="BU749">
        <v>0</v>
      </c>
      <c r="BV749" t="s">
        <v>984</v>
      </c>
      <c r="BW749" t="s">
        <v>257</v>
      </c>
      <c r="BX749">
        <v>0</v>
      </c>
      <c r="BY749" t="s">
        <v>980</v>
      </c>
      <c r="BZ749" t="s">
        <v>257</v>
      </c>
      <c r="CA749">
        <v>0</v>
      </c>
      <c r="CB749">
        <v>0</v>
      </c>
      <c r="CC749" t="s">
        <v>1901</v>
      </c>
      <c r="CD749">
        <v>0</v>
      </c>
      <c r="CE749">
        <v>0</v>
      </c>
      <c r="CF749">
        <v>0</v>
      </c>
      <c r="CG749">
        <v>0</v>
      </c>
      <c r="CH749">
        <v>0</v>
      </c>
      <c r="CI749" t="s">
        <v>983</v>
      </c>
      <c r="CJ749" t="s">
        <v>972</v>
      </c>
      <c r="CK749" t="s">
        <v>986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 t="s">
        <v>987</v>
      </c>
      <c r="CV749">
        <v>400008755</v>
      </c>
      <c r="CW749" t="s">
        <v>987</v>
      </c>
      <c r="CX749" t="s">
        <v>4217</v>
      </c>
      <c r="CY749" t="s">
        <v>989</v>
      </c>
    </row>
    <row r="750" spans="1:103" hidden="1" x14ac:dyDescent="0.25">
      <c r="A750">
        <v>410000756</v>
      </c>
      <c r="B750" t="s">
        <v>5517</v>
      </c>
      <c r="C750" t="s">
        <v>5518</v>
      </c>
      <c r="D750">
        <v>401100000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1</v>
      </c>
      <c r="X750">
        <v>1</v>
      </c>
      <c r="Y750" t="s">
        <v>972</v>
      </c>
      <c r="Z750" t="s">
        <v>987</v>
      </c>
      <c r="AA750" t="s">
        <v>5519</v>
      </c>
      <c r="AB750" t="s">
        <v>975</v>
      </c>
      <c r="AC750">
        <v>3370</v>
      </c>
      <c r="AD750" t="s">
        <v>5520</v>
      </c>
      <c r="AE750">
        <v>32477771680</v>
      </c>
      <c r="AF750" t="s">
        <v>979</v>
      </c>
      <c r="AG750" t="s">
        <v>977</v>
      </c>
      <c r="AH750" t="s">
        <v>977</v>
      </c>
      <c r="AI750">
        <v>69202</v>
      </c>
      <c r="AJ750" t="s">
        <v>5521</v>
      </c>
      <c r="AK750" t="s">
        <v>978</v>
      </c>
      <c r="AL750" t="s">
        <v>978</v>
      </c>
      <c r="AM750" t="s">
        <v>979</v>
      </c>
      <c r="AN750">
        <v>0</v>
      </c>
      <c r="AO750" t="s">
        <v>257</v>
      </c>
      <c r="AP750">
        <v>0</v>
      </c>
      <c r="AQ750">
        <v>19</v>
      </c>
      <c r="AR750">
        <v>69</v>
      </c>
      <c r="AS750">
        <v>1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1</v>
      </c>
      <c r="AZ750" t="s">
        <v>257</v>
      </c>
      <c r="BA750" t="s">
        <v>257</v>
      </c>
      <c r="BB750" t="s">
        <v>981</v>
      </c>
      <c r="BC750" t="s">
        <v>257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 t="s">
        <v>998</v>
      </c>
      <c r="BK750" t="s">
        <v>981</v>
      </c>
      <c r="BL750" t="s">
        <v>5517</v>
      </c>
      <c r="BM750">
        <v>20220415</v>
      </c>
      <c r="BN750">
        <v>20240910</v>
      </c>
      <c r="BO750">
        <v>0</v>
      </c>
      <c r="BP750" t="s">
        <v>257</v>
      </c>
      <c r="BQ750" t="s">
        <v>983</v>
      </c>
      <c r="BR750" t="s">
        <v>978</v>
      </c>
      <c r="BS750">
        <v>32477771680</v>
      </c>
      <c r="BT750">
        <v>0</v>
      </c>
      <c r="BU750">
        <v>0</v>
      </c>
      <c r="BV750" t="s">
        <v>984</v>
      </c>
      <c r="BW750" t="s">
        <v>257</v>
      </c>
      <c r="BX750">
        <v>0</v>
      </c>
      <c r="BY750" t="s">
        <v>980</v>
      </c>
      <c r="BZ750" t="s">
        <v>257</v>
      </c>
      <c r="CA750">
        <v>0</v>
      </c>
      <c r="CB750">
        <v>0</v>
      </c>
      <c r="CC750" t="s">
        <v>1901</v>
      </c>
      <c r="CD750">
        <v>0</v>
      </c>
      <c r="CE750">
        <v>0</v>
      </c>
      <c r="CF750">
        <v>0</v>
      </c>
      <c r="CG750">
        <v>0</v>
      </c>
      <c r="CH750">
        <v>0</v>
      </c>
      <c r="CI750" t="s">
        <v>983</v>
      </c>
      <c r="CJ750" t="s">
        <v>972</v>
      </c>
      <c r="CK750" t="s">
        <v>986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 t="s">
        <v>987</v>
      </c>
      <c r="CV750">
        <v>400008756</v>
      </c>
      <c r="CW750" t="s">
        <v>987</v>
      </c>
      <c r="CX750" t="s">
        <v>5522</v>
      </c>
      <c r="CY750" t="s">
        <v>989</v>
      </c>
    </row>
    <row r="751" spans="1:103" hidden="1" x14ac:dyDescent="0.25">
      <c r="A751">
        <v>410000757</v>
      </c>
      <c r="B751" t="s">
        <v>5523</v>
      </c>
      <c r="C751" t="s">
        <v>5524</v>
      </c>
      <c r="D751">
        <v>401100000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1</v>
      </c>
      <c r="Y751" t="s">
        <v>972</v>
      </c>
      <c r="Z751" t="s">
        <v>5525</v>
      </c>
      <c r="AA751" t="s">
        <v>5526</v>
      </c>
      <c r="AB751" t="s">
        <v>975</v>
      </c>
      <c r="AC751">
        <v>7170</v>
      </c>
      <c r="AD751" t="s">
        <v>5527</v>
      </c>
      <c r="AE751">
        <v>3264541030</v>
      </c>
      <c r="AF751" t="s">
        <v>979</v>
      </c>
      <c r="AG751" t="s">
        <v>977</v>
      </c>
      <c r="AH751" t="s">
        <v>977</v>
      </c>
      <c r="AI751" t="s">
        <v>5528</v>
      </c>
      <c r="AJ751" t="s">
        <v>5529</v>
      </c>
      <c r="AK751" t="s">
        <v>978</v>
      </c>
      <c r="AL751" t="s">
        <v>978</v>
      </c>
      <c r="AM751" t="s">
        <v>979</v>
      </c>
      <c r="AN751">
        <v>0</v>
      </c>
      <c r="AO751" t="s">
        <v>257</v>
      </c>
      <c r="AP751">
        <v>0</v>
      </c>
      <c r="AQ751">
        <v>1</v>
      </c>
      <c r="AR751">
        <v>43</v>
      </c>
      <c r="AS751">
        <v>1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1</v>
      </c>
      <c r="AZ751" t="s">
        <v>257</v>
      </c>
      <c r="BA751" t="s">
        <v>980</v>
      </c>
      <c r="BB751" t="s">
        <v>981</v>
      </c>
      <c r="BC751" t="s">
        <v>257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 t="s">
        <v>998</v>
      </c>
      <c r="BK751" t="s">
        <v>981</v>
      </c>
      <c r="BL751" t="s">
        <v>5523</v>
      </c>
      <c r="BM751">
        <v>20220510</v>
      </c>
      <c r="BN751">
        <v>20220510</v>
      </c>
      <c r="BO751">
        <v>0</v>
      </c>
      <c r="BP751" t="s">
        <v>257</v>
      </c>
      <c r="BQ751" t="s">
        <v>983</v>
      </c>
      <c r="BR751" t="s">
        <v>978</v>
      </c>
      <c r="BS751" t="s">
        <v>979</v>
      </c>
      <c r="BT751">
        <v>0</v>
      </c>
      <c r="BU751">
        <v>0</v>
      </c>
      <c r="BV751" t="s">
        <v>984</v>
      </c>
      <c r="BW751" t="s">
        <v>257</v>
      </c>
      <c r="BX751">
        <v>0</v>
      </c>
      <c r="BY751" t="s">
        <v>980</v>
      </c>
      <c r="BZ751" t="s">
        <v>257</v>
      </c>
      <c r="CA751">
        <v>0</v>
      </c>
      <c r="CB751">
        <v>0</v>
      </c>
      <c r="CC751" t="s">
        <v>1901</v>
      </c>
      <c r="CD751">
        <v>0</v>
      </c>
      <c r="CE751">
        <v>0</v>
      </c>
      <c r="CF751">
        <v>0</v>
      </c>
      <c r="CG751">
        <v>0</v>
      </c>
      <c r="CH751">
        <v>0</v>
      </c>
      <c r="CI751" t="s">
        <v>983</v>
      </c>
      <c r="CJ751" t="s">
        <v>972</v>
      </c>
      <c r="CK751" t="s">
        <v>986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 t="s">
        <v>987</v>
      </c>
      <c r="CV751">
        <v>400008757</v>
      </c>
      <c r="CW751" t="s">
        <v>987</v>
      </c>
      <c r="CX751" t="s">
        <v>5530</v>
      </c>
      <c r="CY751" t="s">
        <v>989</v>
      </c>
    </row>
    <row r="752" spans="1:103" hidden="1" x14ac:dyDescent="0.25">
      <c r="A752">
        <v>410000758</v>
      </c>
      <c r="B752" t="s">
        <v>5531</v>
      </c>
      <c r="C752" t="s">
        <v>5532</v>
      </c>
      <c r="D752">
        <v>401100000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</v>
      </c>
      <c r="W752">
        <v>1</v>
      </c>
      <c r="X752">
        <v>1</v>
      </c>
      <c r="Y752" t="s">
        <v>972</v>
      </c>
      <c r="Z752" t="s">
        <v>5533</v>
      </c>
      <c r="AA752" t="s">
        <v>5534</v>
      </c>
      <c r="AB752" t="s">
        <v>975</v>
      </c>
      <c r="AC752">
        <v>4020</v>
      </c>
      <c r="AD752" t="s">
        <v>1019</v>
      </c>
      <c r="AE752" t="s">
        <v>979</v>
      </c>
      <c r="AF752" t="s">
        <v>979</v>
      </c>
      <c r="AG752" t="s">
        <v>977</v>
      </c>
      <c r="AH752" t="s">
        <v>977</v>
      </c>
      <c r="AI752" t="s">
        <v>5535</v>
      </c>
      <c r="AJ752" t="s">
        <v>978</v>
      </c>
      <c r="AK752" t="s">
        <v>978</v>
      </c>
      <c r="AL752" t="s">
        <v>978</v>
      </c>
      <c r="AM752" t="s">
        <v>979</v>
      </c>
      <c r="AN752">
        <v>0</v>
      </c>
      <c r="AO752" t="s">
        <v>257</v>
      </c>
      <c r="AP752">
        <v>0</v>
      </c>
      <c r="AQ752">
        <v>1</v>
      </c>
      <c r="AR752">
        <v>69</v>
      </c>
      <c r="AS752">
        <v>1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1</v>
      </c>
      <c r="AZ752" t="s">
        <v>257</v>
      </c>
      <c r="BA752" t="s">
        <v>980</v>
      </c>
      <c r="BB752" t="s">
        <v>981</v>
      </c>
      <c r="BC752" t="s">
        <v>257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 t="s">
        <v>998</v>
      </c>
      <c r="BK752" t="s">
        <v>981</v>
      </c>
      <c r="BL752" t="s">
        <v>5531</v>
      </c>
      <c r="BM752">
        <v>20220517</v>
      </c>
      <c r="BN752">
        <v>20240910</v>
      </c>
      <c r="BO752">
        <v>0</v>
      </c>
      <c r="BP752" t="s">
        <v>257</v>
      </c>
      <c r="BQ752" t="s">
        <v>983</v>
      </c>
      <c r="BR752" t="s">
        <v>978</v>
      </c>
      <c r="BS752">
        <v>32483200803</v>
      </c>
      <c r="BT752">
        <v>0</v>
      </c>
      <c r="BU752">
        <v>0</v>
      </c>
      <c r="BV752" t="s">
        <v>984</v>
      </c>
      <c r="BW752" t="s">
        <v>257</v>
      </c>
      <c r="BX752">
        <v>0</v>
      </c>
      <c r="BY752" t="s">
        <v>980</v>
      </c>
      <c r="BZ752" t="s">
        <v>257</v>
      </c>
      <c r="CA752">
        <v>0</v>
      </c>
      <c r="CB752">
        <v>0</v>
      </c>
      <c r="CC752" t="s">
        <v>1119</v>
      </c>
      <c r="CD752">
        <v>0</v>
      </c>
      <c r="CE752">
        <v>0</v>
      </c>
      <c r="CF752">
        <v>0</v>
      </c>
      <c r="CG752">
        <v>0</v>
      </c>
      <c r="CH752">
        <v>0</v>
      </c>
      <c r="CI752" t="s">
        <v>983</v>
      </c>
      <c r="CJ752" t="s">
        <v>972</v>
      </c>
      <c r="CK752" t="s">
        <v>986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 t="s">
        <v>987</v>
      </c>
      <c r="CV752">
        <v>400008758</v>
      </c>
      <c r="CW752" t="s">
        <v>987</v>
      </c>
      <c r="CX752" t="s">
        <v>5536</v>
      </c>
      <c r="CY752" t="s">
        <v>989</v>
      </c>
    </row>
    <row r="753" spans="1:103" hidden="1" x14ac:dyDescent="0.25">
      <c r="A753">
        <v>410000759</v>
      </c>
      <c r="B753" t="s">
        <v>5537</v>
      </c>
      <c r="C753" t="s">
        <v>5538</v>
      </c>
      <c r="D753">
        <v>401100000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1</v>
      </c>
      <c r="X753">
        <v>1</v>
      </c>
      <c r="Y753" t="s">
        <v>972</v>
      </c>
      <c r="Z753" t="s">
        <v>987</v>
      </c>
      <c r="AA753" t="s">
        <v>4151</v>
      </c>
      <c r="AB753" t="s">
        <v>975</v>
      </c>
      <c r="AC753">
        <v>4030</v>
      </c>
      <c r="AD753" t="s">
        <v>1019</v>
      </c>
      <c r="AE753" t="s">
        <v>979</v>
      </c>
      <c r="AF753" t="s">
        <v>979</v>
      </c>
      <c r="AG753" t="s">
        <v>977</v>
      </c>
      <c r="AH753" t="s">
        <v>977</v>
      </c>
      <c r="AI753" t="s">
        <v>5539</v>
      </c>
      <c r="AJ753" t="s">
        <v>978</v>
      </c>
      <c r="AK753" t="s">
        <v>978</v>
      </c>
      <c r="AL753" t="s">
        <v>978</v>
      </c>
      <c r="AM753" t="s">
        <v>979</v>
      </c>
      <c r="AN753">
        <v>0</v>
      </c>
      <c r="AO753" t="s">
        <v>257</v>
      </c>
      <c r="AP753">
        <v>0</v>
      </c>
      <c r="AQ753">
        <v>1</v>
      </c>
      <c r="AR753">
        <v>43</v>
      </c>
      <c r="AS753">
        <v>1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1</v>
      </c>
      <c r="AZ753" t="s">
        <v>257</v>
      </c>
      <c r="BA753" t="s">
        <v>980</v>
      </c>
      <c r="BB753" t="s">
        <v>981</v>
      </c>
      <c r="BC753" t="s">
        <v>257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 t="s">
        <v>998</v>
      </c>
      <c r="BK753" t="s">
        <v>981</v>
      </c>
      <c r="BL753" t="s">
        <v>5537</v>
      </c>
      <c r="BM753">
        <v>20220519</v>
      </c>
      <c r="BN753">
        <v>20230123</v>
      </c>
      <c r="BO753">
        <v>0</v>
      </c>
      <c r="BP753" t="s">
        <v>257</v>
      </c>
      <c r="BQ753" t="s">
        <v>983</v>
      </c>
      <c r="BR753" t="s">
        <v>978</v>
      </c>
      <c r="BS753">
        <v>32495103306</v>
      </c>
      <c r="BT753">
        <v>0</v>
      </c>
      <c r="BU753">
        <v>0</v>
      </c>
      <c r="BV753" t="s">
        <v>984</v>
      </c>
      <c r="BW753" t="s">
        <v>257</v>
      </c>
      <c r="BX753">
        <v>0</v>
      </c>
      <c r="BY753" t="s">
        <v>980</v>
      </c>
      <c r="BZ753" t="s">
        <v>257</v>
      </c>
      <c r="CA753">
        <v>0</v>
      </c>
      <c r="CB753">
        <v>0</v>
      </c>
      <c r="CC753" t="s">
        <v>1848</v>
      </c>
      <c r="CD753">
        <v>0</v>
      </c>
      <c r="CE753">
        <v>0</v>
      </c>
      <c r="CF753">
        <v>0</v>
      </c>
      <c r="CG753">
        <v>0</v>
      </c>
      <c r="CH753">
        <v>0</v>
      </c>
      <c r="CI753" t="s">
        <v>983</v>
      </c>
      <c r="CJ753" t="s">
        <v>972</v>
      </c>
      <c r="CK753" t="s">
        <v>986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 t="s">
        <v>987</v>
      </c>
      <c r="CV753">
        <v>400008759</v>
      </c>
      <c r="CW753" t="s">
        <v>987</v>
      </c>
      <c r="CX753" t="s">
        <v>5540</v>
      </c>
      <c r="CY753" t="s">
        <v>989</v>
      </c>
    </row>
    <row r="754" spans="1:103" hidden="1" x14ac:dyDescent="0.25">
      <c r="A754">
        <v>410000760</v>
      </c>
      <c r="B754" t="s">
        <v>5541</v>
      </c>
      <c r="C754" t="s">
        <v>5542</v>
      </c>
      <c r="D754">
        <v>401100000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1</v>
      </c>
      <c r="Y754" t="s">
        <v>972</v>
      </c>
      <c r="Z754" t="s">
        <v>5543</v>
      </c>
      <c r="AA754" t="s">
        <v>5544</v>
      </c>
      <c r="AB754" t="s">
        <v>975</v>
      </c>
      <c r="AC754">
        <v>6830</v>
      </c>
      <c r="AD754" t="s">
        <v>5545</v>
      </c>
      <c r="AE754">
        <v>3261466389</v>
      </c>
      <c r="AF754" t="s">
        <v>979</v>
      </c>
      <c r="AG754" t="s">
        <v>977</v>
      </c>
      <c r="AH754">
        <v>454716105</v>
      </c>
      <c r="AI754" t="s">
        <v>5546</v>
      </c>
      <c r="AJ754" t="s">
        <v>5547</v>
      </c>
      <c r="AK754" t="s">
        <v>978</v>
      </c>
      <c r="AL754" t="s">
        <v>978</v>
      </c>
      <c r="AM754" t="s">
        <v>979</v>
      </c>
      <c r="AN754">
        <v>0</v>
      </c>
      <c r="AO754" t="s">
        <v>257</v>
      </c>
      <c r="AP754">
        <v>0</v>
      </c>
      <c r="AQ754">
        <v>1</v>
      </c>
      <c r="AR754">
        <v>43</v>
      </c>
      <c r="AS754">
        <v>1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1</v>
      </c>
      <c r="AZ754" t="s">
        <v>257</v>
      </c>
      <c r="BA754" t="s">
        <v>980</v>
      </c>
      <c r="BB754" t="s">
        <v>981</v>
      </c>
      <c r="BC754" t="s">
        <v>257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 t="s">
        <v>998</v>
      </c>
      <c r="BK754" t="s">
        <v>981</v>
      </c>
      <c r="BL754" t="s">
        <v>5541</v>
      </c>
      <c r="BM754">
        <v>20220525</v>
      </c>
      <c r="BN754">
        <v>20220531</v>
      </c>
      <c r="BO754">
        <v>0</v>
      </c>
      <c r="BP754" t="s">
        <v>257</v>
      </c>
      <c r="BQ754" t="s">
        <v>983</v>
      </c>
      <c r="BR754" t="s">
        <v>978</v>
      </c>
      <c r="BS754" t="s">
        <v>979</v>
      </c>
      <c r="BT754">
        <v>0</v>
      </c>
      <c r="BU754">
        <v>0</v>
      </c>
      <c r="BV754" t="s">
        <v>984</v>
      </c>
      <c r="BW754" t="s">
        <v>257</v>
      </c>
      <c r="BX754">
        <v>0</v>
      </c>
      <c r="BY754" t="s">
        <v>980</v>
      </c>
      <c r="BZ754" t="s">
        <v>257</v>
      </c>
      <c r="CA754">
        <v>0</v>
      </c>
      <c r="CB754">
        <v>0</v>
      </c>
      <c r="CC754" t="s">
        <v>1901</v>
      </c>
      <c r="CD754">
        <v>0</v>
      </c>
      <c r="CE754">
        <v>0</v>
      </c>
      <c r="CF754">
        <v>0</v>
      </c>
      <c r="CG754">
        <v>0</v>
      </c>
      <c r="CH754">
        <v>0</v>
      </c>
      <c r="CI754" t="s">
        <v>983</v>
      </c>
      <c r="CJ754" t="s">
        <v>972</v>
      </c>
      <c r="CK754" t="s">
        <v>986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 t="s">
        <v>987</v>
      </c>
      <c r="CV754">
        <v>400008760</v>
      </c>
      <c r="CW754" t="s">
        <v>987</v>
      </c>
      <c r="CX754" t="s">
        <v>5548</v>
      </c>
      <c r="CY754" t="s">
        <v>989</v>
      </c>
    </row>
    <row r="755" spans="1:103" hidden="1" x14ac:dyDescent="0.25">
      <c r="A755">
        <v>410000761</v>
      </c>
      <c r="B755" t="s">
        <v>5549</v>
      </c>
      <c r="C755" t="s">
        <v>5550</v>
      </c>
      <c r="D755">
        <v>401100000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1</v>
      </c>
      <c r="Y755" t="s">
        <v>972</v>
      </c>
      <c r="Z755" t="s">
        <v>4052</v>
      </c>
      <c r="AA755" t="s">
        <v>5551</v>
      </c>
      <c r="AB755" t="s">
        <v>975</v>
      </c>
      <c r="AC755">
        <v>1040</v>
      </c>
      <c r="AD755" t="s">
        <v>5552</v>
      </c>
      <c r="AE755" t="s">
        <v>5553</v>
      </c>
      <c r="AF755" t="s">
        <v>979</v>
      </c>
      <c r="AG755" t="s">
        <v>5554</v>
      </c>
      <c r="AH755">
        <v>786438584</v>
      </c>
      <c r="AI755" t="s">
        <v>5555</v>
      </c>
      <c r="AJ755" t="s">
        <v>5556</v>
      </c>
      <c r="AK755" t="s">
        <v>978</v>
      </c>
      <c r="AL755" t="s">
        <v>978</v>
      </c>
      <c r="AM755" t="s">
        <v>979</v>
      </c>
      <c r="AN755">
        <v>0</v>
      </c>
      <c r="AO755" t="s">
        <v>257</v>
      </c>
      <c r="AP755">
        <v>0</v>
      </c>
      <c r="AQ755">
        <v>1</v>
      </c>
      <c r="AR755">
        <v>69</v>
      </c>
      <c r="AS755">
        <v>1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1</v>
      </c>
      <c r="AZ755" t="s">
        <v>257</v>
      </c>
      <c r="BA755" t="s">
        <v>980</v>
      </c>
      <c r="BB755" t="s">
        <v>981</v>
      </c>
      <c r="BC755" t="s">
        <v>257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 t="s">
        <v>998</v>
      </c>
      <c r="BK755" t="s">
        <v>981</v>
      </c>
      <c r="BL755" t="s">
        <v>5549</v>
      </c>
      <c r="BM755">
        <v>20220525</v>
      </c>
      <c r="BN755">
        <v>20240910</v>
      </c>
      <c r="BO755">
        <v>0</v>
      </c>
      <c r="BP755" t="s">
        <v>257</v>
      </c>
      <c r="BQ755" t="s">
        <v>983</v>
      </c>
      <c r="BR755" t="s">
        <v>978</v>
      </c>
      <c r="BS755" t="s">
        <v>979</v>
      </c>
      <c r="BT755">
        <v>0</v>
      </c>
      <c r="BU755">
        <v>0</v>
      </c>
      <c r="BV755" t="s">
        <v>984</v>
      </c>
      <c r="BW755" t="s">
        <v>257</v>
      </c>
      <c r="BX755">
        <v>0</v>
      </c>
      <c r="BY755" t="s">
        <v>980</v>
      </c>
      <c r="BZ755" t="s">
        <v>257</v>
      </c>
      <c r="CA755">
        <v>0</v>
      </c>
      <c r="CB755">
        <v>0</v>
      </c>
      <c r="CC755" t="s">
        <v>1901</v>
      </c>
      <c r="CD755">
        <v>0</v>
      </c>
      <c r="CE755">
        <v>0</v>
      </c>
      <c r="CF755">
        <v>0</v>
      </c>
      <c r="CG755">
        <v>0</v>
      </c>
      <c r="CH755">
        <v>0</v>
      </c>
      <c r="CI755" t="s">
        <v>983</v>
      </c>
      <c r="CJ755" t="s">
        <v>972</v>
      </c>
      <c r="CK755" t="s">
        <v>986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 t="s">
        <v>987</v>
      </c>
      <c r="CV755">
        <v>400008761</v>
      </c>
      <c r="CW755" t="s">
        <v>987</v>
      </c>
      <c r="CX755" t="s">
        <v>5557</v>
      </c>
      <c r="CY755" t="s">
        <v>989</v>
      </c>
    </row>
    <row r="756" spans="1:103" hidden="1" x14ac:dyDescent="0.25">
      <c r="A756">
        <v>410000762</v>
      </c>
      <c r="B756" t="s">
        <v>5558</v>
      </c>
      <c r="C756" t="s">
        <v>1824</v>
      </c>
      <c r="D756">
        <v>401100000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1</v>
      </c>
      <c r="X756">
        <v>1</v>
      </c>
      <c r="Y756" t="s">
        <v>972</v>
      </c>
      <c r="Z756" t="s">
        <v>5559</v>
      </c>
      <c r="AA756" t="s">
        <v>5560</v>
      </c>
      <c r="AB756" t="s">
        <v>975</v>
      </c>
      <c r="AC756">
        <v>7181</v>
      </c>
      <c r="AD756" t="s">
        <v>1827</v>
      </c>
      <c r="AE756">
        <v>3267878701</v>
      </c>
      <c r="AF756">
        <v>3267879391</v>
      </c>
      <c r="AG756" t="s">
        <v>977</v>
      </c>
      <c r="AH756" t="s">
        <v>977</v>
      </c>
      <c r="AI756" t="s">
        <v>977</v>
      </c>
      <c r="AJ756" t="s">
        <v>5561</v>
      </c>
      <c r="AK756" t="s">
        <v>978</v>
      </c>
      <c r="AL756" t="s">
        <v>978</v>
      </c>
      <c r="AM756" t="s">
        <v>979</v>
      </c>
      <c r="AN756">
        <v>0</v>
      </c>
      <c r="AO756" t="s">
        <v>257</v>
      </c>
      <c r="AP756">
        <v>0</v>
      </c>
      <c r="AQ756">
        <v>1</v>
      </c>
      <c r="AR756">
        <v>43</v>
      </c>
      <c r="AS756">
        <v>1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1</v>
      </c>
      <c r="AZ756" t="s">
        <v>257</v>
      </c>
      <c r="BA756" t="s">
        <v>980</v>
      </c>
      <c r="BB756" t="s">
        <v>981</v>
      </c>
      <c r="BC756" t="s">
        <v>257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 t="s">
        <v>998</v>
      </c>
      <c r="BK756" t="s">
        <v>981</v>
      </c>
      <c r="BL756" t="s">
        <v>5558</v>
      </c>
      <c r="BM756">
        <v>20220603</v>
      </c>
      <c r="BN756">
        <v>0</v>
      </c>
      <c r="BO756">
        <v>0</v>
      </c>
      <c r="BP756" t="s">
        <v>257</v>
      </c>
      <c r="BQ756" t="s">
        <v>983</v>
      </c>
      <c r="BR756" t="s">
        <v>978</v>
      </c>
      <c r="BS756" t="s">
        <v>979</v>
      </c>
      <c r="BT756">
        <v>0</v>
      </c>
      <c r="BU756">
        <v>0</v>
      </c>
      <c r="BV756" t="s">
        <v>984</v>
      </c>
      <c r="BW756" t="s">
        <v>257</v>
      </c>
      <c r="BX756">
        <v>0</v>
      </c>
      <c r="BY756" t="s">
        <v>980</v>
      </c>
      <c r="BZ756" t="s">
        <v>257</v>
      </c>
      <c r="CA756">
        <v>0</v>
      </c>
      <c r="CB756">
        <v>0</v>
      </c>
      <c r="CC756" t="s">
        <v>1901</v>
      </c>
      <c r="CD756">
        <v>0</v>
      </c>
      <c r="CE756">
        <v>0</v>
      </c>
      <c r="CF756">
        <v>0</v>
      </c>
      <c r="CG756">
        <v>0</v>
      </c>
      <c r="CH756">
        <v>0</v>
      </c>
      <c r="CI756" t="s">
        <v>983</v>
      </c>
      <c r="CJ756" t="s">
        <v>972</v>
      </c>
      <c r="CK756" t="s">
        <v>986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 t="s">
        <v>987</v>
      </c>
      <c r="CV756">
        <v>400008762</v>
      </c>
      <c r="CW756" t="s">
        <v>987</v>
      </c>
      <c r="CX756" t="s">
        <v>1834</v>
      </c>
      <c r="CY756" t="s">
        <v>989</v>
      </c>
    </row>
    <row r="757" spans="1:103" hidden="1" x14ac:dyDescent="0.25">
      <c r="A757">
        <v>410000763</v>
      </c>
      <c r="B757" t="s">
        <v>5562</v>
      </c>
      <c r="C757" t="s">
        <v>5563</v>
      </c>
      <c r="D757">
        <v>401100000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1</v>
      </c>
      <c r="X757">
        <v>1</v>
      </c>
      <c r="Y757" t="s">
        <v>972</v>
      </c>
      <c r="Z757" t="s">
        <v>5564</v>
      </c>
      <c r="AA757" t="s">
        <v>5565</v>
      </c>
      <c r="AB757" t="s">
        <v>975</v>
      </c>
      <c r="AC757">
        <v>4607</v>
      </c>
      <c r="AD757" t="s">
        <v>5566</v>
      </c>
      <c r="AE757" t="s">
        <v>5567</v>
      </c>
      <c r="AF757" t="s">
        <v>979</v>
      </c>
      <c r="AG757" t="s">
        <v>977</v>
      </c>
      <c r="AH757">
        <v>898673029</v>
      </c>
      <c r="AI757" t="s">
        <v>5498</v>
      </c>
      <c r="AJ757" t="s">
        <v>978</v>
      </c>
      <c r="AK757" t="s">
        <v>978</v>
      </c>
      <c r="AL757" t="s">
        <v>978</v>
      </c>
      <c r="AM757" t="s">
        <v>979</v>
      </c>
      <c r="AN757">
        <v>0</v>
      </c>
      <c r="AO757" t="s">
        <v>257</v>
      </c>
      <c r="AP757">
        <v>0</v>
      </c>
      <c r="AQ757">
        <v>18</v>
      </c>
      <c r="AR757">
        <v>43</v>
      </c>
      <c r="AS757">
        <v>1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1</v>
      </c>
      <c r="AZ757" t="s">
        <v>257</v>
      </c>
      <c r="BA757" t="s">
        <v>980</v>
      </c>
      <c r="BB757" t="s">
        <v>981</v>
      </c>
      <c r="BC757" t="s">
        <v>257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 t="s">
        <v>998</v>
      </c>
      <c r="BK757" t="s">
        <v>981</v>
      </c>
      <c r="BL757" t="s">
        <v>5562</v>
      </c>
      <c r="BM757">
        <v>20220609</v>
      </c>
      <c r="BN757">
        <v>20220609</v>
      </c>
      <c r="BO757">
        <v>0</v>
      </c>
      <c r="BP757" t="s">
        <v>257</v>
      </c>
      <c r="BQ757" t="s">
        <v>983</v>
      </c>
      <c r="BR757" t="s">
        <v>978</v>
      </c>
      <c r="BS757" t="s">
        <v>979</v>
      </c>
      <c r="BT757">
        <v>0</v>
      </c>
      <c r="BU757">
        <v>0</v>
      </c>
      <c r="BV757" t="s">
        <v>984</v>
      </c>
      <c r="BW757" t="s">
        <v>257</v>
      </c>
      <c r="BX757">
        <v>0</v>
      </c>
      <c r="BY757" t="s">
        <v>980</v>
      </c>
      <c r="BZ757" t="s">
        <v>257</v>
      </c>
      <c r="CA757">
        <v>0</v>
      </c>
      <c r="CB757">
        <v>0</v>
      </c>
      <c r="CC757" t="s">
        <v>1391</v>
      </c>
      <c r="CD757">
        <v>0</v>
      </c>
      <c r="CE757">
        <v>0</v>
      </c>
      <c r="CF757">
        <v>0</v>
      </c>
      <c r="CG757">
        <v>0</v>
      </c>
      <c r="CH757">
        <v>0</v>
      </c>
      <c r="CI757" t="s">
        <v>983</v>
      </c>
      <c r="CJ757" t="s">
        <v>972</v>
      </c>
      <c r="CK757" t="s">
        <v>986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 t="s">
        <v>987</v>
      </c>
      <c r="CV757">
        <v>400008763</v>
      </c>
      <c r="CW757" t="s">
        <v>987</v>
      </c>
      <c r="CX757" t="s">
        <v>5568</v>
      </c>
      <c r="CY757" t="s">
        <v>989</v>
      </c>
    </row>
    <row r="758" spans="1:103" hidden="1" x14ac:dyDescent="0.25">
      <c r="A758">
        <v>410000764</v>
      </c>
      <c r="B758" t="s">
        <v>5569</v>
      </c>
      <c r="C758" t="s">
        <v>5570</v>
      </c>
      <c r="D758">
        <v>401100000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1</v>
      </c>
      <c r="Y758" t="s">
        <v>972</v>
      </c>
      <c r="Z758" t="s">
        <v>987</v>
      </c>
      <c r="AA758" t="s">
        <v>5571</v>
      </c>
      <c r="AB758" t="s">
        <v>975</v>
      </c>
      <c r="AC758">
        <v>4000</v>
      </c>
      <c r="AD758" t="s">
        <v>1019</v>
      </c>
      <c r="AE758" t="s">
        <v>979</v>
      </c>
      <c r="AF758" t="s">
        <v>979</v>
      </c>
      <c r="AG758" t="s">
        <v>977</v>
      </c>
      <c r="AH758">
        <v>421805290</v>
      </c>
      <c r="AI758" t="s">
        <v>5572</v>
      </c>
      <c r="AJ758" t="s">
        <v>978</v>
      </c>
      <c r="AK758" t="s">
        <v>978</v>
      </c>
      <c r="AL758" t="s">
        <v>978</v>
      </c>
      <c r="AM758" t="s">
        <v>979</v>
      </c>
      <c r="AN758">
        <v>0</v>
      </c>
      <c r="AO758" t="s">
        <v>257</v>
      </c>
      <c r="AP758">
        <v>0</v>
      </c>
      <c r="AQ758">
        <v>1</v>
      </c>
      <c r="AR758">
        <v>43</v>
      </c>
      <c r="AS758">
        <v>1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1</v>
      </c>
      <c r="AZ758" t="s">
        <v>257</v>
      </c>
      <c r="BA758" t="s">
        <v>980</v>
      </c>
      <c r="BB758" t="s">
        <v>981</v>
      </c>
      <c r="BC758" t="s">
        <v>257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 t="s">
        <v>1021</v>
      </c>
      <c r="BK758" t="s">
        <v>981</v>
      </c>
      <c r="BL758" t="s">
        <v>5569</v>
      </c>
      <c r="BM758">
        <v>20220609</v>
      </c>
      <c r="BN758">
        <v>20220609</v>
      </c>
      <c r="BO758">
        <v>0</v>
      </c>
      <c r="BP758" t="s">
        <v>257</v>
      </c>
      <c r="BQ758" t="s">
        <v>983</v>
      </c>
      <c r="BR758" t="s">
        <v>978</v>
      </c>
      <c r="BS758">
        <v>32494303268</v>
      </c>
      <c r="BT758">
        <v>0</v>
      </c>
      <c r="BU758">
        <v>0</v>
      </c>
      <c r="BV758" t="s">
        <v>984</v>
      </c>
      <c r="BW758" t="s">
        <v>257</v>
      </c>
      <c r="BX758">
        <v>0</v>
      </c>
      <c r="BY758" t="s">
        <v>980</v>
      </c>
      <c r="BZ758" t="s">
        <v>257</v>
      </c>
      <c r="CA758">
        <v>0</v>
      </c>
      <c r="CB758">
        <v>0</v>
      </c>
      <c r="CC758" t="s">
        <v>1848</v>
      </c>
      <c r="CD758">
        <v>0</v>
      </c>
      <c r="CE758">
        <v>0</v>
      </c>
      <c r="CF758">
        <v>0</v>
      </c>
      <c r="CG758">
        <v>0</v>
      </c>
      <c r="CH758">
        <v>0</v>
      </c>
      <c r="CI758" t="s">
        <v>983</v>
      </c>
      <c r="CJ758" t="s">
        <v>972</v>
      </c>
      <c r="CK758" t="s">
        <v>986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 t="s">
        <v>987</v>
      </c>
      <c r="CV758">
        <v>400008764</v>
      </c>
      <c r="CW758" t="s">
        <v>987</v>
      </c>
      <c r="CX758" t="s">
        <v>5573</v>
      </c>
      <c r="CY758" t="s">
        <v>989</v>
      </c>
    </row>
    <row r="759" spans="1:103" hidden="1" x14ac:dyDescent="0.25">
      <c r="A759">
        <v>410000765</v>
      </c>
      <c r="B759" t="s">
        <v>5574</v>
      </c>
      <c r="C759" t="s">
        <v>5575</v>
      </c>
      <c r="D759">
        <v>401100000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1</v>
      </c>
      <c r="X759">
        <v>1</v>
      </c>
      <c r="Y759" t="s">
        <v>972</v>
      </c>
      <c r="Z759" t="s">
        <v>987</v>
      </c>
      <c r="AA759" t="s">
        <v>5576</v>
      </c>
      <c r="AB759" t="s">
        <v>975</v>
      </c>
      <c r="AC759">
        <v>4460</v>
      </c>
      <c r="AD759" t="s">
        <v>1946</v>
      </c>
      <c r="AE759">
        <v>3242753782</v>
      </c>
      <c r="AF759" t="s">
        <v>979</v>
      </c>
      <c r="AG759" t="s">
        <v>977</v>
      </c>
      <c r="AH759">
        <v>474325446</v>
      </c>
      <c r="AI759" t="s">
        <v>5577</v>
      </c>
      <c r="AJ759" t="s">
        <v>978</v>
      </c>
      <c r="AK759" t="s">
        <v>978</v>
      </c>
      <c r="AL759" t="s">
        <v>978</v>
      </c>
      <c r="AM759" t="s">
        <v>979</v>
      </c>
      <c r="AN759">
        <v>0</v>
      </c>
      <c r="AO759" t="s">
        <v>257</v>
      </c>
      <c r="AP759">
        <v>0</v>
      </c>
      <c r="AQ759">
        <v>18</v>
      </c>
      <c r="AR759">
        <v>43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1</v>
      </c>
      <c r="AZ759" t="s">
        <v>257</v>
      </c>
      <c r="BA759" t="s">
        <v>980</v>
      </c>
      <c r="BB759" t="s">
        <v>981</v>
      </c>
      <c r="BC759" t="s">
        <v>257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 t="s">
        <v>998</v>
      </c>
      <c r="BK759" t="s">
        <v>981</v>
      </c>
      <c r="BL759" t="s">
        <v>5574</v>
      </c>
      <c r="BM759">
        <v>20220610</v>
      </c>
      <c r="BN759">
        <v>20220613</v>
      </c>
      <c r="BO759">
        <v>0</v>
      </c>
      <c r="BP759" t="s">
        <v>257</v>
      </c>
      <c r="BQ759" t="s">
        <v>983</v>
      </c>
      <c r="BR759" t="s">
        <v>978</v>
      </c>
      <c r="BS759" t="s">
        <v>979</v>
      </c>
      <c r="BT759">
        <v>0</v>
      </c>
      <c r="BU759">
        <v>0</v>
      </c>
      <c r="BV759" t="s">
        <v>984</v>
      </c>
      <c r="BW759" t="s">
        <v>257</v>
      </c>
      <c r="BX759">
        <v>0</v>
      </c>
      <c r="BY759" t="s">
        <v>980</v>
      </c>
      <c r="BZ759" t="s">
        <v>257</v>
      </c>
      <c r="CA759">
        <v>0</v>
      </c>
      <c r="CB759">
        <v>0</v>
      </c>
      <c r="CC759" t="s">
        <v>1934</v>
      </c>
      <c r="CD759">
        <v>0</v>
      </c>
      <c r="CE759">
        <v>0</v>
      </c>
      <c r="CF759">
        <v>0</v>
      </c>
      <c r="CG759">
        <v>0</v>
      </c>
      <c r="CH759">
        <v>0</v>
      </c>
      <c r="CI759" t="s">
        <v>983</v>
      </c>
      <c r="CJ759" t="s">
        <v>972</v>
      </c>
      <c r="CK759" t="s">
        <v>986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 t="s">
        <v>987</v>
      </c>
      <c r="CV759">
        <v>400008765</v>
      </c>
      <c r="CW759" t="s">
        <v>987</v>
      </c>
      <c r="CX759" t="s">
        <v>5578</v>
      </c>
      <c r="CY759" t="s">
        <v>989</v>
      </c>
    </row>
    <row r="760" spans="1:103" hidden="1" x14ac:dyDescent="0.25">
      <c r="A760">
        <v>410000766</v>
      </c>
      <c r="B760" t="s">
        <v>5579</v>
      </c>
      <c r="C760" t="s">
        <v>5580</v>
      </c>
      <c r="D760">
        <v>401100000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1</v>
      </c>
      <c r="X760">
        <v>1</v>
      </c>
      <c r="Y760" t="s">
        <v>972</v>
      </c>
      <c r="Z760" t="s">
        <v>4834</v>
      </c>
      <c r="AA760" t="s">
        <v>5581</v>
      </c>
      <c r="AB760" t="s">
        <v>975</v>
      </c>
      <c r="AC760">
        <v>4040</v>
      </c>
      <c r="AD760" t="s">
        <v>976</v>
      </c>
      <c r="AE760" t="s">
        <v>5582</v>
      </c>
      <c r="AF760" t="s">
        <v>979</v>
      </c>
      <c r="AG760" t="s">
        <v>977</v>
      </c>
      <c r="AH760">
        <v>808784020</v>
      </c>
      <c r="AI760" t="s">
        <v>5583</v>
      </c>
      <c r="AJ760" t="s">
        <v>978</v>
      </c>
      <c r="AK760" t="s">
        <v>978</v>
      </c>
      <c r="AL760" t="s">
        <v>978</v>
      </c>
      <c r="AM760" t="s">
        <v>979</v>
      </c>
      <c r="AN760">
        <v>0</v>
      </c>
      <c r="AO760" t="s">
        <v>257</v>
      </c>
      <c r="AP760">
        <v>0</v>
      </c>
      <c r="AQ760">
        <v>20</v>
      </c>
      <c r="AR760">
        <v>43</v>
      </c>
      <c r="AS760">
        <v>1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1</v>
      </c>
      <c r="AZ760" t="s">
        <v>257</v>
      </c>
      <c r="BA760" t="s">
        <v>980</v>
      </c>
      <c r="BB760" t="s">
        <v>981</v>
      </c>
      <c r="BC760" t="s">
        <v>257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 t="s">
        <v>1285</v>
      </c>
      <c r="BK760" t="s">
        <v>981</v>
      </c>
      <c r="BL760" t="s">
        <v>5579</v>
      </c>
      <c r="BM760">
        <v>20220614</v>
      </c>
      <c r="BN760">
        <v>20231031</v>
      </c>
      <c r="BO760">
        <v>0</v>
      </c>
      <c r="BP760" t="s">
        <v>257</v>
      </c>
      <c r="BQ760" t="s">
        <v>983</v>
      </c>
      <c r="BR760" t="s">
        <v>978</v>
      </c>
      <c r="BS760" t="s">
        <v>979</v>
      </c>
      <c r="BT760">
        <v>0</v>
      </c>
      <c r="BU760">
        <v>0</v>
      </c>
      <c r="BV760" t="s">
        <v>984</v>
      </c>
      <c r="BW760" t="s">
        <v>257</v>
      </c>
      <c r="BX760">
        <v>0</v>
      </c>
      <c r="BY760" t="s">
        <v>980</v>
      </c>
      <c r="BZ760" t="s">
        <v>257</v>
      </c>
      <c r="CA760">
        <v>0</v>
      </c>
      <c r="CB760">
        <v>0</v>
      </c>
      <c r="CC760" t="s">
        <v>2322</v>
      </c>
      <c r="CD760">
        <v>0</v>
      </c>
      <c r="CE760">
        <v>0</v>
      </c>
      <c r="CF760">
        <v>0</v>
      </c>
      <c r="CG760">
        <v>0</v>
      </c>
      <c r="CH760">
        <v>0</v>
      </c>
      <c r="CI760" t="s">
        <v>983</v>
      </c>
      <c r="CJ760" t="s">
        <v>972</v>
      </c>
      <c r="CK760" t="s">
        <v>986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 t="s">
        <v>987</v>
      </c>
      <c r="CV760">
        <v>400008766</v>
      </c>
      <c r="CW760" t="s">
        <v>987</v>
      </c>
      <c r="CX760" t="s">
        <v>5584</v>
      </c>
      <c r="CY760" t="s">
        <v>989</v>
      </c>
    </row>
    <row r="761" spans="1:103" hidden="1" x14ac:dyDescent="0.25">
      <c r="A761">
        <v>410000767</v>
      </c>
      <c r="B761" t="s">
        <v>5585</v>
      </c>
      <c r="C761" t="s">
        <v>5586</v>
      </c>
      <c r="D761">
        <v>401100000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1</v>
      </c>
      <c r="Y761" t="s">
        <v>972</v>
      </c>
      <c r="Z761" t="s">
        <v>987</v>
      </c>
      <c r="AA761" t="s">
        <v>5587</v>
      </c>
      <c r="AB761" t="s">
        <v>975</v>
      </c>
      <c r="AC761">
        <v>4000</v>
      </c>
      <c r="AD761" t="s">
        <v>1019</v>
      </c>
      <c r="AE761">
        <v>3242541454</v>
      </c>
      <c r="AF761" t="s">
        <v>979</v>
      </c>
      <c r="AG761" t="s">
        <v>977</v>
      </c>
      <c r="AH761">
        <v>542990855</v>
      </c>
      <c r="AI761" t="s">
        <v>5588</v>
      </c>
      <c r="AJ761" t="s">
        <v>978</v>
      </c>
      <c r="AK761" t="s">
        <v>978</v>
      </c>
      <c r="AL761" t="s">
        <v>978</v>
      </c>
      <c r="AM761" t="s">
        <v>979</v>
      </c>
      <c r="AN761">
        <v>0</v>
      </c>
      <c r="AO761" t="s">
        <v>257</v>
      </c>
      <c r="AP761">
        <v>0</v>
      </c>
      <c r="AQ761">
        <v>20</v>
      </c>
      <c r="AR761">
        <v>43</v>
      </c>
      <c r="AS761">
        <v>1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1</v>
      </c>
      <c r="AZ761" t="s">
        <v>257</v>
      </c>
      <c r="BA761" t="s">
        <v>980</v>
      </c>
      <c r="BB761" t="s">
        <v>981</v>
      </c>
      <c r="BC761" t="s">
        <v>257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 t="s">
        <v>1285</v>
      </c>
      <c r="BK761" t="s">
        <v>981</v>
      </c>
      <c r="BL761" t="s">
        <v>5585</v>
      </c>
      <c r="BM761">
        <v>20220614</v>
      </c>
      <c r="BN761">
        <v>20231130</v>
      </c>
      <c r="BO761">
        <v>0</v>
      </c>
      <c r="BP761" t="s">
        <v>257</v>
      </c>
      <c r="BQ761" t="s">
        <v>983</v>
      </c>
      <c r="BR761" t="s">
        <v>978</v>
      </c>
      <c r="BS761" t="s">
        <v>979</v>
      </c>
      <c r="BT761">
        <v>0</v>
      </c>
      <c r="BU761">
        <v>0</v>
      </c>
      <c r="BV761" t="s">
        <v>984</v>
      </c>
      <c r="BW761" t="s">
        <v>257</v>
      </c>
      <c r="BX761">
        <v>0</v>
      </c>
      <c r="BY761" t="s">
        <v>980</v>
      </c>
      <c r="BZ761" t="s">
        <v>257</v>
      </c>
      <c r="CA761">
        <v>0</v>
      </c>
      <c r="CB761">
        <v>0</v>
      </c>
      <c r="CC761" t="s">
        <v>1391</v>
      </c>
      <c r="CD761">
        <v>0</v>
      </c>
      <c r="CE761">
        <v>0</v>
      </c>
      <c r="CF761">
        <v>0</v>
      </c>
      <c r="CG761">
        <v>0</v>
      </c>
      <c r="CH761">
        <v>0</v>
      </c>
      <c r="CI761" t="s">
        <v>983</v>
      </c>
      <c r="CJ761" t="s">
        <v>972</v>
      </c>
      <c r="CK761" t="s">
        <v>986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 t="s">
        <v>987</v>
      </c>
      <c r="CV761">
        <v>400008767</v>
      </c>
      <c r="CW761" t="s">
        <v>987</v>
      </c>
      <c r="CX761" t="s">
        <v>5589</v>
      </c>
      <c r="CY761" t="s">
        <v>989</v>
      </c>
    </row>
    <row r="762" spans="1:103" hidden="1" x14ac:dyDescent="0.25">
      <c r="A762">
        <v>410000768</v>
      </c>
      <c r="B762" t="s">
        <v>5590</v>
      </c>
      <c r="C762" t="s">
        <v>5591</v>
      </c>
      <c r="D762">
        <v>401100000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1</v>
      </c>
      <c r="Y762" t="s">
        <v>972</v>
      </c>
      <c r="Z762" t="s">
        <v>5592</v>
      </c>
      <c r="AA762" t="s">
        <v>5593</v>
      </c>
      <c r="AB762" t="s">
        <v>975</v>
      </c>
      <c r="AC762">
        <v>4000</v>
      </c>
      <c r="AD762" t="s">
        <v>1019</v>
      </c>
      <c r="AE762">
        <v>3242544267</v>
      </c>
      <c r="AF762">
        <v>3242521103</v>
      </c>
      <c r="AG762" t="s">
        <v>977</v>
      </c>
      <c r="AH762" t="s">
        <v>5594</v>
      </c>
      <c r="AI762" t="s">
        <v>5595</v>
      </c>
      <c r="AJ762" t="s">
        <v>5596</v>
      </c>
      <c r="AK762" t="s">
        <v>5597</v>
      </c>
      <c r="AL762" t="s">
        <v>978</v>
      </c>
      <c r="AM762" t="s">
        <v>979</v>
      </c>
      <c r="AN762">
        <v>0</v>
      </c>
      <c r="AO762" t="s">
        <v>980</v>
      </c>
      <c r="AP762">
        <v>30</v>
      </c>
      <c r="AQ762">
        <v>20</v>
      </c>
      <c r="AR762">
        <v>43</v>
      </c>
      <c r="AS762">
        <v>1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1</v>
      </c>
      <c r="AZ762" t="s">
        <v>257</v>
      </c>
      <c r="BA762" t="s">
        <v>980</v>
      </c>
      <c r="BB762" t="s">
        <v>981</v>
      </c>
      <c r="BC762" t="s">
        <v>257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 t="s">
        <v>998</v>
      </c>
      <c r="BK762" t="s">
        <v>981</v>
      </c>
      <c r="BL762" t="s">
        <v>5590</v>
      </c>
      <c r="BM762">
        <v>20220614</v>
      </c>
      <c r="BN762">
        <v>20250604</v>
      </c>
      <c r="BO762">
        <v>0</v>
      </c>
      <c r="BP762" t="s">
        <v>257</v>
      </c>
      <c r="BQ762" t="s">
        <v>983</v>
      </c>
      <c r="BR762" t="s">
        <v>978</v>
      </c>
      <c r="BS762" t="s">
        <v>979</v>
      </c>
      <c r="BT762">
        <v>0</v>
      </c>
      <c r="BU762">
        <v>0</v>
      </c>
      <c r="BV762" t="s">
        <v>984</v>
      </c>
      <c r="BW762" t="s">
        <v>257</v>
      </c>
      <c r="BX762">
        <v>0</v>
      </c>
      <c r="BY762" t="s">
        <v>980</v>
      </c>
      <c r="BZ762" t="s">
        <v>257</v>
      </c>
      <c r="CA762">
        <v>0</v>
      </c>
      <c r="CB762">
        <v>0</v>
      </c>
      <c r="CC762" t="s">
        <v>1934</v>
      </c>
      <c r="CD762">
        <v>0</v>
      </c>
      <c r="CE762">
        <v>0</v>
      </c>
      <c r="CF762">
        <v>0</v>
      </c>
      <c r="CG762">
        <v>0</v>
      </c>
      <c r="CH762">
        <v>0</v>
      </c>
      <c r="CI762" t="s">
        <v>983</v>
      </c>
      <c r="CJ762" t="s">
        <v>972</v>
      </c>
      <c r="CK762" t="s">
        <v>986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 t="s">
        <v>987</v>
      </c>
      <c r="CV762">
        <v>400008768</v>
      </c>
      <c r="CW762" t="s">
        <v>987</v>
      </c>
      <c r="CX762" t="s">
        <v>5598</v>
      </c>
      <c r="CY762" t="s">
        <v>989</v>
      </c>
    </row>
    <row r="763" spans="1:103" hidden="1" x14ac:dyDescent="0.25">
      <c r="A763">
        <v>410000769</v>
      </c>
      <c r="B763" t="s">
        <v>5599</v>
      </c>
      <c r="C763" t="s">
        <v>5600</v>
      </c>
      <c r="D763">
        <v>401100000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1</v>
      </c>
      <c r="X763">
        <v>1</v>
      </c>
      <c r="Y763" t="s">
        <v>972</v>
      </c>
      <c r="Z763" t="s">
        <v>5601</v>
      </c>
      <c r="AA763" t="s">
        <v>5602</v>
      </c>
      <c r="AB763" t="s">
        <v>975</v>
      </c>
      <c r="AC763">
        <v>4020</v>
      </c>
      <c r="AD763" t="s">
        <v>1019</v>
      </c>
      <c r="AE763" t="s">
        <v>5603</v>
      </c>
      <c r="AF763" t="s">
        <v>979</v>
      </c>
      <c r="AG763" t="s">
        <v>977</v>
      </c>
      <c r="AH763">
        <v>416540170</v>
      </c>
      <c r="AI763" t="s">
        <v>5604</v>
      </c>
      <c r="AJ763" t="s">
        <v>978</v>
      </c>
      <c r="AK763" t="s">
        <v>978</v>
      </c>
      <c r="AL763" t="s">
        <v>978</v>
      </c>
      <c r="AM763" t="s">
        <v>979</v>
      </c>
      <c r="AN763">
        <v>0</v>
      </c>
      <c r="AO763" t="s">
        <v>257</v>
      </c>
      <c r="AP763">
        <v>0</v>
      </c>
      <c r="AQ763">
        <v>20</v>
      </c>
      <c r="AR763">
        <v>69</v>
      </c>
      <c r="AS763">
        <v>1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1</v>
      </c>
      <c r="AZ763" t="s">
        <v>257</v>
      </c>
      <c r="BA763" t="s">
        <v>980</v>
      </c>
      <c r="BB763" t="s">
        <v>981</v>
      </c>
      <c r="BC763" t="s">
        <v>257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 t="s">
        <v>1285</v>
      </c>
      <c r="BK763" t="s">
        <v>981</v>
      </c>
      <c r="BL763" t="s">
        <v>5599</v>
      </c>
      <c r="BM763">
        <v>20220614</v>
      </c>
      <c r="BN763">
        <v>20241003</v>
      </c>
      <c r="BO763">
        <v>0</v>
      </c>
      <c r="BP763" t="s">
        <v>257</v>
      </c>
      <c r="BQ763" t="s">
        <v>983</v>
      </c>
      <c r="BR763" t="s">
        <v>978</v>
      </c>
      <c r="BS763" t="s">
        <v>979</v>
      </c>
      <c r="BT763">
        <v>0</v>
      </c>
      <c r="BU763">
        <v>0</v>
      </c>
      <c r="BV763" t="s">
        <v>984</v>
      </c>
      <c r="BW763" t="s">
        <v>257</v>
      </c>
      <c r="BX763">
        <v>0</v>
      </c>
      <c r="BY763" t="s">
        <v>980</v>
      </c>
      <c r="BZ763" t="s">
        <v>257</v>
      </c>
      <c r="CA763">
        <v>0</v>
      </c>
      <c r="CB763">
        <v>0</v>
      </c>
      <c r="CC763" t="s">
        <v>1848</v>
      </c>
      <c r="CD763">
        <v>0</v>
      </c>
      <c r="CE763">
        <v>0</v>
      </c>
      <c r="CF763">
        <v>0</v>
      </c>
      <c r="CG763">
        <v>0</v>
      </c>
      <c r="CH763">
        <v>0</v>
      </c>
      <c r="CI763" t="s">
        <v>983</v>
      </c>
      <c r="CJ763" t="s">
        <v>972</v>
      </c>
      <c r="CK763" t="s">
        <v>986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 t="s">
        <v>987</v>
      </c>
      <c r="CV763">
        <v>400008769</v>
      </c>
      <c r="CW763" t="s">
        <v>987</v>
      </c>
      <c r="CX763" t="s">
        <v>5605</v>
      </c>
      <c r="CY763" t="s">
        <v>989</v>
      </c>
    </row>
    <row r="764" spans="1:103" hidden="1" x14ac:dyDescent="0.25">
      <c r="A764">
        <v>410000770</v>
      </c>
      <c r="B764" t="s">
        <v>5606</v>
      </c>
      <c r="C764" t="s">
        <v>7673</v>
      </c>
      <c r="D764">
        <v>401100000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1</v>
      </c>
      <c r="X764">
        <v>1</v>
      </c>
      <c r="Y764" t="s">
        <v>972</v>
      </c>
      <c r="Z764" t="s">
        <v>5607</v>
      </c>
      <c r="AA764" t="s">
        <v>5608</v>
      </c>
      <c r="AB764" t="s">
        <v>975</v>
      </c>
      <c r="AC764">
        <v>1701</v>
      </c>
      <c r="AD764" t="s">
        <v>5609</v>
      </c>
      <c r="AE764">
        <v>3247620227</v>
      </c>
      <c r="AF764" t="s">
        <v>979</v>
      </c>
      <c r="AG764" t="s">
        <v>5610</v>
      </c>
      <c r="AH764">
        <v>543394295</v>
      </c>
      <c r="AI764" t="s">
        <v>5498</v>
      </c>
      <c r="AJ764" t="s">
        <v>5611</v>
      </c>
      <c r="AK764" t="s">
        <v>978</v>
      </c>
      <c r="AL764" t="s">
        <v>978</v>
      </c>
      <c r="AM764" t="s">
        <v>979</v>
      </c>
      <c r="AN764">
        <v>0</v>
      </c>
      <c r="AO764" t="s">
        <v>257</v>
      </c>
      <c r="AP764">
        <v>0</v>
      </c>
      <c r="AQ764">
        <v>20</v>
      </c>
      <c r="AR764">
        <v>43</v>
      </c>
      <c r="AS764">
        <v>1</v>
      </c>
      <c r="AT764">
        <v>0</v>
      </c>
      <c r="AU764">
        <v>1</v>
      </c>
      <c r="AV764">
        <v>0</v>
      </c>
      <c r="AW764">
        <v>0</v>
      </c>
      <c r="AX764">
        <v>0</v>
      </c>
      <c r="AY764">
        <v>1</v>
      </c>
      <c r="AZ764" t="s">
        <v>257</v>
      </c>
      <c r="BA764" t="s">
        <v>980</v>
      </c>
      <c r="BB764" t="s">
        <v>981</v>
      </c>
      <c r="BC764" t="s">
        <v>257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410001156</v>
      </c>
      <c r="BJ764" t="s">
        <v>998</v>
      </c>
      <c r="BK764" t="s">
        <v>981</v>
      </c>
      <c r="BL764" t="s">
        <v>5606</v>
      </c>
      <c r="BM764">
        <v>20220616</v>
      </c>
      <c r="BN764">
        <v>20251218</v>
      </c>
      <c r="BO764">
        <v>0</v>
      </c>
      <c r="BP764" t="s">
        <v>257</v>
      </c>
      <c r="BQ764" t="s">
        <v>983</v>
      </c>
      <c r="BR764" t="s">
        <v>978</v>
      </c>
      <c r="BS764" t="s">
        <v>979</v>
      </c>
      <c r="BT764">
        <v>0</v>
      </c>
      <c r="BU764">
        <v>0</v>
      </c>
      <c r="BV764" t="s">
        <v>984</v>
      </c>
      <c r="BW764" t="s">
        <v>257</v>
      </c>
      <c r="BX764">
        <v>0</v>
      </c>
      <c r="BY764" t="s">
        <v>980</v>
      </c>
      <c r="BZ764" t="s">
        <v>257</v>
      </c>
      <c r="CA764">
        <v>0</v>
      </c>
      <c r="CB764">
        <v>0</v>
      </c>
      <c r="CC764" t="s">
        <v>1901</v>
      </c>
      <c r="CD764">
        <v>0</v>
      </c>
      <c r="CE764">
        <v>0</v>
      </c>
      <c r="CF764">
        <v>0</v>
      </c>
      <c r="CG764">
        <v>0</v>
      </c>
      <c r="CH764">
        <v>0</v>
      </c>
      <c r="CI764" t="s">
        <v>983</v>
      </c>
      <c r="CJ764" t="s">
        <v>972</v>
      </c>
      <c r="CK764" t="s">
        <v>986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 t="s">
        <v>987</v>
      </c>
      <c r="CV764">
        <v>400008770</v>
      </c>
      <c r="CW764" t="s">
        <v>987</v>
      </c>
      <c r="CX764" t="s">
        <v>5612</v>
      </c>
      <c r="CY764" t="s">
        <v>989</v>
      </c>
    </row>
    <row r="765" spans="1:103" hidden="1" x14ac:dyDescent="0.25">
      <c r="A765">
        <v>410000771</v>
      </c>
      <c r="B765" t="s">
        <v>5613</v>
      </c>
      <c r="C765" t="s">
        <v>5614</v>
      </c>
      <c r="D765">
        <v>401100000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</v>
      </c>
      <c r="X765">
        <v>1</v>
      </c>
      <c r="Y765" t="s">
        <v>972</v>
      </c>
      <c r="Z765" t="s">
        <v>987</v>
      </c>
      <c r="AA765" t="s">
        <v>5615</v>
      </c>
      <c r="AB765" t="s">
        <v>975</v>
      </c>
      <c r="AC765">
        <v>4608</v>
      </c>
      <c r="AD765" t="s">
        <v>5566</v>
      </c>
      <c r="AE765" t="s">
        <v>5616</v>
      </c>
      <c r="AF765" t="s">
        <v>979</v>
      </c>
      <c r="AG765">
        <v>761407834</v>
      </c>
      <c r="AH765" t="s">
        <v>5617</v>
      </c>
      <c r="AI765" t="s">
        <v>977</v>
      </c>
      <c r="AJ765" t="s">
        <v>978</v>
      </c>
      <c r="AK765" t="s">
        <v>978</v>
      </c>
      <c r="AL765" t="s">
        <v>978</v>
      </c>
      <c r="AM765" t="s">
        <v>979</v>
      </c>
      <c r="AN765">
        <v>0</v>
      </c>
      <c r="AO765" t="s">
        <v>257</v>
      </c>
      <c r="AP765">
        <v>0</v>
      </c>
      <c r="AQ765">
        <v>1</v>
      </c>
      <c r="AR765">
        <v>43</v>
      </c>
      <c r="AS765">
        <v>1</v>
      </c>
      <c r="AT765">
        <v>0</v>
      </c>
      <c r="AU765">
        <v>1</v>
      </c>
      <c r="AV765">
        <v>0</v>
      </c>
      <c r="AW765">
        <v>0</v>
      </c>
      <c r="AX765">
        <v>0</v>
      </c>
      <c r="AY765">
        <v>1</v>
      </c>
      <c r="AZ765" t="s">
        <v>257</v>
      </c>
      <c r="BA765" t="s">
        <v>980</v>
      </c>
      <c r="BB765" t="s">
        <v>981</v>
      </c>
      <c r="BC765" t="s">
        <v>257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 t="s">
        <v>998</v>
      </c>
      <c r="BK765" t="s">
        <v>981</v>
      </c>
      <c r="BL765" t="s">
        <v>5613</v>
      </c>
      <c r="BM765">
        <v>20220624</v>
      </c>
      <c r="BN765">
        <v>20220627</v>
      </c>
      <c r="BO765">
        <v>0</v>
      </c>
      <c r="BP765" t="s">
        <v>257</v>
      </c>
      <c r="BQ765" t="s">
        <v>983</v>
      </c>
      <c r="BR765" t="s">
        <v>978</v>
      </c>
      <c r="BS765" t="s">
        <v>979</v>
      </c>
      <c r="BT765">
        <v>0</v>
      </c>
      <c r="BU765">
        <v>0</v>
      </c>
      <c r="BV765" t="s">
        <v>984</v>
      </c>
      <c r="BW765" t="s">
        <v>257</v>
      </c>
      <c r="BX765">
        <v>0</v>
      </c>
      <c r="BY765" t="s">
        <v>980</v>
      </c>
      <c r="BZ765" t="s">
        <v>257</v>
      </c>
      <c r="CA765">
        <v>0</v>
      </c>
      <c r="CB765">
        <v>0</v>
      </c>
      <c r="CC765" t="s">
        <v>1207</v>
      </c>
      <c r="CD765">
        <v>0</v>
      </c>
      <c r="CE765">
        <v>0</v>
      </c>
      <c r="CF765">
        <v>0</v>
      </c>
      <c r="CG765">
        <v>0</v>
      </c>
      <c r="CH765">
        <v>0</v>
      </c>
      <c r="CI765" t="s">
        <v>983</v>
      </c>
      <c r="CJ765" t="s">
        <v>972</v>
      </c>
      <c r="CK765" t="s">
        <v>986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 t="s">
        <v>987</v>
      </c>
      <c r="CV765">
        <v>400008771</v>
      </c>
      <c r="CW765" t="s">
        <v>987</v>
      </c>
      <c r="CX765" t="s">
        <v>5618</v>
      </c>
      <c r="CY765" t="s">
        <v>989</v>
      </c>
    </row>
    <row r="766" spans="1:103" hidden="1" x14ac:dyDescent="0.25">
      <c r="A766">
        <v>410000772</v>
      </c>
      <c r="B766" t="s">
        <v>5619</v>
      </c>
      <c r="C766" t="s">
        <v>5620</v>
      </c>
      <c r="D766">
        <v>401100000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1</v>
      </c>
      <c r="Y766" t="s">
        <v>972</v>
      </c>
      <c r="Z766" t="s">
        <v>987</v>
      </c>
      <c r="AA766" t="s">
        <v>5621</v>
      </c>
      <c r="AB766" t="s">
        <v>975</v>
      </c>
      <c r="AC766">
        <v>4041</v>
      </c>
      <c r="AD766" t="s">
        <v>1730</v>
      </c>
      <c r="AE766">
        <v>3242642968</v>
      </c>
      <c r="AF766" t="s">
        <v>979</v>
      </c>
      <c r="AG766" t="s">
        <v>977</v>
      </c>
      <c r="AH766" t="s">
        <v>5622</v>
      </c>
      <c r="AI766" t="s">
        <v>5623</v>
      </c>
      <c r="AJ766" t="s">
        <v>978</v>
      </c>
      <c r="AK766" t="s">
        <v>978</v>
      </c>
      <c r="AL766" t="s">
        <v>978</v>
      </c>
      <c r="AM766" t="s">
        <v>979</v>
      </c>
      <c r="AN766">
        <v>0</v>
      </c>
      <c r="AO766" t="s">
        <v>257</v>
      </c>
      <c r="AP766">
        <v>0</v>
      </c>
      <c r="AQ766">
        <v>20</v>
      </c>
      <c r="AR766">
        <v>43</v>
      </c>
      <c r="AS766">
        <v>1</v>
      </c>
      <c r="AT766">
        <v>0</v>
      </c>
      <c r="AU766">
        <v>1</v>
      </c>
      <c r="AV766">
        <v>0</v>
      </c>
      <c r="AW766">
        <v>0</v>
      </c>
      <c r="AX766">
        <v>0</v>
      </c>
      <c r="AY766">
        <v>1</v>
      </c>
      <c r="AZ766" t="s">
        <v>257</v>
      </c>
      <c r="BA766" t="s">
        <v>980</v>
      </c>
      <c r="BB766" t="s">
        <v>981</v>
      </c>
      <c r="BC766" t="s">
        <v>257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 t="s">
        <v>1285</v>
      </c>
      <c r="BK766" t="s">
        <v>981</v>
      </c>
      <c r="BL766" t="s">
        <v>5619</v>
      </c>
      <c r="BM766">
        <v>20220727</v>
      </c>
      <c r="BN766">
        <v>20231226</v>
      </c>
      <c r="BO766">
        <v>0</v>
      </c>
      <c r="BP766" t="s">
        <v>257</v>
      </c>
      <c r="BQ766" t="s">
        <v>983</v>
      </c>
      <c r="BR766" t="s">
        <v>978</v>
      </c>
      <c r="BS766" t="s">
        <v>979</v>
      </c>
      <c r="BT766">
        <v>0</v>
      </c>
      <c r="BU766">
        <v>0</v>
      </c>
      <c r="BV766" t="s">
        <v>984</v>
      </c>
      <c r="BW766" t="s">
        <v>257</v>
      </c>
      <c r="BX766">
        <v>0</v>
      </c>
      <c r="BY766" t="s">
        <v>980</v>
      </c>
      <c r="BZ766" t="s">
        <v>257</v>
      </c>
      <c r="CA766">
        <v>0</v>
      </c>
      <c r="CB766">
        <v>0</v>
      </c>
      <c r="CC766" t="s">
        <v>3851</v>
      </c>
      <c r="CD766">
        <v>0</v>
      </c>
      <c r="CE766">
        <v>0</v>
      </c>
      <c r="CF766">
        <v>0</v>
      </c>
      <c r="CG766">
        <v>0</v>
      </c>
      <c r="CH766">
        <v>0</v>
      </c>
      <c r="CI766" t="s">
        <v>983</v>
      </c>
      <c r="CJ766" t="s">
        <v>972</v>
      </c>
      <c r="CK766" t="s">
        <v>986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 t="s">
        <v>987</v>
      </c>
      <c r="CV766">
        <v>400008772</v>
      </c>
      <c r="CW766" t="s">
        <v>987</v>
      </c>
      <c r="CX766" t="s">
        <v>5624</v>
      </c>
      <c r="CY766" t="s">
        <v>989</v>
      </c>
    </row>
    <row r="767" spans="1:103" hidden="1" x14ac:dyDescent="0.25">
      <c r="A767">
        <v>410000773</v>
      </c>
      <c r="B767" t="s">
        <v>5625</v>
      </c>
      <c r="C767" t="s">
        <v>5626</v>
      </c>
      <c r="D767">
        <v>401100000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1</v>
      </c>
      <c r="X767">
        <v>1</v>
      </c>
      <c r="Y767" t="s">
        <v>972</v>
      </c>
      <c r="Z767" t="s">
        <v>987</v>
      </c>
      <c r="AA767" t="s">
        <v>5627</v>
      </c>
      <c r="AB767" t="s">
        <v>975</v>
      </c>
      <c r="AC767">
        <v>1300</v>
      </c>
      <c r="AD767" t="s">
        <v>2390</v>
      </c>
      <c r="AE767">
        <v>3242279557</v>
      </c>
      <c r="AF767" t="s">
        <v>979</v>
      </c>
      <c r="AG767" t="s">
        <v>977</v>
      </c>
      <c r="AH767" t="s">
        <v>5628</v>
      </c>
      <c r="AI767" t="s">
        <v>5629</v>
      </c>
      <c r="AJ767" t="s">
        <v>978</v>
      </c>
      <c r="AK767" t="s">
        <v>978</v>
      </c>
      <c r="AL767" t="s">
        <v>978</v>
      </c>
      <c r="AM767" t="s">
        <v>979</v>
      </c>
      <c r="AN767">
        <v>0</v>
      </c>
      <c r="AO767" t="s">
        <v>257</v>
      </c>
      <c r="AP767">
        <v>0</v>
      </c>
      <c r="AQ767">
        <v>1</v>
      </c>
      <c r="AR767">
        <v>43</v>
      </c>
      <c r="AS767">
        <v>1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1</v>
      </c>
      <c r="AZ767" t="s">
        <v>257</v>
      </c>
      <c r="BA767" t="s">
        <v>257</v>
      </c>
      <c r="BB767" t="s">
        <v>981</v>
      </c>
      <c r="BC767" t="s">
        <v>257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 t="s">
        <v>982</v>
      </c>
      <c r="BK767" t="s">
        <v>981</v>
      </c>
      <c r="BL767" t="s">
        <v>5625</v>
      </c>
      <c r="BM767">
        <v>20220728</v>
      </c>
      <c r="BN767">
        <v>20230417</v>
      </c>
      <c r="BO767">
        <v>0</v>
      </c>
      <c r="BP767" t="s">
        <v>257</v>
      </c>
      <c r="BQ767" t="s">
        <v>983</v>
      </c>
      <c r="BR767" t="s">
        <v>978</v>
      </c>
      <c r="BS767" t="s">
        <v>979</v>
      </c>
      <c r="BT767">
        <v>0</v>
      </c>
      <c r="BU767">
        <v>0</v>
      </c>
      <c r="BV767" t="s">
        <v>984</v>
      </c>
      <c r="BW767" t="s">
        <v>257</v>
      </c>
      <c r="BX767">
        <v>0</v>
      </c>
      <c r="BY767" t="s">
        <v>980</v>
      </c>
      <c r="BZ767" t="s">
        <v>257</v>
      </c>
      <c r="CA767">
        <v>0</v>
      </c>
      <c r="CB767">
        <v>0</v>
      </c>
      <c r="CC767" t="s">
        <v>1033</v>
      </c>
      <c r="CD767">
        <v>0</v>
      </c>
      <c r="CE767">
        <v>0</v>
      </c>
      <c r="CF767">
        <v>0</v>
      </c>
      <c r="CG767">
        <v>0</v>
      </c>
      <c r="CH767">
        <v>0</v>
      </c>
      <c r="CI767" t="s">
        <v>983</v>
      </c>
      <c r="CJ767" t="s">
        <v>972</v>
      </c>
      <c r="CK767" t="s">
        <v>986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 t="s">
        <v>987</v>
      </c>
      <c r="CV767">
        <v>400008773</v>
      </c>
      <c r="CW767" t="s">
        <v>987</v>
      </c>
      <c r="CX767" t="s">
        <v>5630</v>
      </c>
      <c r="CY767" t="s">
        <v>989</v>
      </c>
    </row>
    <row r="768" spans="1:103" hidden="1" x14ac:dyDescent="0.25">
      <c r="A768">
        <v>410000774</v>
      </c>
      <c r="B768" t="s">
        <v>5631</v>
      </c>
      <c r="C768" t="s">
        <v>5632</v>
      </c>
      <c r="D768">
        <v>401100000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1</v>
      </c>
      <c r="Y768" t="s">
        <v>972</v>
      </c>
      <c r="Z768" t="s">
        <v>4052</v>
      </c>
      <c r="AA768" t="s">
        <v>5633</v>
      </c>
      <c r="AB768" t="s">
        <v>975</v>
      </c>
      <c r="AC768">
        <v>4340</v>
      </c>
      <c r="AD768" t="s">
        <v>1076</v>
      </c>
      <c r="AE768" t="s">
        <v>979</v>
      </c>
      <c r="AF768" t="s">
        <v>979</v>
      </c>
      <c r="AG768" t="s">
        <v>977</v>
      </c>
      <c r="AH768">
        <v>419006247</v>
      </c>
      <c r="AI768" t="s">
        <v>5634</v>
      </c>
      <c r="AJ768" t="s">
        <v>978</v>
      </c>
      <c r="AK768" t="s">
        <v>978</v>
      </c>
      <c r="AL768" t="s">
        <v>978</v>
      </c>
      <c r="AM768" t="s">
        <v>979</v>
      </c>
      <c r="AN768">
        <v>0</v>
      </c>
      <c r="AO768" t="s">
        <v>257</v>
      </c>
      <c r="AP768">
        <v>0</v>
      </c>
      <c r="AQ768">
        <v>1</v>
      </c>
      <c r="AR768">
        <v>43</v>
      </c>
      <c r="AS768">
        <v>1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1</v>
      </c>
      <c r="AZ768" t="s">
        <v>257</v>
      </c>
      <c r="BA768" t="s">
        <v>257</v>
      </c>
      <c r="BB768" t="s">
        <v>981</v>
      </c>
      <c r="BC768" t="s">
        <v>257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 t="s">
        <v>998</v>
      </c>
      <c r="BK768" t="s">
        <v>981</v>
      </c>
      <c r="BL768" t="s">
        <v>5631</v>
      </c>
      <c r="BM768">
        <v>20220811</v>
      </c>
      <c r="BN768">
        <v>20220812</v>
      </c>
      <c r="BO768">
        <v>0</v>
      </c>
      <c r="BP768" t="s">
        <v>257</v>
      </c>
      <c r="BQ768" t="s">
        <v>983</v>
      </c>
      <c r="BR768" t="s">
        <v>978</v>
      </c>
      <c r="BS768">
        <v>32477264495</v>
      </c>
      <c r="BT768">
        <v>0</v>
      </c>
      <c r="BU768">
        <v>0</v>
      </c>
      <c r="BV768" t="s">
        <v>984</v>
      </c>
      <c r="BW768" t="s">
        <v>257</v>
      </c>
      <c r="BX768">
        <v>0</v>
      </c>
      <c r="BY768" t="s">
        <v>980</v>
      </c>
      <c r="BZ768" t="s">
        <v>257</v>
      </c>
      <c r="CA768">
        <v>0</v>
      </c>
      <c r="CB768">
        <v>0</v>
      </c>
      <c r="CC768" t="s">
        <v>1220</v>
      </c>
      <c r="CD768">
        <v>0</v>
      </c>
      <c r="CE768">
        <v>0</v>
      </c>
      <c r="CF768">
        <v>0</v>
      </c>
      <c r="CG768">
        <v>0</v>
      </c>
      <c r="CH768">
        <v>0</v>
      </c>
      <c r="CI768" t="s">
        <v>983</v>
      </c>
      <c r="CJ768" t="s">
        <v>972</v>
      </c>
      <c r="CK768" t="s">
        <v>986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 t="s">
        <v>987</v>
      </c>
      <c r="CV768">
        <v>400008774</v>
      </c>
      <c r="CW768" t="s">
        <v>987</v>
      </c>
      <c r="CX768" t="s">
        <v>5635</v>
      </c>
      <c r="CY768" t="s">
        <v>989</v>
      </c>
    </row>
    <row r="769" spans="1:103" hidden="1" x14ac:dyDescent="0.25">
      <c r="A769">
        <v>410000775</v>
      </c>
      <c r="B769" t="s">
        <v>5636</v>
      </c>
      <c r="C769" t="s">
        <v>978</v>
      </c>
      <c r="D769">
        <v>401100000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</v>
      </c>
      <c r="W769">
        <v>1</v>
      </c>
      <c r="X769">
        <v>1</v>
      </c>
      <c r="Y769" t="s">
        <v>972</v>
      </c>
      <c r="Z769" t="s">
        <v>5329</v>
      </c>
      <c r="AA769" t="s">
        <v>5637</v>
      </c>
      <c r="AB769" t="s">
        <v>975</v>
      </c>
      <c r="AC769">
        <v>1160</v>
      </c>
      <c r="AD769" t="s">
        <v>4429</v>
      </c>
      <c r="AE769" t="s">
        <v>979</v>
      </c>
      <c r="AF769">
        <v>32497485331</v>
      </c>
      <c r="AG769" t="s">
        <v>977</v>
      </c>
      <c r="AH769" t="s">
        <v>977</v>
      </c>
      <c r="AI769" t="s">
        <v>977</v>
      </c>
      <c r="AJ769" t="s">
        <v>5638</v>
      </c>
      <c r="AK769" t="s">
        <v>978</v>
      </c>
      <c r="AL769" t="s">
        <v>978</v>
      </c>
      <c r="AM769" t="s">
        <v>979</v>
      </c>
      <c r="AN769">
        <v>0</v>
      </c>
      <c r="AO769" t="s">
        <v>257</v>
      </c>
      <c r="AP769">
        <v>0</v>
      </c>
      <c r="AQ769">
        <v>19</v>
      </c>
      <c r="AR769">
        <v>43</v>
      </c>
      <c r="AS769">
        <v>1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1</v>
      </c>
      <c r="AZ769" t="s">
        <v>257</v>
      </c>
      <c r="BA769" t="s">
        <v>980</v>
      </c>
      <c r="BB769" t="s">
        <v>981</v>
      </c>
      <c r="BC769" t="s">
        <v>257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 t="s">
        <v>998</v>
      </c>
      <c r="BK769" t="s">
        <v>981</v>
      </c>
      <c r="BL769" t="s">
        <v>5636</v>
      </c>
      <c r="BM769">
        <v>20220902</v>
      </c>
      <c r="BN769">
        <v>20220902</v>
      </c>
      <c r="BO769">
        <v>0</v>
      </c>
      <c r="BP769" t="s">
        <v>257</v>
      </c>
      <c r="BQ769" t="s">
        <v>983</v>
      </c>
      <c r="BR769" t="s">
        <v>978</v>
      </c>
      <c r="BS769" t="s">
        <v>979</v>
      </c>
      <c r="BT769">
        <v>0</v>
      </c>
      <c r="BU769">
        <v>0</v>
      </c>
      <c r="BV769" t="s">
        <v>984</v>
      </c>
      <c r="BW769" t="s">
        <v>257</v>
      </c>
      <c r="BX769">
        <v>0</v>
      </c>
      <c r="BY769" t="s">
        <v>980</v>
      </c>
      <c r="BZ769" t="s">
        <v>257</v>
      </c>
      <c r="CA769">
        <v>0</v>
      </c>
      <c r="CB769">
        <v>0</v>
      </c>
      <c r="CC769" t="s">
        <v>1901</v>
      </c>
      <c r="CD769">
        <v>0</v>
      </c>
      <c r="CE769">
        <v>0</v>
      </c>
      <c r="CF769">
        <v>0</v>
      </c>
      <c r="CG769">
        <v>0</v>
      </c>
      <c r="CH769">
        <v>0</v>
      </c>
      <c r="CI769" t="s">
        <v>983</v>
      </c>
      <c r="CJ769" t="s">
        <v>972</v>
      </c>
      <c r="CK769" t="s">
        <v>986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 t="s">
        <v>987</v>
      </c>
      <c r="CV769">
        <v>400008775</v>
      </c>
      <c r="CW769" t="s">
        <v>987</v>
      </c>
      <c r="CX769" t="s">
        <v>5639</v>
      </c>
      <c r="CY769" t="s">
        <v>989</v>
      </c>
    </row>
    <row r="770" spans="1:103" hidden="1" x14ac:dyDescent="0.25">
      <c r="A770">
        <v>410000776</v>
      </c>
      <c r="B770" t="s">
        <v>5640</v>
      </c>
      <c r="C770" t="s">
        <v>978</v>
      </c>
      <c r="D770">
        <v>401100000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4</v>
      </c>
      <c r="W770">
        <v>1</v>
      </c>
      <c r="X770">
        <v>1</v>
      </c>
      <c r="Y770" t="s">
        <v>972</v>
      </c>
      <c r="Z770" t="s">
        <v>987</v>
      </c>
      <c r="AA770" t="s">
        <v>5641</v>
      </c>
      <c r="AB770" t="s">
        <v>975</v>
      </c>
      <c r="AC770">
        <v>1160</v>
      </c>
      <c r="AD770" t="s">
        <v>4429</v>
      </c>
      <c r="AE770">
        <v>32475281787</v>
      </c>
      <c r="AF770" t="s">
        <v>979</v>
      </c>
      <c r="AG770" t="s">
        <v>977</v>
      </c>
      <c r="AH770" t="s">
        <v>977</v>
      </c>
      <c r="AI770" t="s">
        <v>977</v>
      </c>
      <c r="AJ770" t="s">
        <v>5642</v>
      </c>
      <c r="AK770" t="s">
        <v>978</v>
      </c>
      <c r="AL770" t="s">
        <v>978</v>
      </c>
      <c r="AM770" t="s">
        <v>979</v>
      </c>
      <c r="AN770">
        <v>0</v>
      </c>
      <c r="AO770" t="s">
        <v>257</v>
      </c>
      <c r="AP770">
        <v>0</v>
      </c>
      <c r="AQ770">
        <v>19</v>
      </c>
      <c r="AR770">
        <v>43</v>
      </c>
      <c r="AS770">
        <v>1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1</v>
      </c>
      <c r="AZ770" t="s">
        <v>257</v>
      </c>
      <c r="BA770" t="s">
        <v>980</v>
      </c>
      <c r="BB770" t="s">
        <v>981</v>
      </c>
      <c r="BC770" t="s">
        <v>257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 t="s">
        <v>998</v>
      </c>
      <c r="BK770" t="s">
        <v>981</v>
      </c>
      <c r="BL770" t="s">
        <v>5640</v>
      </c>
      <c r="BM770">
        <v>20220902</v>
      </c>
      <c r="BN770">
        <v>20220902</v>
      </c>
      <c r="BO770">
        <v>0</v>
      </c>
      <c r="BP770" t="s">
        <v>257</v>
      </c>
      <c r="BQ770" t="s">
        <v>983</v>
      </c>
      <c r="BR770" t="s">
        <v>978</v>
      </c>
      <c r="BS770" t="s">
        <v>979</v>
      </c>
      <c r="BT770">
        <v>0</v>
      </c>
      <c r="BU770">
        <v>0</v>
      </c>
      <c r="BV770" t="s">
        <v>984</v>
      </c>
      <c r="BW770" t="s">
        <v>257</v>
      </c>
      <c r="BX770">
        <v>0</v>
      </c>
      <c r="BY770" t="s">
        <v>980</v>
      </c>
      <c r="BZ770" t="s">
        <v>257</v>
      </c>
      <c r="CA770">
        <v>0</v>
      </c>
      <c r="CB770">
        <v>0</v>
      </c>
      <c r="CC770" t="s">
        <v>1901</v>
      </c>
      <c r="CD770">
        <v>0</v>
      </c>
      <c r="CE770">
        <v>0</v>
      </c>
      <c r="CF770">
        <v>0</v>
      </c>
      <c r="CG770">
        <v>0</v>
      </c>
      <c r="CH770">
        <v>0</v>
      </c>
      <c r="CI770" t="s">
        <v>983</v>
      </c>
      <c r="CJ770" t="s">
        <v>972</v>
      </c>
      <c r="CK770" t="s">
        <v>986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 t="s">
        <v>987</v>
      </c>
      <c r="CV770">
        <v>400008776</v>
      </c>
      <c r="CW770" t="s">
        <v>987</v>
      </c>
      <c r="CX770" t="s">
        <v>5643</v>
      </c>
      <c r="CY770" t="s">
        <v>989</v>
      </c>
    </row>
    <row r="771" spans="1:103" hidden="1" x14ac:dyDescent="0.25">
      <c r="A771">
        <v>410000777</v>
      </c>
      <c r="B771" t="s">
        <v>5644</v>
      </c>
      <c r="C771" t="s">
        <v>5645</v>
      </c>
      <c r="D771">
        <v>401100000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1</v>
      </c>
      <c r="Y771" t="s">
        <v>972</v>
      </c>
      <c r="Z771" t="s">
        <v>987</v>
      </c>
      <c r="AA771" t="s">
        <v>5646</v>
      </c>
      <c r="AB771" t="s">
        <v>975</v>
      </c>
      <c r="AC771">
        <v>4430</v>
      </c>
      <c r="AD771" t="s">
        <v>1474</v>
      </c>
      <c r="AE771">
        <v>3470842195</v>
      </c>
      <c r="AF771" t="s">
        <v>979</v>
      </c>
      <c r="AG771" t="s">
        <v>977</v>
      </c>
      <c r="AH771">
        <v>863495879</v>
      </c>
      <c r="AI771" t="s">
        <v>5498</v>
      </c>
      <c r="AJ771" t="s">
        <v>978</v>
      </c>
      <c r="AK771" t="s">
        <v>978</v>
      </c>
      <c r="AL771" t="s">
        <v>978</v>
      </c>
      <c r="AM771" t="s">
        <v>979</v>
      </c>
      <c r="AN771">
        <v>0</v>
      </c>
      <c r="AO771" t="s">
        <v>257</v>
      </c>
      <c r="AP771">
        <v>0</v>
      </c>
      <c r="AQ771">
        <v>1</v>
      </c>
      <c r="AR771">
        <v>43</v>
      </c>
      <c r="AS771">
        <v>1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1</v>
      </c>
      <c r="AZ771" t="s">
        <v>257</v>
      </c>
      <c r="BA771" t="s">
        <v>980</v>
      </c>
      <c r="BB771" t="s">
        <v>981</v>
      </c>
      <c r="BC771" t="s">
        <v>257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 t="s">
        <v>998</v>
      </c>
      <c r="BK771" t="s">
        <v>981</v>
      </c>
      <c r="BL771" t="s">
        <v>5644</v>
      </c>
      <c r="BM771">
        <v>20220914</v>
      </c>
      <c r="BN771">
        <v>20220914</v>
      </c>
      <c r="BO771">
        <v>0</v>
      </c>
      <c r="BP771" t="s">
        <v>257</v>
      </c>
      <c r="BQ771" t="s">
        <v>983</v>
      </c>
      <c r="BR771" t="s">
        <v>978</v>
      </c>
      <c r="BS771" t="s">
        <v>979</v>
      </c>
      <c r="BT771">
        <v>0</v>
      </c>
      <c r="BU771">
        <v>0</v>
      </c>
      <c r="BV771" t="s">
        <v>984</v>
      </c>
      <c r="BW771" t="s">
        <v>257</v>
      </c>
      <c r="BX771">
        <v>0</v>
      </c>
      <c r="BY771" t="s">
        <v>980</v>
      </c>
      <c r="BZ771" t="s">
        <v>257</v>
      </c>
      <c r="CA771">
        <v>0</v>
      </c>
      <c r="CB771">
        <v>0</v>
      </c>
      <c r="CC771" t="s">
        <v>5647</v>
      </c>
      <c r="CD771">
        <v>0</v>
      </c>
      <c r="CE771">
        <v>0</v>
      </c>
      <c r="CF771">
        <v>0</v>
      </c>
      <c r="CG771">
        <v>0</v>
      </c>
      <c r="CH771">
        <v>0</v>
      </c>
      <c r="CI771" t="s">
        <v>983</v>
      </c>
      <c r="CJ771" t="s">
        <v>972</v>
      </c>
      <c r="CK771" t="s">
        <v>986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 t="s">
        <v>987</v>
      </c>
      <c r="CV771">
        <v>400008777</v>
      </c>
      <c r="CW771" t="s">
        <v>987</v>
      </c>
      <c r="CX771" t="s">
        <v>5648</v>
      </c>
      <c r="CY771" t="s">
        <v>989</v>
      </c>
    </row>
    <row r="772" spans="1:103" hidden="1" x14ac:dyDescent="0.25">
      <c r="A772">
        <v>410000778</v>
      </c>
      <c r="B772" t="s">
        <v>5649</v>
      </c>
      <c r="C772" t="s">
        <v>5650</v>
      </c>
      <c r="D772">
        <v>401100000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1</v>
      </c>
      <c r="X772">
        <v>1</v>
      </c>
      <c r="Y772" t="s">
        <v>972</v>
      </c>
      <c r="Z772" t="s">
        <v>987</v>
      </c>
      <c r="AA772" t="s">
        <v>5651</v>
      </c>
      <c r="AB772" t="s">
        <v>975</v>
      </c>
      <c r="AC772">
        <v>4041</v>
      </c>
      <c r="AD772" t="s">
        <v>976</v>
      </c>
      <c r="AE772">
        <v>3243743070</v>
      </c>
      <c r="AF772" t="s">
        <v>979</v>
      </c>
      <c r="AG772" t="s">
        <v>977</v>
      </c>
      <c r="AH772">
        <v>806996844</v>
      </c>
      <c r="AI772" t="s">
        <v>5652</v>
      </c>
      <c r="AJ772" t="s">
        <v>978</v>
      </c>
      <c r="AK772" t="s">
        <v>978</v>
      </c>
      <c r="AL772" t="s">
        <v>978</v>
      </c>
      <c r="AM772" t="s">
        <v>979</v>
      </c>
      <c r="AN772">
        <v>0</v>
      </c>
      <c r="AO772" t="s">
        <v>257</v>
      </c>
      <c r="AP772">
        <v>0</v>
      </c>
      <c r="AQ772">
        <v>1</v>
      </c>
      <c r="AR772">
        <v>43</v>
      </c>
      <c r="AS772">
        <v>1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1</v>
      </c>
      <c r="AZ772" t="s">
        <v>257</v>
      </c>
      <c r="BA772" t="s">
        <v>980</v>
      </c>
      <c r="BB772" t="s">
        <v>981</v>
      </c>
      <c r="BC772" t="s">
        <v>257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 t="s">
        <v>998</v>
      </c>
      <c r="BK772" t="s">
        <v>981</v>
      </c>
      <c r="BL772" t="s">
        <v>5649</v>
      </c>
      <c r="BM772">
        <v>20220914</v>
      </c>
      <c r="BN772">
        <v>20230206</v>
      </c>
      <c r="BO772">
        <v>0</v>
      </c>
      <c r="BP772" t="s">
        <v>257</v>
      </c>
      <c r="BQ772" t="s">
        <v>983</v>
      </c>
      <c r="BR772" t="s">
        <v>978</v>
      </c>
      <c r="BS772" t="s">
        <v>979</v>
      </c>
      <c r="BT772">
        <v>0</v>
      </c>
      <c r="BU772">
        <v>0</v>
      </c>
      <c r="BV772" t="s">
        <v>984</v>
      </c>
      <c r="BW772" t="s">
        <v>257</v>
      </c>
      <c r="BX772">
        <v>0</v>
      </c>
      <c r="BY772" t="s">
        <v>980</v>
      </c>
      <c r="BZ772" t="s">
        <v>257</v>
      </c>
      <c r="CA772">
        <v>0</v>
      </c>
      <c r="CB772">
        <v>0</v>
      </c>
      <c r="CC772" t="s">
        <v>985</v>
      </c>
      <c r="CD772">
        <v>0</v>
      </c>
      <c r="CE772">
        <v>0</v>
      </c>
      <c r="CF772">
        <v>0</v>
      </c>
      <c r="CG772">
        <v>0</v>
      </c>
      <c r="CH772">
        <v>0</v>
      </c>
      <c r="CI772" t="s">
        <v>983</v>
      </c>
      <c r="CJ772" t="s">
        <v>972</v>
      </c>
      <c r="CK772" t="s">
        <v>986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 t="s">
        <v>987</v>
      </c>
      <c r="CV772">
        <v>400008778</v>
      </c>
      <c r="CW772" t="s">
        <v>987</v>
      </c>
      <c r="CX772" t="s">
        <v>5653</v>
      </c>
      <c r="CY772" t="s">
        <v>989</v>
      </c>
    </row>
    <row r="773" spans="1:103" hidden="1" x14ac:dyDescent="0.25">
      <c r="A773">
        <v>410000779</v>
      </c>
      <c r="B773" t="s">
        <v>5654</v>
      </c>
      <c r="C773" t="s">
        <v>5655</v>
      </c>
      <c r="D773">
        <v>401100000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1</v>
      </c>
      <c r="X773">
        <v>1</v>
      </c>
      <c r="Y773" t="s">
        <v>972</v>
      </c>
      <c r="Z773" t="s">
        <v>987</v>
      </c>
      <c r="AA773" t="s">
        <v>5656</v>
      </c>
      <c r="AB773" t="s">
        <v>975</v>
      </c>
      <c r="AC773">
        <v>4020</v>
      </c>
      <c r="AD773" t="s">
        <v>1149</v>
      </c>
      <c r="AE773">
        <v>3242569340</v>
      </c>
      <c r="AF773" t="s">
        <v>979</v>
      </c>
      <c r="AG773" t="s">
        <v>977</v>
      </c>
      <c r="AH773">
        <v>422252876</v>
      </c>
      <c r="AI773" t="s">
        <v>5657</v>
      </c>
      <c r="AJ773" t="s">
        <v>978</v>
      </c>
      <c r="AK773" t="s">
        <v>978</v>
      </c>
      <c r="AL773" t="s">
        <v>978</v>
      </c>
      <c r="AM773" t="s">
        <v>979</v>
      </c>
      <c r="AN773">
        <v>0</v>
      </c>
      <c r="AO773" t="s">
        <v>257</v>
      </c>
      <c r="AP773">
        <v>30</v>
      </c>
      <c r="AQ773">
        <v>20</v>
      </c>
      <c r="AR773">
        <v>43</v>
      </c>
      <c r="AS773">
        <v>1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1</v>
      </c>
      <c r="AZ773" t="s">
        <v>257</v>
      </c>
      <c r="BA773" t="s">
        <v>980</v>
      </c>
      <c r="BB773" t="s">
        <v>981</v>
      </c>
      <c r="BC773" t="s">
        <v>257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 t="s">
        <v>1285</v>
      </c>
      <c r="BK773" t="s">
        <v>981</v>
      </c>
      <c r="BL773" t="s">
        <v>5654</v>
      </c>
      <c r="BM773">
        <v>20220919</v>
      </c>
      <c r="BN773">
        <v>20250826</v>
      </c>
      <c r="BO773">
        <v>0</v>
      </c>
      <c r="BP773" t="s">
        <v>257</v>
      </c>
      <c r="BQ773" t="s">
        <v>983</v>
      </c>
      <c r="BR773" t="s">
        <v>978</v>
      </c>
      <c r="BS773" t="s">
        <v>979</v>
      </c>
      <c r="BT773">
        <v>0</v>
      </c>
      <c r="BU773">
        <v>0</v>
      </c>
      <c r="BV773" t="s">
        <v>984</v>
      </c>
      <c r="BW773" t="s">
        <v>257</v>
      </c>
      <c r="BX773">
        <v>0</v>
      </c>
      <c r="BY773" t="s">
        <v>980</v>
      </c>
      <c r="BZ773" t="s">
        <v>257</v>
      </c>
      <c r="CA773">
        <v>0</v>
      </c>
      <c r="CB773">
        <v>0</v>
      </c>
      <c r="CC773" t="s">
        <v>1507</v>
      </c>
      <c r="CD773">
        <v>0</v>
      </c>
      <c r="CE773">
        <v>0</v>
      </c>
      <c r="CF773">
        <v>0</v>
      </c>
      <c r="CG773">
        <v>0</v>
      </c>
      <c r="CH773">
        <v>0</v>
      </c>
      <c r="CI773" t="s">
        <v>983</v>
      </c>
      <c r="CJ773" t="s">
        <v>972</v>
      </c>
      <c r="CK773" t="s">
        <v>986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 t="s">
        <v>987</v>
      </c>
      <c r="CV773">
        <v>400008779</v>
      </c>
      <c r="CW773" t="s">
        <v>987</v>
      </c>
      <c r="CX773" t="s">
        <v>5658</v>
      </c>
      <c r="CY773" t="s">
        <v>989</v>
      </c>
    </row>
    <row r="774" spans="1:103" hidden="1" x14ac:dyDescent="0.25">
      <c r="A774">
        <v>410000780</v>
      </c>
      <c r="B774" t="s">
        <v>5659</v>
      </c>
      <c r="C774" t="s">
        <v>5660</v>
      </c>
      <c r="D774">
        <v>401100000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1</v>
      </c>
      <c r="X774">
        <v>1</v>
      </c>
      <c r="Y774" t="s">
        <v>972</v>
      </c>
      <c r="Z774" t="s">
        <v>5661</v>
      </c>
      <c r="AA774" t="s">
        <v>5662</v>
      </c>
      <c r="AB774" t="s">
        <v>975</v>
      </c>
      <c r="AC774">
        <v>4800</v>
      </c>
      <c r="AD774" t="s">
        <v>1124</v>
      </c>
      <c r="AE774">
        <v>3287312277</v>
      </c>
      <c r="AF774">
        <v>3287312279</v>
      </c>
      <c r="AG774" t="s">
        <v>977</v>
      </c>
      <c r="AH774" t="s">
        <v>977</v>
      </c>
      <c r="AI774" t="s">
        <v>977</v>
      </c>
      <c r="AJ774" t="s">
        <v>978</v>
      </c>
      <c r="AK774" t="s">
        <v>978</v>
      </c>
      <c r="AL774" t="s">
        <v>978</v>
      </c>
      <c r="AM774" t="s">
        <v>979</v>
      </c>
      <c r="AN774">
        <v>0</v>
      </c>
      <c r="AO774" t="s">
        <v>257</v>
      </c>
      <c r="AP774">
        <v>0</v>
      </c>
      <c r="AQ774">
        <v>1</v>
      </c>
      <c r="AR774">
        <v>43</v>
      </c>
      <c r="AS774">
        <v>1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1</v>
      </c>
      <c r="AZ774" t="s">
        <v>257</v>
      </c>
      <c r="BA774" t="s">
        <v>980</v>
      </c>
      <c r="BB774" t="s">
        <v>981</v>
      </c>
      <c r="BC774" t="s">
        <v>257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 t="s">
        <v>998</v>
      </c>
      <c r="BK774" t="s">
        <v>981</v>
      </c>
      <c r="BL774" t="s">
        <v>5659</v>
      </c>
      <c r="BM774">
        <v>20220928</v>
      </c>
      <c r="BN774">
        <v>20230803</v>
      </c>
      <c r="BO774">
        <v>0</v>
      </c>
      <c r="BP774" t="s">
        <v>257</v>
      </c>
      <c r="BQ774" t="s">
        <v>983</v>
      </c>
      <c r="BR774" t="s">
        <v>978</v>
      </c>
      <c r="BS774" t="s">
        <v>979</v>
      </c>
      <c r="BT774">
        <v>0</v>
      </c>
      <c r="BU774">
        <v>0</v>
      </c>
      <c r="BV774" t="s">
        <v>984</v>
      </c>
      <c r="BW774" t="s">
        <v>257</v>
      </c>
      <c r="BX774">
        <v>0</v>
      </c>
      <c r="BY774" t="s">
        <v>980</v>
      </c>
      <c r="BZ774" t="s">
        <v>257</v>
      </c>
      <c r="CA774">
        <v>0</v>
      </c>
      <c r="CB774">
        <v>0</v>
      </c>
      <c r="CC774" t="s">
        <v>1491</v>
      </c>
      <c r="CD774">
        <v>0</v>
      </c>
      <c r="CE774">
        <v>0</v>
      </c>
      <c r="CF774">
        <v>0</v>
      </c>
      <c r="CG774">
        <v>0</v>
      </c>
      <c r="CH774">
        <v>0</v>
      </c>
      <c r="CI774" t="s">
        <v>983</v>
      </c>
      <c r="CJ774" t="s">
        <v>972</v>
      </c>
      <c r="CK774" t="s">
        <v>986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 t="s">
        <v>987</v>
      </c>
      <c r="CV774">
        <v>400008780</v>
      </c>
      <c r="CW774" t="s">
        <v>987</v>
      </c>
      <c r="CX774" t="s">
        <v>5663</v>
      </c>
      <c r="CY774" t="s">
        <v>989</v>
      </c>
    </row>
    <row r="775" spans="1:103" hidden="1" x14ac:dyDescent="0.25">
      <c r="A775">
        <v>410000781</v>
      </c>
      <c r="B775" t="s">
        <v>5664</v>
      </c>
      <c r="C775" t="s">
        <v>5665</v>
      </c>
      <c r="D775">
        <v>401100000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1</v>
      </c>
      <c r="Y775" t="s">
        <v>972</v>
      </c>
      <c r="Z775" t="s">
        <v>5666</v>
      </c>
      <c r="AA775" t="s">
        <v>5667</v>
      </c>
      <c r="AB775" t="s">
        <v>975</v>
      </c>
      <c r="AC775">
        <v>4300</v>
      </c>
      <c r="AD775" t="s">
        <v>1170</v>
      </c>
      <c r="AE775">
        <v>32497521585</v>
      </c>
      <c r="AF775" t="s">
        <v>979</v>
      </c>
      <c r="AG775" t="s">
        <v>977</v>
      </c>
      <c r="AH775">
        <v>536313790</v>
      </c>
      <c r="AI775" t="s">
        <v>5668</v>
      </c>
      <c r="AJ775" t="s">
        <v>978</v>
      </c>
      <c r="AK775" t="s">
        <v>978</v>
      </c>
      <c r="AL775" t="s">
        <v>978</v>
      </c>
      <c r="AM775" t="s">
        <v>979</v>
      </c>
      <c r="AN775">
        <v>0</v>
      </c>
      <c r="AO775" t="s">
        <v>257</v>
      </c>
      <c r="AP775">
        <v>0</v>
      </c>
      <c r="AQ775">
        <v>1</v>
      </c>
      <c r="AR775">
        <v>43</v>
      </c>
      <c r="AS775">
        <v>1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1</v>
      </c>
      <c r="AZ775" t="s">
        <v>257</v>
      </c>
      <c r="BA775" t="s">
        <v>980</v>
      </c>
      <c r="BB775" t="s">
        <v>981</v>
      </c>
      <c r="BC775" t="s">
        <v>257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 t="s">
        <v>982</v>
      </c>
      <c r="BK775" t="s">
        <v>981</v>
      </c>
      <c r="BL775" t="s">
        <v>5664</v>
      </c>
      <c r="BM775">
        <v>20221010</v>
      </c>
      <c r="BN775">
        <v>20221011</v>
      </c>
      <c r="BO775">
        <v>0</v>
      </c>
      <c r="BP775" t="s">
        <v>257</v>
      </c>
      <c r="BQ775" t="s">
        <v>983</v>
      </c>
      <c r="BR775" t="s">
        <v>978</v>
      </c>
      <c r="BS775" t="s">
        <v>979</v>
      </c>
      <c r="BT775">
        <v>0</v>
      </c>
      <c r="BU775">
        <v>0</v>
      </c>
      <c r="BV775" t="s">
        <v>984</v>
      </c>
      <c r="BW775" t="s">
        <v>257</v>
      </c>
      <c r="BX775">
        <v>0</v>
      </c>
      <c r="BY775" t="s">
        <v>980</v>
      </c>
      <c r="BZ775" t="s">
        <v>257</v>
      </c>
      <c r="CA775">
        <v>0</v>
      </c>
      <c r="CB775">
        <v>0</v>
      </c>
      <c r="CC775" t="s">
        <v>3687</v>
      </c>
      <c r="CD775">
        <v>0</v>
      </c>
      <c r="CE775">
        <v>0</v>
      </c>
      <c r="CF775">
        <v>0</v>
      </c>
      <c r="CG775">
        <v>0</v>
      </c>
      <c r="CH775">
        <v>0</v>
      </c>
      <c r="CI775" t="s">
        <v>983</v>
      </c>
      <c r="CJ775" t="s">
        <v>972</v>
      </c>
      <c r="CK775" t="s">
        <v>986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 t="s">
        <v>987</v>
      </c>
      <c r="CV775">
        <v>400008781</v>
      </c>
      <c r="CW775" t="s">
        <v>987</v>
      </c>
      <c r="CX775" t="s">
        <v>5669</v>
      </c>
      <c r="CY775" t="s">
        <v>989</v>
      </c>
    </row>
    <row r="776" spans="1:103" hidden="1" x14ac:dyDescent="0.25">
      <c r="A776">
        <v>410000782</v>
      </c>
      <c r="B776" t="s">
        <v>5670</v>
      </c>
      <c r="C776" t="s">
        <v>5671</v>
      </c>
      <c r="D776">
        <v>401100000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1</v>
      </c>
      <c r="Y776" t="s">
        <v>972</v>
      </c>
      <c r="Z776" t="s">
        <v>987</v>
      </c>
      <c r="AA776" t="s">
        <v>5672</v>
      </c>
      <c r="AB776" t="s">
        <v>975</v>
      </c>
      <c r="AC776">
        <v>5650</v>
      </c>
      <c r="AD776" t="s">
        <v>5673</v>
      </c>
      <c r="AE776">
        <v>496965611</v>
      </c>
      <c r="AF776" t="s">
        <v>979</v>
      </c>
      <c r="AG776" t="s">
        <v>977</v>
      </c>
      <c r="AH776" t="s">
        <v>977</v>
      </c>
      <c r="AI776" t="s">
        <v>977</v>
      </c>
      <c r="AJ776" t="s">
        <v>5674</v>
      </c>
      <c r="AK776" t="s">
        <v>978</v>
      </c>
      <c r="AL776" t="s">
        <v>978</v>
      </c>
      <c r="AM776" t="s">
        <v>979</v>
      </c>
      <c r="AN776">
        <v>0</v>
      </c>
      <c r="AO776" t="s">
        <v>257</v>
      </c>
      <c r="AP776">
        <v>0</v>
      </c>
      <c r="AQ776">
        <v>1</v>
      </c>
      <c r="AR776">
        <v>69</v>
      </c>
      <c r="AS776">
        <v>1</v>
      </c>
      <c r="AT776">
        <v>0</v>
      </c>
      <c r="AU776">
        <v>1</v>
      </c>
      <c r="AV776">
        <v>0</v>
      </c>
      <c r="AW776">
        <v>0</v>
      </c>
      <c r="AX776">
        <v>0</v>
      </c>
      <c r="AY776">
        <v>1</v>
      </c>
      <c r="AZ776" t="s">
        <v>257</v>
      </c>
      <c r="BA776" t="s">
        <v>980</v>
      </c>
      <c r="BB776" t="s">
        <v>981</v>
      </c>
      <c r="BC776" t="s">
        <v>257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 t="s">
        <v>998</v>
      </c>
      <c r="BK776" t="s">
        <v>981</v>
      </c>
      <c r="BL776" t="s">
        <v>5670</v>
      </c>
      <c r="BM776">
        <v>20221017</v>
      </c>
      <c r="BN776">
        <v>20240910</v>
      </c>
      <c r="BO776">
        <v>0</v>
      </c>
      <c r="BP776" t="s">
        <v>257</v>
      </c>
      <c r="BQ776" t="s">
        <v>983</v>
      </c>
      <c r="BR776" t="s">
        <v>978</v>
      </c>
      <c r="BS776" t="s">
        <v>979</v>
      </c>
      <c r="BT776">
        <v>0</v>
      </c>
      <c r="BU776">
        <v>0</v>
      </c>
      <c r="BV776" t="s">
        <v>984</v>
      </c>
      <c r="BW776" t="s">
        <v>257</v>
      </c>
      <c r="BX776">
        <v>0</v>
      </c>
      <c r="BY776" t="s">
        <v>980</v>
      </c>
      <c r="BZ776" t="s">
        <v>257</v>
      </c>
      <c r="CA776">
        <v>0</v>
      </c>
      <c r="CB776">
        <v>0</v>
      </c>
      <c r="CC776" t="s">
        <v>1901</v>
      </c>
      <c r="CD776">
        <v>0</v>
      </c>
      <c r="CE776">
        <v>0</v>
      </c>
      <c r="CF776">
        <v>0</v>
      </c>
      <c r="CG776">
        <v>0</v>
      </c>
      <c r="CH776">
        <v>0</v>
      </c>
      <c r="CI776" t="s">
        <v>983</v>
      </c>
      <c r="CJ776" t="s">
        <v>972</v>
      </c>
      <c r="CK776" t="s">
        <v>986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 t="s">
        <v>987</v>
      </c>
      <c r="CV776">
        <v>400008782</v>
      </c>
      <c r="CW776" t="s">
        <v>987</v>
      </c>
      <c r="CX776" t="s">
        <v>4570</v>
      </c>
      <c r="CY776" t="s">
        <v>989</v>
      </c>
    </row>
    <row r="777" spans="1:103" hidden="1" x14ac:dyDescent="0.25">
      <c r="A777">
        <v>410000783</v>
      </c>
      <c r="B777" t="s">
        <v>5675</v>
      </c>
      <c r="C777" t="s">
        <v>5676</v>
      </c>
      <c r="D777">
        <v>401100000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1</v>
      </c>
      <c r="X777">
        <v>1</v>
      </c>
      <c r="Y777" t="s">
        <v>972</v>
      </c>
      <c r="Z777" t="s">
        <v>5677</v>
      </c>
      <c r="AA777" t="s">
        <v>5678</v>
      </c>
      <c r="AB777" t="s">
        <v>975</v>
      </c>
      <c r="AC777">
        <v>5100</v>
      </c>
      <c r="AD777" t="s">
        <v>1789</v>
      </c>
      <c r="AE777" t="s">
        <v>979</v>
      </c>
      <c r="AF777" t="s">
        <v>979</v>
      </c>
      <c r="AG777" t="s">
        <v>977</v>
      </c>
      <c r="AH777">
        <v>542781118</v>
      </c>
      <c r="AI777" t="s">
        <v>5498</v>
      </c>
      <c r="AJ777" t="s">
        <v>5679</v>
      </c>
      <c r="AK777" t="s">
        <v>978</v>
      </c>
      <c r="AL777" t="s">
        <v>978</v>
      </c>
      <c r="AM777" t="s">
        <v>979</v>
      </c>
      <c r="AN777">
        <v>0</v>
      </c>
      <c r="AO777" t="s">
        <v>257</v>
      </c>
      <c r="AP777">
        <v>0</v>
      </c>
      <c r="AQ777">
        <v>1</v>
      </c>
      <c r="AR777">
        <v>43</v>
      </c>
      <c r="AS777">
        <v>1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1</v>
      </c>
      <c r="AZ777" t="s">
        <v>257</v>
      </c>
      <c r="BA777" t="s">
        <v>980</v>
      </c>
      <c r="BB777" t="s">
        <v>981</v>
      </c>
      <c r="BC777" t="s">
        <v>257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 t="s">
        <v>998</v>
      </c>
      <c r="BK777" t="s">
        <v>981</v>
      </c>
      <c r="BL777" t="s">
        <v>5675</v>
      </c>
      <c r="BM777">
        <v>20221020</v>
      </c>
      <c r="BN777">
        <v>20221021</v>
      </c>
      <c r="BO777">
        <v>0</v>
      </c>
      <c r="BP777" t="s">
        <v>257</v>
      </c>
      <c r="BQ777" t="s">
        <v>983</v>
      </c>
      <c r="BR777" t="s">
        <v>978</v>
      </c>
      <c r="BS777">
        <v>32479469352</v>
      </c>
      <c r="BT777">
        <v>0</v>
      </c>
      <c r="BU777">
        <v>0</v>
      </c>
      <c r="BV777" t="s">
        <v>984</v>
      </c>
      <c r="BW777" t="s">
        <v>257</v>
      </c>
      <c r="BX777">
        <v>0</v>
      </c>
      <c r="BY777" t="s">
        <v>980</v>
      </c>
      <c r="BZ777" t="s">
        <v>257</v>
      </c>
      <c r="CA777">
        <v>0</v>
      </c>
      <c r="CB777">
        <v>0</v>
      </c>
      <c r="CC777" t="s">
        <v>1901</v>
      </c>
      <c r="CD777">
        <v>0</v>
      </c>
      <c r="CE777">
        <v>0</v>
      </c>
      <c r="CF777">
        <v>0</v>
      </c>
      <c r="CG777">
        <v>0</v>
      </c>
      <c r="CH777">
        <v>0</v>
      </c>
      <c r="CI777" t="s">
        <v>983</v>
      </c>
      <c r="CJ777" t="s">
        <v>972</v>
      </c>
      <c r="CK777" t="s">
        <v>986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 t="s">
        <v>987</v>
      </c>
      <c r="CV777">
        <v>400008783</v>
      </c>
      <c r="CW777" t="s">
        <v>987</v>
      </c>
      <c r="CX777" t="s">
        <v>5680</v>
      </c>
      <c r="CY777" t="s">
        <v>989</v>
      </c>
    </row>
    <row r="778" spans="1:103" hidden="1" x14ac:dyDescent="0.25">
      <c r="A778">
        <v>410000784</v>
      </c>
      <c r="B778" t="s">
        <v>5681</v>
      </c>
      <c r="C778" t="s">
        <v>5682</v>
      </c>
      <c r="D778">
        <v>401100000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 t="s">
        <v>972</v>
      </c>
      <c r="Z778" t="s">
        <v>987</v>
      </c>
      <c r="AA778" t="s">
        <v>5683</v>
      </c>
      <c r="AB778" t="s">
        <v>975</v>
      </c>
      <c r="AC778">
        <v>1300</v>
      </c>
      <c r="AD778" t="s">
        <v>2390</v>
      </c>
      <c r="AE778" t="s">
        <v>979</v>
      </c>
      <c r="AF778" t="s">
        <v>979</v>
      </c>
      <c r="AG778" t="s">
        <v>977</v>
      </c>
      <c r="AH778" t="s">
        <v>977</v>
      </c>
      <c r="AI778" t="s">
        <v>977</v>
      </c>
      <c r="AJ778" t="s">
        <v>5684</v>
      </c>
      <c r="AK778" t="s">
        <v>978</v>
      </c>
      <c r="AL778" t="s">
        <v>978</v>
      </c>
      <c r="AM778" t="s">
        <v>979</v>
      </c>
      <c r="AN778">
        <v>0</v>
      </c>
      <c r="AO778" t="s">
        <v>257</v>
      </c>
      <c r="AP778">
        <v>0</v>
      </c>
      <c r="AQ778">
        <v>1</v>
      </c>
      <c r="AR778">
        <v>43</v>
      </c>
      <c r="AS778">
        <v>1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1</v>
      </c>
      <c r="AZ778" t="s">
        <v>257</v>
      </c>
      <c r="BA778" t="s">
        <v>980</v>
      </c>
      <c r="BB778" t="s">
        <v>981</v>
      </c>
      <c r="BC778" t="s">
        <v>257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 t="s">
        <v>998</v>
      </c>
      <c r="BK778" t="s">
        <v>981</v>
      </c>
      <c r="BL778" t="s">
        <v>5681</v>
      </c>
      <c r="BM778">
        <v>20221025</v>
      </c>
      <c r="BN778">
        <v>20230619</v>
      </c>
      <c r="BO778">
        <v>0</v>
      </c>
      <c r="BP778" t="s">
        <v>257</v>
      </c>
      <c r="BQ778" t="s">
        <v>983</v>
      </c>
      <c r="BR778" t="s">
        <v>978</v>
      </c>
      <c r="BS778">
        <v>32475669099</v>
      </c>
      <c r="BT778">
        <v>0</v>
      </c>
      <c r="BU778">
        <v>0</v>
      </c>
      <c r="BV778" t="s">
        <v>984</v>
      </c>
      <c r="BW778" t="s">
        <v>257</v>
      </c>
      <c r="BX778">
        <v>0</v>
      </c>
      <c r="BY778" t="s">
        <v>980</v>
      </c>
      <c r="BZ778" t="s">
        <v>257</v>
      </c>
      <c r="CA778">
        <v>0</v>
      </c>
      <c r="CB778">
        <v>0</v>
      </c>
      <c r="CC778" t="s">
        <v>1901</v>
      </c>
      <c r="CD778">
        <v>0</v>
      </c>
      <c r="CE778">
        <v>0</v>
      </c>
      <c r="CF778">
        <v>0</v>
      </c>
      <c r="CG778">
        <v>0</v>
      </c>
      <c r="CH778">
        <v>0</v>
      </c>
      <c r="CI778" t="s">
        <v>983</v>
      </c>
      <c r="CJ778" t="s">
        <v>972</v>
      </c>
      <c r="CK778" t="s">
        <v>986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 t="s">
        <v>987</v>
      </c>
      <c r="CV778">
        <v>400008784</v>
      </c>
      <c r="CW778" t="s">
        <v>987</v>
      </c>
      <c r="CX778" t="s">
        <v>5685</v>
      </c>
      <c r="CY778" t="s">
        <v>989</v>
      </c>
    </row>
    <row r="779" spans="1:103" hidden="1" x14ac:dyDescent="0.25">
      <c r="A779">
        <v>410000785</v>
      </c>
      <c r="B779" t="s">
        <v>5686</v>
      </c>
      <c r="C779" t="s">
        <v>5687</v>
      </c>
      <c r="D779">
        <v>401100000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1</v>
      </c>
      <c r="X779">
        <v>1</v>
      </c>
      <c r="Y779" t="s">
        <v>972</v>
      </c>
      <c r="Z779" t="s">
        <v>5688</v>
      </c>
      <c r="AA779" t="s">
        <v>5689</v>
      </c>
      <c r="AB779" t="s">
        <v>975</v>
      </c>
      <c r="AC779">
        <v>4821</v>
      </c>
      <c r="AD779" t="s">
        <v>1591</v>
      </c>
      <c r="AE779">
        <v>3287883779</v>
      </c>
      <c r="AF779" t="s">
        <v>979</v>
      </c>
      <c r="AG779" t="s">
        <v>977</v>
      </c>
      <c r="AH779" t="s">
        <v>977</v>
      </c>
      <c r="AI779" t="s">
        <v>977</v>
      </c>
      <c r="AJ779" t="s">
        <v>978</v>
      </c>
      <c r="AK779" t="s">
        <v>978</v>
      </c>
      <c r="AL779" t="s">
        <v>978</v>
      </c>
      <c r="AM779" t="s">
        <v>979</v>
      </c>
      <c r="AN779">
        <v>0</v>
      </c>
      <c r="AO779" t="s">
        <v>257</v>
      </c>
      <c r="AP779">
        <v>0</v>
      </c>
      <c r="AQ779">
        <v>1</v>
      </c>
      <c r="AR779">
        <v>43</v>
      </c>
      <c r="AS779">
        <v>1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1</v>
      </c>
      <c r="AZ779" t="s">
        <v>257</v>
      </c>
      <c r="BA779" t="s">
        <v>980</v>
      </c>
      <c r="BB779" t="s">
        <v>981</v>
      </c>
      <c r="BC779" t="s">
        <v>257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 t="s">
        <v>998</v>
      </c>
      <c r="BK779" t="s">
        <v>981</v>
      </c>
      <c r="BL779" t="s">
        <v>5686</v>
      </c>
      <c r="BM779">
        <v>20221025</v>
      </c>
      <c r="BN779">
        <v>0</v>
      </c>
      <c r="BO779">
        <v>0</v>
      </c>
      <c r="BP779" t="s">
        <v>257</v>
      </c>
      <c r="BQ779" t="s">
        <v>983</v>
      </c>
      <c r="BR779" t="s">
        <v>978</v>
      </c>
      <c r="BS779" t="s">
        <v>979</v>
      </c>
      <c r="BT779">
        <v>0</v>
      </c>
      <c r="BU779">
        <v>0</v>
      </c>
      <c r="BV779" t="s">
        <v>984</v>
      </c>
      <c r="BW779" t="s">
        <v>257</v>
      </c>
      <c r="BX779">
        <v>0</v>
      </c>
      <c r="BY779" t="s">
        <v>980</v>
      </c>
      <c r="BZ779" t="s">
        <v>257</v>
      </c>
      <c r="CA779">
        <v>0</v>
      </c>
      <c r="CB779">
        <v>0</v>
      </c>
      <c r="CC779" t="s">
        <v>1934</v>
      </c>
      <c r="CD779">
        <v>0</v>
      </c>
      <c r="CE779">
        <v>0</v>
      </c>
      <c r="CF779">
        <v>0</v>
      </c>
      <c r="CG779">
        <v>0</v>
      </c>
      <c r="CH779">
        <v>0</v>
      </c>
      <c r="CI779" t="s">
        <v>983</v>
      </c>
      <c r="CJ779" t="s">
        <v>972</v>
      </c>
      <c r="CK779" t="s">
        <v>986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 t="s">
        <v>987</v>
      </c>
      <c r="CV779">
        <v>400008785</v>
      </c>
      <c r="CW779" t="s">
        <v>987</v>
      </c>
      <c r="CX779" t="s">
        <v>5690</v>
      </c>
      <c r="CY779" t="s">
        <v>989</v>
      </c>
    </row>
    <row r="780" spans="1:103" hidden="1" x14ac:dyDescent="0.25">
      <c r="A780">
        <v>410000786</v>
      </c>
      <c r="B780" t="s">
        <v>5691</v>
      </c>
      <c r="C780" t="s">
        <v>5692</v>
      </c>
      <c r="D780">
        <v>401100000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1</v>
      </c>
      <c r="X780">
        <v>1</v>
      </c>
      <c r="Y780" t="s">
        <v>972</v>
      </c>
      <c r="Z780" t="s">
        <v>987</v>
      </c>
      <c r="AA780" t="s">
        <v>5693</v>
      </c>
      <c r="AB780" t="s">
        <v>975</v>
      </c>
      <c r="AC780">
        <v>4000</v>
      </c>
      <c r="AD780" t="s">
        <v>1019</v>
      </c>
      <c r="AE780" t="s">
        <v>979</v>
      </c>
      <c r="AF780" t="s">
        <v>979</v>
      </c>
      <c r="AG780" t="s">
        <v>977</v>
      </c>
      <c r="AH780" t="s">
        <v>977</v>
      </c>
      <c r="AI780" t="s">
        <v>977</v>
      </c>
      <c r="AJ780" t="s">
        <v>978</v>
      </c>
      <c r="AK780" t="s">
        <v>978</v>
      </c>
      <c r="AL780" t="s">
        <v>978</v>
      </c>
      <c r="AM780" t="s">
        <v>979</v>
      </c>
      <c r="AN780">
        <v>0</v>
      </c>
      <c r="AO780" t="s">
        <v>257</v>
      </c>
      <c r="AP780">
        <v>0</v>
      </c>
      <c r="AQ780">
        <v>1</v>
      </c>
      <c r="AR780">
        <v>32</v>
      </c>
      <c r="AS780">
        <v>1</v>
      </c>
      <c r="AT780">
        <v>0</v>
      </c>
      <c r="AU780">
        <v>1</v>
      </c>
      <c r="AV780">
        <v>0</v>
      </c>
      <c r="AW780">
        <v>0</v>
      </c>
      <c r="AX780">
        <v>0</v>
      </c>
      <c r="AY780">
        <v>1</v>
      </c>
      <c r="AZ780" t="s">
        <v>257</v>
      </c>
      <c r="BA780" t="s">
        <v>257</v>
      </c>
      <c r="BB780" t="s">
        <v>981</v>
      </c>
      <c r="BC780" t="s">
        <v>257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 t="s">
        <v>998</v>
      </c>
      <c r="BK780" t="s">
        <v>981</v>
      </c>
      <c r="BL780" t="s">
        <v>5691</v>
      </c>
      <c r="BM780">
        <v>20221026</v>
      </c>
      <c r="BN780">
        <v>20251105</v>
      </c>
      <c r="BO780">
        <v>0</v>
      </c>
      <c r="BP780" t="s">
        <v>257</v>
      </c>
      <c r="BQ780" t="s">
        <v>983</v>
      </c>
      <c r="BR780" t="s">
        <v>978</v>
      </c>
      <c r="BS780">
        <v>33635486864</v>
      </c>
      <c r="BT780">
        <v>0</v>
      </c>
      <c r="BU780">
        <v>0</v>
      </c>
      <c r="BV780" t="s">
        <v>984</v>
      </c>
      <c r="BW780" t="s">
        <v>257</v>
      </c>
      <c r="BX780">
        <v>0</v>
      </c>
      <c r="BY780" t="s">
        <v>980</v>
      </c>
      <c r="BZ780" t="s">
        <v>257</v>
      </c>
      <c r="CA780">
        <v>0</v>
      </c>
      <c r="CB780">
        <v>0</v>
      </c>
      <c r="CC780" t="s">
        <v>985</v>
      </c>
      <c r="CD780">
        <v>0</v>
      </c>
      <c r="CE780">
        <v>0</v>
      </c>
      <c r="CF780">
        <v>68</v>
      </c>
      <c r="CG780">
        <v>0</v>
      </c>
      <c r="CH780">
        <v>0</v>
      </c>
      <c r="CI780" t="s">
        <v>983</v>
      </c>
      <c r="CJ780" t="s">
        <v>972</v>
      </c>
      <c r="CK780" t="s">
        <v>986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 t="s">
        <v>987</v>
      </c>
      <c r="CV780">
        <v>400008786</v>
      </c>
      <c r="CW780" t="s">
        <v>987</v>
      </c>
      <c r="CX780" t="s">
        <v>5694</v>
      </c>
      <c r="CY780" t="s">
        <v>989</v>
      </c>
    </row>
    <row r="781" spans="1:103" hidden="1" x14ac:dyDescent="0.25">
      <c r="A781">
        <v>410000787</v>
      </c>
      <c r="B781" t="s">
        <v>5695</v>
      </c>
      <c r="C781" t="s">
        <v>5696</v>
      </c>
      <c r="D781">
        <v>401100000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1</v>
      </c>
      <c r="Y781" t="s">
        <v>972</v>
      </c>
      <c r="Z781" t="s">
        <v>5697</v>
      </c>
      <c r="AA781" t="s">
        <v>5698</v>
      </c>
      <c r="AB781" t="s">
        <v>975</v>
      </c>
      <c r="AC781">
        <v>4600</v>
      </c>
      <c r="AD781" t="s">
        <v>1813</v>
      </c>
      <c r="AE781" t="s">
        <v>979</v>
      </c>
      <c r="AF781" t="s">
        <v>979</v>
      </c>
      <c r="AG781" t="s">
        <v>977</v>
      </c>
      <c r="AH781">
        <v>666797497</v>
      </c>
      <c r="AI781" t="s">
        <v>5699</v>
      </c>
      <c r="AJ781" t="s">
        <v>978</v>
      </c>
      <c r="AK781" t="s">
        <v>978</v>
      </c>
      <c r="AL781" t="s">
        <v>978</v>
      </c>
      <c r="AM781" t="s">
        <v>979</v>
      </c>
      <c r="AN781">
        <v>0</v>
      </c>
      <c r="AO781" t="s">
        <v>257</v>
      </c>
      <c r="AP781">
        <v>0</v>
      </c>
      <c r="AQ781">
        <v>1</v>
      </c>
      <c r="AR781">
        <v>69</v>
      </c>
      <c r="AS781">
        <v>1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1</v>
      </c>
      <c r="AZ781" t="s">
        <v>257</v>
      </c>
      <c r="BA781" t="s">
        <v>257</v>
      </c>
      <c r="BB781" t="s">
        <v>981</v>
      </c>
      <c r="BC781" t="s">
        <v>257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 t="s">
        <v>998</v>
      </c>
      <c r="BK781" t="s">
        <v>981</v>
      </c>
      <c r="BL781" t="s">
        <v>5695</v>
      </c>
      <c r="BM781">
        <v>20221110</v>
      </c>
      <c r="BN781">
        <v>20240910</v>
      </c>
      <c r="BO781">
        <v>0</v>
      </c>
      <c r="BP781" t="s">
        <v>257</v>
      </c>
      <c r="BQ781" t="s">
        <v>983</v>
      </c>
      <c r="BR781" t="s">
        <v>978</v>
      </c>
      <c r="BS781">
        <v>32477595898</v>
      </c>
      <c r="BT781">
        <v>0</v>
      </c>
      <c r="BU781">
        <v>0</v>
      </c>
      <c r="BV781" t="s">
        <v>984</v>
      </c>
      <c r="BW781" t="s">
        <v>257</v>
      </c>
      <c r="BX781">
        <v>0</v>
      </c>
      <c r="BY781" t="s">
        <v>980</v>
      </c>
      <c r="BZ781" t="s">
        <v>257</v>
      </c>
      <c r="CA781">
        <v>0</v>
      </c>
      <c r="CB781">
        <v>0</v>
      </c>
      <c r="CC781" t="s">
        <v>1317</v>
      </c>
      <c r="CD781">
        <v>0</v>
      </c>
      <c r="CE781">
        <v>0</v>
      </c>
      <c r="CF781">
        <v>0</v>
      </c>
      <c r="CG781">
        <v>0</v>
      </c>
      <c r="CH781">
        <v>0</v>
      </c>
      <c r="CI781" t="s">
        <v>983</v>
      </c>
      <c r="CJ781" t="s">
        <v>972</v>
      </c>
      <c r="CK781" t="s">
        <v>986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 t="s">
        <v>987</v>
      </c>
      <c r="CV781">
        <v>400008787</v>
      </c>
      <c r="CW781" t="s">
        <v>987</v>
      </c>
      <c r="CX781" t="s">
        <v>5700</v>
      </c>
      <c r="CY781" t="s">
        <v>989</v>
      </c>
    </row>
    <row r="782" spans="1:103" hidden="1" x14ac:dyDescent="0.25">
      <c r="A782">
        <v>410000788</v>
      </c>
      <c r="B782" t="s">
        <v>5701</v>
      </c>
      <c r="C782" t="s">
        <v>5702</v>
      </c>
      <c r="D782">
        <v>401100000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1</v>
      </c>
      <c r="Y782" t="s">
        <v>972</v>
      </c>
      <c r="Z782" t="s">
        <v>987</v>
      </c>
      <c r="AA782" t="s">
        <v>5703</v>
      </c>
      <c r="AB782" t="s">
        <v>975</v>
      </c>
      <c r="AC782">
        <v>4042</v>
      </c>
      <c r="AD782" t="s">
        <v>1988</v>
      </c>
      <c r="AE782">
        <v>3242785060</v>
      </c>
      <c r="AF782" t="s">
        <v>979</v>
      </c>
      <c r="AG782" t="s">
        <v>977</v>
      </c>
      <c r="AH782">
        <v>411937620</v>
      </c>
      <c r="AI782" t="s">
        <v>5704</v>
      </c>
      <c r="AJ782" t="s">
        <v>978</v>
      </c>
      <c r="AK782" t="s">
        <v>978</v>
      </c>
      <c r="AL782" t="s">
        <v>978</v>
      </c>
      <c r="AM782" t="s">
        <v>979</v>
      </c>
      <c r="AN782">
        <v>0</v>
      </c>
      <c r="AO782" t="s">
        <v>257</v>
      </c>
      <c r="AP782">
        <v>0</v>
      </c>
      <c r="AQ782">
        <v>18</v>
      </c>
      <c r="AR782">
        <v>43</v>
      </c>
      <c r="AS782">
        <v>1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1</v>
      </c>
      <c r="AZ782" t="s">
        <v>257</v>
      </c>
      <c r="BA782" t="s">
        <v>980</v>
      </c>
      <c r="BB782" t="s">
        <v>981</v>
      </c>
      <c r="BC782" t="s">
        <v>257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 t="s">
        <v>998</v>
      </c>
      <c r="BK782" t="s">
        <v>981</v>
      </c>
      <c r="BL782" t="s">
        <v>5701</v>
      </c>
      <c r="BM782">
        <v>20221116</v>
      </c>
      <c r="BN782">
        <v>20221116</v>
      </c>
      <c r="BO782">
        <v>0</v>
      </c>
      <c r="BP782" t="s">
        <v>257</v>
      </c>
      <c r="BQ782" t="s">
        <v>983</v>
      </c>
      <c r="BR782" t="s">
        <v>978</v>
      </c>
      <c r="BS782" t="s">
        <v>979</v>
      </c>
      <c r="BT782">
        <v>0</v>
      </c>
      <c r="BU782">
        <v>0</v>
      </c>
      <c r="BV782" t="s">
        <v>984</v>
      </c>
      <c r="BW782" t="s">
        <v>257</v>
      </c>
      <c r="BX782">
        <v>0</v>
      </c>
      <c r="BY782" t="s">
        <v>980</v>
      </c>
      <c r="BZ782" t="s">
        <v>257</v>
      </c>
      <c r="CA782">
        <v>0</v>
      </c>
      <c r="CB782">
        <v>0</v>
      </c>
      <c r="CC782" t="s">
        <v>3851</v>
      </c>
      <c r="CD782">
        <v>0</v>
      </c>
      <c r="CE782">
        <v>0</v>
      </c>
      <c r="CF782">
        <v>0</v>
      </c>
      <c r="CG782">
        <v>0</v>
      </c>
      <c r="CH782">
        <v>0</v>
      </c>
      <c r="CI782" t="s">
        <v>983</v>
      </c>
      <c r="CJ782" t="s">
        <v>972</v>
      </c>
      <c r="CK782" t="s">
        <v>986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 t="s">
        <v>987</v>
      </c>
      <c r="CV782">
        <v>400008788</v>
      </c>
      <c r="CW782" t="s">
        <v>987</v>
      </c>
      <c r="CX782" t="s">
        <v>5705</v>
      </c>
      <c r="CY782" t="s">
        <v>989</v>
      </c>
    </row>
    <row r="783" spans="1:103" hidden="1" x14ac:dyDescent="0.25">
      <c r="A783">
        <v>410000789</v>
      </c>
      <c r="B783" t="s">
        <v>5706</v>
      </c>
      <c r="C783" t="s">
        <v>5707</v>
      </c>
      <c r="D783">
        <v>401100000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1</v>
      </c>
      <c r="Y783" t="s">
        <v>972</v>
      </c>
      <c r="Z783" t="s">
        <v>987</v>
      </c>
      <c r="AA783" t="s">
        <v>5708</v>
      </c>
      <c r="AB783" t="s">
        <v>975</v>
      </c>
      <c r="AC783">
        <v>4550</v>
      </c>
      <c r="AD783" t="s">
        <v>5709</v>
      </c>
      <c r="AE783">
        <v>32491101164</v>
      </c>
      <c r="AF783" t="s">
        <v>979</v>
      </c>
      <c r="AG783" t="s">
        <v>5710</v>
      </c>
      <c r="AH783" t="s">
        <v>977</v>
      </c>
      <c r="AI783" t="s">
        <v>977</v>
      </c>
      <c r="AJ783" t="s">
        <v>978</v>
      </c>
      <c r="AK783" t="s">
        <v>978</v>
      </c>
      <c r="AL783" t="s">
        <v>978</v>
      </c>
      <c r="AM783" t="s">
        <v>979</v>
      </c>
      <c r="AN783">
        <v>0</v>
      </c>
      <c r="AO783" t="s">
        <v>257</v>
      </c>
      <c r="AP783">
        <v>0</v>
      </c>
      <c r="AQ783">
        <v>1</v>
      </c>
      <c r="AR783">
        <v>43</v>
      </c>
      <c r="AS783">
        <v>1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1</v>
      </c>
      <c r="AZ783" t="s">
        <v>257</v>
      </c>
      <c r="BA783" t="s">
        <v>257</v>
      </c>
      <c r="BB783" t="s">
        <v>981</v>
      </c>
      <c r="BC783" t="s">
        <v>257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 t="s">
        <v>998</v>
      </c>
      <c r="BK783" t="s">
        <v>981</v>
      </c>
      <c r="BL783" t="s">
        <v>5706</v>
      </c>
      <c r="BM783">
        <v>20221118</v>
      </c>
      <c r="BN783">
        <v>20240522</v>
      </c>
      <c r="BO783">
        <v>0</v>
      </c>
      <c r="BP783" t="s">
        <v>257</v>
      </c>
      <c r="BQ783" t="s">
        <v>983</v>
      </c>
      <c r="BR783" t="s">
        <v>978</v>
      </c>
      <c r="BS783" t="s">
        <v>979</v>
      </c>
      <c r="BT783">
        <v>0</v>
      </c>
      <c r="BU783">
        <v>0</v>
      </c>
      <c r="BV783" t="s">
        <v>984</v>
      </c>
      <c r="BW783" t="s">
        <v>257</v>
      </c>
      <c r="BX783">
        <v>0</v>
      </c>
      <c r="BY783" t="s">
        <v>980</v>
      </c>
      <c r="BZ783" t="s">
        <v>257</v>
      </c>
      <c r="CA783">
        <v>0</v>
      </c>
      <c r="CB783">
        <v>0</v>
      </c>
      <c r="CC783" t="s">
        <v>1871</v>
      </c>
      <c r="CD783">
        <v>0</v>
      </c>
      <c r="CE783">
        <v>0</v>
      </c>
      <c r="CF783">
        <v>0</v>
      </c>
      <c r="CG783">
        <v>0</v>
      </c>
      <c r="CH783">
        <v>0</v>
      </c>
      <c r="CI783" t="s">
        <v>983</v>
      </c>
      <c r="CJ783" t="s">
        <v>972</v>
      </c>
      <c r="CK783" t="s">
        <v>986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 t="s">
        <v>987</v>
      </c>
      <c r="CV783">
        <v>400008789</v>
      </c>
      <c r="CW783" t="s">
        <v>987</v>
      </c>
      <c r="CX783" t="s">
        <v>5711</v>
      </c>
      <c r="CY783" t="s">
        <v>989</v>
      </c>
    </row>
    <row r="784" spans="1:103" hidden="1" x14ac:dyDescent="0.25">
      <c r="A784">
        <v>410000790</v>
      </c>
      <c r="B784" t="s">
        <v>5712</v>
      </c>
      <c r="C784" t="s">
        <v>5713</v>
      </c>
      <c r="D784">
        <v>401100000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1</v>
      </c>
      <c r="Y784" t="s">
        <v>972</v>
      </c>
      <c r="Z784" t="s">
        <v>987</v>
      </c>
      <c r="AA784" t="s">
        <v>5714</v>
      </c>
      <c r="AB784" t="s">
        <v>975</v>
      </c>
      <c r="AC784">
        <v>3210</v>
      </c>
      <c r="AD784" t="s">
        <v>5715</v>
      </c>
      <c r="AE784">
        <v>32479613482</v>
      </c>
      <c r="AF784" t="s">
        <v>979</v>
      </c>
      <c r="AG784" t="s">
        <v>977</v>
      </c>
      <c r="AH784" t="s">
        <v>977</v>
      </c>
      <c r="AI784" t="s">
        <v>977</v>
      </c>
      <c r="AJ784" t="s">
        <v>978</v>
      </c>
      <c r="AK784" t="s">
        <v>978</v>
      </c>
      <c r="AL784" t="s">
        <v>978</v>
      </c>
      <c r="AM784" t="s">
        <v>979</v>
      </c>
      <c r="AN784">
        <v>0</v>
      </c>
      <c r="AO784" t="s">
        <v>257</v>
      </c>
      <c r="AP784">
        <v>0</v>
      </c>
      <c r="AQ784">
        <v>1</v>
      </c>
      <c r="AR784">
        <v>43</v>
      </c>
      <c r="AS784">
        <v>1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1</v>
      </c>
      <c r="AZ784" t="s">
        <v>257</v>
      </c>
      <c r="BA784" t="s">
        <v>257</v>
      </c>
      <c r="BB784" t="s">
        <v>259</v>
      </c>
      <c r="BC784" t="s">
        <v>257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 t="s">
        <v>998</v>
      </c>
      <c r="BK784" t="s">
        <v>981</v>
      </c>
      <c r="BL784" t="s">
        <v>5712</v>
      </c>
      <c r="BM784">
        <v>20221118</v>
      </c>
      <c r="BN784">
        <v>20250107</v>
      </c>
      <c r="BO784">
        <v>20250107</v>
      </c>
      <c r="BP784" t="s">
        <v>257</v>
      </c>
      <c r="BQ784" t="s">
        <v>983</v>
      </c>
      <c r="BR784" t="s">
        <v>978</v>
      </c>
      <c r="BS784" t="s">
        <v>979</v>
      </c>
      <c r="BT784">
        <v>0</v>
      </c>
      <c r="BU784">
        <v>0</v>
      </c>
      <c r="BV784" t="s">
        <v>984</v>
      </c>
      <c r="BW784" t="s">
        <v>257</v>
      </c>
      <c r="BX784">
        <v>0</v>
      </c>
      <c r="BY784" t="s">
        <v>980</v>
      </c>
      <c r="BZ784" t="s">
        <v>257</v>
      </c>
      <c r="CA784">
        <v>0</v>
      </c>
      <c r="CB784">
        <v>0</v>
      </c>
      <c r="CC784" t="s">
        <v>1033</v>
      </c>
      <c r="CD784">
        <v>0</v>
      </c>
      <c r="CE784">
        <v>0</v>
      </c>
      <c r="CF784">
        <v>0</v>
      </c>
      <c r="CG784">
        <v>0</v>
      </c>
      <c r="CH784">
        <v>0</v>
      </c>
      <c r="CI784" t="s">
        <v>983</v>
      </c>
      <c r="CJ784" t="s">
        <v>972</v>
      </c>
      <c r="CK784" t="s">
        <v>986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 t="s">
        <v>987</v>
      </c>
      <c r="CV784">
        <v>400008790</v>
      </c>
      <c r="CW784" t="s">
        <v>987</v>
      </c>
      <c r="CX784" t="s">
        <v>5716</v>
      </c>
      <c r="CY784" t="s">
        <v>989</v>
      </c>
    </row>
    <row r="785" spans="1:103" hidden="1" x14ac:dyDescent="0.25">
      <c r="A785">
        <v>410000791</v>
      </c>
      <c r="B785" t="s">
        <v>5717</v>
      </c>
      <c r="C785" t="s">
        <v>5718</v>
      </c>
      <c r="D785">
        <v>401100000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1</v>
      </c>
      <c r="Y785" t="s">
        <v>972</v>
      </c>
      <c r="Z785" t="s">
        <v>987</v>
      </c>
      <c r="AA785" t="s">
        <v>5719</v>
      </c>
      <c r="AB785" t="s">
        <v>975</v>
      </c>
      <c r="AC785">
        <v>1040</v>
      </c>
      <c r="AD785" t="s">
        <v>5552</v>
      </c>
      <c r="AE785" t="s">
        <v>979</v>
      </c>
      <c r="AF785" t="s">
        <v>979</v>
      </c>
      <c r="AG785" t="s">
        <v>5720</v>
      </c>
      <c r="AH785">
        <v>427916686</v>
      </c>
      <c r="AI785" t="s">
        <v>5721</v>
      </c>
      <c r="AJ785" t="s">
        <v>5722</v>
      </c>
      <c r="AK785" t="s">
        <v>978</v>
      </c>
      <c r="AL785" t="s">
        <v>978</v>
      </c>
      <c r="AM785" t="s">
        <v>979</v>
      </c>
      <c r="AN785">
        <v>0</v>
      </c>
      <c r="AO785" t="s">
        <v>257</v>
      </c>
      <c r="AP785">
        <v>0</v>
      </c>
      <c r="AQ785">
        <v>1</v>
      </c>
      <c r="AR785">
        <v>43</v>
      </c>
      <c r="AS785">
        <v>1</v>
      </c>
      <c r="AT785">
        <v>0</v>
      </c>
      <c r="AU785">
        <v>1</v>
      </c>
      <c r="AV785">
        <v>0</v>
      </c>
      <c r="AW785">
        <v>0</v>
      </c>
      <c r="AX785">
        <v>0</v>
      </c>
      <c r="AY785">
        <v>1</v>
      </c>
      <c r="AZ785" t="s">
        <v>257</v>
      </c>
      <c r="BA785" t="s">
        <v>980</v>
      </c>
      <c r="BB785" t="s">
        <v>981</v>
      </c>
      <c r="BC785" t="s">
        <v>257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 t="s">
        <v>998</v>
      </c>
      <c r="BK785" t="s">
        <v>981</v>
      </c>
      <c r="BL785" t="s">
        <v>5717</v>
      </c>
      <c r="BM785">
        <v>20221124</v>
      </c>
      <c r="BN785">
        <v>20221124</v>
      </c>
      <c r="BO785">
        <v>0</v>
      </c>
      <c r="BP785" t="s">
        <v>257</v>
      </c>
      <c r="BQ785" t="s">
        <v>983</v>
      </c>
      <c r="BR785" t="s">
        <v>978</v>
      </c>
      <c r="BS785">
        <v>32476427375</v>
      </c>
      <c r="BT785">
        <v>0</v>
      </c>
      <c r="BU785">
        <v>0</v>
      </c>
      <c r="BV785" t="s">
        <v>984</v>
      </c>
      <c r="BW785" t="s">
        <v>257</v>
      </c>
      <c r="BX785">
        <v>0</v>
      </c>
      <c r="BY785" t="s">
        <v>980</v>
      </c>
      <c r="BZ785" t="s">
        <v>257</v>
      </c>
      <c r="CA785">
        <v>0</v>
      </c>
      <c r="CB785">
        <v>0</v>
      </c>
      <c r="CC785" t="s">
        <v>1901</v>
      </c>
      <c r="CD785">
        <v>0</v>
      </c>
      <c r="CE785">
        <v>0</v>
      </c>
      <c r="CF785">
        <v>0</v>
      </c>
      <c r="CG785">
        <v>0</v>
      </c>
      <c r="CH785">
        <v>0</v>
      </c>
      <c r="CI785" t="s">
        <v>983</v>
      </c>
      <c r="CJ785" t="s">
        <v>972</v>
      </c>
      <c r="CK785" t="s">
        <v>986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 t="s">
        <v>987</v>
      </c>
      <c r="CV785">
        <v>400008791</v>
      </c>
      <c r="CW785" t="s">
        <v>987</v>
      </c>
      <c r="CX785" t="s">
        <v>5723</v>
      </c>
      <c r="CY785" t="s">
        <v>989</v>
      </c>
    </row>
    <row r="786" spans="1:103" hidden="1" x14ac:dyDescent="0.25">
      <c r="A786">
        <v>410000792</v>
      </c>
      <c r="B786" t="s">
        <v>5724</v>
      </c>
      <c r="C786" t="s">
        <v>5725</v>
      </c>
      <c r="D786">
        <v>401100000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1</v>
      </c>
      <c r="Y786" t="s">
        <v>972</v>
      </c>
      <c r="Z786" t="s">
        <v>5726</v>
      </c>
      <c r="AA786" t="s">
        <v>5727</v>
      </c>
      <c r="AB786" t="s">
        <v>975</v>
      </c>
      <c r="AC786">
        <v>2600</v>
      </c>
      <c r="AD786" t="s">
        <v>5728</v>
      </c>
      <c r="AE786">
        <v>3232174300</v>
      </c>
      <c r="AF786" t="s">
        <v>979</v>
      </c>
      <c r="AG786" t="s">
        <v>977</v>
      </c>
      <c r="AH786">
        <v>843284544</v>
      </c>
      <c r="AI786">
        <v>69201</v>
      </c>
      <c r="AJ786" t="s">
        <v>978</v>
      </c>
      <c r="AK786" t="s">
        <v>978</v>
      </c>
      <c r="AL786" t="s">
        <v>978</v>
      </c>
      <c r="AM786" t="s">
        <v>979</v>
      </c>
      <c r="AN786">
        <v>0</v>
      </c>
      <c r="AO786" t="s">
        <v>257</v>
      </c>
      <c r="AP786">
        <v>0</v>
      </c>
      <c r="AQ786">
        <v>19</v>
      </c>
      <c r="AR786">
        <v>43</v>
      </c>
      <c r="AS786">
        <v>1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1</v>
      </c>
      <c r="AZ786" t="s">
        <v>257</v>
      </c>
      <c r="BA786" t="s">
        <v>980</v>
      </c>
      <c r="BB786" t="s">
        <v>981</v>
      </c>
      <c r="BC786" t="s">
        <v>257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 t="s">
        <v>998</v>
      </c>
      <c r="BK786" t="s">
        <v>981</v>
      </c>
      <c r="BL786" t="s">
        <v>5724</v>
      </c>
      <c r="BM786">
        <v>20221212</v>
      </c>
      <c r="BN786">
        <v>20241022</v>
      </c>
      <c r="BO786">
        <v>0</v>
      </c>
      <c r="BP786" t="s">
        <v>257</v>
      </c>
      <c r="BQ786" t="s">
        <v>983</v>
      </c>
      <c r="BR786" t="s">
        <v>978</v>
      </c>
      <c r="BS786" t="s">
        <v>979</v>
      </c>
      <c r="BT786">
        <v>0</v>
      </c>
      <c r="BU786">
        <v>0</v>
      </c>
      <c r="BV786" t="s">
        <v>984</v>
      </c>
      <c r="BW786" t="s">
        <v>257</v>
      </c>
      <c r="BX786">
        <v>0</v>
      </c>
      <c r="BY786" t="s">
        <v>980</v>
      </c>
      <c r="BZ786" t="s">
        <v>257</v>
      </c>
      <c r="CA786">
        <v>0</v>
      </c>
      <c r="CB786">
        <v>0</v>
      </c>
      <c r="CC786" t="s">
        <v>1391</v>
      </c>
      <c r="CD786">
        <v>0</v>
      </c>
      <c r="CE786">
        <v>0</v>
      </c>
      <c r="CF786">
        <v>0</v>
      </c>
      <c r="CG786">
        <v>0</v>
      </c>
      <c r="CH786">
        <v>0</v>
      </c>
      <c r="CI786" t="s">
        <v>983</v>
      </c>
      <c r="CJ786" t="s">
        <v>972</v>
      </c>
      <c r="CK786" t="s">
        <v>986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 t="s">
        <v>987</v>
      </c>
      <c r="CV786">
        <v>400008792</v>
      </c>
      <c r="CW786" t="s">
        <v>987</v>
      </c>
      <c r="CX786" t="s">
        <v>5729</v>
      </c>
      <c r="CY786" t="s">
        <v>989</v>
      </c>
    </row>
    <row r="787" spans="1:103" hidden="1" x14ac:dyDescent="0.25">
      <c r="A787">
        <v>410000793</v>
      </c>
      <c r="B787" t="s">
        <v>5730</v>
      </c>
      <c r="C787" t="s">
        <v>5731</v>
      </c>
      <c r="D787">
        <v>401100000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1</v>
      </c>
      <c r="X787">
        <v>1</v>
      </c>
      <c r="Y787" t="s">
        <v>972</v>
      </c>
      <c r="Z787" t="s">
        <v>987</v>
      </c>
      <c r="AA787" t="s">
        <v>5732</v>
      </c>
      <c r="AB787" t="s">
        <v>975</v>
      </c>
      <c r="AC787">
        <v>4910</v>
      </c>
      <c r="AD787" t="s">
        <v>5733</v>
      </c>
      <c r="AE787">
        <v>3287229517</v>
      </c>
      <c r="AF787" t="s">
        <v>979</v>
      </c>
      <c r="AG787" t="s">
        <v>5734</v>
      </c>
      <c r="AH787" t="s">
        <v>977</v>
      </c>
      <c r="AI787" t="s">
        <v>977</v>
      </c>
      <c r="AJ787" t="s">
        <v>5735</v>
      </c>
      <c r="AK787" t="s">
        <v>978</v>
      </c>
      <c r="AL787" t="s">
        <v>978</v>
      </c>
      <c r="AM787" t="s">
        <v>979</v>
      </c>
      <c r="AN787">
        <v>0</v>
      </c>
      <c r="AO787" t="s">
        <v>257</v>
      </c>
      <c r="AP787">
        <v>0</v>
      </c>
      <c r="AQ787">
        <v>1</v>
      </c>
      <c r="AR787">
        <v>43</v>
      </c>
      <c r="AS787">
        <v>1</v>
      </c>
      <c r="AT787">
        <v>0</v>
      </c>
      <c r="AU787">
        <v>1</v>
      </c>
      <c r="AV787">
        <v>0</v>
      </c>
      <c r="AW787">
        <v>0</v>
      </c>
      <c r="AX787">
        <v>0</v>
      </c>
      <c r="AY787">
        <v>1</v>
      </c>
      <c r="AZ787" t="s">
        <v>257</v>
      </c>
      <c r="BA787" t="s">
        <v>980</v>
      </c>
      <c r="BB787" t="s">
        <v>981</v>
      </c>
      <c r="BC787" t="s">
        <v>257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 t="s">
        <v>998</v>
      </c>
      <c r="BK787" t="s">
        <v>981</v>
      </c>
      <c r="BL787" t="s">
        <v>5730</v>
      </c>
      <c r="BM787">
        <v>20221216</v>
      </c>
      <c r="BN787">
        <v>20221216</v>
      </c>
      <c r="BO787">
        <v>0</v>
      </c>
      <c r="BP787" t="s">
        <v>257</v>
      </c>
      <c r="BQ787" t="s">
        <v>983</v>
      </c>
      <c r="BR787" t="s">
        <v>978</v>
      </c>
      <c r="BS787" t="s">
        <v>979</v>
      </c>
      <c r="BT787">
        <v>0</v>
      </c>
      <c r="BU787">
        <v>0</v>
      </c>
      <c r="BV787" t="s">
        <v>984</v>
      </c>
      <c r="BW787" t="s">
        <v>257</v>
      </c>
      <c r="BX787">
        <v>0</v>
      </c>
      <c r="BY787" t="s">
        <v>980</v>
      </c>
      <c r="BZ787" t="s">
        <v>257</v>
      </c>
      <c r="CA787">
        <v>0</v>
      </c>
      <c r="CB787">
        <v>0</v>
      </c>
      <c r="CC787" t="s">
        <v>2356</v>
      </c>
      <c r="CD787">
        <v>0</v>
      </c>
      <c r="CE787">
        <v>0</v>
      </c>
      <c r="CF787">
        <v>0</v>
      </c>
      <c r="CG787">
        <v>0</v>
      </c>
      <c r="CH787">
        <v>0</v>
      </c>
      <c r="CI787" t="s">
        <v>983</v>
      </c>
      <c r="CJ787" t="s">
        <v>972</v>
      </c>
      <c r="CK787" t="s">
        <v>986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 t="s">
        <v>987</v>
      </c>
      <c r="CV787">
        <v>400008793</v>
      </c>
      <c r="CW787" t="s">
        <v>987</v>
      </c>
      <c r="CX787" t="s">
        <v>5736</v>
      </c>
      <c r="CY787" t="s">
        <v>989</v>
      </c>
    </row>
    <row r="788" spans="1:103" hidden="1" x14ac:dyDescent="0.25">
      <c r="A788">
        <v>410000794</v>
      </c>
      <c r="B788" t="s">
        <v>5737</v>
      </c>
      <c r="C788" t="s">
        <v>5738</v>
      </c>
      <c r="D788">
        <v>401100000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1</v>
      </c>
      <c r="X788">
        <v>1</v>
      </c>
      <c r="Y788" t="s">
        <v>972</v>
      </c>
      <c r="Z788" t="s">
        <v>4883</v>
      </c>
      <c r="AA788" t="s">
        <v>5739</v>
      </c>
      <c r="AB788" t="s">
        <v>975</v>
      </c>
      <c r="AC788">
        <v>4970</v>
      </c>
      <c r="AD788" t="s">
        <v>1028</v>
      </c>
      <c r="AE788" t="s">
        <v>979</v>
      </c>
      <c r="AF788" t="s">
        <v>979</v>
      </c>
      <c r="AG788" t="s">
        <v>977</v>
      </c>
      <c r="AH788" t="s">
        <v>977</v>
      </c>
      <c r="AI788" t="s">
        <v>977</v>
      </c>
      <c r="AJ788" t="s">
        <v>978</v>
      </c>
      <c r="AK788" t="s">
        <v>978</v>
      </c>
      <c r="AL788" t="s">
        <v>978</v>
      </c>
      <c r="AM788" t="s">
        <v>979</v>
      </c>
      <c r="AN788">
        <v>0</v>
      </c>
      <c r="AO788" t="s">
        <v>257</v>
      </c>
      <c r="AP788">
        <v>0</v>
      </c>
      <c r="AQ788">
        <v>1</v>
      </c>
      <c r="AR788">
        <v>43</v>
      </c>
      <c r="AS788">
        <v>1</v>
      </c>
      <c r="AT788">
        <v>0</v>
      </c>
      <c r="AU788">
        <v>1</v>
      </c>
      <c r="AV788">
        <v>0</v>
      </c>
      <c r="AW788">
        <v>0</v>
      </c>
      <c r="AX788">
        <v>0</v>
      </c>
      <c r="AY788">
        <v>1</v>
      </c>
      <c r="AZ788" t="s">
        <v>257</v>
      </c>
      <c r="BA788" t="s">
        <v>980</v>
      </c>
      <c r="BB788" t="s">
        <v>981</v>
      </c>
      <c r="BC788" t="s">
        <v>257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 t="s">
        <v>998</v>
      </c>
      <c r="BK788" t="s">
        <v>981</v>
      </c>
      <c r="BL788" t="s">
        <v>5737</v>
      </c>
      <c r="BM788">
        <v>20230104</v>
      </c>
      <c r="BN788">
        <v>0</v>
      </c>
      <c r="BO788">
        <v>0</v>
      </c>
      <c r="BP788" t="s">
        <v>257</v>
      </c>
      <c r="BQ788" t="s">
        <v>983</v>
      </c>
      <c r="BR788" t="s">
        <v>978</v>
      </c>
      <c r="BS788" t="s">
        <v>979</v>
      </c>
      <c r="BT788">
        <v>0</v>
      </c>
      <c r="BU788">
        <v>0</v>
      </c>
      <c r="BV788" t="s">
        <v>984</v>
      </c>
      <c r="BW788" t="s">
        <v>257</v>
      </c>
      <c r="BX788">
        <v>0</v>
      </c>
      <c r="BY788" t="s">
        <v>980</v>
      </c>
      <c r="BZ788" t="s">
        <v>257</v>
      </c>
      <c r="CA788">
        <v>0</v>
      </c>
      <c r="CB788">
        <v>0</v>
      </c>
      <c r="CC788" t="s">
        <v>1901</v>
      </c>
      <c r="CD788">
        <v>0</v>
      </c>
      <c r="CE788">
        <v>0</v>
      </c>
      <c r="CF788">
        <v>0</v>
      </c>
      <c r="CG788">
        <v>0</v>
      </c>
      <c r="CH788">
        <v>0</v>
      </c>
      <c r="CI788" t="s">
        <v>983</v>
      </c>
      <c r="CJ788" t="s">
        <v>972</v>
      </c>
      <c r="CK788" t="s">
        <v>986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 t="s">
        <v>987</v>
      </c>
      <c r="CV788">
        <v>400008794</v>
      </c>
      <c r="CW788" t="s">
        <v>987</v>
      </c>
      <c r="CX788" t="s">
        <v>5740</v>
      </c>
      <c r="CY788" t="s">
        <v>989</v>
      </c>
    </row>
    <row r="789" spans="1:103" hidden="1" x14ac:dyDescent="0.25">
      <c r="A789">
        <v>410000795</v>
      </c>
      <c r="B789" t="s">
        <v>5741</v>
      </c>
      <c r="C789" t="s">
        <v>5742</v>
      </c>
      <c r="D789">
        <v>401100000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1</v>
      </c>
      <c r="X789">
        <v>1</v>
      </c>
      <c r="Y789" t="s">
        <v>972</v>
      </c>
      <c r="Z789" t="s">
        <v>987</v>
      </c>
      <c r="AA789" t="s">
        <v>5743</v>
      </c>
      <c r="AB789" t="s">
        <v>975</v>
      </c>
      <c r="AC789">
        <v>4020</v>
      </c>
      <c r="AD789" t="s">
        <v>1019</v>
      </c>
      <c r="AE789" t="s">
        <v>979</v>
      </c>
      <c r="AF789" t="s">
        <v>979</v>
      </c>
      <c r="AG789" t="s">
        <v>977</v>
      </c>
      <c r="AH789" t="s">
        <v>977</v>
      </c>
      <c r="AI789" t="s">
        <v>977</v>
      </c>
      <c r="AJ789" t="s">
        <v>978</v>
      </c>
      <c r="AK789" t="s">
        <v>978</v>
      </c>
      <c r="AL789" t="s">
        <v>978</v>
      </c>
      <c r="AM789" t="s">
        <v>979</v>
      </c>
      <c r="AN789">
        <v>0</v>
      </c>
      <c r="AO789" t="s">
        <v>257</v>
      </c>
      <c r="AP789">
        <v>0</v>
      </c>
      <c r="AQ789">
        <v>18</v>
      </c>
      <c r="AR789">
        <v>69</v>
      </c>
      <c r="AS789">
        <v>1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1</v>
      </c>
      <c r="AZ789" t="s">
        <v>257</v>
      </c>
      <c r="BA789" t="s">
        <v>980</v>
      </c>
      <c r="BB789" t="s">
        <v>981</v>
      </c>
      <c r="BC789" t="s">
        <v>257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 t="s">
        <v>998</v>
      </c>
      <c r="BK789" t="s">
        <v>981</v>
      </c>
      <c r="BL789" t="s">
        <v>5741</v>
      </c>
      <c r="BM789">
        <v>20230119</v>
      </c>
      <c r="BN789">
        <v>20240910</v>
      </c>
      <c r="BO789">
        <v>0</v>
      </c>
      <c r="BP789" t="s">
        <v>257</v>
      </c>
      <c r="BQ789" t="s">
        <v>983</v>
      </c>
      <c r="BR789" t="s">
        <v>978</v>
      </c>
      <c r="BS789">
        <v>32497720504</v>
      </c>
      <c r="BT789">
        <v>0</v>
      </c>
      <c r="BU789">
        <v>0</v>
      </c>
      <c r="BV789" t="s">
        <v>984</v>
      </c>
      <c r="BW789" t="s">
        <v>257</v>
      </c>
      <c r="BX789">
        <v>0</v>
      </c>
      <c r="BY789" t="s">
        <v>980</v>
      </c>
      <c r="BZ789" t="s">
        <v>257</v>
      </c>
      <c r="CA789">
        <v>0</v>
      </c>
      <c r="CB789">
        <v>0</v>
      </c>
      <c r="CC789" t="s">
        <v>1391</v>
      </c>
      <c r="CD789">
        <v>0</v>
      </c>
      <c r="CE789">
        <v>0</v>
      </c>
      <c r="CF789">
        <v>0</v>
      </c>
      <c r="CG789">
        <v>0</v>
      </c>
      <c r="CH789">
        <v>0</v>
      </c>
      <c r="CI789" t="s">
        <v>983</v>
      </c>
      <c r="CJ789" t="s">
        <v>972</v>
      </c>
      <c r="CK789" t="s">
        <v>986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 t="s">
        <v>987</v>
      </c>
      <c r="CV789">
        <v>400008795</v>
      </c>
      <c r="CW789" t="s">
        <v>987</v>
      </c>
      <c r="CX789" t="s">
        <v>4984</v>
      </c>
      <c r="CY789" t="s">
        <v>989</v>
      </c>
    </row>
    <row r="790" spans="1:103" hidden="1" x14ac:dyDescent="0.25">
      <c r="A790">
        <v>410000796</v>
      </c>
      <c r="B790" t="s">
        <v>5744</v>
      </c>
      <c r="C790" t="s">
        <v>5745</v>
      </c>
      <c r="D790">
        <v>401100000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1</v>
      </c>
      <c r="X790">
        <v>1</v>
      </c>
      <c r="Y790" t="s">
        <v>972</v>
      </c>
      <c r="Z790" t="s">
        <v>2698</v>
      </c>
      <c r="AA790" t="s">
        <v>5746</v>
      </c>
      <c r="AB790" t="s">
        <v>975</v>
      </c>
      <c r="AC790">
        <v>4040</v>
      </c>
      <c r="AD790" t="s">
        <v>976</v>
      </c>
      <c r="AE790">
        <v>3243490730</v>
      </c>
      <c r="AF790" t="s">
        <v>979</v>
      </c>
      <c r="AG790" t="s">
        <v>977</v>
      </c>
      <c r="AH790" t="s">
        <v>977</v>
      </c>
      <c r="AI790" t="s">
        <v>977</v>
      </c>
      <c r="AJ790" t="s">
        <v>978</v>
      </c>
      <c r="AK790" t="s">
        <v>978</v>
      </c>
      <c r="AL790" t="s">
        <v>978</v>
      </c>
      <c r="AM790" t="s">
        <v>979</v>
      </c>
      <c r="AN790">
        <v>0</v>
      </c>
      <c r="AO790" t="s">
        <v>257</v>
      </c>
      <c r="AP790">
        <v>0</v>
      </c>
      <c r="AQ790">
        <v>18</v>
      </c>
      <c r="AR790">
        <v>43</v>
      </c>
      <c r="AS790">
        <v>1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1</v>
      </c>
      <c r="AZ790" t="s">
        <v>257</v>
      </c>
      <c r="BA790" t="s">
        <v>980</v>
      </c>
      <c r="BB790" t="s">
        <v>981</v>
      </c>
      <c r="BC790" t="s">
        <v>257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 t="s">
        <v>998</v>
      </c>
      <c r="BK790" t="s">
        <v>981</v>
      </c>
      <c r="BL790" t="s">
        <v>5744</v>
      </c>
      <c r="BM790">
        <v>20230124</v>
      </c>
      <c r="BN790">
        <v>20230124</v>
      </c>
      <c r="BO790">
        <v>0</v>
      </c>
      <c r="BP790" t="s">
        <v>257</v>
      </c>
      <c r="BQ790" t="s">
        <v>983</v>
      </c>
      <c r="BR790" t="s">
        <v>978</v>
      </c>
      <c r="BS790" t="s">
        <v>979</v>
      </c>
      <c r="BT790">
        <v>0</v>
      </c>
      <c r="BU790">
        <v>0</v>
      </c>
      <c r="BV790" t="s">
        <v>984</v>
      </c>
      <c r="BW790" t="s">
        <v>257</v>
      </c>
      <c r="BX790">
        <v>0</v>
      </c>
      <c r="BY790" t="s">
        <v>980</v>
      </c>
      <c r="BZ790" t="s">
        <v>257</v>
      </c>
      <c r="CA790">
        <v>0</v>
      </c>
      <c r="CB790">
        <v>0</v>
      </c>
      <c r="CC790" t="s">
        <v>3623</v>
      </c>
      <c r="CD790">
        <v>0</v>
      </c>
      <c r="CE790">
        <v>0</v>
      </c>
      <c r="CF790">
        <v>0</v>
      </c>
      <c r="CG790">
        <v>0</v>
      </c>
      <c r="CH790">
        <v>0</v>
      </c>
      <c r="CI790" t="s">
        <v>983</v>
      </c>
      <c r="CJ790" t="s">
        <v>972</v>
      </c>
      <c r="CK790" t="s">
        <v>986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 t="s">
        <v>987</v>
      </c>
      <c r="CV790">
        <v>400008796</v>
      </c>
      <c r="CW790" t="s">
        <v>987</v>
      </c>
      <c r="CX790" t="s">
        <v>5747</v>
      </c>
      <c r="CY790" t="s">
        <v>989</v>
      </c>
    </row>
    <row r="791" spans="1:103" hidden="1" x14ac:dyDescent="0.25">
      <c r="A791">
        <v>410000797</v>
      </c>
      <c r="B791" t="s">
        <v>5748</v>
      </c>
      <c r="C791" t="s">
        <v>5749</v>
      </c>
      <c r="D791">
        <v>401100000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1</v>
      </c>
      <c r="Y791" t="s">
        <v>972</v>
      </c>
      <c r="Z791" t="s">
        <v>987</v>
      </c>
      <c r="AA791" t="s">
        <v>5750</v>
      </c>
      <c r="AB791" t="s">
        <v>975</v>
      </c>
      <c r="AC791">
        <v>4820</v>
      </c>
      <c r="AD791" t="s">
        <v>1591</v>
      </c>
      <c r="AE791">
        <v>3247454543</v>
      </c>
      <c r="AF791" t="s">
        <v>979</v>
      </c>
      <c r="AG791" t="s">
        <v>977</v>
      </c>
      <c r="AH791" t="s">
        <v>977</v>
      </c>
      <c r="AI791" t="s">
        <v>977</v>
      </c>
      <c r="AJ791" t="s">
        <v>978</v>
      </c>
      <c r="AK791" t="s">
        <v>978</v>
      </c>
      <c r="AL791" t="s">
        <v>978</v>
      </c>
      <c r="AM791" t="s">
        <v>979</v>
      </c>
      <c r="AN791">
        <v>0</v>
      </c>
      <c r="AO791" t="s">
        <v>257</v>
      </c>
      <c r="AP791">
        <v>0</v>
      </c>
      <c r="AQ791">
        <v>1</v>
      </c>
      <c r="AR791">
        <v>43</v>
      </c>
      <c r="AS791">
        <v>1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1</v>
      </c>
      <c r="AZ791" t="s">
        <v>257</v>
      </c>
      <c r="BA791" t="s">
        <v>980</v>
      </c>
      <c r="BB791" t="s">
        <v>981</v>
      </c>
      <c r="BC791" t="s">
        <v>257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 t="s">
        <v>998</v>
      </c>
      <c r="BK791" t="s">
        <v>981</v>
      </c>
      <c r="BL791" t="s">
        <v>5748</v>
      </c>
      <c r="BM791">
        <v>20230126</v>
      </c>
      <c r="BN791">
        <v>0</v>
      </c>
      <c r="BO791">
        <v>0</v>
      </c>
      <c r="BP791" t="s">
        <v>257</v>
      </c>
      <c r="BQ791" t="s">
        <v>983</v>
      </c>
      <c r="BR791" t="s">
        <v>978</v>
      </c>
      <c r="BS791" t="s">
        <v>979</v>
      </c>
      <c r="BT791">
        <v>0</v>
      </c>
      <c r="BU791">
        <v>0</v>
      </c>
      <c r="BV791" t="s">
        <v>984</v>
      </c>
      <c r="BW791" t="s">
        <v>257</v>
      </c>
      <c r="BX791">
        <v>0</v>
      </c>
      <c r="BY791" t="s">
        <v>980</v>
      </c>
      <c r="BZ791" t="s">
        <v>257</v>
      </c>
      <c r="CA791">
        <v>0</v>
      </c>
      <c r="CB791">
        <v>0</v>
      </c>
      <c r="CC791" t="s">
        <v>985</v>
      </c>
      <c r="CD791">
        <v>0</v>
      </c>
      <c r="CE791">
        <v>0</v>
      </c>
      <c r="CF791">
        <v>0</v>
      </c>
      <c r="CG791">
        <v>0</v>
      </c>
      <c r="CH791">
        <v>0</v>
      </c>
      <c r="CI791" t="s">
        <v>983</v>
      </c>
      <c r="CJ791" t="s">
        <v>972</v>
      </c>
      <c r="CK791" t="s">
        <v>986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 t="s">
        <v>987</v>
      </c>
      <c r="CV791">
        <v>400008797</v>
      </c>
      <c r="CW791" t="s">
        <v>987</v>
      </c>
      <c r="CX791" t="s">
        <v>5751</v>
      </c>
      <c r="CY791" t="s">
        <v>989</v>
      </c>
    </row>
    <row r="792" spans="1:103" hidden="1" x14ac:dyDescent="0.25">
      <c r="A792">
        <v>410000798</v>
      </c>
      <c r="B792" t="s">
        <v>5752</v>
      </c>
      <c r="C792" t="s">
        <v>5753</v>
      </c>
      <c r="D792">
        <v>401100000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1</v>
      </c>
      <c r="Y792" t="s">
        <v>972</v>
      </c>
      <c r="Z792" t="s">
        <v>987</v>
      </c>
      <c r="AA792" t="s">
        <v>5754</v>
      </c>
      <c r="AB792" t="s">
        <v>975</v>
      </c>
      <c r="AC792">
        <v>4870</v>
      </c>
      <c r="AD792" t="s">
        <v>5755</v>
      </c>
      <c r="AE792" t="s">
        <v>979</v>
      </c>
      <c r="AF792" t="s">
        <v>979</v>
      </c>
      <c r="AG792" t="s">
        <v>5756</v>
      </c>
      <c r="AH792" t="s">
        <v>977</v>
      </c>
      <c r="AI792" t="s">
        <v>977</v>
      </c>
      <c r="AJ792" t="s">
        <v>978</v>
      </c>
      <c r="AK792" t="s">
        <v>978</v>
      </c>
      <c r="AL792" t="s">
        <v>978</v>
      </c>
      <c r="AM792" t="s">
        <v>979</v>
      </c>
      <c r="AN792">
        <v>0</v>
      </c>
      <c r="AO792" t="s">
        <v>257</v>
      </c>
      <c r="AP792">
        <v>0</v>
      </c>
      <c r="AQ792">
        <v>1</v>
      </c>
      <c r="AR792">
        <v>43</v>
      </c>
      <c r="AS792">
        <v>1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1</v>
      </c>
      <c r="AZ792" t="s">
        <v>257</v>
      </c>
      <c r="BA792" t="s">
        <v>980</v>
      </c>
      <c r="BB792" t="s">
        <v>981</v>
      </c>
      <c r="BC792" t="s">
        <v>257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 t="s">
        <v>998</v>
      </c>
      <c r="BK792" t="s">
        <v>981</v>
      </c>
      <c r="BL792" t="s">
        <v>5752</v>
      </c>
      <c r="BM792">
        <v>20230215</v>
      </c>
      <c r="BN792">
        <v>20230619</v>
      </c>
      <c r="BO792">
        <v>0</v>
      </c>
      <c r="BP792" t="s">
        <v>257</v>
      </c>
      <c r="BQ792" t="s">
        <v>983</v>
      </c>
      <c r="BR792" t="s">
        <v>978</v>
      </c>
      <c r="BS792">
        <v>32495699305</v>
      </c>
      <c r="BT792">
        <v>0</v>
      </c>
      <c r="BU792">
        <v>0</v>
      </c>
      <c r="BV792" t="s">
        <v>984</v>
      </c>
      <c r="BW792" t="s">
        <v>257</v>
      </c>
      <c r="BX792">
        <v>0</v>
      </c>
      <c r="BY792" t="s">
        <v>980</v>
      </c>
      <c r="BZ792" t="s">
        <v>257</v>
      </c>
      <c r="CA792">
        <v>0</v>
      </c>
      <c r="CB792">
        <v>0</v>
      </c>
      <c r="CC792" t="s">
        <v>1934</v>
      </c>
      <c r="CD792">
        <v>0</v>
      </c>
      <c r="CE792">
        <v>0</v>
      </c>
      <c r="CF792">
        <v>0</v>
      </c>
      <c r="CG792">
        <v>0</v>
      </c>
      <c r="CH792">
        <v>0</v>
      </c>
      <c r="CI792" t="s">
        <v>983</v>
      </c>
      <c r="CJ792" t="s">
        <v>972</v>
      </c>
      <c r="CK792" t="s">
        <v>986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 t="s">
        <v>987</v>
      </c>
      <c r="CV792">
        <v>400008798</v>
      </c>
      <c r="CW792" t="s">
        <v>987</v>
      </c>
      <c r="CX792" t="s">
        <v>5757</v>
      </c>
      <c r="CY792" t="s">
        <v>989</v>
      </c>
    </row>
    <row r="793" spans="1:103" hidden="1" x14ac:dyDescent="0.25">
      <c r="A793">
        <v>410000799</v>
      </c>
      <c r="B793" t="s">
        <v>5758</v>
      </c>
      <c r="C793" t="s">
        <v>5759</v>
      </c>
      <c r="D793">
        <v>401100000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1</v>
      </c>
      <c r="X793">
        <v>1</v>
      </c>
      <c r="Y793" t="s">
        <v>972</v>
      </c>
      <c r="Z793" t="s">
        <v>987</v>
      </c>
      <c r="AA793" t="s">
        <v>5760</v>
      </c>
      <c r="AB793" t="s">
        <v>975</v>
      </c>
      <c r="AC793">
        <v>4830</v>
      </c>
      <c r="AD793" t="s">
        <v>2108</v>
      </c>
      <c r="AE793">
        <v>3287762017</v>
      </c>
      <c r="AF793" t="s">
        <v>979</v>
      </c>
      <c r="AG793" t="s">
        <v>977</v>
      </c>
      <c r="AH793" t="s">
        <v>977</v>
      </c>
      <c r="AI793" t="s">
        <v>977</v>
      </c>
      <c r="AJ793" t="s">
        <v>978</v>
      </c>
      <c r="AK793" t="s">
        <v>978</v>
      </c>
      <c r="AL793" t="s">
        <v>978</v>
      </c>
      <c r="AM793" t="s">
        <v>979</v>
      </c>
      <c r="AN793">
        <v>0</v>
      </c>
      <c r="AO793" t="s">
        <v>257</v>
      </c>
      <c r="AP793">
        <v>0</v>
      </c>
      <c r="AQ793">
        <v>1</v>
      </c>
      <c r="AR793">
        <v>43</v>
      </c>
      <c r="AS793">
        <v>1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1</v>
      </c>
      <c r="AZ793" t="s">
        <v>257</v>
      </c>
      <c r="BA793" t="s">
        <v>980</v>
      </c>
      <c r="BB793" t="s">
        <v>981</v>
      </c>
      <c r="BC793" t="s">
        <v>257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 t="s">
        <v>998</v>
      </c>
      <c r="BK793" t="s">
        <v>981</v>
      </c>
      <c r="BL793" t="s">
        <v>5758</v>
      </c>
      <c r="BM793">
        <v>20230215</v>
      </c>
      <c r="BN793">
        <v>0</v>
      </c>
      <c r="BO793">
        <v>0</v>
      </c>
      <c r="BP793" t="s">
        <v>257</v>
      </c>
      <c r="BQ793" t="s">
        <v>983</v>
      </c>
      <c r="BR793" t="s">
        <v>978</v>
      </c>
      <c r="BS793" t="s">
        <v>979</v>
      </c>
      <c r="BT793">
        <v>0</v>
      </c>
      <c r="BU793">
        <v>0</v>
      </c>
      <c r="BV793" t="s">
        <v>984</v>
      </c>
      <c r="BW793" t="s">
        <v>257</v>
      </c>
      <c r="BX793">
        <v>0</v>
      </c>
      <c r="BY793" t="s">
        <v>980</v>
      </c>
      <c r="BZ793" t="s">
        <v>257</v>
      </c>
      <c r="CA793">
        <v>0</v>
      </c>
      <c r="CB793">
        <v>0</v>
      </c>
      <c r="CC793" t="s">
        <v>3687</v>
      </c>
      <c r="CD793">
        <v>0</v>
      </c>
      <c r="CE793">
        <v>0</v>
      </c>
      <c r="CF793">
        <v>0</v>
      </c>
      <c r="CG793">
        <v>0</v>
      </c>
      <c r="CH793">
        <v>0</v>
      </c>
      <c r="CI793" t="s">
        <v>983</v>
      </c>
      <c r="CJ793" t="s">
        <v>972</v>
      </c>
      <c r="CK793" t="s">
        <v>986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 t="s">
        <v>987</v>
      </c>
      <c r="CV793">
        <v>400008799</v>
      </c>
      <c r="CW793" t="s">
        <v>987</v>
      </c>
      <c r="CX793" t="s">
        <v>5761</v>
      </c>
      <c r="CY793" t="s">
        <v>989</v>
      </c>
    </row>
    <row r="794" spans="1:103" hidden="1" x14ac:dyDescent="0.25">
      <c r="A794">
        <v>410000800</v>
      </c>
      <c r="B794" t="s">
        <v>5762</v>
      </c>
      <c r="C794" t="s">
        <v>5763</v>
      </c>
      <c r="D794">
        <v>401100000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1</v>
      </c>
      <c r="Y794" t="s">
        <v>972</v>
      </c>
      <c r="Z794" t="s">
        <v>987</v>
      </c>
      <c r="AA794" t="s">
        <v>5764</v>
      </c>
      <c r="AB794" t="s">
        <v>975</v>
      </c>
      <c r="AC794">
        <v>1357</v>
      </c>
      <c r="AD794" t="s">
        <v>5765</v>
      </c>
      <c r="AE794" t="s">
        <v>979</v>
      </c>
      <c r="AF794" t="s">
        <v>979</v>
      </c>
      <c r="AG794" t="s">
        <v>977</v>
      </c>
      <c r="AH794" t="s">
        <v>977</v>
      </c>
      <c r="AI794" t="s">
        <v>977</v>
      </c>
      <c r="AJ794" t="s">
        <v>7320</v>
      </c>
      <c r="AK794" t="s">
        <v>978</v>
      </c>
      <c r="AL794" t="s">
        <v>978</v>
      </c>
      <c r="AM794" t="s">
        <v>979</v>
      </c>
      <c r="AN794">
        <v>0</v>
      </c>
      <c r="AO794" t="s">
        <v>257</v>
      </c>
      <c r="AP794">
        <v>0</v>
      </c>
      <c r="AQ794">
        <v>1</v>
      </c>
      <c r="AR794">
        <v>43</v>
      </c>
      <c r="AS794">
        <v>1</v>
      </c>
      <c r="AT794">
        <v>0</v>
      </c>
      <c r="AU794">
        <v>1</v>
      </c>
      <c r="AV794">
        <v>0</v>
      </c>
      <c r="AW794">
        <v>0</v>
      </c>
      <c r="AX794">
        <v>0</v>
      </c>
      <c r="AY794">
        <v>1</v>
      </c>
      <c r="AZ794" t="s">
        <v>257</v>
      </c>
      <c r="BA794" t="s">
        <v>980</v>
      </c>
      <c r="BB794" t="s">
        <v>981</v>
      </c>
      <c r="BC794" t="s">
        <v>257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 t="s">
        <v>998</v>
      </c>
      <c r="BK794" t="s">
        <v>981</v>
      </c>
      <c r="BL794" t="s">
        <v>5762</v>
      </c>
      <c r="BM794">
        <v>20230217</v>
      </c>
      <c r="BN794">
        <v>20250911</v>
      </c>
      <c r="BO794">
        <v>0</v>
      </c>
      <c r="BP794" t="s">
        <v>257</v>
      </c>
      <c r="BQ794" t="s">
        <v>983</v>
      </c>
      <c r="BR794" t="s">
        <v>978</v>
      </c>
      <c r="BS794">
        <v>32473931595</v>
      </c>
      <c r="BT794">
        <v>0</v>
      </c>
      <c r="BU794">
        <v>0</v>
      </c>
      <c r="BV794" t="s">
        <v>984</v>
      </c>
      <c r="BW794" t="s">
        <v>257</v>
      </c>
      <c r="BX794">
        <v>0</v>
      </c>
      <c r="BY794" t="s">
        <v>980</v>
      </c>
      <c r="BZ794" t="s">
        <v>257</v>
      </c>
      <c r="CA794">
        <v>0</v>
      </c>
      <c r="CB794">
        <v>0</v>
      </c>
      <c r="CC794" t="s">
        <v>1901</v>
      </c>
      <c r="CD794">
        <v>0</v>
      </c>
      <c r="CE794">
        <v>0</v>
      </c>
      <c r="CF794">
        <v>0</v>
      </c>
      <c r="CG794">
        <v>0</v>
      </c>
      <c r="CH794">
        <v>0</v>
      </c>
      <c r="CI794" t="s">
        <v>983</v>
      </c>
      <c r="CJ794" t="s">
        <v>972</v>
      </c>
      <c r="CK794" t="s">
        <v>986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 t="s">
        <v>987</v>
      </c>
      <c r="CV794">
        <v>400008800</v>
      </c>
      <c r="CW794" t="s">
        <v>987</v>
      </c>
      <c r="CX794" t="s">
        <v>5766</v>
      </c>
      <c r="CY794" t="s">
        <v>989</v>
      </c>
    </row>
    <row r="795" spans="1:103" hidden="1" x14ac:dyDescent="0.25">
      <c r="A795">
        <v>410000801</v>
      </c>
      <c r="B795" t="s">
        <v>5767</v>
      </c>
      <c r="C795" t="s">
        <v>5768</v>
      </c>
      <c r="D795">
        <v>401100000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1</v>
      </c>
      <c r="Y795" t="s">
        <v>972</v>
      </c>
      <c r="Z795" t="s">
        <v>5769</v>
      </c>
      <c r="AA795" t="s">
        <v>5770</v>
      </c>
      <c r="AB795" t="s">
        <v>975</v>
      </c>
      <c r="AC795">
        <v>4367</v>
      </c>
      <c r="AD795" t="s">
        <v>5006</v>
      </c>
      <c r="AE795">
        <v>3242232650</v>
      </c>
      <c r="AF795" t="s">
        <v>979</v>
      </c>
      <c r="AG795" t="s">
        <v>977</v>
      </c>
      <c r="AH795">
        <v>695981631</v>
      </c>
      <c r="AI795" t="s">
        <v>977</v>
      </c>
      <c r="AJ795" t="s">
        <v>978</v>
      </c>
      <c r="AK795" t="s">
        <v>978</v>
      </c>
      <c r="AL795" t="s">
        <v>978</v>
      </c>
      <c r="AM795" t="s">
        <v>979</v>
      </c>
      <c r="AN795">
        <v>0</v>
      </c>
      <c r="AO795" t="s">
        <v>257</v>
      </c>
      <c r="AP795">
        <v>0</v>
      </c>
      <c r="AQ795">
        <v>1</v>
      </c>
      <c r="AR795">
        <v>43</v>
      </c>
      <c r="AS795">
        <v>1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1</v>
      </c>
      <c r="AZ795" t="s">
        <v>257</v>
      </c>
      <c r="BA795" t="s">
        <v>980</v>
      </c>
      <c r="BB795" t="s">
        <v>981</v>
      </c>
      <c r="BC795" t="s">
        <v>257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 t="s">
        <v>998</v>
      </c>
      <c r="BK795" t="s">
        <v>981</v>
      </c>
      <c r="BL795" t="s">
        <v>5767</v>
      </c>
      <c r="BM795">
        <v>20230320</v>
      </c>
      <c r="BN795">
        <v>20230320</v>
      </c>
      <c r="BO795">
        <v>0</v>
      </c>
      <c r="BP795" t="s">
        <v>257</v>
      </c>
      <c r="BQ795" t="s">
        <v>983</v>
      </c>
      <c r="BR795" t="s">
        <v>978</v>
      </c>
      <c r="BS795" t="s">
        <v>979</v>
      </c>
      <c r="BT795">
        <v>0</v>
      </c>
      <c r="BU795">
        <v>0</v>
      </c>
      <c r="BV795" t="s">
        <v>984</v>
      </c>
      <c r="BW795" t="s">
        <v>257</v>
      </c>
      <c r="BX795">
        <v>0</v>
      </c>
      <c r="BY795" t="s">
        <v>980</v>
      </c>
      <c r="BZ795" t="s">
        <v>257</v>
      </c>
      <c r="CA795">
        <v>0</v>
      </c>
      <c r="CB795">
        <v>0</v>
      </c>
      <c r="CC795" t="s">
        <v>1491</v>
      </c>
      <c r="CD795">
        <v>0</v>
      </c>
      <c r="CE795">
        <v>0</v>
      </c>
      <c r="CF795">
        <v>0</v>
      </c>
      <c r="CG795">
        <v>0</v>
      </c>
      <c r="CH795">
        <v>0</v>
      </c>
      <c r="CI795" t="s">
        <v>983</v>
      </c>
      <c r="CJ795" t="s">
        <v>972</v>
      </c>
      <c r="CK795" t="s">
        <v>986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 t="s">
        <v>987</v>
      </c>
      <c r="CV795">
        <v>400008801</v>
      </c>
      <c r="CW795" t="s">
        <v>987</v>
      </c>
      <c r="CX795" t="s">
        <v>3998</v>
      </c>
      <c r="CY795" t="s">
        <v>989</v>
      </c>
    </row>
    <row r="796" spans="1:103" hidden="1" x14ac:dyDescent="0.25">
      <c r="A796">
        <v>410000802</v>
      </c>
      <c r="B796" t="s">
        <v>5771</v>
      </c>
      <c r="C796" t="s">
        <v>5772</v>
      </c>
      <c r="D796">
        <v>401100000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1</v>
      </c>
      <c r="Y796" t="s">
        <v>972</v>
      </c>
      <c r="Z796" t="s">
        <v>987</v>
      </c>
      <c r="AA796" t="s">
        <v>5773</v>
      </c>
      <c r="AB796" t="s">
        <v>975</v>
      </c>
      <c r="AC796">
        <v>4900</v>
      </c>
      <c r="AD796" t="s">
        <v>1386</v>
      </c>
      <c r="AE796">
        <v>3287774250</v>
      </c>
      <c r="AF796" t="s">
        <v>979</v>
      </c>
      <c r="AG796" t="s">
        <v>5774</v>
      </c>
      <c r="AH796">
        <v>751847889</v>
      </c>
      <c r="AI796" t="s">
        <v>5775</v>
      </c>
      <c r="AJ796" t="s">
        <v>978</v>
      </c>
      <c r="AK796" t="s">
        <v>978</v>
      </c>
      <c r="AL796" t="s">
        <v>978</v>
      </c>
      <c r="AM796" t="s">
        <v>979</v>
      </c>
      <c r="AN796">
        <v>0</v>
      </c>
      <c r="AO796" t="s">
        <v>257</v>
      </c>
      <c r="AP796">
        <v>0</v>
      </c>
      <c r="AQ796">
        <v>1</v>
      </c>
      <c r="AR796">
        <v>43</v>
      </c>
      <c r="AS796">
        <v>1</v>
      </c>
      <c r="AT796">
        <v>0</v>
      </c>
      <c r="AU796">
        <v>1</v>
      </c>
      <c r="AV796">
        <v>0</v>
      </c>
      <c r="AW796">
        <v>0</v>
      </c>
      <c r="AX796">
        <v>0</v>
      </c>
      <c r="AY796">
        <v>1</v>
      </c>
      <c r="AZ796" t="s">
        <v>257</v>
      </c>
      <c r="BA796" t="s">
        <v>980</v>
      </c>
      <c r="BB796" t="s">
        <v>981</v>
      </c>
      <c r="BC796" t="s">
        <v>257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 t="s">
        <v>998</v>
      </c>
      <c r="BK796" t="s">
        <v>981</v>
      </c>
      <c r="BL796" t="s">
        <v>5771</v>
      </c>
      <c r="BM796">
        <v>20230324</v>
      </c>
      <c r="BN796">
        <v>20230324</v>
      </c>
      <c r="BO796">
        <v>0</v>
      </c>
      <c r="BP796" t="s">
        <v>257</v>
      </c>
      <c r="BQ796" t="s">
        <v>983</v>
      </c>
      <c r="BR796" t="s">
        <v>978</v>
      </c>
      <c r="BS796" t="s">
        <v>979</v>
      </c>
      <c r="BT796">
        <v>0</v>
      </c>
      <c r="BU796">
        <v>0</v>
      </c>
      <c r="BV796" t="s">
        <v>984</v>
      </c>
      <c r="BW796" t="s">
        <v>257</v>
      </c>
      <c r="BX796">
        <v>0</v>
      </c>
      <c r="BY796" t="s">
        <v>980</v>
      </c>
      <c r="BZ796" t="s">
        <v>257</v>
      </c>
      <c r="CA796">
        <v>0</v>
      </c>
      <c r="CB796">
        <v>0</v>
      </c>
      <c r="CC796" t="s">
        <v>5421</v>
      </c>
      <c r="CD796">
        <v>0</v>
      </c>
      <c r="CE796">
        <v>0</v>
      </c>
      <c r="CF796">
        <v>0</v>
      </c>
      <c r="CG796">
        <v>0</v>
      </c>
      <c r="CH796">
        <v>0</v>
      </c>
      <c r="CI796" t="s">
        <v>983</v>
      </c>
      <c r="CJ796" t="s">
        <v>972</v>
      </c>
      <c r="CK796" t="s">
        <v>986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 t="s">
        <v>987</v>
      </c>
      <c r="CV796">
        <v>400008802</v>
      </c>
      <c r="CW796" t="s">
        <v>987</v>
      </c>
      <c r="CX796" t="s">
        <v>5776</v>
      </c>
      <c r="CY796" t="s">
        <v>989</v>
      </c>
    </row>
    <row r="797" spans="1:103" hidden="1" x14ac:dyDescent="0.25">
      <c r="A797">
        <v>410000803</v>
      </c>
      <c r="B797" t="s">
        <v>5777</v>
      </c>
      <c r="C797" t="s">
        <v>978</v>
      </c>
      <c r="D797">
        <v>401100000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</v>
      </c>
      <c r="W797">
        <v>1</v>
      </c>
      <c r="X797">
        <v>1</v>
      </c>
      <c r="Y797" t="s">
        <v>972</v>
      </c>
      <c r="Z797" t="s">
        <v>987</v>
      </c>
      <c r="AA797" t="s">
        <v>5778</v>
      </c>
      <c r="AB797" t="s">
        <v>975</v>
      </c>
      <c r="AC797">
        <v>4800</v>
      </c>
      <c r="AD797" t="s">
        <v>1124</v>
      </c>
      <c r="AE797" t="s">
        <v>979</v>
      </c>
      <c r="AF797" t="s">
        <v>979</v>
      </c>
      <c r="AG797" t="s">
        <v>977</v>
      </c>
      <c r="AH797" t="s">
        <v>977</v>
      </c>
      <c r="AI797" t="s">
        <v>977</v>
      </c>
      <c r="AJ797" t="s">
        <v>978</v>
      </c>
      <c r="AK797" t="s">
        <v>978</v>
      </c>
      <c r="AL797" t="s">
        <v>978</v>
      </c>
      <c r="AM797" t="s">
        <v>979</v>
      </c>
      <c r="AN797">
        <v>0</v>
      </c>
      <c r="AO797" t="s">
        <v>257</v>
      </c>
      <c r="AP797">
        <v>0</v>
      </c>
      <c r="AQ797">
        <v>1</v>
      </c>
      <c r="AR797">
        <v>43</v>
      </c>
      <c r="AS797">
        <v>1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1</v>
      </c>
      <c r="AZ797" t="s">
        <v>257</v>
      </c>
      <c r="BA797" t="s">
        <v>257</v>
      </c>
      <c r="BB797" t="s">
        <v>981</v>
      </c>
      <c r="BC797" t="s">
        <v>257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 t="s">
        <v>998</v>
      </c>
      <c r="BK797" t="s">
        <v>981</v>
      </c>
      <c r="BL797" t="s">
        <v>5777</v>
      </c>
      <c r="BM797">
        <v>20230406</v>
      </c>
      <c r="BN797">
        <v>0</v>
      </c>
      <c r="BO797">
        <v>0</v>
      </c>
      <c r="BP797" t="s">
        <v>257</v>
      </c>
      <c r="BQ797" t="s">
        <v>983</v>
      </c>
      <c r="BR797" t="s">
        <v>978</v>
      </c>
      <c r="BS797" t="s">
        <v>979</v>
      </c>
      <c r="BT797">
        <v>0</v>
      </c>
      <c r="BU797">
        <v>0</v>
      </c>
      <c r="BV797" t="s">
        <v>2341</v>
      </c>
      <c r="BW797" t="s">
        <v>257</v>
      </c>
      <c r="BX797">
        <v>0</v>
      </c>
      <c r="BY797" t="s">
        <v>980</v>
      </c>
      <c r="BZ797" t="s">
        <v>257</v>
      </c>
      <c r="CA797">
        <v>0</v>
      </c>
      <c r="CB797">
        <v>0</v>
      </c>
      <c r="CC797" t="s">
        <v>985</v>
      </c>
      <c r="CD797">
        <v>0</v>
      </c>
      <c r="CE797">
        <v>0</v>
      </c>
      <c r="CF797">
        <v>0</v>
      </c>
      <c r="CG797">
        <v>0</v>
      </c>
      <c r="CH797">
        <v>0</v>
      </c>
      <c r="CI797" t="s">
        <v>983</v>
      </c>
      <c r="CJ797" t="s">
        <v>972</v>
      </c>
      <c r="CK797" t="s">
        <v>986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 t="s">
        <v>987</v>
      </c>
      <c r="CV797">
        <v>400008803</v>
      </c>
      <c r="CW797" t="s">
        <v>987</v>
      </c>
      <c r="CX797" t="s">
        <v>1081</v>
      </c>
      <c r="CY797" t="s">
        <v>989</v>
      </c>
    </row>
    <row r="798" spans="1:103" hidden="1" x14ac:dyDescent="0.25">
      <c r="A798">
        <v>410000804</v>
      </c>
      <c r="B798" t="s">
        <v>5779</v>
      </c>
      <c r="C798" t="s">
        <v>5780</v>
      </c>
      <c r="D798">
        <v>401100000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1</v>
      </c>
      <c r="Y798" t="s">
        <v>972</v>
      </c>
      <c r="Z798" t="s">
        <v>987</v>
      </c>
      <c r="AA798" t="s">
        <v>5781</v>
      </c>
      <c r="AB798" t="s">
        <v>975</v>
      </c>
      <c r="AC798">
        <v>1180</v>
      </c>
      <c r="AD798" t="s">
        <v>1066</v>
      </c>
      <c r="AE798">
        <v>3226466262</v>
      </c>
      <c r="AF798" t="s">
        <v>979</v>
      </c>
      <c r="AG798" t="s">
        <v>977</v>
      </c>
      <c r="AH798" t="s">
        <v>977</v>
      </c>
      <c r="AI798" t="s">
        <v>977</v>
      </c>
      <c r="AJ798" t="s">
        <v>978</v>
      </c>
      <c r="AK798" t="s">
        <v>978</v>
      </c>
      <c r="AL798" t="s">
        <v>978</v>
      </c>
      <c r="AM798" t="s">
        <v>979</v>
      </c>
      <c r="AN798">
        <v>0</v>
      </c>
      <c r="AO798" t="s">
        <v>257</v>
      </c>
      <c r="AP798">
        <v>0</v>
      </c>
      <c r="AQ798">
        <v>1</v>
      </c>
      <c r="AR798">
        <v>43</v>
      </c>
      <c r="AS798">
        <v>1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1</v>
      </c>
      <c r="AZ798" t="s">
        <v>257</v>
      </c>
      <c r="BA798" t="s">
        <v>257</v>
      </c>
      <c r="BB798" t="s">
        <v>981</v>
      </c>
      <c r="BC798" t="s">
        <v>257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 t="s">
        <v>998</v>
      </c>
      <c r="BK798" t="s">
        <v>981</v>
      </c>
      <c r="BL798" t="s">
        <v>5779</v>
      </c>
      <c r="BM798">
        <v>20230417</v>
      </c>
      <c r="BN798">
        <v>0</v>
      </c>
      <c r="BO798">
        <v>0</v>
      </c>
      <c r="BP798" t="s">
        <v>257</v>
      </c>
      <c r="BQ798" t="s">
        <v>983</v>
      </c>
      <c r="BR798" t="s">
        <v>978</v>
      </c>
      <c r="BS798">
        <v>3226466161</v>
      </c>
      <c r="BT798">
        <v>0</v>
      </c>
      <c r="BU798">
        <v>0</v>
      </c>
      <c r="BV798" t="s">
        <v>984</v>
      </c>
      <c r="BW798" t="s">
        <v>257</v>
      </c>
      <c r="BX798">
        <v>0</v>
      </c>
      <c r="BY798" t="s">
        <v>980</v>
      </c>
      <c r="BZ798" t="s">
        <v>257</v>
      </c>
      <c r="CA798">
        <v>0</v>
      </c>
      <c r="CB798">
        <v>0</v>
      </c>
      <c r="CC798" t="s">
        <v>985</v>
      </c>
      <c r="CD798">
        <v>0</v>
      </c>
      <c r="CE798">
        <v>0</v>
      </c>
      <c r="CF798">
        <v>0</v>
      </c>
      <c r="CG798">
        <v>0</v>
      </c>
      <c r="CH798">
        <v>0</v>
      </c>
      <c r="CI798" t="s">
        <v>983</v>
      </c>
      <c r="CJ798" t="s">
        <v>972</v>
      </c>
      <c r="CK798" t="s">
        <v>986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 t="s">
        <v>987</v>
      </c>
      <c r="CV798">
        <v>400008804</v>
      </c>
      <c r="CW798" t="s">
        <v>987</v>
      </c>
      <c r="CX798" t="s">
        <v>5782</v>
      </c>
      <c r="CY798" t="s">
        <v>989</v>
      </c>
    </row>
    <row r="799" spans="1:103" hidden="1" x14ac:dyDescent="0.25">
      <c r="A799">
        <v>410000805</v>
      </c>
      <c r="B799" t="s">
        <v>5783</v>
      </c>
      <c r="C799" t="s">
        <v>5784</v>
      </c>
      <c r="D799">
        <v>401100000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1</v>
      </c>
      <c r="X799">
        <v>1</v>
      </c>
      <c r="Y799" t="s">
        <v>972</v>
      </c>
      <c r="Z799" t="s">
        <v>987</v>
      </c>
      <c r="AA799" t="s">
        <v>5785</v>
      </c>
      <c r="AB799" t="s">
        <v>975</v>
      </c>
      <c r="AC799">
        <v>4800</v>
      </c>
      <c r="AD799" t="s">
        <v>1124</v>
      </c>
      <c r="AE799" t="s">
        <v>979</v>
      </c>
      <c r="AF799" t="s">
        <v>979</v>
      </c>
      <c r="AG799" t="s">
        <v>977</v>
      </c>
      <c r="AH799">
        <v>444960774</v>
      </c>
      <c r="AI799" t="s">
        <v>5786</v>
      </c>
      <c r="AJ799" t="s">
        <v>978</v>
      </c>
      <c r="AK799" t="s">
        <v>978</v>
      </c>
      <c r="AL799" t="s">
        <v>978</v>
      </c>
      <c r="AM799" t="s">
        <v>979</v>
      </c>
      <c r="AN799">
        <v>0</v>
      </c>
      <c r="AO799" t="s">
        <v>257</v>
      </c>
      <c r="AP799">
        <v>0</v>
      </c>
      <c r="AQ799">
        <v>1</v>
      </c>
      <c r="AR799">
        <v>43</v>
      </c>
      <c r="AS799">
        <v>1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1</v>
      </c>
      <c r="AZ799" t="s">
        <v>257</v>
      </c>
      <c r="BA799" t="s">
        <v>980</v>
      </c>
      <c r="BB799" t="s">
        <v>981</v>
      </c>
      <c r="BC799" t="s">
        <v>257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 t="s">
        <v>998</v>
      </c>
      <c r="BK799" t="s">
        <v>981</v>
      </c>
      <c r="BL799" t="s">
        <v>5783</v>
      </c>
      <c r="BM799">
        <v>20230421</v>
      </c>
      <c r="BN799">
        <v>20230424</v>
      </c>
      <c r="BO799">
        <v>0</v>
      </c>
      <c r="BP799" t="s">
        <v>257</v>
      </c>
      <c r="BQ799" t="s">
        <v>983</v>
      </c>
      <c r="BR799" t="s">
        <v>978</v>
      </c>
      <c r="BS799">
        <v>32474331764</v>
      </c>
      <c r="BT799">
        <v>0</v>
      </c>
      <c r="BU799">
        <v>0</v>
      </c>
      <c r="BV799" t="s">
        <v>984</v>
      </c>
      <c r="BW799" t="s">
        <v>257</v>
      </c>
      <c r="BX799">
        <v>0</v>
      </c>
      <c r="BY799" t="s">
        <v>980</v>
      </c>
      <c r="BZ799" t="s">
        <v>257</v>
      </c>
      <c r="CA799">
        <v>0</v>
      </c>
      <c r="CB799">
        <v>0</v>
      </c>
      <c r="CC799" t="s">
        <v>1161</v>
      </c>
      <c r="CD799">
        <v>0</v>
      </c>
      <c r="CE799">
        <v>0</v>
      </c>
      <c r="CF799">
        <v>0</v>
      </c>
      <c r="CG799">
        <v>0</v>
      </c>
      <c r="CH799">
        <v>0</v>
      </c>
      <c r="CI799" t="s">
        <v>983</v>
      </c>
      <c r="CJ799" t="s">
        <v>972</v>
      </c>
      <c r="CK799" t="s">
        <v>986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 t="s">
        <v>987</v>
      </c>
      <c r="CV799">
        <v>400008805</v>
      </c>
      <c r="CW799" t="s">
        <v>987</v>
      </c>
      <c r="CX799" t="s">
        <v>5787</v>
      </c>
      <c r="CY799" t="s">
        <v>989</v>
      </c>
    </row>
    <row r="800" spans="1:103" hidden="1" x14ac:dyDescent="0.25">
      <c r="A800">
        <v>410000806</v>
      </c>
      <c r="B800" t="s">
        <v>5788</v>
      </c>
      <c r="C800" t="s">
        <v>5789</v>
      </c>
      <c r="D800">
        <v>401100000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1</v>
      </c>
      <c r="X800">
        <v>1</v>
      </c>
      <c r="Y800" t="s">
        <v>972</v>
      </c>
      <c r="Z800" t="s">
        <v>987</v>
      </c>
      <c r="AA800" t="s">
        <v>5790</v>
      </c>
      <c r="AB800" t="s">
        <v>975</v>
      </c>
      <c r="AC800">
        <v>1000</v>
      </c>
      <c r="AD800" t="s">
        <v>1066</v>
      </c>
      <c r="AE800" t="s">
        <v>979</v>
      </c>
      <c r="AF800" t="s">
        <v>979</v>
      </c>
      <c r="AG800" t="s">
        <v>977</v>
      </c>
      <c r="AH800">
        <v>773551145</v>
      </c>
      <c r="AI800" t="s">
        <v>5791</v>
      </c>
      <c r="AJ800" t="s">
        <v>4619</v>
      </c>
      <c r="AK800" t="s">
        <v>978</v>
      </c>
      <c r="AL800" t="s">
        <v>978</v>
      </c>
      <c r="AM800" t="s">
        <v>979</v>
      </c>
      <c r="AN800">
        <v>0</v>
      </c>
      <c r="AO800" t="s">
        <v>257</v>
      </c>
      <c r="AP800">
        <v>0</v>
      </c>
      <c r="AQ800">
        <v>1</v>
      </c>
      <c r="AR800">
        <v>43</v>
      </c>
      <c r="AS800">
        <v>1</v>
      </c>
      <c r="AT800">
        <v>0</v>
      </c>
      <c r="AU800">
        <v>1</v>
      </c>
      <c r="AV800">
        <v>0</v>
      </c>
      <c r="AW800">
        <v>0</v>
      </c>
      <c r="AX800">
        <v>0</v>
      </c>
      <c r="AY800">
        <v>1</v>
      </c>
      <c r="AZ800" t="s">
        <v>257</v>
      </c>
      <c r="BA800" t="s">
        <v>980</v>
      </c>
      <c r="BB800" t="s">
        <v>981</v>
      </c>
      <c r="BC800" t="s">
        <v>257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 t="s">
        <v>998</v>
      </c>
      <c r="BK800" t="s">
        <v>981</v>
      </c>
      <c r="BL800" t="s">
        <v>5788</v>
      </c>
      <c r="BM800">
        <v>20230427</v>
      </c>
      <c r="BN800">
        <v>20230502</v>
      </c>
      <c r="BO800">
        <v>0</v>
      </c>
      <c r="BP800" t="s">
        <v>257</v>
      </c>
      <c r="BQ800" t="s">
        <v>983</v>
      </c>
      <c r="BR800" t="s">
        <v>978</v>
      </c>
      <c r="BS800">
        <v>32479978012</v>
      </c>
      <c r="BT800">
        <v>0</v>
      </c>
      <c r="BU800">
        <v>0</v>
      </c>
      <c r="BV800" t="s">
        <v>984</v>
      </c>
      <c r="BW800" t="s">
        <v>257</v>
      </c>
      <c r="BX800">
        <v>0</v>
      </c>
      <c r="BY800" t="s">
        <v>980</v>
      </c>
      <c r="BZ800" t="s">
        <v>257</v>
      </c>
      <c r="CA800">
        <v>0</v>
      </c>
      <c r="CB800">
        <v>0</v>
      </c>
      <c r="CC800" t="s">
        <v>1901</v>
      </c>
      <c r="CD800">
        <v>0</v>
      </c>
      <c r="CE800">
        <v>0</v>
      </c>
      <c r="CF800">
        <v>0</v>
      </c>
      <c r="CG800">
        <v>0</v>
      </c>
      <c r="CH800">
        <v>0</v>
      </c>
      <c r="CI800" t="s">
        <v>983</v>
      </c>
      <c r="CJ800" t="s">
        <v>972</v>
      </c>
      <c r="CK800" t="s">
        <v>986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 t="s">
        <v>987</v>
      </c>
      <c r="CV800">
        <v>400008806</v>
      </c>
      <c r="CW800" t="s">
        <v>987</v>
      </c>
      <c r="CX800" t="s">
        <v>5792</v>
      </c>
      <c r="CY800" t="s">
        <v>989</v>
      </c>
    </row>
    <row r="801" spans="1:103" hidden="1" x14ac:dyDescent="0.25">
      <c r="A801">
        <v>410000807</v>
      </c>
      <c r="B801" t="s">
        <v>6813</v>
      </c>
      <c r="C801" t="s">
        <v>5793</v>
      </c>
      <c r="D801">
        <v>401100000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1</v>
      </c>
      <c r="X801">
        <v>1</v>
      </c>
      <c r="Y801" t="s">
        <v>972</v>
      </c>
      <c r="Z801" t="s">
        <v>987</v>
      </c>
      <c r="AA801" t="s">
        <v>6814</v>
      </c>
      <c r="AB801" t="s">
        <v>975</v>
      </c>
      <c r="AC801">
        <v>3210</v>
      </c>
      <c r="AD801" t="s">
        <v>5794</v>
      </c>
      <c r="AE801">
        <v>3216250080</v>
      </c>
      <c r="AF801" t="s">
        <v>979</v>
      </c>
      <c r="AG801" t="s">
        <v>977</v>
      </c>
      <c r="AH801">
        <v>808126893</v>
      </c>
      <c r="AI801" t="s">
        <v>5498</v>
      </c>
      <c r="AJ801" t="s">
        <v>5795</v>
      </c>
      <c r="AK801" t="s">
        <v>978</v>
      </c>
      <c r="AL801" t="s">
        <v>978</v>
      </c>
      <c r="AM801" t="s">
        <v>979</v>
      </c>
      <c r="AN801">
        <v>0</v>
      </c>
      <c r="AO801" t="s">
        <v>257</v>
      </c>
      <c r="AP801">
        <v>0</v>
      </c>
      <c r="AQ801">
        <v>1</v>
      </c>
      <c r="AR801">
        <v>43</v>
      </c>
      <c r="AS801">
        <v>1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1</v>
      </c>
      <c r="AZ801" t="s">
        <v>257</v>
      </c>
      <c r="BA801" t="s">
        <v>980</v>
      </c>
      <c r="BB801" t="s">
        <v>981</v>
      </c>
      <c r="BC801" t="s">
        <v>257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 t="s">
        <v>998</v>
      </c>
      <c r="BK801" t="s">
        <v>981</v>
      </c>
      <c r="BL801" t="s">
        <v>6813</v>
      </c>
      <c r="BM801">
        <v>20230503</v>
      </c>
      <c r="BN801">
        <v>20250107</v>
      </c>
      <c r="BO801">
        <v>0</v>
      </c>
      <c r="BP801" t="s">
        <v>257</v>
      </c>
      <c r="BQ801" t="s">
        <v>983</v>
      </c>
      <c r="BR801" t="s">
        <v>978</v>
      </c>
      <c r="BS801" t="s">
        <v>979</v>
      </c>
      <c r="BT801">
        <v>0</v>
      </c>
      <c r="BU801">
        <v>0</v>
      </c>
      <c r="BV801" t="s">
        <v>984</v>
      </c>
      <c r="BW801" t="s">
        <v>257</v>
      </c>
      <c r="BX801">
        <v>0</v>
      </c>
      <c r="BY801" t="s">
        <v>980</v>
      </c>
      <c r="BZ801" t="s">
        <v>257</v>
      </c>
      <c r="CA801">
        <v>0</v>
      </c>
      <c r="CB801">
        <v>0</v>
      </c>
      <c r="CC801" t="s">
        <v>1033</v>
      </c>
      <c r="CD801">
        <v>0</v>
      </c>
      <c r="CE801">
        <v>0</v>
      </c>
      <c r="CF801">
        <v>0</v>
      </c>
      <c r="CG801">
        <v>0</v>
      </c>
      <c r="CH801">
        <v>0</v>
      </c>
      <c r="CI801" t="s">
        <v>983</v>
      </c>
      <c r="CJ801" t="s">
        <v>972</v>
      </c>
      <c r="CK801" t="s">
        <v>986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 t="s">
        <v>987</v>
      </c>
      <c r="CV801">
        <v>400008807</v>
      </c>
      <c r="CW801" t="s">
        <v>987</v>
      </c>
      <c r="CX801" t="s">
        <v>5716</v>
      </c>
      <c r="CY801" t="s">
        <v>989</v>
      </c>
    </row>
    <row r="802" spans="1:103" hidden="1" x14ac:dyDescent="0.25">
      <c r="A802">
        <v>410000808</v>
      </c>
      <c r="B802" t="s">
        <v>5796</v>
      </c>
      <c r="C802" t="s">
        <v>5797</v>
      </c>
      <c r="D802">
        <v>401100000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1</v>
      </c>
      <c r="X802">
        <v>1</v>
      </c>
      <c r="Y802" t="s">
        <v>972</v>
      </c>
      <c r="Z802" t="s">
        <v>987</v>
      </c>
      <c r="AA802" t="s">
        <v>5798</v>
      </c>
      <c r="AB802" t="s">
        <v>975</v>
      </c>
      <c r="AC802">
        <v>4100</v>
      </c>
      <c r="AD802" t="s">
        <v>1655</v>
      </c>
      <c r="AE802">
        <v>3243389696</v>
      </c>
      <c r="AF802" t="s">
        <v>979</v>
      </c>
      <c r="AG802" t="s">
        <v>977</v>
      </c>
      <c r="AH802">
        <v>431860529</v>
      </c>
      <c r="AI802" t="s">
        <v>5799</v>
      </c>
      <c r="AJ802" t="s">
        <v>5800</v>
      </c>
      <c r="AK802" t="s">
        <v>978</v>
      </c>
      <c r="AL802" t="s">
        <v>978</v>
      </c>
      <c r="AM802" t="s">
        <v>979</v>
      </c>
      <c r="AN802">
        <v>0</v>
      </c>
      <c r="AO802" t="s">
        <v>257</v>
      </c>
      <c r="AP802">
        <v>0</v>
      </c>
      <c r="AQ802">
        <v>1</v>
      </c>
      <c r="AR802">
        <v>43</v>
      </c>
      <c r="AS802">
        <v>1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1</v>
      </c>
      <c r="AZ802" t="s">
        <v>257</v>
      </c>
      <c r="BA802" t="s">
        <v>980</v>
      </c>
      <c r="BB802" t="s">
        <v>981</v>
      </c>
      <c r="BC802" t="s">
        <v>257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 t="s">
        <v>998</v>
      </c>
      <c r="BK802" t="s">
        <v>981</v>
      </c>
      <c r="BL802" t="s">
        <v>5796</v>
      </c>
      <c r="BM802">
        <v>20230505</v>
      </c>
      <c r="BN802">
        <v>20230510</v>
      </c>
      <c r="BO802">
        <v>0</v>
      </c>
      <c r="BP802" t="s">
        <v>257</v>
      </c>
      <c r="BQ802" t="s">
        <v>983</v>
      </c>
      <c r="BR802" t="s">
        <v>978</v>
      </c>
      <c r="BS802" t="s">
        <v>979</v>
      </c>
      <c r="BT802">
        <v>0</v>
      </c>
      <c r="BU802">
        <v>0</v>
      </c>
      <c r="BV802" t="s">
        <v>984</v>
      </c>
      <c r="BW802" t="s">
        <v>257</v>
      </c>
      <c r="BX802">
        <v>0</v>
      </c>
      <c r="BY802" t="s">
        <v>980</v>
      </c>
      <c r="BZ802" t="s">
        <v>257</v>
      </c>
      <c r="CA802">
        <v>0</v>
      </c>
      <c r="CB802">
        <v>0</v>
      </c>
      <c r="CC802" t="s">
        <v>2079</v>
      </c>
      <c r="CD802">
        <v>0</v>
      </c>
      <c r="CE802">
        <v>0</v>
      </c>
      <c r="CF802">
        <v>0</v>
      </c>
      <c r="CG802">
        <v>0</v>
      </c>
      <c r="CH802">
        <v>0</v>
      </c>
      <c r="CI802" t="s">
        <v>983</v>
      </c>
      <c r="CJ802" t="s">
        <v>972</v>
      </c>
      <c r="CK802" t="s">
        <v>986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 t="s">
        <v>987</v>
      </c>
      <c r="CV802">
        <v>400008808</v>
      </c>
      <c r="CW802" t="s">
        <v>987</v>
      </c>
      <c r="CX802" t="s">
        <v>5801</v>
      </c>
      <c r="CY802" t="s">
        <v>989</v>
      </c>
    </row>
    <row r="803" spans="1:103" hidden="1" x14ac:dyDescent="0.25">
      <c r="A803">
        <v>410000809</v>
      </c>
      <c r="B803" t="s">
        <v>5802</v>
      </c>
      <c r="C803" t="s">
        <v>5803</v>
      </c>
      <c r="D803">
        <v>401100000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1</v>
      </c>
      <c r="X803">
        <v>1</v>
      </c>
      <c r="Y803" t="s">
        <v>972</v>
      </c>
      <c r="Z803" t="s">
        <v>987</v>
      </c>
      <c r="AA803" t="s">
        <v>5804</v>
      </c>
      <c r="AB803" t="s">
        <v>975</v>
      </c>
      <c r="AC803">
        <v>4432</v>
      </c>
      <c r="AD803" t="s">
        <v>1474</v>
      </c>
      <c r="AE803" t="s">
        <v>979</v>
      </c>
      <c r="AF803" t="s">
        <v>979</v>
      </c>
      <c r="AG803" t="s">
        <v>977</v>
      </c>
      <c r="AH803">
        <v>451363269</v>
      </c>
      <c r="AI803" t="s">
        <v>5805</v>
      </c>
      <c r="AJ803" t="s">
        <v>5806</v>
      </c>
      <c r="AK803" t="s">
        <v>978</v>
      </c>
      <c r="AL803" t="s">
        <v>978</v>
      </c>
      <c r="AM803" t="s">
        <v>979</v>
      </c>
      <c r="AN803">
        <v>0</v>
      </c>
      <c r="AO803" t="s">
        <v>257</v>
      </c>
      <c r="AP803">
        <v>0</v>
      </c>
      <c r="AQ803">
        <v>1</v>
      </c>
      <c r="AR803">
        <v>43</v>
      </c>
      <c r="AS803">
        <v>1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1</v>
      </c>
      <c r="AZ803" t="s">
        <v>257</v>
      </c>
      <c r="BA803" t="s">
        <v>980</v>
      </c>
      <c r="BB803" t="s">
        <v>981</v>
      </c>
      <c r="BC803" t="s">
        <v>257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 t="s">
        <v>998</v>
      </c>
      <c r="BK803" t="s">
        <v>981</v>
      </c>
      <c r="BL803" t="s">
        <v>5802</v>
      </c>
      <c r="BM803">
        <v>20230510</v>
      </c>
      <c r="BN803">
        <v>20241217</v>
      </c>
      <c r="BO803">
        <v>0</v>
      </c>
      <c r="BP803" t="s">
        <v>257</v>
      </c>
      <c r="BQ803" t="s">
        <v>983</v>
      </c>
      <c r="BR803" t="s">
        <v>978</v>
      </c>
      <c r="BS803">
        <v>32496270076</v>
      </c>
      <c r="BT803">
        <v>0</v>
      </c>
      <c r="BU803">
        <v>0</v>
      </c>
      <c r="BV803" t="s">
        <v>984</v>
      </c>
      <c r="BW803" t="s">
        <v>257</v>
      </c>
      <c r="BX803">
        <v>0</v>
      </c>
      <c r="BY803" t="s">
        <v>980</v>
      </c>
      <c r="BZ803" t="s">
        <v>257</v>
      </c>
      <c r="CA803">
        <v>0</v>
      </c>
      <c r="CB803">
        <v>0</v>
      </c>
      <c r="CC803" t="s">
        <v>1815</v>
      </c>
      <c r="CD803">
        <v>0</v>
      </c>
      <c r="CE803">
        <v>0</v>
      </c>
      <c r="CF803">
        <v>0</v>
      </c>
      <c r="CG803">
        <v>0</v>
      </c>
      <c r="CH803">
        <v>0</v>
      </c>
      <c r="CI803" t="s">
        <v>983</v>
      </c>
      <c r="CJ803" t="s">
        <v>972</v>
      </c>
      <c r="CK803" t="s">
        <v>986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 t="s">
        <v>987</v>
      </c>
      <c r="CV803">
        <v>400008809</v>
      </c>
      <c r="CW803" t="s">
        <v>987</v>
      </c>
      <c r="CX803" t="s">
        <v>5807</v>
      </c>
      <c r="CY803" t="s">
        <v>989</v>
      </c>
    </row>
    <row r="804" spans="1:103" hidden="1" x14ac:dyDescent="0.25">
      <c r="A804">
        <v>410000810</v>
      </c>
      <c r="B804" t="s">
        <v>5808</v>
      </c>
      <c r="C804" t="s">
        <v>5809</v>
      </c>
      <c r="D804">
        <v>401100000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1</v>
      </c>
      <c r="Y804" t="s">
        <v>972</v>
      </c>
      <c r="Z804" t="s">
        <v>987</v>
      </c>
      <c r="AA804" t="s">
        <v>5810</v>
      </c>
      <c r="AB804" t="s">
        <v>975</v>
      </c>
      <c r="AC804">
        <v>4020</v>
      </c>
      <c r="AD804" t="s">
        <v>1019</v>
      </c>
      <c r="AE804" t="s">
        <v>979</v>
      </c>
      <c r="AF804" t="s">
        <v>979</v>
      </c>
      <c r="AG804" t="s">
        <v>977</v>
      </c>
      <c r="AH804">
        <v>838666156</v>
      </c>
      <c r="AI804" t="s">
        <v>5811</v>
      </c>
      <c r="AJ804" t="s">
        <v>5812</v>
      </c>
      <c r="AK804" t="s">
        <v>978</v>
      </c>
      <c r="AL804" t="s">
        <v>978</v>
      </c>
      <c r="AM804" t="s">
        <v>979</v>
      </c>
      <c r="AN804">
        <v>0</v>
      </c>
      <c r="AO804" t="s">
        <v>257</v>
      </c>
      <c r="AP804">
        <v>0</v>
      </c>
      <c r="AQ804">
        <v>1</v>
      </c>
      <c r="AR804">
        <v>69</v>
      </c>
      <c r="AS804">
        <v>1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1</v>
      </c>
      <c r="AZ804" t="s">
        <v>257</v>
      </c>
      <c r="BA804" t="s">
        <v>980</v>
      </c>
      <c r="BB804" t="s">
        <v>981</v>
      </c>
      <c r="BC804" t="s">
        <v>257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 t="s">
        <v>998</v>
      </c>
      <c r="BK804" t="s">
        <v>981</v>
      </c>
      <c r="BL804" t="s">
        <v>5808</v>
      </c>
      <c r="BM804">
        <v>20230510</v>
      </c>
      <c r="BN804">
        <v>20240910</v>
      </c>
      <c r="BO804">
        <v>0</v>
      </c>
      <c r="BP804" t="s">
        <v>257</v>
      </c>
      <c r="BQ804" t="s">
        <v>983</v>
      </c>
      <c r="BR804" t="s">
        <v>978</v>
      </c>
      <c r="BS804">
        <v>32477260559</v>
      </c>
      <c r="BT804">
        <v>0</v>
      </c>
      <c r="BU804">
        <v>0</v>
      </c>
      <c r="BV804" t="s">
        <v>984</v>
      </c>
      <c r="BW804" t="s">
        <v>257</v>
      </c>
      <c r="BX804">
        <v>0</v>
      </c>
      <c r="BY804" t="s">
        <v>980</v>
      </c>
      <c r="BZ804" t="s">
        <v>257</v>
      </c>
      <c r="CA804">
        <v>0</v>
      </c>
      <c r="CB804">
        <v>0</v>
      </c>
      <c r="CC804" t="s">
        <v>2322</v>
      </c>
      <c r="CD804">
        <v>0</v>
      </c>
      <c r="CE804">
        <v>0</v>
      </c>
      <c r="CF804">
        <v>0</v>
      </c>
      <c r="CG804">
        <v>0</v>
      </c>
      <c r="CH804">
        <v>0</v>
      </c>
      <c r="CI804" t="s">
        <v>983</v>
      </c>
      <c r="CJ804" t="s">
        <v>972</v>
      </c>
      <c r="CK804" t="s">
        <v>986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 t="s">
        <v>987</v>
      </c>
      <c r="CV804">
        <v>400008810</v>
      </c>
      <c r="CW804" t="s">
        <v>987</v>
      </c>
      <c r="CX804" t="s">
        <v>5813</v>
      </c>
      <c r="CY804" t="s">
        <v>989</v>
      </c>
    </row>
    <row r="805" spans="1:103" hidden="1" x14ac:dyDescent="0.25">
      <c r="A805">
        <v>410000811</v>
      </c>
      <c r="B805" t="s">
        <v>5814</v>
      </c>
      <c r="C805" t="s">
        <v>5815</v>
      </c>
      <c r="D805">
        <v>401100000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1</v>
      </c>
      <c r="Y805" t="s">
        <v>972</v>
      </c>
      <c r="Z805" t="s">
        <v>5816</v>
      </c>
      <c r="AA805" t="s">
        <v>5817</v>
      </c>
      <c r="AB805" t="s">
        <v>975</v>
      </c>
      <c r="AC805">
        <v>4000</v>
      </c>
      <c r="AD805" t="s">
        <v>1019</v>
      </c>
      <c r="AE805">
        <v>3242210952</v>
      </c>
      <c r="AF805" t="s">
        <v>979</v>
      </c>
      <c r="AG805" t="s">
        <v>977</v>
      </c>
      <c r="AH805">
        <v>477298101</v>
      </c>
      <c r="AI805" t="s">
        <v>5818</v>
      </c>
      <c r="AJ805" t="s">
        <v>978</v>
      </c>
      <c r="AK805" t="s">
        <v>978</v>
      </c>
      <c r="AL805" t="s">
        <v>978</v>
      </c>
      <c r="AM805" t="s">
        <v>979</v>
      </c>
      <c r="AN805">
        <v>0</v>
      </c>
      <c r="AO805" t="s">
        <v>257</v>
      </c>
      <c r="AP805">
        <v>0</v>
      </c>
      <c r="AQ805">
        <v>1</v>
      </c>
      <c r="AR805">
        <v>43</v>
      </c>
      <c r="AS805">
        <v>1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1</v>
      </c>
      <c r="AZ805" t="s">
        <v>257</v>
      </c>
      <c r="BA805" t="s">
        <v>980</v>
      </c>
      <c r="BB805" t="s">
        <v>981</v>
      </c>
      <c r="BC805" t="s">
        <v>257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 t="s">
        <v>998</v>
      </c>
      <c r="BK805" t="s">
        <v>981</v>
      </c>
      <c r="BL805" t="s">
        <v>5814</v>
      </c>
      <c r="BM805">
        <v>20230524</v>
      </c>
      <c r="BN805">
        <v>20230525</v>
      </c>
      <c r="BO805">
        <v>0</v>
      </c>
      <c r="BP805" t="s">
        <v>257</v>
      </c>
      <c r="BQ805" t="s">
        <v>983</v>
      </c>
      <c r="BR805" t="s">
        <v>978</v>
      </c>
      <c r="BS805">
        <v>32478230427</v>
      </c>
      <c r="BT805">
        <v>0</v>
      </c>
      <c r="BU805">
        <v>0</v>
      </c>
      <c r="BV805" t="s">
        <v>984</v>
      </c>
      <c r="BW805" t="s">
        <v>257</v>
      </c>
      <c r="BX805">
        <v>0</v>
      </c>
      <c r="BY805" t="s">
        <v>980</v>
      </c>
      <c r="BZ805" t="s">
        <v>257</v>
      </c>
      <c r="CA805">
        <v>0</v>
      </c>
      <c r="CB805">
        <v>0</v>
      </c>
      <c r="CC805" t="s">
        <v>1391</v>
      </c>
      <c r="CD805">
        <v>0</v>
      </c>
      <c r="CE805">
        <v>0</v>
      </c>
      <c r="CF805">
        <v>0</v>
      </c>
      <c r="CG805">
        <v>0</v>
      </c>
      <c r="CH805">
        <v>0</v>
      </c>
      <c r="CI805" t="s">
        <v>983</v>
      </c>
      <c r="CJ805" t="s">
        <v>972</v>
      </c>
      <c r="CK805" t="s">
        <v>986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 t="s">
        <v>987</v>
      </c>
      <c r="CV805">
        <v>400008811</v>
      </c>
      <c r="CW805" t="s">
        <v>987</v>
      </c>
      <c r="CX805" t="s">
        <v>5819</v>
      </c>
      <c r="CY805" t="s">
        <v>989</v>
      </c>
    </row>
    <row r="806" spans="1:103" hidden="1" x14ac:dyDescent="0.25">
      <c r="A806">
        <v>410000812</v>
      </c>
      <c r="B806" t="s">
        <v>5820</v>
      </c>
      <c r="C806" t="s">
        <v>5821</v>
      </c>
      <c r="D806">
        <v>401100000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1</v>
      </c>
      <c r="X806">
        <v>1</v>
      </c>
      <c r="Y806" t="s">
        <v>972</v>
      </c>
      <c r="Z806" t="s">
        <v>987</v>
      </c>
      <c r="AA806" t="s">
        <v>5822</v>
      </c>
      <c r="AB806" t="s">
        <v>975</v>
      </c>
      <c r="AC806">
        <v>4500</v>
      </c>
      <c r="AD806" t="s">
        <v>1445</v>
      </c>
      <c r="AE806">
        <v>3285252548</v>
      </c>
      <c r="AF806" t="s">
        <v>979</v>
      </c>
      <c r="AG806" t="s">
        <v>977</v>
      </c>
      <c r="AH806">
        <v>436101112</v>
      </c>
      <c r="AI806" t="s">
        <v>5823</v>
      </c>
      <c r="AJ806" t="s">
        <v>5824</v>
      </c>
      <c r="AK806" t="s">
        <v>978</v>
      </c>
      <c r="AL806" t="s">
        <v>978</v>
      </c>
      <c r="AM806" t="s">
        <v>979</v>
      </c>
      <c r="AN806">
        <v>0</v>
      </c>
      <c r="AO806" t="s">
        <v>257</v>
      </c>
      <c r="AP806">
        <v>0</v>
      </c>
      <c r="AQ806">
        <v>20</v>
      </c>
      <c r="AR806">
        <v>43</v>
      </c>
      <c r="AS806">
        <v>1</v>
      </c>
      <c r="AT806">
        <v>0</v>
      </c>
      <c r="AU806">
        <v>1</v>
      </c>
      <c r="AV806">
        <v>0</v>
      </c>
      <c r="AW806">
        <v>0</v>
      </c>
      <c r="AX806">
        <v>0</v>
      </c>
      <c r="AY806">
        <v>1</v>
      </c>
      <c r="AZ806" t="s">
        <v>257</v>
      </c>
      <c r="BA806" t="s">
        <v>980</v>
      </c>
      <c r="BB806" t="s">
        <v>1010</v>
      </c>
      <c r="BC806" t="s">
        <v>257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 t="s">
        <v>1285</v>
      </c>
      <c r="BK806" t="s">
        <v>981</v>
      </c>
      <c r="BL806" t="s">
        <v>5825</v>
      </c>
      <c r="BM806">
        <v>20230616</v>
      </c>
      <c r="BN806">
        <v>20240122</v>
      </c>
      <c r="BO806">
        <v>20240122</v>
      </c>
      <c r="BP806" t="s">
        <v>257</v>
      </c>
      <c r="BQ806" t="s">
        <v>983</v>
      </c>
      <c r="BR806" t="s">
        <v>978</v>
      </c>
      <c r="BS806" t="s">
        <v>979</v>
      </c>
      <c r="BT806">
        <v>0</v>
      </c>
      <c r="BU806">
        <v>0</v>
      </c>
      <c r="BV806" t="s">
        <v>984</v>
      </c>
      <c r="BW806" t="s">
        <v>257</v>
      </c>
      <c r="BX806">
        <v>0</v>
      </c>
      <c r="BY806" t="s">
        <v>980</v>
      </c>
      <c r="BZ806" t="s">
        <v>257</v>
      </c>
      <c r="CA806">
        <v>0</v>
      </c>
      <c r="CB806">
        <v>0</v>
      </c>
      <c r="CC806" t="s">
        <v>2677</v>
      </c>
      <c r="CD806">
        <v>0</v>
      </c>
      <c r="CE806">
        <v>0</v>
      </c>
      <c r="CF806">
        <v>0</v>
      </c>
      <c r="CG806">
        <v>0</v>
      </c>
      <c r="CH806">
        <v>0</v>
      </c>
      <c r="CI806" t="s">
        <v>983</v>
      </c>
      <c r="CJ806" t="s">
        <v>972</v>
      </c>
      <c r="CK806" t="s">
        <v>986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 t="s">
        <v>987</v>
      </c>
      <c r="CV806">
        <v>400008812</v>
      </c>
      <c r="CW806" t="s">
        <v>987</v>
      </c>
      <c r="CX806" t="s">
        <v>5826</v>
      </c>
      <c r="CY806" t="s">
        <v>989</v>
      </c>
    </row>
    <row r="807" spans="1:103" hidden="1" x14ac:dyDescent="0.25">
      <c r="A807">
        <v>410000813</v>
      </c>
      <c r="B807" t="s">
        <v>5827</v>
      </c>
      <c r="C807" t="s">
        <v>5828</v>
      </c>
      <c r="D807">
        <v>401100000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</v>
      </c>
      <c r="X807">
        <v>1</v>
      </c>
      <c r="Y807" t="s">
        <v>972</v>
      </c>
      <c r="Z807" t="s">
        <v>5829</v>
      </c>
      <c r="AA807" t="s">
        <v>5830</v>
      </c>
      <c r="AB807" t="s">
        <v>975</v>
      </c>
      <c r="AC807">
        <v>4950</v>
      </c>
      <c r="AD807" t="s">
        <v>5831</v>
      </c>
      <c r="AE807" t="s">
        <v>979</v>
      </c>
      <c r="AF807" t="s">
        <v>979</v>
      </c>
      <c r="AG807" t="s">
        <v>977</v>
      </c>
      <c r="AH807">
        <v>728875123</v>
      </c>
      <c r="AI807" t="s">
        <v>5832</v>
      </c>
      <c r="AJ807" t="s">
        <v>5521</v>
      </c>
      <c r="AK807" t="s">
        <v>978</v>
      </c>
      <c r="AL807" t="s">
        <v>978</v>
      </c>
      <c r="AM807" t="s">
        <v>979</v>
      </c>
      <c r="AN807">
        <v>0</v>
      </c>
      <c r="AO807" t="s">
        <v>257</v>
      </c>
      <c r="AP807">
        <v>0</v>
      </c>
      <c r="AQ807">
        <v>1</v>
      </c>
      <c r="AR807">
        <v>43</v>
      </c>
      <c r="AS807">
        <v>1</v>
      </c>
      <c r="AT807">
        <v>0</v>
      </c>
      <c r="AU807">
        <v>1</v>
      </c>
      <c r="AV807">
        <v>0</v>
      </c>
      <c r="AW807">
        <v>0</v>
      </c>
      <c r="AX807">
        <v>0</v>
      </c>
      <c r="AY807">
        <v>1</v>
      </c>
      <c r="AZ807" t="s">
        <v>257</v>
      </c>
      <c r="BA807" t="s">
        <v>980</v>
      </c>
      <c r="BB807" t="s">
        <v>981</v>
      </c>
      <c r="BC807" t="s">
        <v>257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 t="s">
        <v>998</v>
      </c>
      <c r="BK807" t="s">
        <v>981</v>
      </c>
      <c r="BL807" t="s">
        <v>5827</v>
      </c>
      <c r="BM807">
        <v>20230619</v>
      </c>
      <c r="BN807">
        <v>20230620</v>
      </c>
      <c r="BO807">
        <v>0</v>
      </c>
      <c r="BP807" t="s">
        <v>257</v>
      </c>
      <c r="BQ807" t="s">
        <v>983</v>
      </c>
      <c r="BR807" t="s">
        <v>978</v>
      </c>
      <c r="BS807">
        <v>32479642597</v>
      </c>
      <c r="BT807">
        <v>0</v>
      </c>
      <c r="BU807">
        <v>0</v>
      </c>
      <c r="BV807" t="s">
        <v>984</v>
      </c>
      <c r="BW807" t="s">
        <v>257</v>
      </c>
      <c r="BX807">
        <v>0</v>
      </c>
      <c r="BY807" t="s">
        <v>980</v>
      </c>
      <c r="BZ807" t="s">
        <v>257</v>
      </c>
      <c r="CA807">
        <v>0</v>
      </c>
      <c r="CB807">
        <v>0</v>
      </c>
      <c r="CC807" t="s">
        <v>1901</v>
      </c>
      <c r="CD807">
        <v>0</v>
      </c>
      <c r="CE807">
        <v>0</v>
      </c>
      <c r="CF807">
        <v>0</v>
      </c>
      <c r="CG807">
        <v>0</v>
      </c>
      <c r="CH807">
        <v>0</v>
      </c>
      <c r="CI807" t="s">
        <v>983</v>
      </c>
      <c r="CJ807" t="s">
        <v>972</v>
      </c>
      <c r="CK807" t="s">
        <v>986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 t="s">
        <v>987</v>
      </c>
      <c r="CV807">
        <v>400008813</v>
      </c>
      <c r="CW807" t="s">
        <v>987</v>
      </c>
      <c r="CX807" t="s">
        <v>5833</v>
      </c>
      <c r="CY807" t="s">
        <v>989</v>
      </c>
    </row>
    <row r="808" spans="1:103" hidden="1" x14ac:dyDescent="0.25">
      <c r="A808">
        <v>410000814</v>
      </c>
      <c r="B808" t="s">
        <v>5834</v>
      </c>
      <c r="C808" t="s">
        <v>5835</v>
      </c>
      <c r="D808">
        <v>401100000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</v>
      </c>
      <c r="W808">
        <v>1</v>
      </c>
      <c r="X808">
        <v>1</v>
      </c>
      <c r="Y808" t="s">
        <v>972</v>
      </c>
      <c r="Z808" t="s">
        <v>5836</v>
      </c>
      <c r="AA808" t="s">
        <v>4655</v>
      </c>
      <c r="AB808" t="s">
        <v>1626</v>
      </c>
      <c r="AC808">
        <v>8399</v>
      </c>
      <c r="AD808" t="s">
        <v>4656</v>
      </c>
      <c r="AE808">
        <v>35220600514</v>
      </c>
      <c r="AF808" t="s">
        <v>979</v>
      </c>
      <c r="AG808" t="s">
        <v>977</v>
      </c>
      <c r="AH808" t="s">
        <v>5837</v>
      </c>
      <c r="AI808" t="s">
        <v>5838</v>
      </c>
      <c r="AJ808" t="s">
        <v>978</v>
      </c>
      <c r="AK808" t="s">
        <v>978</v>
      </c>
      <c r="AL808" t="s">
        <v>978</v>
      </c>
      <c r="AM808" t="s">
        <v>979</v>
      </c>
      <c r="AN808">
        <v>0</v>
      </c>
      <c r="AO808" t="s">
        <v>257</v>
      </c>
      <c r="AP808">
        <v>0</v>
      </c>
      <c r="AQ808">
        <v>1</v>
      </c>
      <c r="AR808">
        <v>43</v>
      </c>
      <c r="AS808">
        <v>1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1</v>
      </c>
      <c r="AZ808" t="s">
        <v>257</v>
      </c>
      <c r="BA808" t="s">
        <v>980</v>
      </c>
      <c r="BB808" t="s">
        <v>1010</v>
      </c>
      <c r="BC808" t="s">
        <v>257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 t="s">
        <v>982</v>
      </c>
      <c r="BK808" t="s">
        <v>981</v>
      </c>
      <c r="BL808" t="s">
        <v>5834</v>
      </c>
      <c r="BM808">
        <v>20230621</v>
      </c>
      <c r="BN808">
        <v>20250127</v>
      </c>
      <c r="BO808">
        <v>20250127</v>
      </c>
      <c r="BP808" t="s">
        <v>257</v>
      </c>
      <c r="BQ808" t="s">
        <v>983</v>
      </c>
      <c r="BR808" t="s">
        <v>978</v>
      </c>
      <c r="BS808">
        <v>352661820416</v>
      </c>
      <c r="BT808">
        <v>0</v>
      </c>
      <c r="BU808">
        <v>0</v>
      </c>
      <c r="BV808" t="s">
        <v>984</v>
      </c>
      <c r="BW808" t="s">
        <v>257</v>
      </c>
      <c r="BX808">
        <v>0</v>
      </c>
      <c r="BY808" t="s">
        <v>980</v>
      </c>
      <c r="BZ808" t="s">
        <v>257</v>
      </c>
      <c r="CA808">
        <v>0</v>
      </c>
      <c r="CB808">
        <v>0</v>
      </c>
      <c r="CC808" t="s">
        <v>985</v>
      </c>
      <c r="CD808">
        <v>0</v>
      </c>
      <c r="CE808">
        <v>0</v>
      </c>
      <c r="CF808">
        <v>0</v>
      </c>
      <c r="CG808">
        <v>0</v>
      </c>
      <c r="CH808">
        <v>0</v>
      </c>
      <c r="CI808" t="s">
        <v>983</v>
      </c>
      <c r="CJ808" t="s">
        <v>972</v>
      </c>
      <c r="CK808" t="s">
        <v>986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 t="s">
        <v>987</v>
      </c>
      <c r="CV808">
        <v>400008814</v>
      </c>
      <c r="CW808" t="s">
        <v>987</v>
      </c>
      <c r="CX808" t="s">
        <v>5839</v>
      </c>
      <c r="CY808" t="s">
        <v>989</v>
      </c>
    </row>
    <row r="809" spans="1:103" hidden="1" x14ac:dyDescent="0.25">
      <c r="A809">
        <v>410000815</v>
      </c>
      <c r="B809" t="s">
        <v>5840</v>
      </c>
      <c r="C809" t="s">
        <v>5841</v>
      </c>
      <c r="D809">
        <v>401100000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1</v>
      </c>
      <c r="X809">
        <v>1</v>
      </c>
      <c r="Y809" t="s">
        <v>972</v>
      </c>
      <c r="Z809" t="s">
        <v>5431</v>
      </c>
      <c r="AA809" t="s">
        <v>5842</v>
      </c>
      <c r="AB809" t="s">
        <v>975</v>
      </c>
      <c r="AC809">
        <v>1000</v>
      </c>
      <c r="AD809" t="s">
        <v>1066</v>
      </c>
      <c r="AE809">
        <v>3222175917</v>
      </c>
      <c r="AF809" t="s">
        <v>979</v>
      </c>
      <c r="AG809" t="s">
        <v>977</v>
      </c>
      <c r="AH809">
        <v>436762789</v>
      </c>
      <c r="AI809" t="s">
        <v>5843</v>
      </c>
      <c r="AJ809" t="s">
        <v>5844</v>
      </c>
      <c r="AK809" t="s">
        <v>978</v>
      </c>
      <c r="AL809" t="s">
        <v>978</v>
      </c>
      <c r="AM809" t="s">
        <v>979</v>
      </c>
      <c r="AN809">
        <v>0</v>
      </c>
      <c r="AO809" t="s">
        <v>257</v>
      </c>
      <c r="AP809">
        <v>0</v>
      </c>
      <c r="AQ809">
        <v>20</v>
      </c>
      <c r="AR809">
        <v>43</v>
      </c>
      <c r="AS809">
        <v>1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1</v>
      </c>
      <c r="AZ809" t="s">
        <v>257</v>
      </c>
      <c r="BA809" t="s">
        <v>980</v>
      </c>
      <c r="BB809" t="s">
        <v>981</v>
      </c>
      <c r="BC809" t="s">
        <v>257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 t="s">
        <v>1285</v>
      </c>
      <c r="BK809" t="s">
        <v>981</v>
      </c>
      <c r="BL809" t="s">
        <v>5840</v>
      </c>
      <c r="BM809">
        <v>20230703</v>
      </c>
      <c r="BN809">
        <v>20240415</v>
      </c>
      <c r="BO809">
        <v>0</v>
      </c>
      <c r="BP809" t="s">
        <v>257</v>
      </c>
      <c r="BQ809" t="s">
        <v>983</v>
      </c>
      <c r="BR809" t="s">
        <v>978</v>
      </c>
      <c r="BS809" t="s">
        <v>979</v>
      </c>
      <c r="BT809">
        <v>0</v>
      </c>
      <c r="BU809">
        <v>0</v>
      </c>
      <c r="BV809" t="s">
        <v>984</v>
      </c>
      <c r="BW809" t="s">
        <v>257</v>
      </c>
      <c r="BX809">
        <v>0</v>
      </c>
      <c r="BY809" t="s">
        <v>980</v>
      </c>
      <c r="BZ809" t="s">
        <v>257</v>
      </c>
      <c r="CA809">
        <v>0</v>
      </c>
      <c r="CB809">
        <v>0</v>
      </c>
      <c r="CC809" t="s">
        <v>1469</v>
      </c>
      <c r="CD809">
        <v>0</v>
      </c>
      <c r="CE809">
        <v>0</v>
      </c>
      <c r="CF809">
        <v>0</v>
      </c>
      <c r="CG809">
        <v>0</v>
      </c>
      <c r="CH809">
        <v>0</v>
      </c>
      <c r="CI809" t="s">
        <v>983</v>
      </c>
      <c r="CJ809" t="s">
        <v>972</v>
      </c>
      <c r="CK809" t="s">
        <v>986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 t="s">
        <v>987</v>
      </c>
      <c r="CV809">
        <v>400008815</v>
      </c>
      <c r="CW809" t="s">
        <v>987</v>
      </c>
      <c r="CX809" t="s">
        <v>5845</v>
      </c>
      <c r="CY809" t="s">
        <v>989</v>
      </c>
    </row>
    <row r="810" spans="1:103" hidden="1" x14ac:dyDescent="0.25">
      <c r="A810">
        <v>410000816</v>
      </c>
      <c r="B810" t="s">
        <v>5846</v>
      </c>
      <c r="C810" t="s">
        <v>5847</v>
      </c>
      <c r="D810">
        <v>401100000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1</v>
      </c>
      <c r="Y810" t="s">
        <v>972</v>
      </c>
      <c r="Z810" t="s">
        <v>987</v>
      </c>
      <c r="AA810" t="s">
        <v>5848</v>
      </c>
      <c r="AB810" t="s">
        <v>975</v>
      </c>
      <c r="AC810">
        <v>6900</v>
      </c>
      <c r="AD810" t="s">
        <v>5849</v>
      </c>
      <c r="AE810" t="s">
        <v>979</v>
      </c>
      <c r="AF810" t="s">
        <v>979</v>
      </c>
      <c r="AG810" t="s">
        <v>977</v>
      </c>
      <c r="AH810" t="s">
        <v>977</v>
      </c>
      <c r="AI810" t="s">
        <v>977</v>
      </c>
      <c r="AJ810" t="s">
        <v>5795</v>
      </c>
      <c r="AK810" t="s">
        <v>978</v>
      </c>
      <c r="AL810" t="s">
        <v>978</v>
      </c>
      <c r="AM810" t="s">
        <v>979</v>
      </c>
      <c r="AN810">
        <v>0</v>
      </c>
      <c r="AO810" t="s">
        <v>257</v>
      </c>
      <c r="AP810">
        <v>0</v>
      </c>
      <c r="AQ810">
        <v>1</v>
      </c>
      <c r="AR810">
        <v>69</v>
      </c>
      <c r="AS810">
        <v>1</v>
      </c>
      <c r="AT810">
        <v>0</v>
      </c>
      <c r="AU810">
        <v>1</v>
      </c>
      <c r="AV810">
        <v>0</v>
      </c>
      <c r="AW810">
        <v>0</v>
      </c>
      <c r="AX810">
        <v>0</v>
      </c>
      <c r="AY810">
        <v>1</v>
      </c>
      <c r="AZ810" t="s">
        <v>257</v>
      </c>
      <c r="BA810" t="s">
        <v>980</v>
      </c>
      <c r="BB810" t="s">
        <v>981</v>
      </c>
      <c r="BC810" t="s">
        <v>257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 t="s">
        <v>998</v>
      </c>
      <c r="BK810" t="s">
        <v>981</v>
      </c>
      <c r="BL810" t="s">
        <v>5846</v>
      </c>
      <c r="BM810">
        <v>20230718</v>
      </c>
      <c r="BN810">
        <v>20240910</v>
      </c>
      <c r="BO810">
        <v>0</v>
      </c>
      <c r="BP810" t="s">
        <v>257</v>
      </c>
      <c r="BQ810" t="s">
        <v>983</v>
      </c>
      <c r="BR810" t="s">
        <v>978</v>
      </c>
      <c r="BS810">
        <v>32495245918</v>
      </c>
      <c r="BT810">
        <v>0</v>
      </c>
      <c r="BU810">
        <v>0</v>
      </c>
      <c r="BV810" t="s">
        <v>984</v>
      </c>
      <c r="BW810" t="s">
        <v>257</v>
      </c>
      <c r="BX810">
        <v>0</v>
      </c>
      <c r="BY810" t="s">
        <v>980</v>
      </c>
      <c r="BZ810" t="s">
        <v>257</v>
      </c>
      <c r="CA810">
        <v>0</v>
      </c>
      <c r="CB810">
        <v>0</v>
      </c>
      <c r="CC810" t="s">
        <v>1901</v>
      </c>
      <c r="CD810">
        <v>0</v>
      </c>
      <c r="CE810">
        <v>0</v>
      </c>
      <c r="CF810">
        <v>0</v>
      </c>
      <c r="CG810">
        <v>0</v>
      </c>
      <c r="CH810">
        <v>0</v>
      </c>
      <c r="CI810" t="s">
        <v>983</v>
      </c>
      <c r="CJ810" t="s">
        <v>972</v>
      </c>
      <c r="CK810" t="s">
        <v>986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 t="s">
        <v>987</v>
      </c>
      <c r="CV810">
        <v>400008816</v>
      </c>
      <c r="CW810" t="s">
        <v>987</v>
      </c>
      <c r="CX810" t="s">
        <v>5850</v>
      </c>
      <c r="CY810" t="s">
        <v>989</v>
      </c>
    </row>
    <row r="811" spans="1:103" hidden="1" x14ac:dyDescent="0.25">
      <c r="A811">
        <v>410000817</v>
      </c>
      <c r="B811" t="s">
        <v>5851</v>
      </c>
      <c r="C811" t="s">
        <v>5852</v>
      </c>
      <c r="D811">
        <v>401100000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1</v>
      </c>
      <c r="X811">
        <v>1</v>
      </c>
      <c r="Y811" t="s">
        <v>972</v>
      </c>
      <c r="Z811" t="s">
        <v>987</v>
      </c>
      <c r="AA811" t="s">
        <v>5853</v>
      </c>
      <c r="AB811" t="s">
        <v>975</v>
      </c>
      <c r="AC811">
        <v>1050</v>
      </c>
      <c r="AD811" t="s">
        <v>2200</v>
      </c>
      <c r="AE811" t="s">
        <v>979</v>
      </c>
      <c r="AF811" t="s">
        <v>979</v>
      </c>
      <c r="AG811" t="s">
        <v>5854</v>
      </c>
      <c r="AH811" t="s">
        <v>977</v>
      </c>
      <c r="AI811" t="s">
        <v>977</v>
      </c>
      <c r="AJ811" t="s">
        <v>5855</v>
      </c>
      <c r="AK811" t="s">
        <v>5856</v>
      </c>
      <c r="AL811" t="s">
        <v>5857</v>
      </c>
      <c r="AM811" t="s">
        <v>979</v>
      </c>
      <c r="AN811">
        <v>0</v>
      </c>
      <c r="AO811" t="s">
        <v>257</v>
      </c>
      <c r="AP811">
        <v>0</v>
      </c>
      <c r="AQ811">
        <v>1</v>
      </c>
      <c r="AR811">
        <v>8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1</v>
      </c>
      <c r="AZ811" t="s">
        <v>257</v>
      </c>
      <c r="BA811" t="s">
        <v>980</v>
      </c>
      <c r="BB811" t="s">
        <v>981</v>
      </c>
      <c r="BC811" t="s">
        <v>257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 t="s">
        <v>998</v>
      </c>
      <c r="BK811" t="s">
        <v>981</v>
      </c>
      <c r="BL811" t="s">
        <v>5851</v>
      </c>
      <c r="BM811">
        <v>20230718</v>
      </c>
      <c r="BN811">
        <v>20230718</v>
      </c>
      <c r="BO811">
        <v>0</v>
      </c>
      <c r="BP811" t="s">
        <v>257</v>
      </c>
      <c r="BQ811" t="s">
        <v>983</v>
      </c>
      <c r="BR811" t="s">
        <v>978</v>
      </c>
      <c r="BS811">
        <v>352661170581</v>
      </c>
      <c r="BT811">
        <v>0</v>
      </c>
      <c r="BU811">
        <v>0</v>
      </c>
      <c r="BV811" t="s">
        <v>984</v>
      </c>
      <c r="BW811" t="s">
        <v>257</v>
      </c>
      <c r="BX811">
        <v>0</v>
      </c>
      <c r="BY811" t="s">
        <v>980</v>
      </c>
      <c r="BZ811" t="s">
        <v>257</v>
      </c>
      <c r="CA811">
        <v>0</v>
      </c>
      <c r="CB811">
        <v>0</v>
      </c>
      <c r="CC811" t="s">
        <v>1901</v>
      </c>
      <c r="CD811">
        <v>0</v>
      </c>
      <c r="CE811">
        <v>0</v>
      </c>
      <c r="CF811">
        <v>57</v>
      </c>
      <c r="CG811">
        <v>0</v>
      </c>
      <c r="CH811">
        <v>0</v>
      </c>
      <c r="CI811" t="s">
        <v>983</v>
      </c>
      <c r="CJ811" t="s">
        <v>972</v>
      </c>
      <c r="CK811" t="s">
        <v>986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 t="s">
        <v>987</v>
      </c>
      <c r="CV811">
        <v>400008817</v>
      </c>
      <c r="CW811" t="s">
        <v>987</v>
      </c>
      <c r="CX811" t="s">
        <v>5858</v>
      </c>
      <c r="CY811" t="s">
        <v>989</v>
      </c>
    </row>
    <row r="812" spans="1:103" hidden="1" x14ac:dyDescent="0.25">
      <c r="A812">
        <v>410000818</v>
      </c>
      <c r="B812" t="s">
        <v>5859</v>
      </c>
      <c r="C812" t="s">
        <v>5860</v>
      </c>
      <c r="D812">
        <v>401100000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1</v>
      </c>
      <c r="Y812" t="s">
        <v>972</v>
      </c>
      <c r="Z812" t="s">
        <v>4834</v>
      </c>
      <c r="AA812" t="s">
        <v>5861</v>
      </c>
      <c r="AB812" t="s">
        <v>975</v>
      </c>
      <c r="AC812">
        <v>1170</v>
      </c>
      <c r="AD812" t="s">
        <v>4821</v>
      </c>
      <c r="AE812">
        <v>3227387080</v>
      </c>
      <c r="AF812" t="s">
        <v>979</v>
      </c>
      <c r="AG812" t="s">
        <v>977</v>
      </c>
      <c r="AH812" t="s">
        <v>977</v>
      </c>
      <c r="AI812" t="s">
        <v>977</v>
      </c>
      <c r="AJ812" t="s">
        <v>5862</v>
      </c>
      <c r="AK812" t="s">
        <v>978</v>
      </c>
      <c r="AL812" t="s">
        <v>978</v>
      </c>
      <c r="AM812" t="s">
        <v>979</v>
      </c>
      <c r="AN812">
        <v>0</v>
      </c>
      <c r="AO812" t="s">
        <v>257</v>
      </c>
      <c r="AP812">
        <v>0</v>
      </c>
      <c r="AQ812">
        <v>1</v>
      </c>
      <c r="AR812">
        <v>43</v>
      </c>
      <c r="AS812">
        <v>1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1</v>
      </c>
      <c r="AZ812" t="s">
        <v>257</v>
      </c>
      <c r="BA812" t="s">
        <v>980</v>
      </c>
      <c r="BB812" t="s">
        <v>981</v>
      </c>
      <c r="BC812" t="s">
        <v>257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 t="s">
        <v>998</v>
      </c>
      <c r="BK812" t="s">
        <v>981</v>
      </c>
      <c r="BL812" t="s">
        <v>5859</v>
      </c>
      <c r="BM812">
        <v>20230718</v>
      </c>
      <c r="BN812">
        <v>20230718</v>
      </c>
      <c r="BO812">
        <v>0</v>
      </c>
      <c r="BP812" t="s">
        <v>257</v>
      </c>
      <c r="BQ812" t="s">
        <v>983</v>
      </c>
      <c r="BR812" t="s">
        <v>978</v>
      </c>
      <c r="BS812" t="s">
        <v>979</v>
      </c>
      <c r="BT812">
        <v>0</v>
      </c>
      <c r="BU812">
        <v>0</v>
      </c>
      <c r="BV812" t="s">
        <v>984</v>
      </c>
      <c r="BW812" t="s">
        <v>257</v>
      </c>
      <c r="BX812">
        <v>0</v>
      </c>
      <c r="BY812" t="s">
        <v>980</v>
      </c>
      <c r="BZ812" t="s">
        <v>257</v>
      </c>
      <c r="CA812">
        <v>0</v>
      </c>
      <c r="CB812">
        <v>0</v>
      </c>
      <c r="CC812" t="s">
        <v>1901</v>
      </c>
      <c r="CD812">
        <v>0</v>
      </c>
      <c r="CE812">
        <v>0</v>
      </c>
      <c r="CF812">
        <v>0</v>
      </c>
      <c r="CG812">
        <v>0</v>
      </c>
      <c r="CH812">
        <v>0</v>
      </c>
      <c r="CI812" t="s">
        <v>983</v>
      </c>
      <c r="CJ812" t="s">
        <v>972</v>
      </c>
      <c r="CK812" t="s">
        <v>986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 t="s">
        <v>987</v>
      </c>
      <c r="CV812">
        <v>400008818</v>
      </c>
      <c r="CW812" t="s">
        <v>987</v>
      </c>
      <c r="CX812" t="s">
        <v>5863</v>
      </c>
      <c r="CY812" t="s">
        <v>989</v>
      </c>
    </row>
    <row r="813" spans="1:103" hidden="1" x14ac:dyDescent="0.25">
      <c r="A813">
        <v>410000819</v>
      </c>
      <c r="B813" t="s">
        <v>5864</v>
      </c>
      <c r="C813" t="s">
        <v>5865</v>
      </c>
      <c r="D813">
        <v>401100000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1</v>
      </c>
      <c r="X813">
        <v>1</v>
      </c>
      <c r="Y813" t="s">
        <v>972</v>
      </c>
      <c r="Z813" t="s">
        <v>987</v>
      </c>
      <c r="AA813" t="s">
        <v>5866</v>
      </c>
      <c r="AB813" t="s">
        <v>975</v>
      </c>
      <c r="AC813">
        <v>4140</v>
      </c>
      <c r="AD813" t="s">
        <v>2353</v>
      </c>
      <c r="AE813">
        <v>3243694729</v>
      </c>
      <c r="AF813" t="s">
        <v>979</v>
      </c>
      <c r="AG813" t="s">
        <v>977</v>
      </c>
      <c r="AH813">
        <v>544937882</v>
      </c>
      <c r="AI813" t="s">
        <v>5867</v>
      </c>
      <c r="AJ813" t="s">
        <v>978</v>
      </c>
      <c r="AK813" t="s">
        <v>978</v>
      </c>
      <c r="AL813" t="s">
        <v>978</v>
      </c>
      <c r="AM813" t="s">
        <v>979</v>
      </c>
      <c r="AN813">
        <v>0</v>
      </c>
      <c r="AO813" t="s">
        <v>257</v>
      </c>
      <c r="AP813">
        <v>0</v>
      </c>
      <c r="AQ813">
        <v>1</v>
      </c>
      <c r="AR813">
        <v>43</v>
      </c>
      <c r="AS813">
        <v>1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1</v>
      </c>
      <c r="AZ813" t="s">
        <v>257</v>
      </c>
      <c r="BA813" t="s">
        <v>980</v>
      </c>
      <c r="BB813" t="s">
        <v>981</v>
      </c>
      <c r="BC813" t="s">
        <v>257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 t="s">
        <v>998</v>
      </c>
      <c r="BK813" t="s">
        <v>981</v>
      </c>
      <c r="BL813" t="s">
        <v>5864</v>
      </c>
      <c r="BM813">
        <v>20230725</v>
      </c>
      <c r="BN813">
        <v>20230726</v>
      </c>
      <c r="BO813">
        <v>0</v>
      </c>
      <c r="BP813" t="s">
        <v>257</v>
      </c>
      <c r="BQ813" t="s">
        <v>983</v>
      </c>
      <c r="BR813" t="s">
        <v>978</v>
      </c>
      <c r="BS813" t="s">
        <v>979</v>
      </c>
      <c r="BT813">
        <v>0</v>
      </c>
      <c r="BU813">
        <v>0</v>
      </c>
      <c r="BV813" t="s">
        <v>984</v>
      </c>
      <c r="BW813" t="s">
        <v>257</v>
      </c>
      <c r="BX813">
        <v>0</v>
      </c>
      <c r="BY813" t="s">
        <v>980</v>
      </c>
      <c r="BZ813" t="s">
        <v>257</v>
      </c>
      <c r="CA813">
        <v>0</v>
      </c>
      <c r="CB813">
        <v>0</v>
      </c>
      <c r="CC813" t="s">
        <v>1128</v>
      </c>
      <c r="CD813">
        <v>0</v>
      </c>
      <c r="CE813">
        <v>0</v>
      </c>
      <c r="CF813">
        <v>58</v>
      </c>
      <c r="CG813">
        <v>0</v>
      </c>
      <c r="CH813">
        <v>0</v>
      </c>
      <c r="CI813" t="s">
        <v>983</v>
      </c>
      <c r="CJ813" t="s">
        <v>972</v>
      </c>
      <c r="CK813" t="s">
        <v>986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 t="s">
        <v>987</v>
      </c>
      <c r="CV813">
        <v>400008819</v>
      </c>
      <c r="CW813" t="s">
        <v>987</v>
      </c>
      <c r="CX813" t="s">
        <v>5868</v>
      </c>
      <c r="CY813" t="s">
        <v>989</v>
      </c>
    </row>
    <row r="814" spans="1:103" hidden="1" x14ac:dyDescent="0.25">
      <c r="A814">
        <v>410000820</v>
      </c>
      <c r="B814" t="s">
        <v>5869</v>
      </c>
      <c r="C814" t="s">
        <v>5870</v>
      </c>
      <c r="D814">
        <v>401100000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1</v>
      </c>
      <c r="Y814" t="s">
        <v>972</v>
      </c>
      <c r="Z814" t="s">
        <v>4834</v>
      </c>
      <c r="AA814" t="s">
        <v>5871</v>
      </c>
      <c r="AB814" t="s">
        <v>975</v>
      </c>
      <c r="AC814">
        <v>4170</v>
      </c>
      <c r="AD814" t="s">
        <v>5872</v>
      </c>
      <c r="AE814">
        <v>3242738129</v>
      </c>
      <c r="AF814" t="s">
        <v>979</v>
      </c>
      <c r="AG814" t="s">
        <v>977</v>
      </c>
      <c r="AH814">
        <v>672987483</v>
      </c>
      <c r="AI814" t="s">
        <v>5873</v>
      </c>
      <c r="AJ814" t="s">
        <v>5824</v>
      </c>
      <c r="AK814" t="s">
        <v>978</v>
      </c>
      <c r="AL814" t="s">
        <v>978</v>
      </c>
      <c r="AM814" t="s">
        <v>979</v>
      </c>
      <c r="AN814">
        <v>0</v>
      </c>
      <c r="AO814" t="s">
        <v>257</v>
      </c>
      <c r="AP814">
        <v>0</v>
      </c>
      <c r="AQ814">
        <v>1</v>
      </c>
      <c r="AR814">
        <v>43</v>
      </c>
      <c r="AS814">
        <v>1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1</v>
      </c>
      <c r="AZ814" t="s">
        <v>257</v>
      </c>
      <c r="BA814" t="s">
        <v>980</v>
      </c>
      <c r="BB814" t="s">
        <v>981</v>
      </c>
      <c r="BC814" t="s">
        <v>257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 t="s">
        <v>998</v>
      </c>
      <c r="BK814" t="s">
        <v>981</v>
      </c>
      <c r="BL814" t="s">
        <v>5869</v>
      </c>
      <c r="BM814">
        <v>20230731</v>
      </c>
      <c r="BN814">
        <v>20230802</v>
      </c>
      <c r="BO814">
        <v>0</v>
      </c>
      <c r="BP814" t="s">
        <v>257</v>
      </c>
      <c r="BQ814" t="s">
        <v>983</v>
      </c>
      <c r="BR814" t="s">
        <v>978</v>
      </c>
      <c r="BS814" t="s">
        <v>979</v>
      </c>
      <c r="BT814">
        <v>0</v>
      </c>
      <c r="BU814">
        <v>0</v>
      </c>
      <c r="BV814" t="s">
        <v>984</v>
      </c>
      <c r="BW814" t="s">
        <v>257</v>
      </c>
      <c r="BX814">
        <v>0</v>
      </c>
      <c r="BY814" t="s">
        <v>980</v>
      </c>
      <c r="BZ814" t="s">
        <v>257</v>
      </c>
      <c r="CA814">
        <v>0</v>
      </c>
      <c r="CB814">
        <v>0</v>
      </c>
      <c r="CC814" t="s">
        <v>2677</v>
      </c>
      <c r="CD814">
        <v>0</v>
      </c>
      <c r="CE814">
        <v>0</v>
      </c>
      <c r="CF814">
        <v>0</v>
      </c>
      <c r="CG814">
        <v>0</v>
      </c>
      <c r="CH814">
        <v>0</v>
      </c>
      <c r="CI814" t="s">
        <v>983</v>
      </c>
      <c r="CJ814" t="s">
        <v>972</v>
      </c>
      <c r="CK814" t="s">
        <v>986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 t="s">
        <v>987</v>
      </c>
      <c r="CV814">
        <v>400008820</v>
      </c>
      <c r="CW814" t="s">
        <v>987</v>
      </c>
      <c r="CX814" t="s">
        <v>5874</v>
      </c>
      <c r="CY814" t="s">
        <v>989</v>
      </c>
    </row>
    <row r="815" spans="1:103" hidden="1" x14ac:dyDescent="0.25">
      <c r="A815">
        <v>410000821</v>
      </c>
      <c r="B815" t="s">
        <v>5875</v>
      </c>
      <c r="C815" t="s">
        <v>5876</v>
      </c>
      <c r="D815">
        <v>401100000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1</v>
      </c>
      <c r="Y815" t="s">
        <v>972</v>
      </c>
      <c r="Z815" t="s">
        <v>987</v>
      </c>
      <c r="AA815" t="s">
        <v>5877</v>
      </c>
      <c r="AB815" t="s">
        <v>975</v>
      </c>
      <c r="AC815">
        <v>1190</v>
      </c>
      <c r="AD815" t="s">
        <v>5878</v>
      </c>
      <c r="AE815">
        <v>3223333211</v>
      </c>
      <c r="AF815">
        <v>3223333261</v>
      </c>
      <c r="AG815" t="s">
        <v>5879</v>
      </c>
      <c r="AH815">
        <v>650876928</v>
      </c>
      <c r="AI815" t="s">
        <v>5880</v>
      </c>
      <c r="AJ815" t="s">
        <v>5881</v>
      </c>
      <c r="AK815" t="s">
        <v>978</v>
      </c>
      <c r="AL815" t="s">
        <v>978</v>
      </c>
      <c r="AM815" t="s">
        <v>979</v>
      </c>
      <c r="AN815">
        <v>0</v>
      </c>
      <c r="AO815" t="s">
        <v>257</v>
      </c>
      <c r="AP815">
        <v>0</v>
      </c>
      <c r="AQ815">
        <v>1</v>
      </c>
      <c r="AR815">
        <v>43</v>
      </c>
      <c r="AS815">
        <v>1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1</v>
      </c>
      <c r="AZ815" t="s">
        <v>257</v>
      </c>
      <c r="BA815" t="s">
        <v>980</v>
      </c>
      <c r="BB815" t="s">
        <v>981</v>
      </c>
      <c r="BC815" t="s">
        <v>257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 t="s">
        <v>998</v>
      </c>
      <c r="BK815" t="s">
        <v>981</v>
      </c>
      <c r="BL815" t="s">
        <v>5875</v>
      </c>
      <c r="BM815">
        <v>20230801</v>
      </c>
      <c r="BN815">
        <v>20241025</v>
      </c>
      <c r="BO815">
        <v>0</v>
      </c>
      <c r="BP815" t="s">
        <v>257</v>
      </c>
      <c r="BQ815" t="s">
        <v>983</v>
      </c>
      <c r="BR815" t="s">
        <v>978</v>
      </c>
      <c r="BS815" t="s">
        <v>979</v>
      </c>
      <c r="BT815">
        <v>0</v>
      </c>
      <c r="BU815">
        <v>0</v>
      </c>
      <c r="BV815" t="s">
        <v>984</v>
      </c>
      <c r="BW815" t="s">
        <v>257</v>
      </c>
      <c r="BX815">
        <v>0</v>
      </c>
      <c r="BY815" t="s">
        <v>980</v>
      </c>
      <c r="BZ815" t="s">
        <v>257</v>
      </c>
      <c r="CA815">
        <v>0</v>
      </c>
      <c r="CB815">
        <v>0</v>
      </c>
      <c r="CC815" t="s">
        <v>1901</v>
      </c>
      <c r="CD815">
        <v>0</v>
      </c>
      <c r="CE815">
        <v>0</v>
      </c>
      <c r="CF815">
        <v>0</v>
      </c>
      <c r="CG815">
        <v>0</v>
      </c>
      <c r="CH815">
        <v>0</v>
      </c>
      <c r="CI815" t="s">
        <v>983</v>
      </c>
      <c r="CJ815" t="s">
        <v>972</v>
      </c>
      <c r="CK815" t="s">
        <v>986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 t="s">
        <v>987</v>
      </c>
      <c r="CV815">
        <v>400008821</v>
      </c>
      <c r="CW815" t="s">
        <v>987</v>
      </c>
      <c r="CX815" t="s">
        <v>5882</v>
      </c>
      <c r="CY815" t="s">
        <v>989</v>
      </c>
    </row>
    <row r="816" spans="1:103" hidden="1" x14ac:dyDescent="0.25">
      <c r="A816">
        <v>410000822</v>
      </c>
      <c r="B816" t="s">
        <v>5883</v>
      </c>
      <c r="C816" t="s">
        <v>5884</v>
      </c>
      <c r="D816">
        <v>401100000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1</v>
      </c>
      <c r="Y816" t="s">
        <v>972</v>
      </c>
      <c r="Z816" t="s">
        <v>987</v>
      </c>
      <c r="AA816" t="s">
        <v>5885</v>
      </c>
      <c r="AB816" t="s">
        <v>975</v>
      </c>
      <c r="AC816">
        <v>1300</v>
      </c>
      <c r="AD816" t="s">
        <v>2390</v>
      </c>
      <c r="AE816">
        <v>3210867577</v>
      </c>
      <c r="AF816" t="s">
        <v>979</v>
      </c>
      <c r="AG816" t="s">
        <v>5886</v>
      </c>
      <c r="AH816">
        <v>870583413</v>
      </c>
      <c r="AI816" t="s">
        <v>5887</v>
      </c>
      <c r="AJ816" t="s">
        <v>5888</v>
      </c>
      <c r="AK816" t="s">
        <v>978</v>
      </c>
      <c r="AL816" t="s">
        <v>978</v>
      </c>
      <c r="AM816" t="s">
        <v>979</v>
      </c>
      <c r="AN816">
        <v>0</v>
      </c>
      <c r="AO816" t="s">
        <v>257</v>
      </c>
      <c r="AP816">
        <v>0</v>
      </c>
      <c r="AQ816">
        <v>1</v>
      </c>
      <c r="AR816">
        <v>43</v>
      </c>
      <c r="AS816">
        <v>1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1</v>
      </c>
      <c r="AZ816" t="s">
        <v>257</v>
      </c>
      <c r="BA816" t="s">
        <v>980</v>
      </c>
      <c r="BB816" t="s">
        <v>981</v>
      </c>
      <c r="BC816" t="s">
        <v>257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 t="s">
        <v>998</v>
      </c>
      <c r="BK816" t="s">
        <v>981</v>
      </c>
      <c r="BL816" t="s">
        <v>5883</v>
      </c>
      <c r="BM816">
        <v>20230822</v>
      </c>
      <c r="BN816">
        <v>20230822</v>
      </c>
      <c r="BO816">
        <v>0</v>
      </c>
      <c r="BP816" t="s">
        <v>257</v>
      </c>
      <c r="BQ816" t="s">
        <v>983</v>
      </c>
      <c r="BR816" t="s">
        <v>978</v>
      </c>
      <c r="BS816" t="s">
        <v>979</v>
      </c>
      <c r="BT816">
        <v>0</v>
      </c>
      <c r="BU816">
        <v>0</v>
      </c>
      <c r="BV816" t="s">
        <v>984</v>
      </c>
      <c r="BW816" t="s">
        <v>257</v>
      </c>
      <c r="BX816">
        <v>0</v>
      </c>
      <c r="BY816" t="s">
        <v>980</v>
      </c>
      <c r="BZ816" t="s">
        <v>257</v>
      </c>
      <c r="CA816">
        <v>0</v>
      </c>
      <c r="CB816">
        <v>0</v>
      </c>
      <c r="CC816" t="s">
        <v>1901</v>
      </c>
      <c r="CD816">
        <v>0</v>
      </c>
      <c r="CE816">
        <v>0</v>
      </c>
      <c r="CF816">
        <v>0</v>
      </c>
      <c r="CG816">
        <v>0</v>
      </c>
      <c r="CH816">
        <v>0</v>
      </c>
      <c r="CI816" t="s">
        <v>983</v>
      </c>
      <c r="CJ816" t="s">
        <v>972</v>
      </c>
      <c r="CK816" t="s">
        <v>986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 t="s">
        <v>987</v>
      </c>
      <c r="CV816">
        <v>400008822</v>
      </c>
      <c r="CW816" t="s">
        <v>987</v>
      </c>
      <c r="CX816" t="s">
        <v>5889</v>
      </c>
      <c r="CY816" t="s">
        <v>989</v>
      </c>
    </row>
    <row r="817" spans="1:103" hidden="1" x14ac:dyDescent="0.25">
      <c r="A817">
        <v>410000823</v>
      </c>
      <c r="B817" t="s">
        <v>5890</v>
      </c>
      <c r="C817" t="s">
        <v>5891</v>
      </c>
      <c r="D817">
        <v>401100000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1</v>
      </c>
      <c r="Y817" t="s">
        <v>972</v>
      </c>
      <c r="Z817" t="s">
        <v>4834</v>
      </c>
      <c r="AA817" t="s">
        <v>5892</v>
      </c>
      <c r="AB817" t="s">
        <v>975</v>
      </c>
      <c r="AC817">
        <v>1420</v>
      </c>
      <c r="AD817" t="s">
        <v>5893</v>
      </c>
      <c r="AE817" t="s">
        <v>979</v>
      </c>
      <c r="AF817" t="s">
        <v>979</v>
      </c>
      <c r="AG817" t="s">
        <v>977</v>
      </c>
      <c r="AH817">
        <v>788372448</v>
      </c>
      <c r="AI817" t="s">
        <v>5894</v>
      </c>
      <c r="AJ817" t="s">
        <v>978</v>
      </c>
      <c r="AK817" t="s">
        <v>978</v>
      </c>
      <c r="AL817" t="s">
        <v>978</v>
      </c>
      <c r="AM817" t="s">
        <v>979</v>
      </c>
      <c r="AN817">
        <v>0</v>
      </c>
      <c r="AO817" t="s">
        <v>257</v>
      </c>
      <c r="AP817">
        <v>0</v>
      </c>
      <c r="AQ817">
        <v>1</v>
      </c>
      <c r="AR817">
        <v>43</v>
      </c>
      <c r="AS817">
        <v>1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1</v>
      </c>
      <c r="AZ817" t="s">
        <v>257</v>
      </c>
      <c r="BA817" t="s">
        <v>257</v>
      </c>
      <c r="BB817" t="s">
        <v>981</v>
      </c>
      <c r="BC817" t="s">
        <v>257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 t="s">
        <v>998</v>
      </c>
      <c r="BK817" t="s">
        <v>981</v>
      </c>
      <c r="BL817" t="s">
        <v>5890</v>
      </c>
      <c r="BM817">
        <v>20230907</v>
      </c>
      <c r="BN817">
        <v>20230908</v>
      </c>
      <c r="BO817">
        <v>0</v>
      </c>
      <c r="BP817" t="s">
        <v>257</v>
      </c>
      <c r="BQ817" t="s">
        <v>983</v>
      </c>
      <c r="BR817" t="s">
        <v>978</v>
      </c>
      <c r="BS817">
        <v>32498345444</v>
      </c>
      <c r="BT817">
        <v>0</v>
      </c>
      <c r="BU817">
        <v>0</v>
      </c>
      <c r="BV817" t="s">
        <v>984</v>
      </c>
      <c r="BW817" t="s">
        <v>257</v>
      </c>
      <c r="BX817">
        <v>0</v>
      </c>
      <c r="BY817" t="s">
        <v>980</v>
      </c>
      <c r="BZ817" t="s">
        <v>257</v>
      </c>
      <c r="CA817">
        <v>0</v>
      </c>
      <c r="CB817">
        <v>0</v>
      </c>
      <c r="CC817" t="s">
        <v>1033</v>
      </c>
      <c r="CD817">
        <v>0</v>
      </c>
      <c r="CE817">
        <v>0</v>
      </c>
      <c r="CF817">
        <v>0</v>
      </c>
      <c r="CG817">
        <v>0</v>
      </c>
      <c r="CH817">
        <v>0</v>
      </c>
      <c r="CI817" t="s">
        <v>983</v>
      </c>
      <c r="CJ817" t="s">
        <v>972</v>
      </c>
      <c r="CK817" t="s">
        <v>986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 t="s">
        <v>987</v>
      </c>
      <c r="CV817">
        <v>400008823</v>
      </c>
      <c r="CW817" t="s">
        <v>987</v>
      </c>
      <c r="CX817" t="s">
        <v>5895</v>
      </c>
      <c r="CY817" t="s">
        <v>989</v>
      </c>
    </row>
    <row r="818" spans="1:103" hidden="1" x14ac:dyDescent="0.25">
      <c r="A818">
        <v>410000824</v>
      </c>
      <c r="B818" t="s">
        <v>5896</v>
      </c>
      <c r="C818" t="s">
        <v>5897</v>
      </c>
      <c r="D818">
        <v>401100000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1</v>
      </c>
      <c r="Y818" t="s">
        <v>972</v>
      </c>
      <c r="Z818" t="s">
        <v>987</v>
      </c>
      <c r="AA818" t="s">
        <v>5898</v>
      </c>
      <c r="AB818" t="s">
        <v>975</v>
      </c>
      <c r="AC818">
        <v>1050</v>
      </c>
      <c r="AD818" t="s">
        <v>1066</v>
      </c>
      <c r="AE818" t="s">
        <v>979</v>
      </c>
      <c r="AF818" t="s">
        <v>979</v>
      </c>
      <c r="AG818" t="s">
        <v>977</v>
      </c>
      <c r="AH818" t="s">
        <v>977</v>
      </c>
      <c r="AI818" t="s">
        <v>977</v>
      </c>
      <c r="AJ818" t="s">
        <v>978</v>
      </c>
      <c r="AK818" t="s">
        <v>978</v>
      </c>
      <c r="AL818" t="s">
        <v>978</v>
      </c>
      <c r="AM818" t="s">
        <v>979</v>
      </c>
      <c r="AN818">
        <v>0</v>
      </c>
      <c r="AO818" t="s">
        <v>257</v>
      </c>
      <c r="AP818">
        <v>0</v>
      </c>
      <c r="AQ818">
        <v>1</v>
      </c>
      <c r="AR818">
        <v>43</v>
      </c>
      <c r="AS818">
        <v>1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1</v>
      </c>
      <c r="AZ818" t="s">
        <v>257</v>
      </c>
      <c r="BA818" t="s">
        <v>257</v>
      </c>
      <c r="BB818" t="s">
        <v>981</v>
      </c>
      <c r="BC818" t="s">
        <v>257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 t="s">
        <v>998</v>
      </c>
      <c r="BK818" t="s">
        <v>981</v>
      </c>
      <c r="BL818" t="s">
        <v>5896</v>
      </c>
      <c r="BM818">
        <v>20230908</v>
      </c>
      <c r="BN818">
        <v>0</v>
      </c>
      <c r="BO818">
        <v>0</v>
      </c>
      <c r="BP818" t="s">
        <v>257</v>
      </c>
      <c r="BQ818" t="s">
        <v>983</v>
      </c>
      <c r="BR818" t="s">
        <v>978</v>
      </c>
      <c r="BS818">
        <v>32472469766</v>
      </c>
      <c r="BT818">
        <v>0</v>
      </c>
      <c r="BU818">
        <v>0</v>
      </c>
      <c r="BV818" t="s">
        <v>984</v>
      </c>
      <c r="BW818" t="s">
        <v>257</v>
      </c>
      <c r="BX818">
        <v>0</v>
      </c>
      <c r="BY818" t="s">
        <v>980</v>
      </c>
      <c r="BZ818" t="s">
        <v>257</v>
      </c>
      <c r="CA818">
        <v>0</v>
      </c>
      <c r="CB818">
        <v>0</v>
      </c>
      <c r="CC818" t="s">
        <v>985</v>
      </c>
      <c r="CD818">
        <v>0</v>
      </c>
      <c r="CE818">
        <v>0</v>
      </c>
      <c r="CF818">
        <v>0</v>
      </c>
      <c r="CG818">
        <v>0</v>
      </c>
      <c r="CH818">
        <v>0</v>
      </c>
      <c r="CI818" t="s">
        <v>983</v>
      </c>
      <c r="CJ818" t="s">
        <v>972</v>
      </c>
      <c r="CK818" t="s">
        <v>986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 t="s">
        <v>987</v>
      </c>
      <c r="CV818">
        <v>400008824</v>
      </c>
      <c r="CW818" t="s">
        <v>987</v>
      </c>
      <c r="CX818" t="s">
        <v>5899</v>
      </c>
      <c r="CY818" t="s">
        <v>989</v>
      </c>
    </row>
    <row r="819" spans="1:103" hidden="1" x14ac:dyDescent="0.25">
      <c r="A819">
        <v>410000825</v>
      </c>
      <c r="B819" t="s">
        <v>261</v>
      </c>
      <c r="C819" t="s">
        <v>5900</v>
      </c>
      <c r="D819">
        <v>401100000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1</v>
      </c>
      <c r="X819">
        <v>1</v>
      </c>
      <c r="Y819" t="s">
        <v>972</v>
      </c>
      <c r="Z819" t="s">
        <v>987</v>
      </c>
      <c r="AA819" t="s">
        <v>5901</v>
      </c>
      <c r="AB819" t="s">
        <v>975</v>
      </c>
      <c r="AC819">
        <v>6900</v>
      </c>
      <c r="AD819" t="s">
        <v>5902</v>
      </c>
      <c r="AE819">
        <v>3284311756</v>
      </c>
      <c r="AF819" t="s">
        <v>979</v>
      </c>
      <c r="AG819" t="s">
        <v>977</v>
      </c>
      <c r="AH819">
        <v>449075752</v>
      </c>
      <c r="AI819" t="s">
        <v>5903</v>
      </c>
      <c r="AJ819" t="s">
        <v>5904</v>
      </c>
      <c r="AK819" t="s">
        <v>978</v>
      </c>
      <c r="AL819" t="s">
        <v>978</v>
      </c>
      <c r="AM819" t="s">
        <v>979</v>
      </c>
      <c r="AN819">
        <v>0</v>
      </c>
      <c r="AO819" t="s">
        <v>257</v>
      </c>
      <c r="AP819">
        <v>0</v>
      </c>
      <c r="AQ819">
        <v>1</v>
      </c>
      <c r="AR819">
        <v>43</v>
      </c>
      <c r="AS819">
        <v>1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1</v>
      </c>
      <c r="AZ819" t="s">
        <v>257</v>
      </c>
      <c r="BA819" t="s">
        <v>980</v>
      </c>
      <c r="BB819" t="s">
        <v>981</v>
      </c>
      <c r="BC819" t="s">
        <v>257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 t="s">
        <v>998</v>
      </c>
      <c r="BK819" t="s">
        <v>981</v>
      </c>
      <c r="BL819" t="s">
        <v>261</v>
      </c>
      <c r="BM819">
        <v>20230912</v>
      </c>
      <c r="BN819">
        <v>20230912</v>
      </c>
      <c r="BO819">
        <v>0</v>
      </c>
      <c r="BP819" t="s">
        <v>257</v>
      </c>
      <c r="BQ819" t="s">
        <v>983</v>
      </c>
      <c r="BR819" t="s">
        <v>978</v>
      </c>
      <c r="BS819" t="s">
        <v>979</v>
      </c>
      <c r="BT819">
        <v>0</v>
      </c>
      <c r="BU819">
        <v>0</v>
      </c>
      <c r="BV819" t="s">
        <v>984</v>
      </c>
      <c r="BW819" t="s">
        <v>257</v>
      </c>
      <c r="BX819">
        <v>0</v>
      </c>
      <c r="BY819" t="s">
        <v>980</v>
      </c>
      <c r="BZ819" t="s">
        <v>257</v>
      </c>
      <c r="CA819">
        <v>0</v>
      </c>
      <c r="CB819">
        <v>0</v>
      </c>
      <c r="CC819" t="s">
        <v>1901</v>
      </c>
      <c r="CD819">
        <v>0</v>
      </c>
      <c r="CE819">
        <v>0</v>
      </c>
      <c r="CF819">
        <v>0</v>
      </c>
      <c r="CG819">
        <v>0</v>
      </c>
      <c r="CH819">
        <v>0</v>
      </c>
      <c r="CI819" t="s">
        <v>983</v>
      </c>
      <c r="CJ819" t="s">
        <v>972</v>
      </c>
      <c r="CK819" t="s">
        <v>986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 t="s">
        <v>987</v>
      </c>
      <c r="CV819">
        <v>400008825</v>
      </c>
      <c r="CW819" t="s">
        <v>987</v>
      </c>
      <c r="CX819" t="s">
        <v>5905</v>
      </c>
      <c r="CY819" t="s">
        <v>989</v>
      </c>
    </row>
    <row r="820" spans="1:103" hidden="1" x14ac:dyDescent="0.25">
      <c r="A820">
        <v>410000826</v>
      </c>
      <c r="B820" t="s">
        <v>5906</v>
      </c>
      <c r="C820" t="s">
        <v>5907</v>
      </c>
      <c r="D820">
        <v>401100000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1</v>
      </c>
      <c r="Y820" t="s">
        <v>972</v>
      </c>
      <c r="Z820" t="s">
        <v>987</v>
      </c>
      <c r="AA820" t="s">
        <v>5908</v>
      </c>
      <c r="AB820" t="s">
        <v>975</v>
      </c>
      <c r="AC820">
        <v>4140</v>
      </c>
      <c r="AD820" t="s">
        <v>2353</v>
      </c>
      <c r="AE820" t="s">
        <v>979</v>
      </c>
      <c r="AF820" t="s">
        <v>979</v>
      </c>
      <c r="AG820" t="s">
        <v>5909</v>
      </c>
      <c r="AH820">
        <v>551892584</v>
      </c>
      <c r="AI820" t="s">
        <v>5498</v>
      </c>
      <c r="AJ820" t="s">
        <v>5910</v>
      </c>
      <c r="AK820" t="s">
        <v>978</v>
      </c>
      <c r="AL820" t="s">
        <v>978</v>
      </c>
      <c r="AM820" t="s">
        <v>979</v>
      </c>
      <c r="AN820">
        <v>0</v>
      </c>
      <c r="AO820" t="s">
        <v>257</v>
      </c>
      <c r="AP820">
        <v>0</v>
      </c>
      <c r="AQ820">
        <v>1</v>
      </c>
      <c r="AR820">
        <v>43</v>
      </c>
      <c r="AS820">
        <v>1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1</v>
      </c>
      <c r="AZ820" t="s">
        <v>257</v>
      </c>
      <c r="BA820" t="s">
        <v>980</v>
      </c>
      <c r="BB820" t="s">
        <v>981</v>
      </c>
      <c r="BC820" t="s">
        <v>257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 t="s">
        <v>998</v>
      </c>
      <c r="BK820" t="s">
        <v>981</v>
      </c>
      <c r="BL820" t="s">
        <v>5906</v>
      </c>
      <c r="BM820">
        <v>20230918</v>
      </c>
      <c r="BN820">
        <v>20230918</v>
      </c>
      <c r="BO820">
        <v>0</v>
      </c>
      <c r="BP820" t="s">
        <v>257</v>
      </c>
      <c r="BQ820" t="s">
        <v>983</v>
      </c>
      <c r="BR820" t="s">
        <v>978</v>
      </c>
      <c r="BS820">
        <v>32479300262</v>
      </c>
      <c r="BT820">
        <v>0</v>
      </c>
      <c r="BU820">
        <v>0</v>
      </c>
      <c r="BV820" t="s">
        <v>984</v>
      </c>
      <c r="BW820" t="s">
        <v>257</v>
      </c>
      <c r="BX820">
        <v>0</v>
      </c>
      <c r="BY820" t="s">
        <v>980</v>
      </c>
      <c r="BZ820" t="s">
        <v>257</v>
      </c>
      <c r="CA820">
        <v>0</v>
      </c>
      <c r="CB820">
        <v>0</v>
      </c>
      <c r="CC820" t="s">
        <v>1865</v>
      </c>
      <c r="CD820">
        <v>0</v>
      </c>
      <c r="CE820">
        <v>0</v>
      </c>
      <c r="CF820">
        <v>0</v>
      </c>
      <c r="CG820">
        <v>0</v>
      </c>
      <c r="CH820">
        <v>0</v>
      </c>
      <c r="CI820" t="s">
        <v>983</v>
      </c>
      <c r="CJ820" t="s">
        <v>972</v>
      </c>
      <c r="CK820" t="s">
        <v>986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 t="s">
        <v>987</v>
      </c>
      <c r="CV820">
        <v>400008826</v>
      </c>
      <c r="CW820" t="s">
        <v>987</v>
      </c>
      <c r="CX820" t="s">
        <v>5911</v>
      </c>
      <c r="CY820" t="s">
        <v>989</v>
      </c>
    </row>
    <row r="821" spans="1:103" hidden="1" x14ac:dyDescent="0.25">
      <c r="A821">
        <v>410000827</v>
      </c>
      <c r="B821" t="s">
        <v>5912</v>
      </c>
      <c r="C821" t="s">
        <v>5913</v>
      </c>
      <c r="D821">
        <v>401100000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1</v>
      </c>
      <c r="X821">
        <v>1</v>
      </c>
      <c r="Y821" t="s">
        <v>972</v>
      </c>
      <c r="Z821" t="s">
        <v>987</v>
      </c>
      <c r="AA821" t="s">
        <v>5914</v>
      </c>
      <c r="AB821" t="s">
        <v>975</v>
      </c>
      <c r="AC821">
        <v>4600</v>
      </c>
      <c r="AD821" t="s">
        <v>1813</v>
      </c>
      <c r="AE821">
        <v>3242861181</v>
      </c>
      <c r="AF821">
        <v>3242863541</v>
      </c>
      <c r="AG821" t="s">
        <v>5915</v>
      </c>
      <c r="AH821">
        <v>788224176</v>
      </c>
      <c r="AI821" t="s">
        <v>5916</v>
      </c>
      <c r="AJ821" t="s">
        <v>5917</v>
      </c>
      <c r="AK821" t="s">
        <v>978</v>
      </c>
      <c r="AL821" t="s">
        <v>978</v>
      </c>
      <c r="AM821" t="s">
        <v>979</v>
      </c>
      <c r="AN821">
        <v>0</v>
      </c>
      <c r="AO821" t="s">
        <v>257</v>
      </c>
      <c r="AP821">
        <v>0</v>
      </c>
      <c r="AQ821">
        <v>1</v>
      </c>
      <c r="AR821">
        <v>43</v>
      </c>
      <c r="AS821">
        <v>1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1</v>
      </c>
      <c r="AZ821" t="s">
        <v>257</v>
      </c>
      <c r="BA821" t="s">
        <v>980</v>
      </c>
      <c r="BB821" t="s">
        <v>981</v>
      </c>
      <c r="BC821" t="s">
        <v>257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 t="s">
        <v>998</v>
      </c>
      <c r="BK821" t="s">
        <v>981</v>
      </c>
      <c r="BL821" t="s">
        <v>5912</v>
      </c>
      <c r="BM821">
        <v>20230926</v>
      </c>
      <c r="BN821">
        <v>20230926</v>
      </c>
      <c r="BO821">
        <v>0</v>
      </c>
      <c r="BP821" t="s">
        <v>257</v>
      </c>
      <c r="BQ821" t="s">
        <v>983</v>
      </c>
      <c r="BR821" t="s">
        <v>978</v>
      </c>
      <c r="BS821" t="s">
        <v>979</v>
      </c>
      <c r="BT821">
        <v>0</v>
      </c>
      <c r="BU821">
        <v>0</v>
      </c>
      <c r="BV821" t="s">
        <v>984</v>
      </c>
      <c r="BW821" t="s">
        <v>257</v>
      </c>
      <c r="BX821">
        <v>0</v>
      </c>
      <c r="BY821" t="s">
        <v>980</v>
      </c>
      <c r="BZ821" t="s">
        <v>257</v>
      </c>
      <c r="CA821">
        <v>0</v>
      </c>
      <c r="CB821">
        <v>0</v>
      </c>
      <c r="CC821" t="s">
        <v>1848</v>
      </c>
      <c r="CD821">
        <v>0</v>
      </c>
      <c r="CE821">
        <v>0</v>
      </c>
      <c r="CF821">
        <v>0</v>
      </c>
      <c r="CG821">
        <v>0</v>
      </c>
      <c r="CH821">
        <v>0</v>
      </c>
      <c r="CI821" t="s">
        <v>983</v>
      </c>
      <c r="CJ821" t="s">
        <v>972</v>
      </c>
      <c r="CK821" t="s">
        <v>986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 t="s">
        <v>987</v>
      </c>
      <c r="CV821">
        <v>400008827</v>
      </c>
      <c r="CW821" t="s">
        <v>987</v>
      </c>
      <c r="CX821" t="s">
        <v>5918</v>
      </c>
      <c r="CY821" t="s">
        <v>989</v>
      </c>
    </row>
    <row r="822" spans="1:103" hidden="1" x14ac:dyDescent="0.25">
      <c r="A822">
        <v>410000828</v>
      </c>
      <c r="B822" t="s">
        <v>5919</v>
      </c>
      <c r="C822" t="s">
        <v>5920</v>
      </c>
      <c r="D822">
        <v>401100000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1</v>
      </c>
      <c r="X822">
        <v>1</v>
      </c>
      <c r="Y822" t="s">
        <v>972</v>
      </c>
      <c r="Z822" t="s">
        <v>987</v>
      </c>
      <c r="AA822" t="s">
        <v>5921</v>
      </c>
      <c r="AB822" t="s">
        <v>975</v>
      </c>
      <c r="AC822">
        <v>7110</v>
      </c>
      <c r="AD822" t="s">
        <v>4290</v>
      </c>
      <c r="AE822">
        <v>3264700045</v>
      </c>
      <c r="AF822" t="s">
        <v>979</v>
      </c>
      <c r="AG822" t="s">
        <v>5922</v>
      </c>
      <c r="AH822">
        <v>863670776</v>
      </c>
      <c r="AI822" t="s">
        <v>5595</v>
      </c>
      <c r="AJ822" t="s">
        <v>5923</v>
      </c>
      <c r="AK822" t="s">
        <v>978</v>
      </c>
      <c r="AL822" t="s">
        <v>978</v>
      </c>
      <c r="AM822" t="s">
        <v>979</v>
      </c>
      <c r="AN822">
        <v>0</v>
      </c>
      <c r="AO822" t="s">
        <v>257</v>
      </c>
      <c r="AP822">
        <v>0</v>
      </c>
      <c r="AQ822">
        <v>1</v>
      </c>
      <c r="AR822">
        <v>43</v>
      </c>
      <c r="AS822">
        <v>1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1</v>
      </c>
      <c r="AZ822" t="s">
        <v>257</v>
      </c>
      <c r="BA822" t="s">
        <v>980</v>
      </c>
      <c r="BB822" t="s">
        <v>981</v>
      </c>
      <c r="BC822" t="s">
        <v>257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 t="s">
        <v>998</v>
      </c>
      <c r="BK822" t="s">
        <v>981</v>
      </c>
      <c r="BL822" t="s">
        <v>5919</v>
      </c>
      <c r="BM822">
        <v>20230929</v>
      </c>
      <c r="BN822">
        <v>20230929</v>
      </c>
      <c r="BO822">
        <v>0</v>
      </c>
      <c r="BP822" t="s">
        <v>257</v>
      </c>
      <c r="BQ822" t="s">
        <v>983</v>
      </c>
      <c r="BR822" t="s">
        <v>978</v>
      </c>
      <c r="BS822" t="s">
        <v>979</v>
      </c>
      <c r="BT822">
        <v>0</v>
      </c>
      <c r="BU822">
        <v>0</v>
      </c>
      <c r="BV822" t="s">
        <v>984</v>
      </c>
      <c r="BW822" t="s">
        <v>257</v>
      </c>
      <c r="BX822">
        <v>0</v>
      </c>
      <c r="BY822" t="s">
        <v>980</v>
      </c>
      <c r="BZ822" t="s">
        <v>257</v>
      </c>
      <c r="CA822">
        <v>0</v>
      </c>
      <c r="CB822">
        <v>0</v>
      </c>
      <c r="CC822" t="s">
        <v>1901</v>
      </c>
      <c r="CD822">
        <v>0</v>
      </c>
      <c r="CE822">
        <v>0</v>
      </c>
      <c r="CF822">
        <v>3</v>
      </c>
      <c r="CG822">
        <v>0</v>
      </c>
      <c r="CH822">
        <v>0</v>
      </c>
      <c r="CI822" t="s">
        <v>983</v>
      </c>
      <c r="CJ822" t="s">
        <v>972</v>
      </c>
      <c r="CK822" t="s">
        <v>986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 t="s">
        <v>987</v>
      </c>
      <c r="CV822">
        <v>400008828</v>
      </c>
      <c r="CW822" t="s">
        <v>987</v>
      </c>
      <c r="CX822" t="s">
        <v>5924</v>
      </c>
      <c r="CY822" t="s">
        <v>989</v>
      </c>
    </row>
    <row r="823" spans="1:103" hidden="1" x14ac:dyDescent="0.25">
      <c r="A823">
        <v>410000829</v>
      </c>
      <c r="B823" t="s">
        <v>5925</v>
      </c>
      <c r="C823" t="s">
        <v>5926</v>
      </c>
      <c r="D823">
        <v>401100000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1</v>
      </c>
      <c r="Y823" t="s">
        <v>972</v>
      </c>
      <c r="Z823" t="s">
        <v>987</v>
      </c>
      <c r="AA823" t="s">
        <v>5927</v>
      </c>
      <c r="AB823" t="s">
        <v>975</v>
      </c>
      <c r="AC823">
        <v>4020</v>
      </c>
      <c r="AD823" t="s">
        <v>5928</v>
      </c>
      <c r="AE823">
        <v>32499510151</v>
      </c>
      <c r="AF823" t="s">
        <v>979</v>
      </c>
      <c r="AG823" t="s">
        <v>977</v>
      </c>
      <c r="AH823">
        <v>461933695</v>
      </c>
      <c r="AI823" t="s">
        <v>5929</v>
      </c>
      <c r="AJ823" t="s">
        <v>978</v>
      </c>
      <c r="AK823" t="s">
        <v>978</v>
      </c>
      <c r="AL823" t="s">
        <v>978</v>
      </c>
      <c r="AM823" t="s">
        <v>979</v>
      </c>
      <c r="AN823">
        <v>0</v>
      </c>
      <c r="AO823" t="s">
        <v>257</v>
      </c>
      <c r="AP823">
        <v>0</v>
      </c>
      <c r="AQ823">
        <v>1</v>
      </c>
      <c r="AR823">
        <v>43</v>
      </c>
      <c r="AS823">
        <v>1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1</v>
      </c>
      <c r="AZ823" t="s">
        <v>257</v>
      </c>
      <c r="BA823" t="s">
        <v>980</v>
      </c>
      <c r="BB823" t="s">
        <v>981</v>
      </c>
      <c r="BC823" t="s">
        <v>257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 t="s">
        <v>998</v>
      </c>
      <c r="BK823" t="s">
        <v>981</v>
      </c>
      <c r="BL823" t="s">
        <v>5925</v>
      </c>
      <c r="BM823">
        <v>20230929</v>
      </c>
      <c r="BN823">
        <v>20230929</v>
      </c>
      <c r="BO823">
        <v>0</v>
      </c>
      <c r="BP823" t="s">
        <v>257</v>
      </c>
      <c r="BQ823" t="s">
        <v>983</v>
      </c>
      <c r="BR823" t="s">
        <v>978</v>
      </c>
      <c r="BS823" t="s">
        <v>979</v>
      </c>
      <c r="BT823">
        <v>0</v>
      </c>
      <c r="BU823">
        <v>0</v>
      </c>
      <c r="BV823" t="s">
        <v>984</v>
      </c>
      <c r="BW823" t="s">
        <v>257</v>
      </c>
      <c r="BX823">
        <v>0</v>
      </c>
      <c r="BY823" t="s">
        <v>980</v>
      </c>
      <c r="BZ823" t="s">
        <v>257</v>
      </c>
      <c r="CA823">
        <v>0</v>
      </c>
      <c r="CB823">
        <v>0</v>
      </c>
      <c r="CC823" t="s">
        <v>2000</v>
      </c>
      <c r="CD823">
        <v>0</v>
      </c>
      <c r="CE823">
        <v>0</v>
      </c>
      <c r="CF823">
        <v>0</v>
      </c>
      <c r="CG823">
        <v>0</v>
      </c>
      <c r="CH823">
        <v>0</v>
      </c>
      <c r="CI823" t="s">
        <v>983</v>
      </c>
      <c r="CJ823" t="s">
        <v>972</v>
      </c>
      <c r="CK823" t="s">
        <v>986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 t="s">
        <v>987</v>
      </c>
      <c r="CV823">
        <v>400008829</v>
      </c>
      <c r="CW823" t="s">
        <v>987</v>
      </c>
      <c r="CX823" t="s">
        <v>5930</v>
      </c>
      <c r="CY823" t="s">
        <v>989</v>
      </c>
    </row>
    <row r="824" spans="1:103" hidden="1" x14ac:dyDescent="0.25">
      <c r="A824">
        <v>410000830</v>
      </c>
      <c r="B824" t="s">
        <v>5931</v>
      </c>
      <c r="C824" t="s">
        <v>5932</v>
      </c>
      <c r="D824">
        <v>401100000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1</v>
      </c>
      <c r="X824">
        <v>1</v>
      </c>
      <c r="Y824" t="s">
        <v>972</v>
      </c>
      <c r="Z824" t="s">
        <v>987</v>
      </c>
      <c r="AA824" t="s">
        <v>5933</v>
      </c>
      <c r="AB824" t="s">
        <v>975</v>
      </c>
      <c r="AC824">
        <v>4432</v>
      </c>
      <c r="AD824" t="s">
        <v>1313</v>
      </c>
      <c r="AE824" t="s">
        <v>979</v>
      </c>
      <c r="AF824" t="s">
        <v>979</v>
      </c>
      <c r="AG824" t="s">
        <v>5934</v>
      </c>
      <c r="AH824">
        <v>731585975</v>
      </c>
      <c r="AI824" t="s">
        <v>5935</v>
      </c>
      <c r="AJ824" t="s">
        <v>5936</v>
      </c>
      <c r="AK824" t="s">
        <v>978</v>
      </c>
      <c r="AL824" t="s">
        <v>978</v>
      </c>
      <c r="AM824" t="s">
        <v>979</v>
      </c>
      <c r="AN824">
        <v>0</v>
      </c>
      <c r="AO824" t="s">
        <v>257</v>
      </c>
      <c r="AP824">
        <v>0</v>
      </c>
      <c r="AQ824">
        <v>1</v>
      </c>
      <c r="AR824">
        <v>43</v>
      </c>
      <c r="AS824">
        <v>1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1</v>
      </c>
      <c r="AZ824" t="s">
        <v>257</v>
      </c>
      <c r="BA824" t="s">
        <v>980</v>
      </c>
      <c r="BB824" t="s">
        <v>981</v>
      </c>
      <c r="BC824" t="s">
        <v>257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 t="s">
        <v>998</v>
      </c>
      <c r="BK824" t="s">
        <v>981</v>
      </c>
      <c r="BL824" t="s">
        <v>5931</v>
      </c>
      <c r="BM824">
        <v>20231003</v>
      </c>
      <c r="BN824">
        <v>20231005</v>
      </c>
      <c r="BO824">
        <v>0</v>
      </c>
      <c r="BP824" t="s">
        <v>257</v>
      </c>
      <c r="BQ824" t="s">
        <v>983</v>
      </c>
      <c r="BR824" t="s">
        <v>978</v>
      </c>
      <c r="BS824">
        <v>32499050964</v>
      </c>
      <c r="BT824">
        <v>0</v>
      </c>
      <c r="BU824">
        <v>0</v>
      </c>
      <c r="BV824" t="s">
        <v>984</v>
      </c>
      <c r="BW824" t="s">
        <v>257</v>
      </c>
      <c r="BX824">
        <v>0</v>
      </c>
      <c r="BY824" t="s">
        <v>980</v>
      </c>
      <c r="BZ824" t="s">
        <v>257</v>
      </c>
      <c r="CA824">
        <v>0</v>
      </c>
      <c r="CB824">
        <v>0</v>
      </c>
      <c r="CC824" t="s">
        <v>1317</v>
      </c>
      <c r="CD824">
        <v>0</v>
      </c>
      <c r="CE824">
        <v>0</v>
      </c>
      <c r="CF824">
        <v>0</v>
      </c>
      <c r="CG824">
        <v>0</v>
      </c>
      <c r="CH824">
        <v>0</v>
      </c>
      <c r="CI824" t="s">
        <v>983</v>
      </c>
      <c r="CJ824" t="s">
        <v>972</v>
      </c>
      <c r="CK824" t="s">
        <v>986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 t="s">
        <v>987</v>
      </c>
      <c r="CV824">
        <v>400008830</v>
      </c>
      <c r="CW824" t="s">
        <v>987</v>
      </c>
      <c r="CX824" t="s">
        <v>5937</v>
      </c>
      <c r="CY824" t="s">
        <v>989</v>
      </c>
    </row>
    <row r="825" spans="1:103" hidden="1" x14ac:dyDescent="0.25">
      <c r="A825">
        <v>410000831</v>
      </c>
      <c r="B825" t="s">
        <v>5938</v>
      </c>
      <c r="C825" t="s">
        <v>5939</v>
      </c>
      <c r="D825">
        <v>401100000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1</v>
      </c>
      <c r="Y825" t="s">
        <v>972</v>
      </c>
      <c r="Z825" t="s">
        <v>987</v>
      </c>
      <c r="AA825" t="s">
        <v>5940</v>
      </c>
      <c r="AB825" t="s">
        <v>975</v>
      </c>
      <c r="AC825">
        <v>1170</v>
      </c>
      <c r="AD825" t="s">
        <v>5941</v>
      </c>
      <c r="AE825">
        <v>3226737465</v>
      </c>
      <c r="AF825" t="s">
        <v>979</v>
      </c>
      <c r="AG825" t="s">
        <v>977</v>
      </c>
      <c r="AH825">
        <v>425375385</v>
      </c>
      <c r="AI825" t="s">
        <v>5699</v>
      </c>
      <c r="AJ825" t="s">
        <v>5942</v>
      </c>
      <c r="AK825" t="s">
        <v>978</v>
      </c>
      <c r="AL825" t="s">
        <v>978</v>
      </c>
      <c r="AM825" t="s">
        <v>979</v>
      </c>
      <c r="AN825">
        <v>0</v>
      </c>
      <c r="AO825" t="s">
        <v>257</v>
      </c>
      <c r="AP825">
        <v>0</v>
      </c>
      <c r="AQ825">
        <v>20</v>
      </c>
      <c r="AR825">
        <v>69</v>
      </c>
      <c r="AS825">
        <v>1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1</v>
      </c>
      <c r="AZ825" t="s">
        <v>257</v>
      </c>
      <c r="BA825" t="s">
        <v>980</v>
      </c>
      <c r="BB825" t="s">
        <v>981</v>
      </c>
      <c r="BC825" t="s">
        <v>257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 t="s">
        <v>1285</v>
      </c>
      <c r="BK825" t="s">
        <v>981</v>
      </c>
      <c r="BL825" t="s">
        <v>5938</v>
      </c>
      <c r="BM825">
        <v>20231006</v>
      </c>
      <c r="BN825">
        <v>20240910</v>
      </c>
      <c r="BO825">
        <v>0</v>
      </c>
      <c r="BP825" t="s">
        <v>257</v>
      </c>
      <c r="BQ825" t="s">
        <v>983</v>
      </c>
      <c r="BR825" t="s">
        <v>978</v>
      </c>
      <c r="BS825" t="s">
        <v>979</v>
      </c>
      <c r="BT825">
        <v>0</v>
      </c>
      <c r="BU825">
        <v>0</v>
      </c>
      <c r="BV825" t="s">
        <v>984</v>
      </c>
      <c r="BW825" t="s">
        <v>257</v>
      </c>
      <c r="BX825">
        <v>0</v>
      </c>
      <c r="BY825" t="s">
        <v>980</v>
      </c>
      <c r="BZ825" t="s">
        <v>257</v>
      </c>
      <c r="CA825">
        <v>0</v>
      </c>
      <c r="CB825">
        <v>0</v>
      </c>
      <c r="CC825" t="s">
        <v>1901</v>
      </c>
      <c r="CD825">
        <v>0</v>
      </c>
      <c r="CE825">
        <v>0</v>
      </c>
      <c r="CF825">
        <v>0</v>
      </c>
      <c r="CG825">
        <v>0</v>
      </c>
      <c r="CH825">
        <v>0</v>
      </c>
      <c r="CI825" t="s">
        <v>983</v>
      </c>
      <c r="CJ825" t="s">
        <v>972</v>
      </c>
      <c r="CK825" t="s">
        <v>986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 t="s">
        <v>987</v>
      </c>
      <c r="CV825">
        <v>400008831</v>
      </c>
      <c r="CW825" t="s">
        <v>987</v>
      </c>
      <c r="CX825" t="s">
        <v>5943</v>
      </c>
      <c r="CY825" t="s">
        <v>989</v>
      </c>
    </row>
    <row r="826" spans="1:103" hidden="1" x14ac:dyDescent="0.25">
      <c r="A826">
        <v>410000832</v>
      </c>
      <c r="B826" t="s">
        <v>5944</v>
      </c>
      <c r="C826" t="s">
        <v>5945</v>
      </c>
      <c r="D826">
        <v>401100000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1</v>
      </c>
      <c r="Y826" t="s">
        <v>972</v>
      </c>
      <c r="Z826" t="s">
        <v>987</v>
      </c>
      <c r="AA826" t="s">
        <v>5946</v>
      </c>
      <c r="AB826" t="s">
        <v>975</v>
      </c>
      <c r="AC826">
        <v>4340</v>
      </c>
      <c r="AD826" t="s">
        <v>1076</v>
      </c>
      <c r="AE826">
        <v>3242527293</v>
      </c>
      <c r="AF826" t="s">
        <v>979</v>
      </c>
      <c r="AG826" t="s">
        <v>977</v>
      </c>
      <c r="AH826">
        <v>424882269</v>
      </c>
      <c r="AI826" t="s">
        <v>5947</v>
      </c>
      <c r="AJ826" t="s">
        <v>5948</v>
      </c>
      <c r="AK826" t="s">
        <v>978</v>
      </c>
      <c r="AL826" t="s">
        <v>978</v>
      </c>
      <c r="AM826" t="s">
        <v>979</v>
      </c>
      <c r="AN826">
        <v>0</v>
      </c>
      <c r="AO826" t="s">
        <v>257</v>
      </c>
      <c r="AP826">
        <v>0</v>
      </c>
      <c r="AQ826">
        <v>20</v>
      </c>
      <c r="AR826">
        <v>43</v>
      </c>
      <c r="AS826">
        <v>1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1</v>
      </c>
      <c r="AZ826" t="s">
        <v>257</v>
      </c>
      <c r="BA826" t="s">
        <v>980</v>
      </c>
      <c r="BB826" t="s">
        <v>981</v>
      </c>
      <c r="BC826" t="s">
        <v>257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 t="s">
        <v>1285</v>
      </c>
      <c r="BK826" t="s">
        <v>981</v>
      </c>
      <c r="BL826" t="s">
        <v>5944</v>
      </c>
      <c r="BM826">
        <v>20231006</v>
      </c>
      <c r="BN826">
        <v>20240722</v>
      </c>
      <c r="BO826">
        <v>0</v>
      </c>
      <c r="BP826" t="s">
        <v>257</v>
      </c>
      <c r="BQ826" t="s">
        <v>983</v>
      </c>
      <c r="BR826" t="s">
        <v>978</v>
      </c>
      <c r="BS826" t="s">
        <v>979</v>
      </c>
      <c r="BT826">
        <v>0</v>
      </c>
      <c r="BU826">
        <v>0</v>
      </c>
      <c r="BV826" t="s">
        <v>984</v>
      </c>
      <c r="BW826" t="s">
        <v>257</v>
      </c>
      <c r="BX826">
        <v>0</v>
      </c>
      <c r="BY826" t="s">
        <v>980</v>
      </c>
      <c r="BZ826" t="s">
        <v>257</v>
      </c>
      <c r="CA826">
        <v>0</v>
      </c>
      <c r="CB826">
        <v>0</v>
      </c>
      <c r="CC826" t="s">
        <v>1499</v>
      </c>
      <c r="CD826">
        <v>0</v>
      </c>
      <c r="CE826">
        <v>0</v>
      </c>
      <c r="CF826">
        <v>0</v>
      </c>
      <c r="CG826">
        <v>0</v>
      </c>
      <c r="CH826">
        <v>0</v>
      </c>
      <c r="CI826" t="s">
        <v>983</v>
      </c>
      <c r="CJ826" t="s">
        <v>972</v>
      </c>
      <c r="CK826" t="s">
        <v>986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 t="s">
        <v>987</v>
      </c>
      <c r="CV826">
        <v>400008832</v>
      </c>
      <c r="CW826" t="s">
        <v>987</v>
      </c>
      <c r="CX826" t="s">
        <v>5949</v>
      </c>
      <c r="CY826" t="s">
        <v>989</v>
      </c>
    </row>
    <row r="827" spans="1:103" hidden="1" x14ac:dyDescent="0.25">
      <c r="A827">
        <v>410000833</v>
      </c>
      <c r="B827" t="s">
        <v>5950</v>
      </c>
      <c r="C827" t="s">
        <v>5951</v>
      </c>
      <c r="D827">
        <v>401100000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1</v>
      </c>
      <c r="Y827" t="s">
        <v>972</v>
      </c>
      <c r="Z827" t="s">
        <v>987</v>
      </c>
      <c r="AA827" t="s">
        <v>5952</v>
      </c>
      <c r="AB827" t="s">
        <v>975</v>
      </c>
      <c r="AC827">
        <v>4000</v>
      </c>
      <c r="AD827" t="s">
        <v>1019</v>
      </c>
      <c r="AE827">
        <v>3243403830</v>
      </c>
      <c r="AF827" t="s">
        <v>979</v>
      </c>
      <c r="AG827" t="s">
        <v>977</v>
      </c>
      <c r="AH827" t="s">
        <v>977</v>
      </c>
      <c r="AI827" t="s">
        <v>977</v>
      </c>
      <c r="AJ827" t="s">
        <v>978</v>
      </c>
      <c r="AK827" t="s">
        <v>978</v>
      </c>
      <c r="AL827" t="s">
        <v>978</v>
      </c>
      <c r="AM827" t="s">
        <v>979</v>
      </c>
      <c r="AN827">
        <v>0</v>
      </c>
      <c r="AO827" t="s">
        <v>257</v>
      </c>
      <c r="AP827">
        <v>0</v>
      </c>
      <c r="AQ827">
        <v>20</v>
      </c>
      <c r="AR827">
        <v>69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1</v>
      </c>
      <c r="AZ827" t="s">
        <v>257</v>
      </c>
      <c r="BA827" t="s">
        <v>980</v>
      </c>
      <c r="BB827" t="s">
        <v>981</v>
      </c>
      <c r="BC827" t="s">
        <v>257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 t="s">
        <v>1285</v>
      </c>
      <c r="BK827" t="s">
        <v>981</v>
      </c>
      <c r="BL827" t="s">
        <v>5950</v>
      </c>
      <c r="BM827">
        <v>20231006</v>
      </c>
      <c r="BN827">
        <v>20240910</v>
      </c>
      <c r="BO827">
        <v>0</v>
      </c>
      <c r="BP827" t="s">
        <v>257</v>
      </c>
      <c r="BQ827" t="s">
        <v>983</v>
      </c>
      <c r="BR827" t="s">
        <v>978</v>
      </c>
      <c r="BS827">
        <v>32491115086</v>
      </c>
      <c r="BT827">
        <v>0</v>
      </c>
      <c r="BU827">
        <v>0</v>
      </c>
      <c r="BV827" t="s">
        <v>984</v>
      </c>
      <c r="BW827" t="s">
        <v>257</v>
      </c>
      <c r="BX827">
        <v>0</v>
      </c>
      <c r="BY827" t="s">
        <v>980</v>
      </c>
      <c r="BZ827" t="s">
        <v>257</v>
      </c>
      <c r="CA827">
        <v>0</v>
      </c>
      <c r="CB827">
        <v>0</v>
      </c>
      <c r="CC827" t="s">
        <v>2000</v>
      </c>
      <c r="CD827">
        <v>0</v>
      </c>
      <c r="CE827">
        <v>0</v>
      </c>
      <c r="CF827">
        <v>0</v>
      </c>
      <c r="CG827">
        <v>0</v>
      </c>
      <c r="CH827">
        <v>0</v>
      </c>
      <c r="CI827" t="s">
        <v>983</v>
      </c>
      <c r="CJ827" t="s">
        <v>972</v>
      </c>
      <c r="CK827" t="s">
        <v>986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 t="s">
        <v>987</v>
      </c>
      <c r="CV827">
        <v>400008833</v>
      </c>
      <c r="CW827" t="s">
        <v>987</v>
      </c>
      <c r="CX827" t="s">
        <v>5953</v>
      </c>
      <c r="CY827" t="s">
        <v>989</v>
      </c>
    </row>
    <row r="828" spans="1:103" hidden="1" x14ac:dyDescent="0.25">
      <c r="A828">
        <v>410000834</v>
      </c>
      <c r="B828" t="s">
        <v>5954</v>
      </c>
      <c r="C828" t="s">
        <v>5955</v>
      </c>
      <c r="D828">
        <v>401100000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1</v>
      </c>
      <c r="Y828" t="s">
        <v>972</v>
      </c>
      <c r="Z828" t="s">
        <v>987</v>
      </c>
      <c r="AA828" t="s">
        <v>5956</v>
      </c>
      <c r="AB828" t="s">
        <v>975</v>
      </c>
      <c r="AC828">
        <v>4651</v>
      </c>
      <c r="AD828" t="s">
        <v>1093</v>
      </c>
      <c r="AE828">
        <v>3287661515</v>
      </c>
      <c r="AF828" t="s">
        <v>979</v>
      </c>
      <c r="AG828" t="s">
        <v>977</v>
      </c>
      <c r="AH828">
        <v>450542432</v>
      </c>
      <c r="AI828" t="s">
        <v>5595</v>
      </c>
      <c r="AJ828" t="s">
        <v>5957</v>
      </c>
      <c r="AK828" t="s">
        <v>978</v>
      </c>
      <c r="AL828" t="s">
        <v>978</v>
      </c>
      <c r="AM828" t="s">
        <v>979</v>
      </c>
      <c r="AN828">
        <v>0</v>
      </c>
      <c r="AO828" t="s">
        <v>257</v>
      </c>
      <c r="AP828">
        <v>0</v>
      </c>
      <c r="AQ828">
        <v>1</v>
      </c>
      <c r="AR828">
        <v>43</v>
      </c>
      <c r="AS828">
        <v>1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1</v>
      </c>
      <c r="AZ828" t="s">
        <v>257</v>
      </c>
      <c r="BA828" t="s">
        <v>980</v>
      </c>
      <c r="BB828" t="s">
        <v>981</v>
      </c>
      <c r="BC828" t="s">
        <v>257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 t="s">
        <v>998</v>
      </c>
      <c r="BK828" t="s">
        <v>981</v>
      </c>
      <c r="BL828" t="s">
        <v>5954</v>
      </c>
      <c r="BM828">
        <v>20231006</v>
      </c>
      <c r="BN828">
        <v>20231006</v>
      </c>
      <c r="BO828">
        <v>0</v>
      </c>
      <c r="BP828" t="s">
        <v>257</v>
      </c>
      <c r="BQ828" t="s">
        <v>983</v>
      </c>
      <c r="BR828" t="s">
        <v>978</v>
      </c>
      <c r="BS828" t="s">
        <v>979</v>
      </c>
      <c r="BT828">
        <v>0</v>
      </c>
      <c r="BU828">
        <v>0</v>
      </c>
      <c r="BV828" t="s">
        <v>984</v>
      </c>
      <c r="BW828" t="s">
        <v>257</v>
      </c>
      <c r="BX828">
        <v>0</v>
      </c>
      <c r="BY828" t="s">
        <v>980</v>
      </c>
      <c r="BZ828" t="s">
        <v>257</v>
      </c>
      <c r="CA828">
        <v>0</v>
      </c>
      <c r="CB828">
        <v>0</v>
      </c>
      <c r="CC828" t="s">
        <v>1391</v>
      </c>
      <c r="CD828">
        <v>0</v>
      </c>
      <c r="CE828">
        <v>0</v>
      </c>
      <c r="CF828">
        <v>0</v>
      </c>
      <c r="CG828">
        <v>0</v>
      </c>
      <c r="CH828">
        <v>0</v>
      </c>
      <c r="CI828" t="s">
        <v>983</v>
      </c>
      <c r="CJ828" t="s">
        <v>972</v>
      </c>
      <c r="CK828" t="s">
        <v>986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 t="s">
        <v>987</v>
      </c>
      <c r="CV828">
        <v>400008834</v>
      </c>
      <c r="CW828" t="s">
        <v>987</v>
      </c>
      <c r="CX828" t="s">
        <v>5958</v>
      </c>
      <c r="CY828" t="s">
        <v>989</v>
      </c>
    </row>
    <row r="829" spans="1:103" hidden="1" x14ac:dyDescent="0.25">
      <c r="A829">
        <v>410000835</v>
      </c>
      <c r="B829" t="s">
        <v>5959</v>
      </c>
      <c r="C829" t="s">
        <v>5960</v>
      </c>
      <c r="D829">
        <v>401100000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1</v>
      </c>
      <c r="Y829" t="s">
        <v>972</v>
      </c>
      <c r="Z829" t="s">
        <v>987</v>
      </c>
      <c r="AA829" t="s">
        <v>5961</v>
      </c>
      <c r="AB829" t="s">
        <v>975</v>
      </c>
      <c r="AC829">
        <v>4400</v>
      </c>
      <c r="AD829" t="s">
        <v>1237</v>
      </c>
      <c r="AE829">
        <v>3243379373</v>
      </c>
      <c r="AF829" t="s">
        <v>979</v>
      </c>
      <c r="AG829" t="s">
        <v>977</v>
      </c>
      <c r="AH829" t="s">
        <v>977</v>
      </c>
      <c r="AI829" t="s">
        <v>977</v>
      </c>
      <c r="AJ829" t="s">
        <v>978</v>
      </c>
      <c r="AK829" t="s">
        <v>978</v>
      </c>
      <c r="AL829" t="s">
        <v>978</v>
      </c>
      <c r="AM829" t="s">
        <v>979</v>
      </c>
      <c r="AN829">
        <v>0</v>
      </c>
      <c r="AO829" t="s">
        <v>257</v>
      </c>
      <c r="AP829">
        <v>0</v>
      </c>
      <c r="AQ829">
        <v>20</v>
      </c>
      <c r="AR829">
        <v>43</v>
      </c>
      <c r="AS829">
        <v>1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1</v>
      </c>
      <c r="AZ829" t="s">
        <v>257</v>
      </c>
      <c r="BA829" t="s">
        <v>257</v>
      </c>
      <c r="BB829" t="s">
        <v>981</v>
      </c>
      <c r="BC829" t="s">
        <v>257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 t="s">
        <v>1285</v>
      </c>
      <c r="BK829" t="s">
        <v>981</v>
      </c>
      <c r="BL829" t="s">
        <v>5959</v>
      </c>
      <c r="BM829">
        <v>20231010</v>
      </c>
      <c r="BN829">
        <v>20231030</v>
      </c>
      <c r="BO829">
        <v>0</v>
      </c>
      <c r="BP829" t="s">
        <v>257</v>
      </c>
      <c r="BQ829" t="s">
        <v>983</v>
      </c>
      <c r="BR829" t="s">
        <v>978</v>
      </c>
      <c r="BS829" t="s">
        <v>979</v>
      </c>
      <c r="BT829">
        <v>0</v>
      </c>
      <c r="BU829">
        <v>0</v>
      </c>
      <c r="BV829" t="s">
        <v>984</v>
      </c>
      <c r="BW829" t="s">
        <v>257</v>
      </c>
      <c r="BX829">
        <v>0</v>
      </c>
      <c r="BY829" t="s">
        <v>980</v>
      </c>
      <c r="BZ829" t="s">
        <v>257</v>
      </c>
      <c r="CA829">
        <v>0</v>
      </c>
      <c r="CB829">
        <v>0</v>
      </c>
      <c r="CC829" t="s">
        <v>1934</v>
      </c>
      <c r="CD829">
        <v>0</v>
      </c>
      <c r="CE829">
        <v>0</v>
      </c>
      <c r="CF829">
        <v>0</v>
      </c>
      <c r="CG829">
        <v>0</v>
      </c>
      <c r="CH829">
        <v>0</v>
      </c>
      <c r="CI829" t="s">
        <v>983</v>
      </c>
      <c r="CJ829" t="s">
        <v>972</v>
      </c>
      <c r="CK829" t="s">
        <v>986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 t="s">
        <v>987</v>
      </c>
      <c r="CV829">
        <v>400008835</v>
      </c>
      <c r="CW829" t="s">
        <v>987</v>
      </c>
      <c r="CX829" t="s">
        <v>5962</v>
      </c>
      <c r="CY829" t="s">
        <v>989</v>
      </c>
    </row>
    <row r="830" spans="1:103" hidden="1" x14ac:dyDescent="0.25">
      <c r="A830">
        <v>410000836</v>
      </c>
      <c r="B830" t="s">
        <v>5963</v>
      </c>
      <c r="C830" t="s">
        <v>5964</v>
      </c>
      <c r="D830">
        <v>401100000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1</v>
      </c>
      <c r="Y830" t="s">
        <v>972</v>
      </c>
      <c r="Z830" t="s">
        <v>987</v>
      </c>
      <c r="AA830" t="s">
        <v>5965</v>
      </c>
      <c r="AB830" t="s">
        <v>975</v>
      </c>
      <c r="AC830">
        <v>4130</v>
      </c>
      <c r="AD830" t="s">
        <v>2454</v>
      </c>
      <c r="AE830">
        <v>3243882981</v>
      </c>
      <c r="AF830" t="s">
        <v>979</v>
      </c>
      <c r="AG830" t="s">
        <v>977</v>
      </c>
      <c r="AH830">
        <v>426472277</v>
      </c>
      <c r="AI830" t="s">
        <v>5966</v>
      </c>
      <c r="AJ830" t="s">
        <v>978</v>
      </c>
      <c r="AK830" t="s">
        <v>978</v>
      </c>
      <c r="AL830" t="s">
        <v>978</v>
      </c>
      <c r="AM830" t="s">
        <v>979</v>
      </c>
      <c r="AN830">
        <v>0</v>
      </c>
      <c r="AO830" t="s">
        <v>257</v>
      </c>
      <c r="AP830">
        <v>0</v>
      </c>
      <c r="AQ830">
        <v>20</v>
      </c>
      <c r="AR830">
        <v>43</v>
      </c>
      <c r="AS830">
        <v>1</v>
      </c>
      <c r="AT830">
        <v>0</v>
      </c>
      <c r="AU830">
        <v>1</v>
      </c>
      <c r="AV830">
        <v>0</v>
      </c>
      <c r="AW830">
        <v>0</v>
      </c>
      <c r="AX830">
        <v>0</v>
      </c>
      <c r="AY830">
        <v>1</v>
      </c>
      <c r="AZ830" t="s">
        <v>257</v>
      </c>
      <c r="BA830" t="s">
        <v>257</v>
      </c>
      <c r="BB830" t="s">
        <v>981</v>
      </c>
      <c r="BC830" t="s">
        <v>257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 t="s">
        <v>1285</v>
      </c>
      <c r="BK830" t="s">
        <v>981</v>
      </c>
      <c r="BL830" t="s">
        <v>5963</v>
      </c>
      <c r="BM830">
        <v>20231010</v>
      </c>
      <c r="BN830">
        <v>20231031</v>
      </c>
      <c r="BO830">
        <v>0</v>
      </c>
      <c r="BP830" t="s">
        <v>257</v>
      </c>
      <c r="BQ830" t="s">
        <v>983</v>
      </c>
      <c r="BR830" t="s">
        <v>978</v>
      </c>
      <c r="BS830" t="s">
        <v>979</v>
      </c>
      <c r="BT830">
        <v>0</v>
      </c>
      <c r="BU830">
        <v>0</v>
      </c>
      <c r="BV830" t="s">
        <v>984</v>
      </c>
      <c r="BW830" t="s">
        <v>257</v>
      </c>
      <c r="BX830">
        <v>0</v>
      </c>
      <c r="BY830" t="s">
        <v>980</v>
      </c>
      <c r="BZ830" t="s">
        <v>257</v>
      </c>
      <c r="CA830">
        <v>0</v>
      </c>
      <c r="CB830">
        <v>0</v>
      </c>
      <c r="CC830" t="s">
        <v>1469</v>
      </c>
      <c r="CD830">
        <v>0</v>
      </c>
      <c r="CE830">
        <v>0</v>
      </c>
      <c r="CF830">
        <v>0</v>
      </c>
      <c r="CG830">
        <v>0</v>
      </c>
      <c r="CH830">
        <v>0</v>
      </c>
      <c r="CI830" t="s">
        <v>983</v>
      </c>
      <c r="CJ830" t="s">
        <v>972</v>
      </c>
      <c r="CK830" t="s">
        <v>986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 t="s">
        <v>987</v>
      </c>
      <c r="CV830">
        <v>400008836</v>
      </c>
      <c r="CW830" t="s">
        <v>987</v>
      </c>
      <c r="CX830" t="s">
        <v>5967</v>
      </c>
      <c r="CY830" t="s">
        <v>989</v>
      </c>
    </row>
    <row r="831" spans="1:103" hidden="1" x14ac:dyDescent="0.25">
      <c r="A831">
        <v>410000837</v>
      </c>
      <c r="B831" t="s">
        <v>5968</v>
      </c>
      <c r="C831" t="s">
        <v>5969</v>
      </c>
      <c r="D831">
        <v>401100000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1</v>
      </c>
      <c r="Y831" t="s">
        <v>972</v>
      </c>
      <c r="Z831" t="s">
        <v>987</v>
      </c>
      <c r="AA831" t="s">
        <v>5970</v>
      </c>
      <c r="AB831" t="s">
        <v>975</v>
      </c>
      <c r="AC831">
        <v>4040</v>
      </c>
      <c r="AD831" t="s">
        <v>976</v>
      </c>
      <c r="AE831">
        <v>32492824060</v>
      </c>
      <c r="AF831" t="s">
        <v>979</v>
      </c>
      <c r="AG831" t="s">
        <v>977</v>
      </c>
      <c r="AH831">
        <v>1000331801</v>
      </c>
      <c r="AI831" t="s">
        <v>5971</v>
      </c>
      <c r="AJ831" t="s">
        <v>978</v>
      </c>
      <c r="AK831" t="s">
        <v>978</v>
      </c>
      <c r="AL831" t="s">
        <v>978</v>
      </c>
      <c r="AM831" t="s">
        <v>979</v>
      </c>
      <c r="AN831">
        <v>0</v>
      </c>
      <c r="AO831" t="s">
        <v>257</v>
      </c>
      <c r="AP831">
        <v>0</v>
      </c>
      <c r="AQ831">
        <v>20</v>
      </c>
      <c r="AR831">
        <v>43</v>
      </c>
      <c r="AS831">
        <v>1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1</v>
      </c>
      <c r="AZ831" t="s">
        <v>257</v>
      </c>
      <c r="BA831" t="s">
        <v>257</v>
      </c>
      <c r="BB831" t="s">
        <v>981</v>
      </c>
      <c r="BC831" t="s">
        <v>257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 t="s">
        <v>1285</v>
      </c>
      <c r="BK831" t="s">
        <v>981</v>
      </c>
      <c r="BL831" t="s">
        <v>5968</v>
      </c>
      <c r="BM831">
        <v>20231010</v>
      </c>
      <c r="BN831">
        <v>20231030</v>
      </c>
      <c r="BO831">
        <v>0</v>
      </c>
      <c r="BP831" t="s">
        <v>257</v>
      </c>
      <c r="BQ831" t="s">
        <v>983</v>
      </c>
      <c r="BR831" t="s">
        <v>978</v>
      </c>
      <c r="BS831" t="s">
        <v>979</v>
      </c>
      <c r="BT831">
        <v>0</v>
      </c>
      <c r="BU831">
        <v>0</v>
      </c>
      <c r="BV831" t="s">
        <v>984</v>
      </c>
      <c r="BW831" t="s">
        <v>257</v>
      </c>
      <c r="BX831">
        <v>0</v>
      </c>
      <c r="BY831" t="s">
        <v>980</v>
      </c>
      <c r="BZ831" t="s">
        <v>257</v>
      </c>
      <c r="CA831">
        <v>0</v>
      </c>
      <c r="CB831">
        <v>0</v>
      </c>
      <c r="CC831" t="s">
        <v>985</v>
      </c>
      <c r="CD831">
        <v>0</v>
      </c>
      <c r="CE831">
        <v>0</v>
      </c>
      <c r="CF831">
        <v>0</v>
      </c>
      <c r="CG831">
        <v>0</v>
      </c>
      <c r="CH831">
        <v>0</v>
      </c>
      <c r="CI831" t="s">
        <v>983</v>
      </c>
      <c r="CJ831" t="s">
        <v>972</v>
      </c>
      <c r="CK831" t="s">
        <v>986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 t="s">
        <v>987</v>
      </c>
      <c r="CV831">
        <v>400008837</v>
      </c>
      <c r="CW831" t="s">
        <v>987</v>
      </c>
      <c r="CX831" t="s">
        <v>5972</v>
      </c>
      <c r="CY831" t="s">
        <v>989</v>
      </c>
    </row>
    <row r="832" spans="1:103" hidden="1" x14ac:dyDescent="0.25">
      <c r="A832">
        <v>410000838</v>
      </c>
      <c r="B832" t="s">
        <v>5973</v>
      </c>
      <c r="C832" t="s">
        <v>5974</v>
      </c>
      <c r="D832">
        <v>401100000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1</v>
      </c>
      <c r="Y832" t="s">
        <v>972</v>
      </c>
      <c r="Z832" t="s">
        <v>987</v>
      </c>
      <c r="AA832" t="s">
        <v>5975</v>
      </c>
      <c r="AB832" t="s">
        <v>975</v>
      </c>
      <c r="AC832">
        <v>4040</v>
      </c>
      <c r="AD832" t="s">
        <v>976</v>
      </c>
      <c r="AE832">
        <v>3242646224</v>
      </c>
      <c r="AF832" t="s">
        <v>979</v>
      </c>
      <c r="AG832" t="s">
        <v>977</v>
      </c>
      <c r="AH832">
        <v>645684062</v>
      </c>
      <c r="AI832" t="s">
        <v>5976</v>
      </c>
      <c r="AJ832" t="s">
        <v>978</v>
      </c>
      <c r="AK832" t="s">
        <v>978</v>
      </c>
      <c r="AL832" t="s">
        <v>978</v>
      </c>
      <c r="AM832" t="s">
        <v>979</v>
      </c>
      <c r="AN832">
        <v>0</v>
      </c>
      <c r="AO832" t="s">
        <v>257</v>
      </c>
      <c r="AP832">
        <v>0</v>
      </c>
      <c r="AQ832">
        <v>20</v>
      </c>
      <c r="AR832">
        <v>43</v>
      </c>
      <c r="AS832">
        <v>1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1</v>
      </c>
      <c r="AZ832" t="s">
        <v>257</v>
      </c>
      <c r="BA832" t="s">
        <v>257</v>
      </c>
      <c r="BB832" t="s">
        <v>981</v>
      </c>
      <c r="BC832" t="s">
        <v>257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 t="s">
        <v>1285</v>
      </c>
      <c r="BK832" t="s">
        <v>981</v>
      </c>
      <c r="BL832" t="s">
        <v>5973</v>
      </c>
      <c r="BM832">
        <v>20231010</v>
      </c>
      <c r="BN832">
        <v>20231030</v>
      </c>
      <c r="BO832">
        <v>0</v>
      </c>
      <c r="BP832" t="s">
        <v>257</v>
      </c>
      <c r="BQ832" t="s">
        <v>983</v>
      </c>
      <c r="BR832" t="s">
        <v>978</v>
      </c>
      <c r="BS832" t="s">
        <v>979</v>
      </c>
      <c r="BT832">
        <v>0</v>
      </c>
      <c r="BU832">
        <v>0</v>
      </c>
      <c r="BV832" t="s">
        <v>984</v>
      </c>
      <c r="BW832" t="s">
        <v>257</v>
      </c>
      <c r="BX832">
        <v>0</v>
      </c>
      <c r="BY832" t="s">
        <v>980</v>
      </c>
      <c r="BZ832" t="s">
        <v>257</v>
      </c>
      <c r="CA832">
        <v>0</v>
      </c>
      <c r="CB832">
        <v>0</v>
      </c>
      <c r="CC832" t="s">
        <v>985</v>
      </c>
      <c r="CD832">
        <v>0</v>
      </c>
      <c r="CE832">
        <v>0</v>
      </c>
      <c r="CF832">
        <v>0</v>
      </c>
      <c r="CG832">
        <v>0</v>
      </c>
      <c r="CH832">
        <v>0</v>
      </c>
      <c r="CI832" t="s">
        <v>983</v>
      </c>
      <c r="CJ832" t="s">
        <v>972</v>
      </c>
      <c r="CK832" t="s">
        <v>986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 t="s">
        <v>987</v>
      </c>
      <c r="CV832">
        <v>400008838</v>
      </c>
      <c r="CW832" t="s">
        <v>987</v>
      </c>
      <c r="CX832" t="s">
        <v>5977</v>
      </c>
      <c r="CY832" t="s">
        <v>989</v>
      </c>
    </row>
    <row r="833" spans="1:103" hidden="1" x14ac:dyDescent="0.25">
      <c r="A833">
        <v>410000839</v>
      </c>
      <c r="B833" t="s">
        <v>5978</v>
      </c>
      <c r="C833" t="s">
        <v>5979</v>
      </c>
      <c r="D833">
        <v>401100000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1</v>
      </c>
      <c r="Y833" t="s">
        <v>972</v>
      </c>
      <c r="Z833" t="s">
        <v>4834</v>
      </c>
      <c r="AA833" t="s">
        <v>5980</v>
      </c>
      <c r="AB833" t="s">
        <v>975</v>
      </c>
      <c r="AC833">
        <v>4100</v>
      </c>
      <c r="AD833" t="s">
        <v>1655</v>
      </c>
      <c r="AE833" t="s">
        <v>979</v>
      </c>
      <c r="AF833" t="s">
        <v>979</v>
      </c>
      <c r="AG833" t="s">
        <v>977</v>
      </c>
      <c r="AH833">
        <v>440536881</v>
      </c>
      <c r="AI833" t="s">
        <v>5916</v>
      </c>
      <c r="AJ833" t="s">
        <v>978</v>
      </c>
      <c r="AK833" t="s">
        <v>978</v>
      </c>
      <c r="AL833" t="s">
        <v>978</v>
      </c>
      <c r="AM833" t="s">
        <v>979</v>
      </c>
      <c r="AN833">
        <v>0</v>
      </c>
      <c r="AO833" t="s">
        <v>257</v>
      </c>
      <c r="AP833">
        <v>0</v>
      </c>
      <c r="AQ833">
        <v>20</v>
      </c>
      <c r="AR833">
        <v>69</v>
      </c>
      <c r="AS833">
        <v>1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1</v>
      </c>
      <c r="AZ833" t="s">
        <v>257</v>
      </c>
      <c r="BA833" t="s">
        <v>980</v>
      </c>
      <c r="BB833" t="s">
        <v>981</v>
      </c>
      <c r="BC833" t="s">
        <v>257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 t="s">
        <v>1285</v>
      </c>
      <c r="BK833" t="s">
        <v>981</v>
      </c>
      <c r="BL833" t="s">
        <v>5978</v>
      </c>
      <c r="BM833">
        <v>20231013</v>
      </c>
      <c r="BN833">
        <v>20240910</v>
      </c>
      <c r="BO833">
        <v>0</v>
      </c>
      <c r="BP833" t="s">
        <v>257</v>
      </c>
      <c r="BQ833" t="s">
        <v>983</v>
      </c>
      <c r="BR833" t="s">
        <v>978</v>
      </c>
      <c r="BS833">
        <v>324989089099</v>
      </c>
      <c r="BT833">
        <v>0</v>
      </c>
      <c r="BU833">
        <v>0</v>
      </c>
      <c r="BV833" t="s">
        <v>984</v>
      </c>
      <c r="BW833" t="s">
        <v>257</v>
      </c>
      <c r="BX833">
        <v>0</v>
      </c>
      <c r="BY833" t="s">
        <v>980</v>
      </c>
      <c r="BZ833" t="s">
        <v>257</v>
      </c>
      <c r="CA833">
        <v>0</v>
      </c>
      <c r="CB833">
        <v>0</v>
      </c>
      <c r="CC833" t="s">
        <v>1207</v>
      </c>
      <c r="CD833">
        <v>0</v>
      </c>
      <c r="CE833">
        <v>0</v>
      </c>
      <c r="CF833">
        <v>0</v>
      </c>
      <c r="CG833">
        <v>0</v>
      </c>
      <c r="CH833">
        <v>0</v>
      </c>
      <c r="CI833" t="s">
        <v>983</v>
      </c>
      <c r="CJ833" t="s">
        <v>972</v>
      </c>
      <c r="CK833" t="s">
        <v>986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 t="s">
        <v>987</v>
      </c>
      <c r="CV833">
        <v>400008839</v>
      </c>
      <c r="CW833" t="s">
        <v>987</v>
      </c>
      <c r="CX833" t="s">
        <v>5981</v>
      </c>
      <c r="CY833" t="s">
        <v>989</v>
      </c>
    </row>
    <row r="834" spans="1:103" hidden="1" x14ac:dyDescent="0.25">
      <c r="A834">
        <v>410000840</v>
      </c>
      <c r="B834" t="s">
        <v>5982</v>
      </c>
      <c r="C834" t="s">
        <v>5983</v>
      </c>
      <c r="D834">
        <v>401100000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1</v>
      </c>
      <c r="Y834" t="s">
        <v>972</v>
      </c>
      <c r="Z834" t="s">
        <v>987</v>
      </c>
      <c r="AA834" t="s">
        <v>5984</v>
      </c>
      <c r="AB834" t="s">
        <v>975</v>
      </c>
      <c r="AC834">
        <v>4052</v>
      </c>
      <c r="AD834" t="s">
        <v>1261</v>
      </c>
      <c r="AE834" t="s">
        <v>979</v>
      </c>
      <c r="AF834" t="s">
        <v>979</v>
      </c>
      <c r="AG834" t="s">
        <v>977</v>
      </c>
      <c r="AH834">
        <v>449967558</v>
      </c>
      <c r="AI834" t="s">
        <v>5721</v>
      </c>
      <c r="AJ834" t="s">
        <v>978</v>
      </c>
      <c r="AK834" t="s">
        <v>978</v>
      </c>
      <c r="AL834" t="s">
        <v>978</v>
      </c>
      <c r="AM834" t="s">
        <v>979</v>
      </c>
      <c r="AN834">
        <v>0</v>
      </c>
      <c r="AO834" t="s">
        <v>257</v>
      </c>
      <c r="AP834">
        <v>0</v>
      </c>
      <c r="AQ834">
        <v>20</v>
      </c>
      <c r="AR834">
        <v>43</v>
      </c>
      <c r="AS834">
        <v>1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1</v>
      </c>
      <c r="AZ834" t="s">
        <v>257</v>
      </c>
      <c r="BA834" t="s">
        <v>257</v>
      </c>
      <c r="BB834" t="s">
        <v>981</v>
      </c>
      <c r="BC834" t="s">
        <v>257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 t="s">
        <v>1285</v>
      </c>
      <c r="BK834" t="s">
        <v>981</v>
      </c>
      <c r="BL834" t="s">
        <v>5982</v>
      </c>
      <c r="BM834">
        <v>20231013</v>
      </c>
      <c r="BN834">
        <v>20240109</v>
      </c>
      <c r="BO834">
        <v>0</v>
      </c>
      <c r="BP834" t="s">
        <v>257</v>
      </c>
      <c r="BQ834" t="s">
        <v>983</v>
      </c>
      <c r="BR834" t="s">
        <v>978</v>
      </c>
      <c r="BS834">
        <v>32495222236</v>
      </c>
      <c r="BT834">
        <v>0</v>
      </c>
      <c r="BU834">
        <v>0</v>
      </c>
      <c r="BV834" t="s">
        <v>984</v>
      </c>
      <c r="BW834" t="s">
        <v>257</v>
      </c>
      <c r="BX834">
        <v>0</v>
      </c>
      <c r="BY834" t="s">
        <v>980</v>
      </c>
      <c r="BZ834" t="s">
        <v>257</v>
      </c>
      <c r="CA834">
        <v>0</v>
      </c>
      <c r="CB834">
        <v>0</v>
      </c>
      <c r="CC834" t="s">
        <v>1128</v>
      </c>
      <c r="CD834">
        <v>0</v>
      </c>
      <c r="CE834">
        <v>0</v>
      </c>
      <c r="CF834">
        <v>0</v>
      </c>
      <c r="CG834">
        <v>0</v>
      </c>
      <c r="CH834">
        <v>0</v>
      </c>
      <c r="CI834" t="s">
        <v>983</v>
      </c>
      <c r="CJ834" t="s">
        <v>972</v>
      </c>
      <c r="CK834" t="s">
        <v>986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 t="s">
        <v>987</v>
      </c>
      <c r="CV834">
        <v>400008840</v>
      </c>
      <c r="CW834" t="s">
        <v>987</v>
      </c>
      <c r="CX834" t="s">
        <v>5985</v>
      </c>
      <c r="CY834" t="s">
        <v>989</v>
      </c>
    </row>
    <row r="835" spans="1:103" hidden="1" x14ac:dyDescent="0.25">
      <c r="A835">
        <v>410000841</v>
      </c>
      <c r="B835" t="s">
        <v>5986</v>
      </c>
      <c r="C835" t="s">
        <v>5987</v>
      </c>
      <c r="D835">
        <v>401100000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1</v>
      </c>
      <c r="Y835" t="s">
        <v>972</v>
      </c>
      <c r="Z835" t="s">
        <v>987</v>
      </c>
      <c r="AA835" t="s">
        <v>5988</v>
      </c>
      <c r="AB835" t="s">
        <v>975</v>
      </c>
      <c r="AC835">
        <v>5660</v>
      </c>
      <c r="AD835" t="s">
        <v>5989</v>
      </c>
      <c r="AE835">
        <v>3260311437</v>
      </c>
      <c r="AF835" t="s">
        <v>979</v>
      </c>
      <c r="AG835" t="s">
        <v>977</v>
      </c>
      <c r="AH835" t="s">
        <v>977</v>
      </c>
      <c r="AI835" t="s">
        <v>977</v>
      </c>
      <c r="AJ835" t="s">
        <v>5107</v>
      </c>
      <c r="AK835" t="s">
        <v>978</v>
      </c>
      <c r="AL835" t="s">
        <v>978</v>
      </c>
      <c r="AM835" t="s">
        <v>979</v>
      </c>
      <c r="AN835">
        <v>0</v>
      </c>
      <c r="AO835" t="s">
        <v>257</v>
      </c>
      <c r="AP835">
        <v>0</v>
      </c>
      <c r="AQ835">
        <v>1</v>
      </c>
      <c r="AR835">
        <v>43</v>
      </c>
      <c r="AS835">
        <v>1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1</v>
      </c>
      <c r="AZ835" t="s">
        <v>257</v>
      </c>
      <c r="BA835" t="s">
        <v>980</v>
      </c>
      <c r="BB835" t="s">
        <v>981</v>
      </c>
      <c r="BC835" t="s">
        <v>257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 t="s">
        <v>998</v>
      </c>
      <c r="BK835" t="s">
        <v>981</v>
      </c>
      <c r="BL835" t="s">
        <v>5986</v>
      </c>
      <c r="BM835">
        <v>20231017</v>
      </c>
      <c r="BN835">
        <v>20240820</v>
      </c>
      <c r="BO835">
        <v>0</v>
      </c>
      <c r="BP835" t="s">
        <v>257</v>
      </c>
      <c r="BQ835" t="s">
        <v>983</v>
      </c>
      <c r="BR835" t="s">
        <v>978</v>
      </c>
      <c r="BS835" t="s">
        <v>979</v>
      </c>
      <c r="BT835">
        <v>0</v>
      </c>
      <c r="BU835">
        <v>0</v>
      </c>
      <c r="BV835" t="s">
        <v>984</v>
      </c>
      <c r="BW835" t="s">
        <v>257</v>
      </c>
      <c r="BX835">
        <v>0</v>
      </c>
      <c r="BY835" t="s">
        <v>980</v>
      </c>
      <c r="BZ835" t="s">
        <v>257</v>
      </c>
      <c r="CA835">
        <v>0</v>
      </c>
      <c r="CB835">
        <v>0</v>
      </c>
      <c r="CC835" t="s">
        <v>1901</v>
      </c>
      <c r="CD835">
        <v>0</v>
      </c>
      <c r="CE835">
        <v>0</v>
      </c>
      <c r="CF835">
        <v>0</v>
      </c>
      <c r="CG835">
        <v>0</v>
      </c>
      <c r="CH835">
        <v>0</v>
      </c>
      <c r="CI835" t="s">
        <v>983</v>
      </c>
      <c r="CJ835" t="s">
        <v>972</v>
      </c>
      <c r="CK835" t="s">
        <v>986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 t="s">
        <v>987</v>
      </c>
      <c r="CV835">
        <v>400008841</v>
      </c>
      <c r="CW835" t="s">
        <v>987</v>
      </c>
      <c r="CX835" t="s">
        <v>5990</v>
      </c>
      <c r="CY835" t="s">
        <v>989</v>
      </c>
    </row>
    <row r="836" spans="1:103" hidden="1" x14ac:dyDescent="0.25">
      <c r="A836">
        <v>410000842</v>
      </c>
      <c r="B836" t="s">
        <v>5991</v>
      </c>
      <c r="C836" t="s">
        <v>5992</v>
      </c>
      <c r="D836">
        <v>401100000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1</v>
      </c>
      <c r="Y836" t="s">
        <v>972</v>
      </c>
      <c r="Z836" t="s">
        <v>987</v>
      </c>
      <c r="AA836" t="s">
        <v>5993</v>
      </c>
      <c r="AB836" t="s">
        <v>975</v>
      </c>
      <c r="AC836">
        <v>4970</v>
      </c>
      <c r="AD836" t="s">
        <v>1028</v>
      </c>
      <c r="AE836" t="s">
        <v>979</v>
      </c>
      <c r="AF836" t="s">
        <v>979</v>
      </c>
      <c r="AG836" t="s">
        <v>977</v>
      </c>
      <c r="AH836" t="s">
        <v>977</v>
      </c>
      <c r="AI836" t="s">
        <v>977</v>
      </c>
      <c r="AJ836" t="s">
        <v>5994</v>
      </c>
      <c r="AK836" t="s">
        <v>978</v>
      </c>
      <c r="AL836" t="s">
        <v>978</v>
      </c>
      <c r="AM836" t="s">
        <v>979</v>
      </c>
      <c r="AN836">
        <v>0</v>
      </c>
      <c r="AO836" t="s">
        <v>257</v>
      </c>
      <c r="AP836">
        <v>0</v>
      </c>
      <c r="AQ836">
        <v>1</v>
      </c>
      <c r="AR836">
        <v>43</v>
      </c>
      <c r="AS836">
        <v>1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1</v>
      </c>
      <c r="AZ836" t="s">
        <v>257</v>
      </c>
      <c r="BA836" t="s">
        <v>980</v>
      </c>
      <c r="BB836" t="s">
        <v>981</v>
      </c>
      <c r="BC836" t="s">
        <v>257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 t="s">
        <v>998</v>
      </c>
      <c r="BK836" t="s">
        <v>981</v>
      </c>
      <c r="BL836" t="s">
        <v>5991</v>
      </c>
      <c r="BM836">
        <v>20231019</v>
      </c>
      <c r="BN836">
        <v>20231019</v>
      </c>
      <c r="BO836">
        <v>0</v>
      </c>
      <c r="BP836" t="s">
        <v>257</v>
      </c>
      <c r="BQ836" t="s">
        <v>983</v>
      </c>
      <c r="BR836" t="s">
        <v>978</v>
      </c>
      <c r="BS836" t="s">
        <v>979</v>
      </c>
      <c r="BT836">
        <v>0</v>
      </c>
      <c r="BU836">
        <v>0</v>
      </c>
      <c r="BV836" t="s">
        <v>984</v>
      </c>
      <c r="BW836" t="s">
        <v>257</v>
      </c>
      <c r="BX836">
        <v>0</v>
      </c>
      <c r="BY836" t="s">
        <v>980</v>
      </c>
      <c r="BZ836" t="s">
        <v>257</v>
      </c>
      <c r="CA836">
        <v>0</v>
      </c>
      <c r="CB836">
        <v>0</v>
      </c>
      <c r="CC836" t="s">
        <v>1901</v>
      </c>
      <c r="CD836">
        <v>0</v>
      </c>
      <c r="CE836">
        <v>0</v>
      </c>
      <c r="CF836">
        <v>0</v>
      </c>
      <c r="CG836">
        <v>0</v>
      </c>
      <c r="CH836">
        <v>0</v>
      </c>
      <c r="CI836" t="s">
        <v>983</v>
      </c>
      <c r="CJ836" t="s">
        <v>972</v>
      </c>
      <c r="CK836" t="s">
        <v>986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 t="s">
        <v>987</v>
      </c>
      <c r="CV836">
        <v>400008842</v>
      </c>
      <c r="CW836" t="s">
        <v>987</v>
      </c>
      <c r="CX836" t="s">
        <v>5995</v>
      </c>
      <c r="CY836" t="s">
        <v>989</v>
      </c>
    </row>
    <row r="837" spans="1:103" hidden="1" x14ac:dyDescent="0.25">
      <c r="A837">
        <v>410000843</v>
      </c>
      <c r="B837" t="s">
        <v>5996</v>
      </c>
      <c r="C837" t="s">
        <v>5997</v>
      </c>
      <c r="D837">
        <v>401100000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1</v>
      </c>
      <c r="Y837" t="s">
        <v>972</v>
      </c>
      <c r="Z837" t="s">
        <v>987</v>
      </c>
      <c r="AA837" t="s">
        <v>7623</v>
      </c>
      <c r="AB837" t="s">
        <v>975</v>
      </c>
      <c r="AC837">
        <v>7850</v>
      </c>
      <c r="AD837" t="s">
        <v>7624</v>
      </c>
      <c r="AE837">
        <v>3226535628</v>
      </c>
      <c r="AF837" t="s">
        <v>979</v>
      </c>
      <c r="AG837" t="s">
        <v>977</v>
      </c>
      <c r="AH837">
        <v>880655179</v>
      </c>
      <c r="AI837" t="s">
        <v>5998</v>
      </c>
      <c r="AJ837" t="s">
        <v>5167</v>
      </c>
      <c r="AK837" t="s">
        <v>978</v>
      </c>
      <c r="AL837" t="s">
        <v>978</v>
      </c>
      <c r="AM837" t="s">
        <v>979</v>
      </c>
      <c r="AN837">
        <v>0</v>
      </c>
      <c r="AO837" t="s">
        <v>257</v>
      </c>
      <c r="AP837">
        <v>0</v>
      </c>
      <c r="AQ837">
        <v>20</v>
      </c>
      <c r="AR837">
        <v>69</v>
      </c>
      <c r="AS837">
        <v>1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1</v>
      </c>
      <c r="AZ837" t="s">
        <v>257</v>
      </c>
      <c r="BA837" t="s">
        <v>980</v>
      </c>
      <c r="BB837" t="s">
        <v>981</v>
      </c>
      <c r="BC837" t="s">
        <v>257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 t="s">
        <v>1285</v>
      </c>
      <c r="BK837" t="s">
        <v>981</v>
      </c>
      <c r="BL837" t="s">
        <v>5996</v>
      </c>
      <c r="BM837">
        <v>20231020</v>
      </c>
      <c r="BN837">
        <v>20251120</v>
      </c>
      <c r="BO837">
        <v>0</v>
      </c>
      <c r="BP837" t="s">
        <v>257</v>
      </c>
      <c r="BQ837" t="s">
        <v>983</v>
      </c>
      <c r="BR837" t="s">
        <v>978</v>
      </c>
      <c r="BS837" t="s">
        <v>979</v>
      </c>
      <c r="BT837">
        <v>0</v>
      </c>
      <c r="BU837">
        <v>0</v>
      </c>
      <c r="BV837" t="s">
        <v>984</v>
      </c>
      <c r="BW837" t="s">
        <v>257</v>
      </c>
      <c r="BX837">
        <v>0</v>
      </c>
      <c r="BY837" t="s">
        <v>980</v>
      </c>
      <c r="BZ837" t="s">
        <v>257</v>
      </c>
      <c r="CA837">
        <v>0</v>
      </c>
      <c r="CB837">
        <v>0</v>
      </c>
      <c r="CC837" t="s">
        <v>1901</v>
      </c>
      <c r="CD837">
        <v>0</v>
      </c>
      <c r="CE837">
        <v>0</v>
      </c>
      <c r="CF837">
        <v>0</v>
      </c>
      <c r="CG837">
        <v>0</v>
      </c>
      <c r="CH837">
        <v>0</v>
      </c>
      <c r="CI837" t="s">
        <v>983</v>
      </c>
      <c r="CJ837" t="s">
        <v>972</v>
      </c>
      <c r="CK837" t="s">
        <v>986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 t="s">
        <v>987</v>
      </c>
      <c r="CV837">
        <v>400008843</v>
      </c>
      <c r="CW837" t="s">
        <v>987</v>
      </c>
      <c r="CX837" t="s">
        <v>7625</v>
      </c>
      <c r="CY837" t="s">
        <v>989</v>
      </c>
    </row>
    <row r="838" spans="1:103" hidden="1" x14ac:dyDescent="0.25">
      <c r="A838">
        <v>410000844</v>
      </c>
      <c r="B838" t="s">
        <v>5999</v>
      </c>
      <c r="C838" t="s">
        <v>978</v>
      </c>
      <c r="D838">
        <v>401100000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4</v>
      </c>
      <c r="W838">
        <v>1</v>
      </c>
      <c r="X838">
        <v>1</v>
      </c>
      <c r="Y838" t="s">
        <v>972</v>
      </c>
      <c r="Z838" t="s">
        <v>6000</v>
      </c>
      <c r="AA838" t="s">
        <v>6001</v>
      </c>
      <c r="AB838" t="s">
        <v>975</v>
      </c>
      <c r="AC838">
        <v>4000</v>
      </c>
      <c r="AD838" t="s">
        <v>1019</v>
      </c>
      <c r="AE838" t="s">
        <v>979</v>
      </c>
      <c r="AF838" t="s">
        <v>979</v>
      </c>
      <c r="AG838" t="s">
        <v>977</v>
      </c>
      <c r="AH838">
        <v>504865105</v>
      </c>
      <c r="AI838" t="s">
        <v>977</v>
      </c>
      <c r="AJ838" t="s">
        <v>5957</v>
      </c>
      <c r="AK838" t="s">
        <v>978</v>
      </c>
      <c r="AL838" t="s">
        <v>978</v>
      </c>
      <c r="AM838" t="s">
        <v>979</v>
      </c>
      <c r="AN838">
        <v>0</v>
      </c>
      <c r="AO838" t="s">
        <v>257</v>
      </c>
      <c r="AP838">
        <v>0</v>
      </c>
      <c r="AQ838">
        <v>20</v>
      </c>
      <c r="AR838">
        <v>43</v>
      </c>
      <c r="AS838">
        <v>1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1</v>
      </c>
      <c r="AZ838" t="s">
        <v>257</v>
      </c>
      <c r="BA838" t="s">
        <v>980</v>
      </c>
      <c r="BB838" t="s">
        <v>981</v>
      </c>
      <c r="BC838" t="s">
        <v>257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 t="s">
        <v>1285</v>
      </c>
      <c r="BK838" t="s">
        <v>981</v>
      </c>
      <c r="BL838" t="s">
        <v>5999</v>
      </c>
      <c r="BM838">
        <v>20231020</v>
      </c>
      <c r="BN838">
        <v>20231030</v>
      </c>
      <c r="BO838">
        <v>0</v>
      </c>
      <c r="BP838" t="s">
        <v>257</v>
      </c>
      <c r="BQ838" t="s">
        <v>983</v>
      </c>
      <c r="BR838" t="s">
        <v>978</v>
      </c>
      <c r="BS838">
        <v>32485798139</v>
      </c>
      <c r="BT838">
        <v>0</v>
      </c>
      <c r="BU838">
        <v>0</v>
      </c>
      <c r="BV838" t="s">
        <v>984</v>
      </c>
      <c r="BW838" t="s">
        <v>257</v>
      </c>
      <c r="BX838">
        <v>0</v>
      </c>
      <c r="BY838" t="s">
        <v>980</v>
      </c>
      <c r="BZ838" t="s">
        <v>257</v>
      </c>
      <c r="CA838">
        <v>0</v>
      </c>
      <c r="CB838">
        <v>0</v>
      </c>
      <c r="CC838" t="s">
        <v>1391</v>
      </c>
      <c r="CD838">
        <v>0</v>
      </c>
      <c r="CE838">
        <v>0</v>
      </c>
      <c r="CF838">
        <v>0</v>
      </c>
      <c r="CG838">
        <v>0</v>
      </c>
      <c r="CH838">
        <v>0</v>
      </c>
      <c r="CI838" t="s">
        <v>983</v>
      </c>
      <c r="CJ838" t="s">
        <v>972</v>
      </c>
      <c r="CK838" t="s">
        <v>986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 t="s">
        <v>987</v>
      </c>
      <c r="CV838">
        <v>400008844</v>
      </c>
      <c r="CW838" t="s">
        <v>987</v>
      </c>
      <c r="CX838" t="s">
        <v>6002</v>
      </c>
      <c r="CY838" t="s">
        <v>989</v>
      </c>
    </row>
    <row r="839" spans="1:103" hidden="1" x14ac:dyDescent="0.25">
      <c r="A839">
        <v>410000845</v>
      </c>
      <c r="B839" t="s">
        <v>6003</v>
      </c>
      <c r="C839" t="s">
        <v>6004</v>
      </c>
      <c r="D839">
        <v>401100000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1</v>
      </c>
      <c r="X839">
        <v>1</v>
      </c>
      <c r="Y839" t="s">
        <v>972</v>
      </c>
      <c r="Z839" t="s">
        <v>987</v>
      </c>
      <c r="AA839" t="s">
        <v>6005</v>
      </c>
      <c r="AB839" t="s">
        <v>975</v>
      </c>
      <c r="AC839">
        <v>4000</v>
      </c>
      <c r="AD839" t="s">
        <v>1019</v>
      </c>
      <c r="AE839">
        <v>3242271832</v>
      </c>
      <c r="AF839" t="s">
        <v>979</v>
      </c>
      <c r="AG839" t="s">
        <v>977</v>
      </c>
      <c r="AH839">
        <v>453437386</v>
      </c>
      <c r="AI839" t="s">
        <v>6006</v>
      </c>
      <c r="AJ839" t="s">
        <v>978</v>
      </c>
      <c r="AK839" t="s">
        <v>978</v>
      </c>
      <c r="AL839" t="s">
        <v>978</v>
      </c>
      <c r="AM839" t="s">
        <v>979</v>
      </c>
      <c r="AN839">
        <v>0</v>
      </c>
      <c r="AO839" t="s">
        <v>257</v>
      </c>
      <c r="AP839">
        <v>0</v>
      </c>
      <c r="AQ839">
        <v>1</v>
      </c>
      <c r="AR839">
        <v>43</v>
      </c>
      <c r="AS839">
        <v>1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1</v>
      </c>
      <c r="AZ839" t="s">
        <v>257</v>
      </c>
      <c r="BA839" t="s">
        <v>980</v>
      </c>
      <c r="BB839" t="s">
        <v>981</v>
      </c>
      <c r="BC839" t="s">
        <v>257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 t="s">
        <v>998</v>
      </c>
      <c r="BK839" t="s">
        <v>981</v>
      </c>
      <c r="BL839" t="s">
        <v>6003</v>
      </c>
      <c r="BM839">
        <v>20231023</v>
      </c>
      <c r="BN839">
        <v>20241016</v>
      </c>
      <c r="BO839">
        <v>0</v>
      </c>
      <c r="BP839" t="s">
        <v>257</v>
      </c>
      <c r="BQ839" t="s">
        <v>983</v>
      </c>
      <c r="BR839" t="s">
        <v>978</v>
      </c>
      <c r="BS839" t="s">
        <v>979</v>
      </c>
      <c r="BT839">
        <v>0</v>
      </c>
      <c r="BU839">
        <v>0</v>
      </c>
      <c r="BV839" t="s">
        <v>984</v>
      </c>
      <c r="BW839" t="s">
        <v>257</v>
      </c>
      <c r="BX839">
        <v>0</v>
      </c>
      <c r="BY839" t="s">
        <v>980</v>
      </c>
      <c r="BZ839" t="s">
        <v>257</v>
      </c>
      <c r="CA839">
        <v>0</v>
      </c>
      <c r="CB839">
        <v>0</v>
      </c>
      <c r="CC839" t="s">
        <v>1119</v>
      </c>
      <c r="CD839">
        <v>0</v>
      </c>
      <c r="CE839">
        <v>0</v>
      </c>
      <c r="CF839">
        <v>0</v>
      </c>
      <c r="CG839">
        <v>0</v>
      </c>
      <c r="CH839">
        <v>0</v>
      </c>
      <c r="CI839" t="s">
        <v>983</v>
      </c>
      <c r="CJ839" t="s">
        <v>972</v>
      </c>
      <c r="CK839" t="s">
        <v>986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 t="s">
        <v>987</v>
      </c>
      <c r="CV839">
        <v>400008845</v>
      </c>
      <c r="CW839" t="s">
        <v>987</v>
      </c>
      <c r="CX839" t="s">
        <v>6007</v>
      </c>
      <c r="CY839" t="s">
        <v>989</v>
      </c>
    </row>
    <row r="840" spans="1:103" hidden="1" x14ac:dyDescent="0.25">
      <c r="A840">
        <v>410000846</v>
      </c>
      <c r="B840" t="s">
        <v>6008</v>
      </c>
      <c r="C840" t="s">
        <v>978</v>
      </c>
      <c r="D840">
        <v>401100000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4</v>
      </c>
      <c r="W840">
        <v>1</v>
      </c>
      <c r="X840">
        <v>1</v>
      </c>
      <c r="Y840" t="s">
        <v>972</v>
      </c>
      <c r="Z840" t="s">
        <v>987</v>
      </c>
      <c r="AA840" t="s">
        <v>6009</v>
      </c>
      <c r="AB840" t="s">
        <v>975</v>
      </c>
      <c r="AC840">
        <v>4000</v>
      </c>
      <c r="AD840" t="s">
        <v>1019</v>
      </c>
      <c r="AE840" t="s">
        <v>979</v>
      </c>
      <c r="AF840" t="s">
        <v>979</v>
      </c>
      <c r="AG840" t="s">
        <v>977</v>
      </c>
      <c r="AH840" t="s">
        <v>977</v>
      </c>
      <c r="AI840" t="s">
        <v>977</v>
      </c>
      <c r="AJ840" t="s">
        <v>978</v>
      </c>
      <c r="AK840" t="s">
        <v>978</v>
      </c>
      <c r="AL840" t="s">
        <v>978</v>
      </c>
      <c r="AM840" t="s">
        <v>979</v>
      </c>
      <c r="AN840">
        <v>0</v>
      </c>
      <c r="AO840" t="s">
        <v>257</v>
      </c>
      <c r="AP840">
        <v>0</v>
      </c>
      <c r="AQ840">
        <v>20</v>
      </c>
      <c r="AR840">
        <v>43</v>
      </c>
      <c r="AS840">
        <v>1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1</v>
      </c>
      <c r="AZ840" t="s">
        <v>257</v>
      </c>
      <c r="BA840" t="s">
        <v>980</v>
      </c>
      <c r="BB840" t="s">
        <v>981</v>
      </c>
      <c r="BC840" t="s">
        <v>257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 t="s">
        <v>1285</v>
      </c>
      <c r="BK840" t="s">
        <v>981</v>
      </c>
      <c r="BL840" t="s">
        <v>6008</v>
      </c>
      <c r="BM840">
        <v>20231023</v>
      </c>
      <c r="BN840">
        <v>20231031</v>
      </c>
      <c r="BO840">
        <v>0</v>
      </c>
      <c r="BP840" t="s">
        <v>257</v>
      </c>
      <c r="BQ840" t="s">
        <v>983</v>
      </c>
      <c r="BR840" t="s">
        <v>978</v>
      </c>
      <c r="BS840">
        <v>32475925522</v>
      </c>
      <c r="BT840">
        <v>0</v>
      </c>
      <c r="BU840">
        <v>0</v>
      </c>
      <c r="BV840" t="s">
        <v>984</v>
      </c>
      <c r="BW840" t="s">
        <v>257</v>
      </c>
      <c r="BX840">
        <v>0</v>
      </c>
      <c r="BY840" t="s">
        <v>980</v>
      </c>
      <c r="BZ840" t="s">
        <v>257</v>
      </c>
      <c r="CA840">
        <v>0</v>
      </c>
      <c r="CB840">
        <v>0</v>
      </c>
      <c r="CC840" t="s">
        <v>1371</v>
      </c>
      <c r="CD840">
        <v>0</v>
      </c>
      <c r="CE840">
        <v>0</v>
      </c>
      <c r="CF840">
        <v>0</v>
      </c>
      <c r="CG840">
        <v>0</v>
      </c>
      <c r="CH840">
        <v>0</v>
      </c>
      <c r="CI840" t="s">
        <v>983</v>
      </c>
      <c r="CJ840" t="s">
        <v>972</v>
      </c>
      <c r="CK840" t="s">
        <v>986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 t="s">
        <v>987</v>
      </c>
      <c r="CV840">
        <v>400008846</v>
      </c>
      <c r="CW840" t="s">
        <v>987</v>
      </c>
      <c r="CX840" t="s">
        <v>6010</v>
      </c>
      <c r="CY840" t="s">
        <v>989</v>
      </c>
    </row>
    <row r="841" spans="1:103" hidden="1" x14ac:dyDescent="0.25">
      <c r="A841">
        <v>410000847</v>
      </c>
      <c r="B841" t="s">
        <v>6011</v>
      </c>
      <c r="C841" t="s">
        <v>6012</v>
      </c>
      <c r="D841">
        <v>401100000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1</v>
      </c>
      <c r="Y841" t="s">
        <v>972</v>
      </c>
      <c r="Z841" t="s">
        <v>987</v>
      </c>
      <c r="AA841" t="s">
        <v>6013</v>
      </c>
      <c r="AB841" t="s">
        <v>975</v>
      </c>
      <c r="AC841">
        <v>4432</v>
      </c>
      <c r="AD841" t="s">
        <v>1313</v>
      </c>
      <c r="AE841" t="s">
        <v>979</v>
      </c>
      <c r="AF841" t="s">
        <v>979</v>
      </c>
      <c r="AG841" t="s">
        <v>977</v>
      </c>
      <c r="AH841" t="s">
        <v>977</v>
      </c>
      <c r="AI841" t="s">
        <v>977</v>
      </c>
      <c r="AJ841" t="s">
        <v>978</v>
      </c>
      <c r="AK841" t="s">
        <v>978</v>
      </c>
      <c r="AL841" t="s">
        <v>978</v>
      </c>
      <c r="AM841" t="s">
        <v>979</v>
      </c>
      <c r="AN841">
        <v>0</v>
      </c>
      <c r="AO841" t="s">
        <v>257</v>
      </c>
      <c r="AP841">
        <v>0</v>
      </c>
      <c r="AQ841">
        <v>20</v>
      </c>
      <c r="AR841">
        <v>43</v>
      </c>
      <c r="AS841">
        <v>1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1</v>
      </c>
      <c r="AZ841" t="s">
        <v>257</v>
      </c>
      <c r="BA841" t="s">
        <v>980</v>
      </c>
      <c r="BB841" t="s">
        <v>981</v>
      </c>
      <c r="BC841" t="s">
        <v>257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 t="s">
        <v>1285</v>
      </c>
      <c r="BK841" t="s">
        <v>981</v>
      </c>
      <c r="BL841" t="s">
        <v>6011</v>
      </c>
      <c r="BM841">
        <v>20231023</v>
      </c>
      <c r="BN841">
        <v>20231030</v>
      </c>
      <c r="BO841">
        <v>0</v>
      </c>
      <c r="BP841" t="s">
        <v>257</v>
      </c>
      <c r="BQ841" t="s">
        <v>983</v>
      </c>
      <c r="BR841" t="s">
        <v>978</v>
      </c>
      <c r="BS841" t="s">
        <v>979</v>
      </c>
      <c r="BT841">
        <v>0</v>
      </c>
      <c r="BU841">
        <v>0</v>
      </c>
      <c r="BV841" t="s">
        <v>1411</v>
      </c>
      <c r="BW841" t="s">
        <v>257</v>
      </c>
      <c r="BX841">
        <v>0</v>
      </c>
      <c r="BY841" t="s">
        <v>980</v>
      </c>
      <c r="BZ841" t="s">
        <v>257</v>
      </c>
      <c r="CA841">
        <v>0</v>
      </c>
      <c r="CB841">
        <v>0</v>
      </c>
      <c r="CC841" t="s">
        <v>1317</v>
      </c>
      <c r="CD841">
        <v>0</v>
      </c>
      <c r="CE841">
        <v>0</v>
      </c>
      <c r="CF841">
        <v>0</v>
      </c>
      <c r="CG841">
        <v>0</v>
      </c>
      <c r="CH841">
        <v>0</v>
      </c>
      <c r="CI841" t="s">
        <v>983</v>
      </c>
      <c r="CJ841" t="s">
        <v>972</v>
      </c>
      <c r="CK841" t="s">
        <v>986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 t="s">
        <v>987</v>
      </c>
      <c r="CV841">
        <v>400008847</v>
      </c>
      <c r="CW841" t="s">
        <v>987</v>
      </c>
      <c r="CX841" t="s">
        <v>1081</v>
      </c>
      <c r="CY841" t="s">
        <v>989</v>
      </c>
    </row>
    <row r="842" spans="1:103" hidden="1" x14ac:dyDescent="0.25">
      <c r="A842">
        <v>410000848</v>
      </c>
      <c r="B842" t="s">
        <v>6014</v>
      </c>
      <c r="C842" t="s">
        <v>6015</v>
      </c>
      <c r="D842">
        <v>401100000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1</v>
      </c>
      <c r="X842">
        <v>1</v>
      </c>
      <c r="Y842" t="s">
        <v>972</v>
      </c>
      <c r="Z842" t="s">
        <v>987</v>
      </c>
      <c r="AA842" t="s">
        <v>6016</v>
      </c>
      <c r="AB842" t="s">
        <v>975</v>
      </c>
      <c r="AC842">
        <v>4000</v>
      </c>
      <c r="AD842" t="s">
        <v>1019</v>
      </c>
      <c r="AE842" t="s">
        <v>979</v>
      </c>
      <c r="AF842" t="s">
        <v>979</v>
      </c>
      <c r="AG842" t="s">
        <v>977</v>
      </c>
      <c r="AH842" t="s">
        <v>977</v>
      </c>
      <c r="AI842" t="s">
        <v>977</v>
      </c>
      <c r="AJ842" t="s">
        <v>978</v>
      </c>
      <c r="AK842" t="s">
        <v>978</v>
      </c>
      <c r="AL842" t="s">
        <v>978</v>
      </c>
      <c r="AM842" t="s">
        <v>979</v>
      </c>
      <c r="AN842">
        <v>0</v>
      </c>
      <c r="AO842" t="s">
        <v>257</v>
      </c>
      <c r="AP842">
        <v>0</v>
      </c>
      <c r="AQ842">
        <v>20</v>
      </c>
      <c r="AR842">
        <v>43</v>
      </c>
      <c r="AS842">
        <v>1</v>
      </c>
      <c r="AT842">
        <v>0</v>
      </c>
      <c r="AU842">
        <v>1</v>
      </c>
      <c r="AV842">
        <v>0</v>
      </c>
      <c r="AW842">
        <v>0</v>
      </c>
      <c r="AX842">
        <v>0</v>
      </c>
      <c r="AY842">
        <v>1</v>
      </c>
      <c r="AZ842" t="s">
        <v>257</v>
      </c>
      <c r="BA842" t="s">
        <v>980</v>
      </c>
      <c r="BB842" t="s">
        <v>981</v>
      </c>
      <c r="BC842" t="s">
        <v>257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 t="s">
        <v>1285</v>
      </c>
      <c r="BK842" t="s">
        <v>981</v>
      </c>
      <c r="BL842" t="s">
        <v>6014</v>
      </c>
      <c r="BM842">
        <v>20231023</v>
      </c>
      <c r="BN842">
        <v>20231030</v>
      </c>
      <c r="BO842">
        <v>0</v>
      </c>
      <c r="BP842" t="s">
        <v>257</v>
      </c>
      <c r="BQ842" t="s">
        <v>983</v>
      </c>
      <c r="BR842" t="s">
        <v>978</v>
      </c>
      <c r="BS842" t="s">
        <v>979</v>
      </c>
      <c r="BT842">
        <v>0</v>
      </c>
      <c r="BU842">
        <v>0</v>
      </c>
      <c r="BV842" t="s">
        <v>2341</v>
      </c>
      <c r="BW842" t="s">
        <v>257</v>
      </c>
      <c r="BX842">
        <v>0</v>
      </c>
      <c r="BY842" t="s">
        <v>980</v>
      </c>
      <c r="BZ842" t="s">
        <v>257</v>
      </c>
      <c r="CA842">
        <v>0</v>
      </c>
      <c r="CB842">
        <v>0</v>
      </c>
      <c r="CC842" t="s">
        <v>1119</v>
      </c>
      <c r="CD842">
        <v>0</v>
      </c>
      <c r="CE842">
        <v>0</v>
      </c>
      <c r="CF842">
        <v>0</v>
      </c>
      <c r="CG842">
        <v>0</v>
      </c>
      <c r="CH842">
        <v>0</v>
      </c>
      <c r="CI842" t="s">
        <v>983</v>
      </c>
      <c r="CJ842" t="s">
        <v>972</v>
      </c>
      <c r="CK842" t="s">
        <v>986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 t="s">
        <v>987</v>
      </c>
      <c r="CV842">
        <v>400008848</v>
      </c>
      <c r="CW842" t="s">
        <v>987</v>
      </c>
      <c r="CX842" t="s">
        <v>1081</v>
      </c>
      <c r="CY842" t="s">
        <v>989</v>
      </c>
    </row>
    <row r="843" spans="1:103" hidden="1" x14ac:dyDescent="0.25">
      <c r="A843">
        <v>410000849</v>
      </c>
      <c r="B843" t="s">
        <v>6017</v>
      </c>
      <c r="C843" t="s">
        <v>6018</v>
      </c>
      <c r="D843">
        <v>401100000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1</v>
      </c>
      <c r="Y843" t="s">
        <v>972</v>
      </c>
      <c r="Z843" t="s">
        <v>987</v>
      </c>
      <c r="AA843" t="s">
        <v>6019</v>
      </c>
      <c r="AB843" t="s">
        <v>975</v>
      </c>
      <c r="AC843">
        <v>4120</v>
      </c>
      <c r="AD843" t="s">
        <v>4300</v>
      </c>
      <c r="AE843" t="s">
        <v>979</v>
      </c>
      <c r="AF843" t="s">
        <v>979</v>
      </c>
      <c r="AG843" t="s">
        <v>977</v>
      </c>
      <c r="AH843" t="s">
        <v>977</v>
      </c>
      <c r="AI843" t="s">
        <v>977</v>
      </c>
      <c r="AJ843" t="s">
        <v>978</v>
      </c>
      <c r="AK843" t="s">
        <v>978</v>
      </c>
      <c r="AL843" t="s">
        <v>978</v>
      </c>
      <c r="AM843" t="s">
        <v>979</v>
      </c>
      <c r="AN843">
        <v>0</v>
      </c>
      <c r="AO843" t="s">
        <v>257</v>
      </c>
      <c r="AP843">
        <v>0</v>
      </c>
      <c r="AQ843">
        <v>20</v>
      </c>
      <c r="AR843">
        <v>43</v>
      </c>
      <c r="AS843">
        <v>1</v>
      </c>
      <c r="AT843">
        <v>0</v>
      </c>
      <c r="AU843">
        <v>1</v>
      </c>
      <c r="AV843">
        <v>0</v>
      </c>
      <c r="AW843">
        <v>0</v>
      </c>
      <c r="AX843">
        <v>0</v>
      </c>
      <c r="AY843">
        <v>1</v>
      </c>
      <c r="AZ843" t="s">
        <v>257</v>
      </c>
      <c r="BA843" t="s">
        <v>980</v>
      </c>
      <c r="BB843" t="s">
        <v>981</v>
      </c>
      <c r="BC843" t="s">
        <v>257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 t="s">
        <v>1285</v>
      </c>
      <c r="BK843" t="s">
        <v>981</v>
      </c>
      <c r="BL843" t="s">
        <v>6017</v>
      </c>
      <c r="BM843">
        <v>20231023</v>
      </c>
      <c r="BN843">
        <v>20231030</v>
      </c>
      <c r="BO843">
        <v>0</v>
      </c>
      <c r="BP843" t="s">
        <v>257</v>
      </c>
      <c r="BQ843" t="s">
        <v>983</v>
      </c>
      <c r="BR843" t="s">
        <v>978</v>
      </c>
      <c r="BS843" t="s">
        <v>979</v>
      </c>
      <c r="BT843">
        <v>0</v>
      </c>
      <c r="BU843">
        <v>0</v>
      </c>
      <c r="BV843" t="s">
        <v>2341</v>
      </c>
      <c r="BW843" t="s">
        <v>257</v>
      </c>
      <c r="BX843">
        <v>0</v>
      </c>
      <c r="BY843" t="s">
        <v>980</v>
      </c>
      <c r="BZ843" t="s">
        <v>257</v>
      </c>
      <c r="CA843">
        <v>0</v>
      </c>
      <c r="CB843">
        <v>0</v>
      </c>
      <c r="CC843" t="s">
        <v>1865</v>
      </c>
      <c r="CD843">
        <v>0</v>
      </c>
      <c r="CE843">
        <v>0</v>
      </c>
      <c r="CF843">
        <v>0</v>
      </c>
      <c r="CG843">
        <v>0</v>
      </c>
      <c r="CH843">
        <v>0</v>
      </c>
      <c r="CI843" t="s">
        <v>983</v>
      </c>
      <c r="CJ843" t="s">
        <v>972</v>
      </c>
      <c r="CK843" t="s">
        <v>986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 t="s">
        <v>987</v>
      </c>
      <c r="CV843">
        <v>400008849</v>
      </c>
      <c r="CW843" t="s">
        <v>987</v>
      </c>
      <c r="CX843" t="s">
        <v>1081</v>
      </c>
      <c r="CY843" t="s">
        <v>989</v>
      </c>
    </row>
    <row r="844" spans="1:103" hidden="1" x14ac:dyDescent="0.25">
      <c r="A844">
        <v>410000850</v>
      </c>
      <c r="B844" t="s">
        <v>6020</v>
      </c>
      <c r="C844" t="s">
        <v>6021</v>
      </c>
      <c r="D844">
        <v>401100000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1</v>
      </c>
      <c r="X844">
        <v>1</v>
      </c>
      <c r="Y844" t="s">
        <v>972</v>
      </c>
      <c r="Z844" t="s">
        <v>987</v>
      </c>
      <c r="AA844" t="s">
        <v>6022</v>
      </c>
      <c r="AB844" t="s">
        <v>975</v>
      </c>
      <c r="AC844">
        <v>6000</v>
      </c>
      <c r="AD844" t="s">
        <v>993</v>
      </c>
      <c r="AE844" t="s">
        <v>979</v>
      </c>
      <c r="AF844" t="s">
        <v>979</v>
      </c>
      <c r="AG844" t="s">
        <v>977</v>
      </c>
      <c r="AH844" t="s">
        <v>977</v>
      </c>
      <c r="AI844" t="s">
        <v>977</v>
      </c>
      <c r="AJ844" t="s">
        <v>6023</v>
      </c>
      <c r="AK844" t="s">
        <v>978</v>
      </c>
      <c r="AL844" t="s">
        <v>978</v>
      </c>
      <c r="AM844" t="s">
        <v>979</v>
      </c>
      <c r="AN844">
        <v>0</v>
      </c>
      <c r="AO844" t="s">
        <v>257</v>
      </c>
      <c r="AP844">
        <v>0</v>
      </c>
      <c r="AQ844">
        <v>20</v>
      </c>
      <c r="AR844">
        <v>43</v>
      </c>
      <c r="AS844">
        <v>1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1</v>
      </c>
      <c r="AZ844" t="s">
        <v>257</v>
      </c>
      <c r="BA844" t="s">
        <v>980</v>
      </c>
      <c r="BB844" t="s">
        <v>981</v>
      </c>
      <c r="BC844" t="s">
        <v>257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 t="s">
        <v>1285</v>
      </c>
      <c r="BK844" t="s">
        <v>981</v>
      </c>
      <c r="BL844" t="s">
        <v>6020</v>
      </c>
      <c r="BM844">
        <v>20231023</v>
      </c>
      <c r="BN844">
        <v>20231030</v>
      </c>
      <c r="BO844">
        <v>0</v>
      </c>
      <c r="BP844" t="s">
        <v>257</v>
      </c>
      <c r="BQ844" t="s">
        <v>983</v>
      </c>
      <c r="BR844" t="s">
        <v>978</v>
      </c>
      <c r="BS844" t="s">
        <v>979</v>
      </c>
      <c r="BT844">
        <v>0</v>
      </c>
      <c r="BU844">
        <v>0</v>
      </c>
      <c r="BV844" t="s">
        <v>2341</v>
      </c>
      <c r="BW844" t="s">
        <v>257</v>
      </c>
      <c r="BX844">
        <v>0</v>
      </c>
      <c r="BY844" t="s">
        <v>980</v>
      </c>
      <c r="BZ844" t="s">
        <v>257</v>
      </c>
      <c r="CA844">
        <v>0</v>
      </c>
      <c r="CB844">
        <v>0</v>
      </c>
      <c r="CC844" t="s">
        <v>1901</v>
      </c>
      <c r="CD844">
        <v>0</v>
      </c>
      <c r="CE844">
        <v>0</v>
      </c>
      <c r="CF844">
        <v>0</v>
      </c>
      <c r="CG844">
        <v>0</v>
      </c>
      <c r="CH844">
        <v>0</v>
      </c>
      <c r="CI844" t="s">
        <v>983</v>
      </c>
      <c r="CJ844" t="s">
        <v>972</v>
      </c>
      <c r="CK844" t="s">
        <v>986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 t="s">
        <v>987</v>
      </c>
      <c r="CV844">
        <v>400008850</v>
      </c>
      <c r="CW844" t="s">
        <v>987</v>
      </c>
      <c r="CX844" t="s">
        <v>1081</v>
      </c>
      <c r="CY844" t="s">
        <v>989</v>
      </c>
    </row>
    <row r="845" spans="1:103" hidden="1" x14ac:dyDescent="0.25">
      <c r="A845">
        <v>410000851</v>
      </c>
      <c r="B845" t="s">
        <v>6024</v>
      </c>
      <c r="C845" t="s">
        <v>6025</v>
      </c>
      <c r="D845">
        <v>401100000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1</v>
      </c>
      <c r="Y845" t="s">
        <v>972</v>
      </c>
      <c r="Z845" t="s">
        <v>987</v>
      </c>
      <c r="AA845" t="s">
        <v>5587</v>
      </c>
      <c r="AB845" t="s">
        <v>975</v>
      </c>
      <c r="AC845">
        <v>4000</v>
      </c>
      <c r="AD845" t="s">
        <v>1019</v>
      </c>
      <c r="AE845" t="s">
        <v>979</v>
      </c>
      <c r="AF845" t="s">
        <v>979</v>
      </c>
      <c r="AG845" t="s">
        <v>977</v>
      </c>
      <c r="AH845" t="s">
        <v>977</v>
      </c>
      <c r="AI845" t="s">
        <v>977</v>
      </c>
      <c r="AJ845" t="s">
        <v>978</v>
      </c>
      <c r="AK845" t="s">
        <v>978</v>
      </c>
      <c r="AL845" t="s">
        <v>978</v>
      </c>
      <c r="AM845" t="s">
        <v>979</v>
      </c>
      <c r="AN845">
        <v>0</v>
      </c>
      <c r="AO845" t="s">
        <v>257</v>
      </c>
      <c r="AP845">
        <v>0</v>
      </c>
      <c r="AQ845">
        <v>20</v>
      </c>
      <c r="AR845">
        <v>43</v>
      </c>
      <c r="AS845">
        <v>1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1</v>
      </c>
      <c r="AZ845" t="s">
        <v>257</v>
      </c>
      <c r="BA845" t="s">
        <v>980</v>
      </c>
      <c r="BB845" t="s">
        <v>981</v>
      </c>
      <c r="BC845" t="s">
        <v>257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 t="s">
        <v>1285</v>
      </c>
      <c r="BK845" t="s">
        <v>981</v>
      </c>
      <c r="BL845" t="s">
        <v>6024</v>
      </c>
      <c r="BM845">
        <v>20231023</v>
      </c>
      <c r="BN845">
        <v>20231030</v>
      </c>
      <c r="BO845">
        <v>0</v>
      </c>
      <c r="BP845" t="s">
        <v>257</v>
      </c>
      <c r="BQ845" t="s">
        <v>983</v>
      </c>
      <c r="BR845" t="s">
        <v>978</v>
      </c>
      <c r="BS845" t="s">
        <v>979</v>
      </c>
      <c r="BT845">
        <v>0</v>
      </c>
      <c r="BU845">
        <v>0</v>
      </c>
      <c r="BV845" t="s">
        <v>2341</v>
      </c>
      <c r="BW845" t="s">
        <v>257</v>
      </c>
      <c r="BX845">
        <v>0</v>
      </c>
      <c r="BY845" t="s">
        <v>980</v>
      </c>
      <c r="BZ845" t="s">
        <v>257</v>
      </c>
      <c r="CA845">
        <v>0</v>
      </c>
      <c r="CB845">
        <v>0</v>
      </c>
      <c r="CC845" t="s">
        <v>1391</v>
      </c>
      <c r="CD845">
        <v>0</v>
      </c>
      <c r="CE845">
        <v>0</v>
      </c>
      <c r="CF845">
        <v>0</v>
      </c>
      <c r="CG845">
        <v>0</v>
      </c>
      <c r="CH845">
        <v>0</v>
      </c>
      <c r="CI845" t="s">
        <v>983</v>
      </c>
      <c r="CJ845" t="s">
        <v>972</v>
      </c>
      <c r="CK845" t="s">
        <v>986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 t="s">
        <v>987</v>
      </c>
      <c r="CV845">
        <v>400008851</v>
      </c>
      <c r="CW845" t="s">
        <v>987</v>
      </c>
      <c r="CX845" t="s">
        <v>1081</v>
      </c>
      <c r="CY845" t="s">
        <v>989</v>
      </c>
    </row>
    <row r="846" spans="1:103" hidden="1" x14ac:dyDescent="0.25">
      <c r="A846">
        <v>410000852</v>
      </c>
      <c r="B846" t="s">
        <v>6026</v>
      </c>
      <c r="C846" t="s">
        <v>978</v>
      </c>
      <c r="D846">
        <v>401100000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4</v>
      </c>
      <c r="W846">
        <v>1</v>
      </c>
      <c r="X846">
        <v>1</v>
      </c>
      <c r="Y846" t="s">
        <v>972</v>
      </c>
      <c r="Z846" t="s">
        <v>6027</v>
      </c>
      <c r="AA846" t="s">
        <v>6028</v>
      </c>
      <c r="AB846" t="s">
        <v>975</v>
      </c>
      <c r="AC846">
        <v>4500</v>
      </c>
      <c r="AD846" t="s">
        <v>1445</v>
      </c>
      <c r="AE846" t="s">
        <v>979</v>
      </c>
      <c r="AF846" t="s">
        <v>979</v>
      </c>
      <c r="AG846" t="s">
        <v>977</v>
      </c>
      <c r="AH846" t="s">
        <v>977</v>
      </c>
      <c r="AI846" t="s">
        <v>977</v>
      </c>
      <c r="AJ846" t="s">
        <v>978</v>
      </c>
      <c r="AK846" t="s">
        <v>978</v>
      </c>
      <c r="AL846" t="s">
        <v>978</v>
      </c>
      <c r="AM846" t="s">
        <v>979</v>
      </c>
      <c r="AN846">
        <v>0</v>
      </c>
      <c r="AO846" t="s">
        <v>257</v>
      </c>
      <c r="AP846">
        <v>0</v>
      </c>
      <c r="AQ846">
        <v>20</v>
      </c>
      <c r="AR846">
        <v>43</v>
      </c>
      <c r="AS846">
        <v>1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1</v>
      </c>
      <c r="AZ846" t="s">
        <v>257</v>
      </c>
      <c r="BA846" t="s">
        <v>980</v>
      </c>
      <c r="BB846" t="s">
        <v>981</v>
      </c>
      <c r="BC846" t="s">
        <v>257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 t="s">
        <v>1285</v>
      </c>
      <c r="BK846" t="s">
        <v>981</v>
      </c>
      <c r="BL846" t="s">
        <v>6026</v>
      </c>
      <c r="BM846">
        <v>20231023</v>
      </c>
      <c r="BN846">
        <v>20231030</v>
      </c>
      <c r="BO846">
        <v>0</v>
      </c>
      <c r="BP846" t="s">
        <v>257</v>
      </c>
      <c r="BQ846" t="s">
        <v>983</v>
      </c>
      <c r="BR846" t="s">
        <v>978</v>
      </c>
      <c r="BS846" t="s">
        <v>979</v>
      </c>
      <c r="BT846">
        <v>0</v>
      </c>
      <c r="BU846">
        <v>0</v>
      </c>
      <c r="BV846" t="s">
        <v>2341</v>
      </c>
      <c r="BW846" t="s">
        <v>257</v>
      </c>
      <c r="BX846">
        <v>0</v>
      </c>
      <c r="BY846" t="s">
        <v>980</v>
      </c>
      <c r="BZ846" t="s">
        <v>257</v>
      </c>
      <c r="CA846">
        <v>0</v>
      </c>
      <c r="CB846">
        <v>0</v>
      </c>
      <c r="CC846" t="s">
        <v>1062</v>
      </c>
      <c r="CD846">
        <v>0</v>
      </c>
      <c r="CE846">
        <v>0</v>
      </c>
      <c r="CF846">
        <v>0</v>
      </c>
      <c r="CG846">
        <v>0</v>
      </c>
      <c r="CH846">
        <v>0</v>
      </c>
      <c r="CI846" t="s">
        <v>983</v>
      </c>
      <c r="CJ846" t="s">
        <v>972</v>
      </c>
      <c r="CK846" t="s">
        <v>986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 t="s">
        <v>987</v>
      </c>
      <c r="CV846">
        <v>400008852</v>
      </c>
      <c r="CW846" t="s">
        <v>987</v>
      </c>
      <c r="CX846" t="s">
        <v>1081</v>
      </c>
      <c r="CY846" t="s">
        <v>989</v>
      </c>
    </row>
    <row r="847" spans="1:103" hidden="1" x14ac:dyDescent="0.25">
      <c r="A847">
        <v>410000853</v>
      </c>
      <c r="B847" t="s">
        <v>6029</v>
      </c>
      <c r="C847" t="s">
        <v>6030</v>
      </c>
      <c r="D847">
        <v>401100000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  <c r="X847">
        <v>1</v>
      </c>
      <c r="Y847" t="s">
        <v>972</v>
      </c>
      <c r="Z847" t="s">
        <v>987</v>
      </c>
      <c r="AA847" t="s">
        <v>7221</v>
      </c>
      <c r="AB847" t="s">
        <v>975</v>
      </c>
      <c r="AC847">
        <v>4040</v>
      </c>
      <c r="AD847" t="s">
        <v>976</v>
      </c>
      <c r="AE847" t="s">
        <v>979</v>
      </c>
      <c r="AF847" t="s">
        <v>979</v>
      </c>
      <c r="AG847" t="s">
        <v>977</v>
      </c>
      <c r="AH847" t="s">
        <v>977</v>
      </c>
      <c r="AI847" t="s">
        <v>977</v>
      </c>
      <c r="AJ847" t="s">
        <v>978</v>
      </c>
      <c r="AK847" t="s">
        <v>978</v>
      </c>
      <c r="AL847" t="s">
        <v>978</v>
      </c>
      <c r="AM847" t="s">
        <v>979</v>
      </c>
      <c r="AN847">
        <v>0</v>
      </c>
      <c r="AO847" t="s">
        <v>257</v>
      </c>
      <c r="AP847">
        <v>0</v>
      </c>
      <c r="AQ847">
        <v>20</v>
      </c>
      <c r="AR847">
        <v>69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1</v>
      </c>
      <c r="AZ847" t="s">
        <v>257</v>
      </c>
      <c r="BA847" t="s">
        <v>980</v>
      </c>
      <c r="BB847" t="s">
        <v>981</v>
      </c>
      <c r="BC847" t="s">
        <v>257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 t="s">
        <v>1285</v>
      </c>
      <c r="BK847" t="s">
        <v>981</v>
      </c>
      <c r="BL847" t="s">
        <v>6029</v>
      </c>
      <c r="BM847">
        <v>20231023</v>
      </c>
      <c r="BN847">
        <v>20250725</v>
      </c>
      <c r="BO847">
        <v>0</v>
      </c>
      <c r="BP847" t="s">
        <v>257</v>
      </c>
      <c r="BQ847" t="s">
        <v>983</v>
      </c>
      <c r="BR847" t="s">
        <v>978</v>
      </c>
      <c r="BS847">
        <v>32498532960</v>
      </c>
      <c r="BT847">
        <v>0</v>
      </c>
      <c r="BU847">
        <v>0</v>
      </c>
      <c r="BV847" t="s">
        <v>984</v>
      </c>
      <c r="BW847" t="s">
        <v>257</v>
      </c>
      <c r="BX847">
        <v>0</v>
      </c>
      <c r="BY847" t="s">
        <v>980</v>
      </c>
      <c r="BZ847" t="s">
        <v>257</v>
      </c>
      <c r="CA847">
        <v>0</v>
      </c>
      <c r="CB847">
        <v>0</v>
      </c>
      <c r="CC847" t="s">
        <v>1143</v>
      </c>
      <c r="CD847">
        <v>0</v>
      </c>
      <c r="CE847">
        <v>0</v>
      </c>
      <c r="CF847">
        <v>0</v>
      </c>
      <c r="CG847">
        <v>0</v>
      </c>
      <c r="CH847">
        <v>0</v>
      </c>
      <c r="CI847" t="s">
        <v>983</v>
      </c>
      <c r="CJ847" t="s">
        <v>972</v>
      </c>
      <c r="CK847" t="s">
        <v>986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 t="s">
        <v>987</v>
      </c>
      <c r="CV847">
        <v>400008853</v>
      </c>
      <c r="CW847" t="s">
        <v>987</v>
      </c>
      <c r="CX847" t="s">
        <v>7222</v>
      </c>
      <c r="CY847" t="s">
        <v>989</v>
      </c>
    </row>
    <row r="848" spans="1:103" hidden="1" x14ac:dyDescent="0.25">
      <c r="A848">
        <v>410000854</v>
      </c>
      <c r="B848" t="s">
        <v>6031</v>
      </c>
      <c r="C848" t="s">
        <v>6032</v>
      </c>
      <c r="D848">
        <v>401100000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1</v>
      </c>
      <c r="Y848" t="s">
        <v>972</v>
      </c>
      <c r="Z848" t="s">
        <v>987</v>
      </c>
      <c r="AA848" t="s">
        <v>6033</v>
      </c>
      <c r="AB848" t="s">
        <v>975</v>
      </c>
      <c r="AC848">
        <v>4020</v>
      </c>
      <c r="AD848" t="s">
        <v>1019</v>
      </c>
      <c r="AE848" t="s">
        <v>979</v>
      </c>
      <c r="AF848" t="s">
        <v>979</v>
      </c>
      <c r="AG848" t="s">
        <v>977</v>
      </c>
      <c r="AH848" t="s">
        <v>977</v>
      </c>
      <c r="AI848" t="s">
        <v>977</v>
      </c>
      <c r="AJ848" t="s">
        <v>978</v>
      </c>
      <c r="AK848" t="s">
        <v>978</v>
      </c>
      <c r="AL848" t="s">
        <v>978</v>
      </c>
      <c r="AM848" t="s">
        <v>979</v>
      </c>
      <c r="AN848">
        <v>0</v>
      </c>
      <c r="AO848" t="s">
        <v>257</v>
      </c>
      <c r="AP848">
        <v>0</v>
      </c>
      <c r="AQ848">
        <v>20</v>
      </c>
      <c r="AR848">
        <v>43</v>
      </c>
      <c r="AS848">
        <v>1</v>
      </c>
      <c r="AT848">
        <v>0</v>
      </c>
      <c r="AU848">
        <v>1</v>
      </c>
      <c r="AV848">
        <v>0</v>
      </c>
      <c r="AW848">
        <v>0</v>
      </c>
      <c r="AX848">
        <v>0</v>
      </c>
      <c r="AY848">
        <v>1</v>
      </c>
      <c r="AZ848" t="s">
        <v>257</v>
      </c>
      <c r="BA848" t="s">
        <v>980</v>
      </c>
      <c r="BB848" t="s">
        <v>981</v>
      </c>
      <c r="BC848" t="s">
        <v>257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 t="s">
        <v>1285</v>
      </c>
      <c r="BK848" t="s">
        <v>981</v>
      </c>
      <c r="BL848" t="s">
        <v>6031</v>
      </c>
      <c r="BM848">
        <v>20231023</v>
      </c>
      <c r="BN848">
        <v>20231030</v>
      </c>
      <c r="BO848">
        <v>0</v>
      </c>
      <c r="BP848" t="s">
        <v>257</v>
      </c>
      <c r="BQ848" t="s">
        <v>983</v>
      </c>
      <c r="BR848" t="s">
        <v>978</v>
      </c>
      <c r="BS848" t="s">
        <v>979</v>
      </c>
      <c r="BT848">
        <v>0</v>
      </c>
      <c r="BU848">
        <v>0</v>
      </c>
      <c r="BV848" t="s">
        <v>2341</v>
      </c>
      <c r="BW848" t="s">
        <v>257</v>
      </c>
      <c r="BX848">
        <v>0</v>
      </c>
      <c r="BY848" t="s">
        <v>980</v>
      </c>
      <c r="BZ848" t="s">
        <v>257</v>
      </c>
      <c r="CA848">
        <v>0</v>
      </c>
      <c r="CB848">
        <v>0</v>
      </c>
      <c r="CC848" t="s">
        <v>1848</v>
      </c>
      <c r="CD848">
        <v>0</v>
      </c>
      <c r="CE848">
        <v>0</v>
      </c>
      <c r="CF848">
        <v>0</v>
      </c>
      <c r="CG848">
        <v>0</v>
      </c>
      <c r="CH848">
        <v>0</v>
      </c>
      <c r="CI848" t="s">
        <v>983</v>
      </c>
      <c r="CJ848" t="s">
        <v>972</v>
      </c>
      <c r="CK848" t="s">
        <v>986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 t="s">
        <v>987</v>
      </c>
      <c r="CV848">
        <v>400008854</v>
      </c>
      <c r="CW848" t="s">
        <v>987</v>
      </c>
      <c r="CX848" t="s">
        <v>1081</v>
      </c>
      <c r="CY848" t="s">
        <v>989</v>
      </c>
    </row>
    <row r="849" spans="1:103" hidden="1" x14ac:dyDescent="0.25">
      <c r="A849">
        <v>410000855</v>
      </c>
      <c r="B849" t="s">
        <v>6034</v>
      </c>
      <c r="C849" t="s">
        <v>6035</v>
      </c>
      <c r="D849">
        <v>401100000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1</v>
      </c>
      <c r="Y849" t="s">
        <v>972</v>
      </c>
      <c r="Z849" t="s">
        <v>987</v>
      </c>
      <c r="AA849" t="s">
        <v>6949</v>
      </c>
      <c r="AB849" t="s">
        <v>975</v>
      </c>
      <c r="AC849">
        <v>4053</v>
      </c>
      <c r="AD849" t="s">
        <v>2077</v>
      </c>
      <c r="AE849">
        <v>495542995</v>
      </c>
      <c r="AF849" t="s">
        <v>979</v>
      </c>
      <c r="AG849" t="s">
        <v>6950</v>
      </c>
      <c r="AH849" t="s">
        <v>977</v>
      </c>
      <c r="AI849" t="s">
        <v>977</v>
      </c>
      <c r="AJ849" t="s">
        <v>978</v>
      </c>
      <c r="AK849" t="s">
        <v>978</v>
      </c>
      <c r="AL849" t="s">
        <v>978</v>
      </c>
      <c r="AM849" t="s">
        <v>979</v>
      </c>
      <c r="AN849">
        <v>0</v>
      </c>
      <c r="AO849" t="s">
        <v>257</v>
      </c>
      <c r="AP849">
        <v>0</v>
      </c>
      <c r="AQ849">
        <v>20</v>
      </c>
      <c r="AR849">
        <v>43</v>
      </c>
      <c r="AS849">
        <v>1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1</v>
      </c>
      <c r="AZ849" t="s">
        <v>257</v>
      </c>
      <c r="BA849" t="s">
        <v>980</v>
      </c>
      <c r="BB849" t="s">
        <v>981</v>
      </c>
      <c r="BC849" t="s">
        <v>257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 t="s">
        <v>1285</v>
      </c>
      <c r="BK849" t="s">
        <v>981</v>
      </c>
      <c r="BL849" t="s">
        <v>6034</v>
      </c>
      <c r="BM849">
        <v>20231023</v>
      </c>
      <c r="BN849">
        <v>20250327</v>
      </c>
      <c r="BO849">
        <v>0</v>
      </c>
      <c r="BP849" t="s">
        <v>257</v>
      </c>
      <c r="BQ849" t="s">
        <v>983</v>
      </c>
      <c r="BR849" t="s">
        <v>978</v>
      </c>
      <c r="BS849" t="s">
        <v>979</v>
      </c>
      <c r="BT849">
        <v>0</v>
      </c>
      <c r="BU849">
        <v>0</v>
      </c>
      <c r="BV849" t="s">
        <v>2341</v>
      </c>
      <c r="BW849" t="s">
        <v>257</v>
      </c>
      <c r="BX849">
        <v>0</v>
      </c>
      <c r="BY849" t="s">
        <v>980</v>
      </c>
      <c r="BZ849" t="s">
        <v>257</v>
      </c>
      <c r="CA849">
        <v>0</v>
      </c>
      <c r="CB849">
        <v>0</v>
      </c>
      <c r="CC849" t="s">
        <v>2000</v>
      </c>
      <c r="CD849">
        <v>0</v>
      </c>
      <c r="CE849">
        <v>0</v>
      </c>
      <c r="CF849">
        <v>0</v>
      </c>
      <c r="CG849">
        <v>0</v>
      </c>
      <c r="CH849">
        <v>0</v>
      </c>
      <c r="CI849" t="s">
        <v>983</v>
      </c>
      <c r="CJ849" t="s">
        <v>972</v>
      </c>
      <c r="CK849" t="s">
        <v>986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 t="s">
        <v>987</v>
      </c>
      <c r="CV849">
        <v>400008855</v>
      </c>
      <c r="CW849" t="s">
        <v>987</v>
      </c>
      <c r="CX849" t="s">
        <v>1081</v>
      </c>
      <c r="CY849" t="s">
        <v>989</v>
      </c>
    </row>
    <row r="850" spans="1:103" hidden="1" x14ac:dyDescent="0.25">
      <c r="A850">
        <v>410000856</v>
      </c>
      <c r="B850" t="s">
        <v>6036</v>
      </c>
      <c r="C850" t="s">
        <v>6037</v>
      </c>
      <c r="D850">
        <v>401100000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1</v>
      </c>
      <c r="X850">
        <v>1</v>
      </c>
      <c r="Y850" t="s">
        <v>972</v>
      </c>
      <c r="Z850" t="s">
        <v>987</v>
      </c>
      <c r="AA850" t="s">
        <v>6038</v>
      </c>
      <c r="AB850" t="s">
        <v>975</v>
      </c>
      <c r="AC850">
        <v>4020</v>
      </c>
      <c r="AD850" t="s">
        <v>1019</v>
      </c>
      <c r="AE850" t="s">
        <v>979</v>
      </c>
      <c r="AF850" t="s">
        <v>979</v>
      </c>
      <c r="AG850" t="s">
        <v>977</v>
      </c>
      <c r="AH850" t="s">
        <v>977</v>
      </c>
      <c r="AI850" t="s">
        <v>977</v>
      </c>
      <c r="AJ850" t="s">
        <v>978</v>
      </c>
      <c r="AK850" t="s">
        <v>978</v>
      </c>
      <c r="AL850" t="s">
        <v>978</v>
      </c>
      <c r="AM850" t="s">
        <v>979</v>
      </c>
      <c r="AN850">
        <v>0</v>
      </c>
      <c r="AO850" t="s">
        <v>257</v>
      </c>
      <c r="AP850">
        <v>0</v>
      </c>
      <c r="AQ850">
        <v>20</v>
      </c>
      <c r="AR850">
        <v>69</v>
      </c>
      <c r="AS850">
        <v>1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1</v>
      </c>
      <c r="AZ850" t="s">
        <v>257</v>
      </c>
      <c r="BA850" t="s">
        <v>980</v>
      </c>
      <c r="BB850" t="s">
        <v>981</v>
      </c>
      <c r="BC850" t="s">
        <v>257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 t="s">
        <v>1285</v>
      </c>
      <c r="BK850" t="s">
        <v>981</v>
      </c>
      <c r="BL850" t="s">
        <v>6036</v>
      </c>
      <c r="BM850">
        <v>20231023</v>
      </c>
      <c r="BN850">
        <v>20240910</v>
      </c>
      <c r="BO850">
        <v>0</v>
      </c>
      <c r="BP850" t="s">
        <v>257</v>
      </c>
      <c r="BQ850" t="s">
        <v>983</v>
      </c>
      <c r="BR850" t="s">
        <v>978</v>
      </c>
      <c r="BS850" t="s">
        <v>979</v>
      </c>
      <c r="BT850">
        <v>0</v>
      </c>
      <c r="BU850">
        <v>0</v>
      </c>
      <c r="BV850" t="s">
        <v>2341</v>
      </c>
      <c r="BW850" t="s">
        <v>257</v>
      </c>
      <c r="BX850">
        <v>0</v>
      </c>
      <c r="BY850" t="s">
        <v>980</v>
      </c>
      <c r="BZ850" t="s">
        <v>257</v>
      </c>
      <c r="CA850">
        <v>0</v>
      </c>
      <c r="CB850">
        <v>0</v>
      </c>
      <c r="CC850" t="s">
        <v>1507</v>
      </c>
      <c r="CD850">
        <v>0</v>
      </c>
      <c r="CE850">
        <v>0</v>
      </c>
      <c r="CF850">
        <v>0</v>
      </c>
      <c r="CG850">
        <v>0</v>
      </c>
      <c r="CH850">
        <v>0</v>
      </c>
      <c r="CI850" t="s">
        <v>983</v>
      </c>
      <c r="CJ850" t="s">
        <v>972</v>
      </c>
      <c r="CK850" t="s">
        <v>986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 t="s">
        <v>987</v>
      </c>
      <c r="CV850">
        <v>400008856</v>
      </c>
      <c r="CW850" t="s">
        <v>987</v>
      </c>
      <c r="CX850" t="s">
        <v>1081</v>
      </c>
      <c r="CY850" t="s">
        <v>989</v>
      </c>
    </row>
    <row r="851" spans="1:103" hidden="1" x14ac:dyDescent="0.25">
      <c r="A851">
        <v>410000857</v>
      </c>
      <c r="B851" t="s">
        <v>6039</v>
      </c>
      <c r="C851" t="s">
        <v>6040</v>
      </c>
      <c r="D851">
        <v>401100000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1</v>
      </c>
      <c r="X851">
        <v>1</v>
      </c>
      <c r="Y851" t="s">
        <v>972</v>
      </c>
      <c r="Z851" t="s">
        <v>6041</v>
      </c>
      <c r="AA851" t="s">
        <v>6042</v>
      </c>
      <c r="AB851" t="s">
        <v>975</v>
      </c>
      <c r="AC851">
        <v>4102</v>
      </c>
      <c r="AD851" t="s">
        <v>1655</v>
      </c>
      <c r="AE851" t="s">
        <v>979</v>
      </c>
      <c r="AF851" t="s">
        <v>979</v>
      </c>
      <c r="AG851" t="s">
        <v>977</v>
      </c>
      <c r="AH851" t="s">
        <v>977</v>
      </c>
      <c r="AI851" t="s">
        <v>977</v>
      </c>
      <c r="AJ851" t="s">
        <v>978</v>
      </c>
      <c r="AK851" t="s">
        <v>978</v>
      </c>
      <c r="AL851" t="s">
        <v>978</v>
      </c>
      <c r="AM851" t="s">
        <v>979</v>
      </c>
      <c r="AN851">
        <v>0</v>
      </c>
      <c r="AO851" t="s">
        <v>257</v>
      </c>
      <c r="AP851">
        <v>0</v>
      </c>
      <c r="AQ851">
        <v>20</v>
      </c>
      <c r="AR851">
        <v>43</v>
      </c>
      <c r="AS851">
        <v>1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1</v>
      </c>
      <c r="AZ851" t="s">
        <v>257</v>
      </c>
      <c r="BA851" t="s">
        <v>980</v>
      </c>
      <c r="BB851" t="s">
        <v>981</v>
      </c>
      <c r="BC851" t="s">
        <v>257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 t="s">
        <v>1285</v>
      </c>
      <c r="BK851" t="s">
        <v>981</v>
      </c>
      <c r="BL851" t="s">
        <v>6039</v>
      </c>
      <c r="BM851">
        <v>20231023</v>
      </c>
      <c r="BN851">
        <v>20231030</v>
      </c>
      <c r="BO851">
        <v>0</v>
      </c>
      <c r="BP851" t="s">
        <v>257</v>
      </c>
      <c r="BQ851" t="s">
        <v>983</v>
      </c>
      <c r="BR851" t="s">
        <v>978</v>
      </c>
      <c r="BS851" t="s">
        <v>979</v>
      </c>
      <c r="BT851">
        <v>0</v>
      </c>
      <c r="BU851">
        <v>0</v>
      </c>
      <c r="BV851" t="s">
        <v>2341</v>
      </c>
      <c r="BW851" t="s">
        <v>257</v>
      </c>
      <c r="BX851">
        <v>0</v>
      </c>
      <c r="BY851" t="s">
        <v>980</v>
      </c>
      <c r="BZ851" t="s">
        <v>257</v>
      </c>
      <c r="CA851">
        <v>0</v>
      </c>
      <c r="CB851">
        <v>0</v>
      </c>
      <c r="CC851" t="s">
        <v>1220</v>
      </c>
      <c r="CD851">
        <v>0</v>
      </c>
      <c r="CE851">
        <v>0</v>
      </c>
      <c r="CF851">
        <v>0</v>
      </c>
      <c r="CG851">
        <v>0</v>
      </c>
      <c r="CH851">
        <v>0</v>
      </c>
      <c r="CI851" t="s">
        <v>983</v>
      </c>
      <c r="CJ851" t="s">
        <v>972</v>
      </c>
      <c r="CK851" t="s">
        <v>986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 t="s">
        <v>987</v>
      </c>
      <c r="CV851">
        <v>400008857</v>
      </c>
      <c r="CW851" t="s">
        <v>987</v>
      </c>
      <c r="CX851" t="s">
        <v>1081</v>
      </c>
      <c r="CY851" t="s">
        <v>989</v>
      </c>
    </row>
    <row r="852" spans="1:103" hidden="1" x14ac:dyDescent="0.25">
      <c r="A852">
        <v>410000858</v>
      </c>
      <c r="B852" t="s">
        <v>6043</v>
      </c>
      <c r="C852" t="s">
        <v>6044</v>
      </c>
      <c r="D852">
        <v>401100000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1</v>
      </c>
      <c r="X852">
        <v>1</v>
      </c>
      <c r="Y852" t="s">
        <v>972</v>
      </c>
      <c r="Z852" t="s">
        <v>987</v>
      </c>
      <c r="AA852" t="s">
        <v>6045</v>
      </c>
      <c r="AB852" t="s">
        <v>975</v>
      </c>
      <c r="AC852">
        <v>4000</v>
      </c>
      <c r="AD852" t="s">
        <v>1019</v>
      </c>
      <c r="AE852" t="s">
        <v>979</v>
      </c>
      <c r="AF852" t="s">
        <v>979</v>
      </c>
      <c r="AG852" t="s">
        <v>977</v>
      </c>
      <c r="AH852" t="s">
        <v>977</v>
      </c>
      <c r="AI852" t="s">
        <v>977</v>
      </c>
      <c r="AJ852" t="s">
        <v>978</v>
      </c>
      <c r="AK852" t="s">
        <v>978</v>
      </c>
      <c r="AL852" t="s">
        <v>978</v>
      </c>
      <c r="AM852" t="s">
        <v>979</v>
      </c>
      <c r="AN852">
        <v>0</v>
      </c>
      <c r="AO852" t="s">
        <v>257</v>
      </c>
      <c r="AP852">
        <v>0</v>
      </c>
      <c r="AQ852">
        <v>20</v>
      </c>
      <c r="AR852">
        <v>43</v>
      </c>
      <c r="AS852">
        <v>1</v>
      </c>
      <c r="AT852">
        <v>0</v>
      </c>
      <c r="AU852">
        <v>1</v>
      </c>
      <c r="AV852">
        <v>0</v>
      </c>
      <c r="AW852">
        <v>0</v>
      </c>
      <c r="AX852">
        <v>0</v>
      </c>
      <c r="AY852">
        <v>1</v>
      </c>
      <c r="AZ852" t="s">
        <v>257</v>
      </c>
      <c r="BA852" t="s">
        <v>980</v>
      </c>
      <c r="BB852" t="s">
        <v>981</v>
      </c>
      <c r="BC852" t="s">
        <v>257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 t="s">
        <v>1285</v>
      </c>
      <c r="BK852" t="s">
        <v>981</v>
      </c>
      <c r="BL852" t="s">
        <v>6043</v>
      </c>
      <c r="BM852">
        <v>20231023</v>
      </c>
      <c r="BN852">
        <v>20231030</v>
      </c>
      <c r="BO852">
        <v>0</v>
      </c>
      <c r="BP852" t="s">
        <v>257</v>
      </c>
      <c r="BQ852" t="s">
        <v>983</v>
      </c>
      <c r="BR852" t="s">
        <v>978</v>
      </c>
      <c r="BS852" t="s">
        <v>979</v>
      </c>
      <c r="BT852">
        <v>0</v>
      </c>
      <c r="BU852">
        <v>0</v>
      </c>
      <c r="BV852" t="s">
        <v>2341</v>
      </c>
      <c r="BW852" t="s">
        <v>257</v>
      </c>
      <c r="BX852">
        <v>0</v>
      </c>
      <c r="BY852" t="s">
        <v>980</v>
      </c>
      <c r="BZ852" t="s">
        <v>257</v>
      </c>
      <c r="CA852">
        <v>0</v>
      </c>
      <c r="CB852">
        <v>0</v>
      </c>
      <c r="CC852" t="s">
        <v>1371</v>
      </c>
      <c r="CD852">
        <v>0</v>
      </c>
      <c r="CE852">
        <v>0</v>
      </c>
      <c r="CF852">
        <v>0</v>
      </c>
      <c r="CG852">
        <v>0</v>
      </c>
      <c r="CH852">
        <v>0</v>
      </c>
      <c r="CI852" t="s">
        <v>983</v>
      </c>
      <c r="CJ852" t="s">
        <v>972</v>
      </c>
      <c r="CK852" t="s">
        <v>986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 t="s">
        <v>987</v>
      </c>
      <c r="CV852">
        <v>400008858</v>
      </c>
      <c r="CW852" t="s">
        <v>987</v>
      </c>
      <c r="CX852" t="s">
        <v>1081</v>
      </c>
      <c r="CY852" t="s">
        <v>989</v>
      </c>
    </row>
    <row r="853" spans="1:103" hidden="1" x14ac:dyDescent="0.25">
      <c r="A853">
        <v>410000859</v>
      </c>
      <c r="B853" t="s">
        <v>6046</v>
      </c>
      <c r="C853" t="s">
        <v>978</v>
      </c>
      <c r="D853">
        <v>401100000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4</v>
      </c>
      <c r="W853">
        <v>1</v>
      </c>
      <c r="X853">
        <v>1</v>
      </c>
      <c r="Y853" t="s">
        <v>972</v>
      </c>
      <c r="Z853" t="s">
        <v>987</v>
      </c>
      <c r="AA853" t="s">
        <v>6047</v>
      </c>
      <c r="AB853" t="s">
        <v>975</v>
      </c>
      <c r="AC853">
        <v>4000</v>
      </c>
      <c r="AD853" t="s">
        <v>1019</v>
      </c>
      <c r="AE853" t="s">
        <v>979</v>
      </c>
      <c r="AF853" t="s">
        <v>979</v>
      </c>
      <c r="AG853" t="s">
        <v>977</v>
      </c>
      <c r="AH853" t="s">
        <v>977</v>
      </c>
      <c r="AI853" t="s">
        <v>977</v>
      </c>
      <c r="AJ853" t="s">
        <v>978</v>
      </c>
      <c r="AK853" t="s">
        <v>978</v>
      </c>
      <c r="AL853" t="s">
        <v>978</v>
      </c>
      <c r="AM853" t="s">
        <v>979</v>
      </c>
      <c r="AN853">
        <v>0</v>
      </c>
      <c r="AO853" t="s">
        <v>257</v>
      </c>
      <c r="AP853">
        <v>0</v>
      </c>
      <c r="AQ853">
        <v>20</v>
      </c>
      <c r="AR853">
        <v>43</v>
      </c>
      <c r="AS853">
        <v>1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1</v>
      </c>
      <c r="AZ853" t="s">
        <v>257</v>
      </c>
      <c r="BA853" t="s">
        <v>980</v>
      </c>
      <c r="BB853" t="s">
        <v>981</v>
      </c>
      <c r="BC853" t="s">
        <v>257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 t="s">
        <v>1285</v>
      </c>
      <c r="BK853" t="s">
        <v>981</v>
      </c>
      <c r="BL853" t="s">
        <v>6046</v>
      </c>
      <c r="BM853">
        <v>20231023</v>
      </c>
      <c r="BN853">
        <v>20231030</v>
      </c>
      <c r="BO853">
        <v>0</v>
      </c>
      <c r="BP853" t="s">
        <v>257</v>
      </c>
      <c r="BQ853" t="s">
        <v>983</v>
      </c>
      <c r="BR853" t="s">
        <v>978</v>
      </c>
      <c r="BS853" t="s">
        <v>979</v>
      </c>
      <c r="BT853">
        <v>0</v>
      </c>
      <c r="BU853">
        <v>0</v>
      </c>
      <c r="BV853" t="s">
        <v>2341</v>
      </c>
      <c r="BW853" t="s">
        <v>257</v>
      </c>
      <c r="BX853">
        <v>0</v>
      </c>
      <c r="BY853" t="s">
        <v>980</v>
      </c>
      <c r="BZ853" t="s">
        <v>257</v>
      </c>
      <c r="CA853">
        <v>0</v>
      </c>
      <c r="CB853">
        <v>0</v>
      </c>
      <c r="CC853" t="s">
        <v>1391</v>
      </c>
      <c r="CD853">
        <v>0</v>
      </c>
      <c r="CE853">
        <v>0</v>
      </c>
      <c r="CF853">
        <v>0</v>
      </c>
      <c r="CG853">
        <v>0</v>
      </c>
      <c r="CH853">
        <v>0</v>
      </c>
      <c r="CI853" t="s">
        <v>983</v>
      </c>
      <c r="CJ853" t="s">
        <v>972</v>
      </c>
      <c r="CK853" t="s">
        <v>986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 t="s">
        <v>987</v>
      </c>
      <c r="CV853">
        <v>400008859</v>
      </c>
      <c r="CW853" t="s">
        <v>987</v>
      </c>
      <c r="CX853" t="s">
        <v>1081</v>
      </c>
      <c r="CY853" t="s">
        <v>989</v>
      </c>
    </row>
    <row r="854" spans="1:103" hidden="1" x14ac:dyDescent="0.25">
      <c r="A854">
        <v>410000860</v>
      </c>
      <c r="B854" t="s">
        <v>6048</v>
      </c>
      <c r="C854" t="s">
        <v>978</v>
      </c>
      <c r="D854">
        <v>401100000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</v>
      </c>
      <c r="W854">
        <v>1</v>
      </c>
      <c r="X854">
        <v>1</v>
      </c>
      <c r="Y854" t="s">
        <v>972</v>
      </c>
      <c r="Z854" t="s">
        <v>6049</v>
      </c>
      <c r="AA854" t="s">
        <v>6050</v>
      </c>
      <c r="AB854" t="s">
        <v>975</v>
      </c>
      <c r="AC854">
        <v>4000</v>
      </c>
      <c r="AD854" t="s">
        <v>1019</v>
      </c>
      <c r="AE854" t="s">
        <v>979</v>
      </c>
      <c r="AF854" t="s">
        <v>979</v>
      </c>
      <c r="AG854" t="s">
        <v>977</v>
      </c>
      <c r="AH854" t="s">
        <v>977</v>
      </c>
      <c r="AI854" t="s">
        <v>977</v>
      </c>
      <c r="AJ854" t="s">
        <v>978</v>
      </c>
      <c r="AK854" t="s">
        <v>978</v>
      </c>
      <c r="AL854" t="s">
        <v>978</v>
      </c>
      <c r="AM854" t="s">
        <v>979</v>
      </c>
      <c r="AN854">
        <v>0</v>
      </c>
      <c r="AO854" t="s">
        <v>257</v>
      </c>
      <c r="AP854">
        <v>0</v>
      </c>
      <c r="AQ854">
        <v>20</v>
      </c>
      <c r="AR854">
        <v>43</v>
      </c>
      <c r="AS854">
        <v>1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1</v>
      </c>
      <c r="AZ854" t="s">
        <v>257</v>
      </c>
      <c r="BA854" t="s">
        <v>980</v>
      </c>
      <c r="BB854" t="s">
        <v>981</v>
      </c>
      <c r="BC854" t="s">
        <v>257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 t="s">
        <v>1285</v>
      </c>
      <c r="BK854" t="s">
        <v>981</v>
      </c>
      <c r="BL854" t="s">
        <v>6048</v>
      </c>
      <c r="BM854">
        <v>20231023</v>
      </c>
      <c r="BN854">
        <v>20231030</v>
      </c>
      <c r="BO854">
        <v>0</v>
      </c>
      <c r="BP854" t="s">
        <v>257</v>
      </c>
      <c r="BQ854" t="s">
        <v>983</v>
      </c>
      <c r="BR854" t="s">
        <v>978</v>
      </c>
      <c r="BS854" t="s">
        <v>979</v>
      </c>
      <c r="BT854">
        <v>0</v>
      </c>
      <c r="BU854">
        <v>0</v>
      </c>
      <c r="BV854" t="s">
        <v>2341</v>
      </c>
      <c r="BW854" t="s">
        <v>257</v>
      </c>
      <c r="BX854">
        <v>0</v>
      </c>
      <c r="BY854" t="s">
        <v>980</v>
      </c>
      <c r="BZ854" t="s">
        <v>257</v>
      </c>
      <c r="CA854">
        <v>0</v>
      </c>
      <c r="CB854">
        <v>0</v>
      </c>
      <c r="CC854" t="s">
        <v>2000</v>
      </c>
      <c r="CD854">
        <v>0</v>
      </c>
      <c r="CE854">
        <v>0</v>
      </c>
      <c r="CF854">
        <v>0</v>
      </c>
      <c r="CG854">
        <v>0</v>
      </c>
      <c r="CH854">
        <v>0</v>
      </c>
      <c r="CI854" t="s">
        <v>983</v>
      </c>
      <c r="CJ854" t="s">
        <v>972</v>
      </c>
      <c r="CK854" t="s">
        <v>986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 t="s">
        <v>987</v>
      </c>
      <c r="CV854">
        <v>400008860</v>
      </c>
      <c r="CW854" t="s">
        <v>987</v>
      </c>
      <c r="CX854" t="s">
        <v>1081</v>
      </c>
      <c r="CY854" t="s">
        <v>989</v>
      </c>
    </row>
    <row r="855" spans="1:103" hidden="1" x14ac:dyDescent="0.25">
      <c r="A855">
        <v>410000861</v>
      </c>
      <c r="B855" t="s">
        <v>6051</v>
      </c>
      <c r="C855" t="s">
        <v>6052</v>
      </c>
      <c r="D855">
        <v>401100000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1</v>
      </c>
      <c r="Y855" t="s">
        <v>972</v>
      </c>
      <c r="Z855" t="s">
        <v>6053</v>
      </c>
      <c r="AA855" t="s">
        <v>5980</v>
      </c>
      <c r="AB855" t="s">
        <v>975</v>
      </c>
      <c r="AC855">
        <v>4100</v>
      </c>
      <c r="AD855" t="s">
        <v>1655</v>
      </c>
      <c r="AE855" t="s">
        <v>979</v>
      </c>
      <c r="AF855" t="s">
        <v>979</v>
      </c>
      <c r="AG855" t="s">
        <v>977</v>
      </c>
      <c r="AH855" t="s">
        <v>977</v>
      </c>
      <c r="AI855" t="s">
        <v>977</v>
      </c>
      <c r="AJ855" t="s">
        <v>978</v>
      </c>
      <c r="AK855" t="s">
        <v>978</v>
      </c>
      <c r="AL855" t="s">
        <v>978</v>
      </c>
      <c r="AM855" t="s">
        <v>979</v>
      </c>
      <c r="AN855">
        <v>0</v>
      </c>
      <c r="AO855" t="s">
        <v>257</v>
      </c>
      <c r="AP855">
        <v>0</v>
      </c>
      <c r="AQ855">
        <v>20</v>
      </c>
      <c r="AR855">
        <v>43</v>
      </c>
      <c r="AS855">
        <v>1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1</v>
      </c>
      <c r="AZ855" t="s">
        <v>257</v>
      </c>
      <c r="BA855" t="s">
        <v>980</v>
      </c>
      <c r="BB855" t="s">
        <v>981</v>
      </c>
      <c r="BC855" t="s">
        <v>257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 t="s">
        <v>1285</v>
      </c>
      <c r="BK855" t="s">
        <v>981</v>
      </c>
      <c r="BL855" t="s">
        <v>6051</v>
      </c>
      <c r="BM855">
        <v>20231023</v>
      </c>
      <c r="BN855">
        <v>20231030</v>
      </c>
      <c r="BO855">
        <v>0</v>
      </c>
      <c r="BP855" t="s">
        <v>257</v>
      </c>
      <c r="BQ855" t="s">
        <v>983</v>
      </c>
      <c r="BR855" t="s">
        <v>978</v>
      </c>
      <c r="BS855" t="s">
        <v>979</v>
      </c>
      <c r="BT855">
        <v>0</v>
      </c>
      <c r="BU855">
        <v>0</v>
      </c>
      <c r="BV855" t="s">
        <v>2341</v>
      </c>
      <c r="BW855" t="s">
        <v>257</v>
      </c>
      <c r="BX855">
        <v>0</v>
      </c>
      <c r="BY855" t="s">
        <v>980</v>
      </c>
      <c r="BZ855" t="s">
        <v>257</v>
      </c>
      <c r="CA855">
        <v>0</v>
      </c>
      <c r="CB855">
        <v>0</v>
      </c>
      <c r="CC855" t="s">
        <v>1329</v>
      </c>
      <c r="CD855">
        <v>0</v>
      </c>
      <c r="CE855">
        <v>0</v>
      </c>
      <c r="CF855">
        <v>0</v>
      </c>
      <c r="CG855">
        <v>0</v>
      </c>
      <c r="CH855">
        <v>0</v>
      </c>
      <c r="CI855" t="s">
        <v>983</v>
      </c>
      <c r="CJ855" t="s">
        <v>972</v>
      </c>
      <c r="CK855" t="s">
        <v>986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 t="s">
        <v>987</v>
      </c>
      <c r="CV855">
        <v>400008861</v>
      </c>
      <c r="CW855" t="s">
        <v>987</v>
      </c>
      <c r="CX855" t="s">
        <v>1081</v>
      </c>
      <c r="CY855" t="s">
        <v>989</v>
      </c>
    </row>
    <row r="856" spans="1:103" hidden="1" x14ac:dyDescent="0.25">
      <c r="A856">
        <v>410000862</v>
      </c>
      <c r="B856" t="s">
        <v>6054</v>
      </c>
      <c r="C856" t="s">
        <v>6055</v>
      </c>
      <c r="D856">
        <v>401100000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1</v>
      </c>
      <c r="Y856" t="s">
        <v>972</v>
      </c>
      <c r="Z856" t="s">
        <v>987</v>
      </c>
      <c r="AA856" t="s">
        <v>6056</v>
      </c>
      <c r="AB856" t="s">
        <v>975</v>
      </c>
      <c r="AC856">
        <v>6940</v>
      </c>
      <c r="AD856" t="s">
        <v>1361</v>
      </c>
      <c r="AE856" t="s">
        <v>979</v>
      </c>
      <c r="AF856" t="s">
        <v>979</v>
      </c>
      <c r="AG856" t="s">
        <v>977</v>
      </c>
      <c r="AH856" t="s">
        <v>977</v>
      </c>
      <c r="AI856" t="s">
        <v>977</v>
      </c>
      <c r="AJ856" t="s">
        <v>6057</v>
      </c>
      <c r="AK856" t="s">
        <v>978</v>
      </c>
      <c r="AL856" t="s">
        <v>978</v>
      </c>
      <c r="AM856" t="s">
        <v>979</v>
      </c>
      <c r="AN856">
        <v>0</v>
      </c>
      <c r="AO856" t="s">
        <v>257</v>
      </c>
      <c r="AP856">
        <v>0</v>
      </c>
      <c r="AQ856">
        <v>20</v>
      </c>
      <c r="AR856">
        <v>43</v>
      </c>
      <c r="AS856">
        <v>1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1</v>
      </c>
      <c r="AZ856" t="s">
        <v>257</v>
      </c>
      <c r="BA856" t="s">
        <v>980</v>
      </c>
      <c r="BB856" t="s">
        <v>981</v>
      </c>
      <c r="BC856" t="s">
        <v>257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 t="s">
        <v>1285</v>
      </c>
      <c r="BK856" t="s">
        <v>981</v>
      </c>
      <c r="BL856" t="s">
        <v>6054</v>
      </c>
      <c r="BM856">
        <v>20231023</v>
      </c>
      <c r="BN856">
        <v>20231030</v>
      </c>
      <c r="BO856">
        <v>0</v>
      </c>
      <c r="BP856" t="s">
        <v>257</v>
      </c>
      <c r="BQ856" t="s">
        <v>983</v>
      </c>
      <c r="BR856" t="s">
        <v>978</v>
      </c>
      <c r="BS856" t="s">
        <v>979</v>
      </c>
      <c r="BT856">
        <v>0</v>
      </c>
      <c r="BU856">
        <v>0</v>
      </c>
      <c r="BV856" t="s">
        <v>2341</v>
      </c>
      <c r="BW856" t="s">
        <v>257</v>
      </c>
      <c r="BX856">
        <v>0</v>
      </c>
      <c r="BY856" t="s">
        <v>980</v>
      </c>
      <c r="BZ856" t="s">
        <v>257</v>
      </c>
      <c r="CA856">
        <v>0</v>
      </c>
      <c r="CB856">
        <v>0</v>
      </c>
      <c r="CC856" t="s">
        <v>1901</v>
      </c>
      <c r="CD856">
        <v>0</v>
      </c>
      <c r="CE856">
        <v>0</v>
      </c>
      <c r="CF856">
        <v>0</v>
      </c>
      <c r="CG856">
        <v>0</v>
      </c>
      <c r="CH856">
        <v>0</v>
      </c>
      <c r="CI856" t="s">
        <v>983</v>
      </c>
      <c r="CJ856" t="s">
        <v>972</v>
      </c>
      <c r="CK856" t="s">
        <v>986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 t="s">
        <v>987</v>
      </c>
      <c r="CV856">
        <v>400008862</v>
      </c>
      <c r="CW856" t="s">
        <v>987</v>
      </c>
      <c r="CX856" t="s">
        <v>1081</v>
      </c>
      <c r="CY856" t="s">
        <v>989</v>
      </c>
    </row>
    <row r="857" spans="1:103" hidden="1" x14ac:dyDescent="0.25">
      <c r="A857">
        <v>410000863</v>
      </c>
      <c r="B857" t="s">
        <v>6058</v>
      </c>
      <c r="C857" t="s">
        <v>6059</v>
      </c>
      <c r="D857">
        <v>401100000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1</v>
      </c>
      <c r="X857">
        <v>1</v>
      </c>
      <c r="Y857" t="s">
        <v>972</v>
      </c>
      <c r="Z857" t="s">
        <v>987</v>
      </c>
      <c r="AA857" t="s">
        <v>6060</v>
      </c>
      <c r="AB857" t="s">
        <v>975</v>
      </c>
      <c r="AC857">
        <v>4000</v>
      </c>
      <c r="AD857" t="s">
        <v>1019</v>
      </c>
      <c r="AE857" t="s">
        <v>979</v>
      </c>
      <c r="AF857" t="s">
        <v>979</v>
      </c>
      <c r="AG857" t="s">
        <v>977</v>
      </c>
      <c r="AH857" t="s">
        <v>977</v>
      </c>
      <c r="AI857" t="s">
        <v>977</v>
      </c>
      <c r="AJ857" t="s">
        <v>978</v>
      </c>
      <c r="AK857" t="s">
        <v>978</v>
      </c>
      <c r="AL857" t="s">
        <v>978</v>
      </c>
      <c r="AM857" t="s">
        <v>979</v>
      </c>
      <c r="AN857">
        <v>0</v>
      </c>
      <c r="AO857" t="s">
        <v>257</v>
      </c>
      <c r="AP857">
        <v>0</v>
      </c>
      <c r="AQ857">
        <v>20</v>
      </c>
      <c r="AR857">
        <v>43</v>
      </c>
      <c r="AS857">
        <v>1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1</v>
      </c>
      <c r="AZ857" t="s">
        <v>257</v>
      </c>
      <c r="BA857" t="s">
        <v>980</v>
      </c>
      <c r="BB857" t="s">
        <v>981</v>
      </c>
      <c r="BC857" t="s">
        <v>257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 t="s">
        <v>1285</v>
      </c>
      <c r="BK857" t="s">
        <v>981</v>
      </c>
      <c r="BL857" t="s">
        <v>6058</v>
      </c>
      <c r="BM857">
        <v>20231023</v>
      </c>
      <c r="BN857">
        <v>20250120</v>
      </c>
      <c r="BO857">
        <v>0</v>
      </c>
      <c r="BP857" t="s">
        <v>257</v>
      </c>
      <c r="BQ857" t="s">
        <v>983</v>
      </c>
      <c r="BR857" t="s">
        <v>978</v>
      </c>
      <c r="BS857" t="s">
        <v>979</v>
      </c>
      <c r="BT857">
        <v>0</v>
      </c>
      <c r="BU857">
        <v>0</v>
      </c>
      <c r="BV857" t="s">
        <v>984</v>
      </c>
      <c r="BW857" t="s">
        <v>257</v>
      </c>
      <c r="BX857">
        <v>0</v>
      </c>
      <c r="BY857" t="s">
        <v>980</v>
      </c>
      <c r="BZ857" t="s">
        <v>257</v>
      </c>
      <c r="CA857">
        <v>0</v>
      </c>
      <c r="CB857">
        <v>0</v>
      </c>
      <c r="CC857" t="s">
        <v>1371</v>
      </c>
      <c r="CD857">
        <v>0</v>
      </c>
      <c r="CE857">
        <v>0</v>
      </c>
      <c r="CF857">
        <v>0</v>
      </c>
      <c r="CG857">
        <v>0</v>
      </c>
      <c r="CH857">
        <v>0</v>
      </c>
      <c r="CI857" t="s">
        <v>983</v>
      </c>
      <c r="CJ857" t="s">
        <v>972</v>
      </c>
      <c r="CK857" t="s">
        <v>986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 t="s">
        <v>987</v>
      </c>
      <c r="CV857">
        <v>400008863</v>
      </c>
      <c r="CW857" t="s">
        <v>987</v>
      </c>
      <c r="CX857" t="s">
        <v>6010</v>
      </c>
      <c r="CY857" t="s">
        <v>989</v>
      </c>
    </row>
    <row r="858" spans="1:103" hidden="1" x14ac:dyDescent="0.25">
      <c r="A858">
        <v>410000864</v>
      </c>
      <c r="B858" t="s">
        <v>6061</v>
      </c>
      <c r="C858" t="s">
        <v>6062</v>
      </c>
      <c r="D858">
        <v>401100000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</v>
      </c>
      <c r="W858">
        <v>1</v>
      </c>
      <c r="X858">
        <v>1</v>
      </c>
      <c r="Y858" t="s">
        <v>972</v>
      </c>
      <c r="Z858" t="s">
        <v>987</v>
      </c>
      <c r="AA858" t="s">
        <v>6063</v>
      </c>
      <c r="AB858" t="s">
        <v>975</v>
      </c>
      <c r="AC858">
        <v>4000</v>
      </c>
      <c r="AD858" t="s">
        <v>1019</v>
      </c>
      <c r="AE858" t="s">
        <v>979</v>
      </c>
      <c r="AF858" t="s">
        <v>979</v>
      </c>
      <c r="AG858" t="s">
        <v>977</v>
      </c>
      <c r="AH858" t="s">
        <v>977</v>
      </c>
      <c r="AI858" t="s">
        <v>977</v>
      </c>
      <c r="AJ858" t="s">
        <v>978</v>
      </c>
      <c r="AK858" t="s">
        <v>978</v>
      </c>
      <c r="AL858" t="s">
        <v>978</v>
      </c>
      <c r="AM858" t="s">
        <v>979</v>
      </c>
      <c r="AN858">
        <v>0</v>
      </c>
      <c r="AO858" t="s">
        <v>257</v>
      </c>
      <c r="AP858">
        <v>0</v>
      </c>
      <c r="AQ858">
        <v>20</v>
      </c>
      <c r="AR858">
        <v>43</v>
      </c>
      <c r="AS858">
        <v>1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1</v>
      </c>
      <c r="AZ858" t="s">
        <v>257</v>
      </c>
      <c r="BA858" t="s">
        <v>980</v>
      </c>
      <c r="BB858" t="s">
        <v>981</v>
      </c>
      <c r="BC858" t="s">
        <v>257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 t="s">
        <v>1285</v>
      </c>
      <c r="BK858" t="s">
        <v>981</v>
      </c>
      <c r="BL858" t="s">
        <v>6061</v>
      </c>
      <c r="BM858">
        <v>20231023</v>
      </c>
      <c r="BN858">
        <v>20231030</v>
      </c>
      <c r="BO858">
        <v>0</v>
      </c>
      <c r="BP858" t="s">
        <v>257</v>
      </c>
      <c r="BQ858" t="s">
        <v>983</v>
      </c>
      <c r="BR858" t="s">
        <v>978</v>
      </c>
      <c r="BS858" t="s">
        <v>979</v>
      </c>
      <c r="BT858">
        <v>0</v>
      </c>
      <c r="BU858">
        <v>0</v>
      </c>
      <c r="BV858" t="s">
        <v>2341</v>
      </c>
      <c r="BW858" t="s">
        <v>257</v>
      </c>
      <c r="BX858">
        <v>0</v>
      </c>
      <c r="BY858" t="s">
        <v>980</v>
      </c>
      <c r="BZ858" t="s">
        <v>257</v>
      </c>
      <c r="CA858">
        <v>0</v>
      </c>
      <c r="CB858">
        <v>0</v>
      </c>
      <c r="CC858" t="s">
        <v>2000</v>
      </c>
      <c r="CD858">
        <v>0</v>
      </c>
      <c r="CE858">
        <v>0</v>
      </c>
      <c r="CF858">
        <v>0</v>
      </c>
      <c r="CG858">
        <v>0</v>
      </c>
      <c r="CH858">
        <v>0</v>
      </c>
      <c r="CI858" t="s">
        <v>983</v>
      </c>
      <c r="CJ858" t="s">
        <v>972</v>
      </c>
      <c r="CK858" t="s">
        <v>986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 t="s">
        <v>987</v>
      </c>
      <c r="CV858">
        <v>400008864</v>
      </c>
      <c r="CW858" t="s">
        <v>987</v>
      </c>
      <c r="CX858" t="s">
        <v>1081</v>
      </c>
      <c r="CY858" t="s">
        <v>989</v>
      </c>
    </row>
    <row r="859" spans="1:103" hidden="1" x14ac:dyDescent="0.25">
      <c r="A859">
        <v>410000865</v>
      </c>
      <c r="B859" t="s">
        <v>6064</v>
      </c>
      <c r="C859" t="s">
        <v>6065</v>
      </c>
      <c r="D859">
        <v>401100000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1</v>
      </c>
      <c r="Y859" t="s">
        <v>972</v>
      </c>
      <c r="Z859" t="s">
        <v>6066</v>
      </c>
      <c r="AA859" t="s">
        <v>6067</v>
      </c>
      <c r="AB859" t="s">
        <v>975</v>
      </c>
      <c r="AC859">
        <v>4920</v>
      </c>
      <c r="AD859" t="s">
        <v>6068</v>
      </c>
      <c r="AE859" t="s">
        <v>979</v>
      </c>
      <c r="AF859" t="s">
        <v>979</v>
      </c>
      <c r="AG859" t="s">
        <v>977</v>
      </c>
      <c r="AH859" t="s">
        <v>977</v>
      </c>
      <c r="AI859" t="s">
        <v>977</v>
      </c>
      <c r="AJ859" t="s">
        <v>978</v>
      </c>
      <c r="AK859" t="s">
        <v>978</v>
      </c>
      <c r="AL859" t="s">
        <v>978</v>
      </c>
      <c r="AM859" t="s">
        <v>979</v>
      </c>
      <c r="AN859">
        <v>0</v>
      </c>
      <c r="AO859" t="s">
        <v>257</v>
      </c>
      <c r="AP859">
        <v>0</v>
      </c>
      <c r="AQ859">
        <v>20</v>
      </c>
      <c r="AR859">
        <v>69</v>
      </c>
      <c r="AS859">
        <v>1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1</v>
      </c>
      <c r="AZ859" t="s">
        <v>257</v>
      </c>
      <c r="BA859" t="s">
        <v>980</v>
      </c>
      <c r="BB859" t="s">
        <v>981</v>
      </c>
      <c r="BC859" t="s">
        <v>257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 t="s">
        <v>1285</v>
      </c>
      <c r="BK859" t="s">
        <v>981</v>
      </c>
      <c r="BL859" t="s">
        <v>6064</v>
      </c>
      <c r="BM859">
        <v>20231023</v>
      </c>
      <c r="BN859">
        <v>20240910</v>
      </c>
      <c r="BO859">
        <v>0</v>
      </c>
      <c r="BP859" t="s">
        <v>257</v>
      </c>
      <c r="BQ859" t="s">
        <v>983</v>
      </c>
      <c r="BR859" t="s">
        <v>978</v>
      </c>
      <c r="BS859" t="s">
        <v>979</v>
      </c>
      <c r="BT859">
        <v>0</v>
      </c>
      <c r="BU859">
        <v>0</v>
      </c>
      <c r="BV859" t="s">
        <v>984</v>
      </c>
      <c r="BW859" t="s">
        <v>257</v>
      </c>
      <c r="BX859">
        <v>0</v>
      </c>
      <c r="BY859" t="s">
        <v>980</v>
      </c>
      <c r="BZ859" t="s">
        <v>257</v>
      </c>
      <c r="CA859">
        <v>0</v>
      </c>
      <c r="CB859">
        <v>0</v>
      </c>
      <c r="CC859" t="s">
        <v>3268</v>
      </c>
      <c r="CD859">
        <v>0</v>
      </c>
      <c r="CE859">
        <v>0</v>
      </c>
      <c r="CF859">
        <v>0</v>
      </c>
      <c r="CG859">
        <v>0</v>
      </c>
      <c r="CH859">
        <v>0</v>
      </c>
      <c r="CI859" t="s">
        <v>983</v>
      </c>
      <c r="CJ859" t="s">
        <v>972</v>
      </c>
      <c r="CK859" t="s">
        <v>986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 t="s">
        <v>987</v>
      </c>
      <c r="CV859">
        <v>400008865</v>
      </c>
      <c r="CW859" t="s">
        <v>987</v>
      </c>
      <c r="CX859" t="s">
        <v>6069</v>
      </c>
      <c r="CY859" t="s">
        <v>989</v>
      </c>
    </row>
    <row r="860" spans="1:103" hidden="1" x14ac:dyDescent="0.25">
      <c r="A860">
        <v>410000866</v>
      </c>
      <c r="B860" t="s">
        <v>6070</v>
      </c>
      <c r="C860" t="s">
        <v>6071</v>
      </c>
      <c r="D860">
        <v>401100000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1</v>
      </c>
      <c r="X860">
        <v>1</v>
      </c>
      <c r="Y860" t="s">
        <v>972</v>
      </c>
      <c r="Z860" t="s">
        <v>987</v>
      </c>
      <c r="AA860" t="s">
        <v>6072</v>
      </c>
      <c r="AB860" t="s">
        <v>975</v>
      </c>
      <c r="AC860">
        <v>3700</v>
      </c>
      <c r="AD860" t="s">
        <v>6073</v>
      </c>
      <c r="AE860" t="s">
        <v>979</v>
      </c>
      <c r="AF860" t="s">
        <v>979</v>
      </c>
      <c r="AG860" t="s">
        <v>977</v>
      </c>
      <c r="AH860" t="s">
        <v>977</v>
      </c>
      <c r="AI860" t="s">
        <v>977</v>
      </c>
      <c r="AJ860" t="s">
        <v>978</v>
      </c>
      <c r="AK860" t="s">
        <v>978</v>
      </c>
      <c r="AL860" t="s">
        <v>978</v>
      </c>
      <c r="AM860" t="s">
        <v>979</v>
      </c>
      <c r="AN860">
        <v>0</v>
      </c>
      <c r="AO860" t="s">
        <v>257</v>
      </c>
      <c r="AP860">
        <v>0</v>
      </c>
      <c r="AQ860">
        <v>20</v>
      </c>
      <c r="AR860">
        <v>43</v>
      </c>
      <c r="AS860">
        <v>1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1</v>
      </c>
      <c r="AZ860" t="s">
        <v>257</v>
      </c>
      <c r="BA860" t="s">
        <v>980</v>
      </c>
      <c r="BB860" t="s">
        <v>981</v>
      </c>
      <c r="BC860" t="s">
        <v>257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 t="s">
        <v>1285</v>
      </c>
      <c r="BK860" t="s">
        <v>981</v>
      </c>
      <c r="BL860" t="s">
        <v>6070</v>
      </c>
      <c r="BM860">
        <v>20231023</v>
      </c>
      <c r="BN860">
        <v>20231030</v>
      </c>
      <c r="BO860">
        <v>0</v>
      </c>
      <c r="BP860" t="s">
        <v>257</v>
      </c>
      <c r="BQ860" t="s">
        <v>983</v>
      </c>
      <c r="BR860" t="s">
        <v>978</v>
      </c>
      <c r="BS860" t="s">
        <v>979</v>
      </c>
      <c r="BT860">
        <v>0</v>
      </c>
      <c r="BU860">
        <v>0</v>
      </c>
      <c r="BV860" t="s">
        <v>2341</v>
      </c>
      <c r="BW860" t="s">
        <v>257</v>
      </c>
      <c r="BX860">
        <v>0</v>
      </c>
      <c r="BY860" t="s">
        <v>980</v>
      </c>
      <c r="BZ860" t="s">
        <v>257</v>
      </c>
      <c r="CA860">
        <v>0</v>
      </c>
      <c r="CB860">
        <v>0</v>
      </c>
      <c r="CC860" t="s">
        <v>1207</v>
      </c>
      <c r="CD860">
        <v>0</v>
      </c>
      <c r="CE860">
        <v>0</v>
      </c>
      <c r="CF860">
        <v>0</v>
      </c>
      <c r="CG860">
        <v>0</v>
      </c>
      <c r="CH860">
        <v>0</v>
      </c>
      <c r="CI860" t="s">
        <v>983</v>
      </c>
      <c r="CJ860" t="s">
        <v>972</v>
      </c>
      <c r="CK860" t="s">
        <v>986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 t="s">
        <v>987</v>
      </c>
      <c r="CV860">
        <v>400008866</v>
      </c>
      <c r="CW860" t="s">
        <v>987</v>
      </c>
      <c r="CX860" t="s">
        <v>1081</v>
      </c>
      <c r="CY860" t="s">
        <v>989</v>
      </c>
    </row>
    <row r="861" spans="1:103" hidden="1" x14ac:dyDescent="0.25">
      <c r="A861">
        <v>410000867</v>
      </c>
      <c r="B861" t="s">
        <v>6074</v>
      </c>
      <c r="C861" t="s">
        <v>6075</v>
      </c>
      <c r="D861">
        <v>401100000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1</v>
      </c>
      <c r="Y861" t="s">
        <v>972</v>
      </c>
      <c r="Z861" t="s">
        <v>987</v>
      </c>
      <c r="AA861" t="s">
        <v>6076</v>
      </c>
      <c r="AB861" t="s">
        <v>975</v>
      </c>
      <c r="AC861">
        <v>4040</v>
      </c>
      <c r="AD861" t="s">
        <v>976</v>
      </c>
      <c r="AE861" t="s">
        <v>979</v>
      </c>
      <c r="AF861" t="s">
        <v>979</v>
      </c>
      <c r="AG861" t="s">
        <v>977</v>
      </c>
      <c r="AH861" t="s">
        <v>977</v>
      </c>
      <c r="AI861" t="s">
        <v>977</v>
      </c>
      <c r="AJ861" t="s">
        <v>978</v>
      </c>
      <c r="AK861" t="s">
        <v>978</v>
      </c>
      <c r="AL861" t="s">
        <v>978</v>
      </c>
      <c r="AM861" t="s">
        <v>979</v>
      </c>
      <c r="AN861">
        <v>0</v>
      </c>
      <c r="AO861" t="s">
        <v>257</v>
      </c>
      <c r="AP861">
        <v>0</v>
      </c>
      <c r="AQ861">
        <v>20</v>
      </c>
      <c r="AR861">
        <v>43</v>
      </c>
      <c r="AS861">
        <v>1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1</v>
      </c>
      <c r="AZ861" t="s">
        <v>257</v>
      </c>
      <c r="BA861" t="s">
        <v>980</v>
      </c>
      <c r="BB861" t="s">
        <v>1010</v>
      </c>
      <c r="BC861" t="s">
        <v>257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 t="s">
        <v>1285</v>
      </c>
      <c r="BK861" t="s">
        <v>981</v>
      </c>
      <c r="BL861" t="s">
        <v>6074</v>
      </c>
      <c r="BM861">
        <v>20231023</v>
      </c>
      <c r="BN861">
        <v>20250124</v>
      </c>
      <c r="BO861">
        <v>20250124</v>
      </c>
      <c r="BP861" t="s">
        <v>257</v>
      </c>
      <c r="BQ861" t="s">
        <v>983</v>
      </c>
      <c r="BR861" t="s">
        <v>978</v>
      </c>
      <c r="BS861" t="s">
        <v>979</v>
      </c>
      <c r="BT861">
        <v>0</v>
      </c>
      <c r="BU861">
        <v>0</v>
      </c>
      <c r="BV861" t="s">
        <v>984</v>
      </c>
      <c r="BW861" t="s">
        <v>257</v>
      </c>
      <c r="BX861">
        <v>0</v>
      </c>
      <c r="BY861" t="s">
        <v>980</v>
      </c>
      <c r="BZ861" t="s">
        <v>257</v>
      </c>
      <c r="CA861">
        <v>0</v>
      </c>
      <c r="CB861">
        <v>0</v>
      </c>
      <c r="CC861" t="s">
        <v>2322</v>
      </c>
      <c r="CD861">
        <v>0</v>
      </c>
      <c r="CE861">
        <v>0</v>
      </c>
      <c r="CF861">
        <v>0</v>
      </c>
      <c r="CG861">
        <v>0</v>
      </c>
      <c r="CH861">
        <v>0</v>
      </c>
      <c r="CI861" t="s">
        <v>983</v>
      </c>
      <c r="CJ861" t="s">
        <v>972</v>
      </c>
      <c r="CK861" t="s">
        <v>986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 t="s">
        <v>987</v>
      </c>
      <c r="CV861">
        <v>400008867</v>
      </c>
      <c r="CW861" t="s">
        <v>987</v>
      </c>
      <c r="CX861" t="s">
        <v>6077</v>
      </c>
      <c r="CY861" t="s">
        <v>989</v>
      </c>
    </row>
    <row r="862" spans="1:103" hidden="1" x14ac:dyDescent="0.25">
      <c r="A862">
        <v>410000868</v>
      </c>
      <c r="B862" t="s">
        <v>6078</v>
      </c>
      <c r="C862" t="s">
        <v>6079</v>
      </c>
      <c r="D862">
        <v>401100000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1</v>
      </c>
      <c r="X862">
        <v>1</v>
      </c>
      <c r="Y862" t="s">
        <v>972</v>
      </c>
      <c r="Z862" t="s">
        <v>987</v>
      </c>
      <c r="AA862" t="s">
        <v>6080</v>
      </c>
      <c r="AB862" t="s">
        <v>975</v>
      </c>
      <c r="AC862">
        <v>1930</v>
      </c>
      <c r="AD862" t="s">
        <v>6081</v>
      </c>
      <c r="AE862" t="s">
        <v>979</v>
      </c>
      <c r="AF862" t="s">
        <v>979</v>
      </c>
      <c r="AG862" t="s">
        <v>977</v>
      </c>
      <c r="AH862" t="s">
        <v>977</v>
      </c>
      <c r="AI862" t="s">
        <v>977</v>
      </c>
      <c r="AJ862" t="s">
        <v>6082</v>
      </c>
      <c r="AK862" t="s">
        <v>978</v>
      </c>
      <c r="AL862" t="s">
        <v>978</v>
      </c>
      <c r="AM862" t="s">
        <v>979</v>
      </c>
      <c r="AN862">
        <v>0</v>
      </c>
      <c r="AO862" t="s">
        <v>257</v>
      </c>
      <c r="AP862">
        <v>0</v>
      </c>
      <c r="AQ862">
        <v>20</v>
      </c>
      <c r="AR862">
        <v>43</v>
      </c>
      <c r="AS862">
        <v>1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1</v>
      </c>
      <c r="AZ862" t="s">
        <v>257</v>
      </c>
      <c r="BA862" t="s">
        <v>980</v>
      </c>
      <c r="BB862" t="s">
        <v>981</v>
      </c>
      <c r="BC862" t="s">
        <v>257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 t="s">
        <v>1285</v>
      </c>
      <c r="BK862" t="s">
        <v>981</v>
      </c>
      <c r="BL862" t="s">
        <v>6078</v>
      </c>
      <c r="BM862">
        <v>20231024</v>
      </c>
      <c r="BN862">
        <v>20231030</v>
      </c>
      <c r="BO862">
        <v>0</v>
      </c>
      <c r="BP862" t="s">
        <v>257</v>
      </c>
      <c r="BQ862" t="s">
        <v>983</v>
      </c>
      <c r="BR862" t="s">
        <v>978</v>
      </c>
      <c r="BS862" t="s">
        <v>979</v>
      </c>
      <c r="BT862">
        <v>0</v>
      </c>
      <c r="BU862">
        <v>0</v>
      </c>
      <c r="BV862" t="s">
        <v>2341</v>
      </c>
      <c r="BW862" t="s">
        <v>257</v>
      </c>
      <c r="BX862">
        <v>0</v>
      </c>
      <c r="BY862" t="s">
        <v>980</v>
      </c>
      <c r="BZ862" t="s">
        <v>257</v>
      </c>
      <c r="CA862">
        <v>0</v>
      </c>
      <c r="CB862">
        <v>0</v>
      </c>
      <c r="CC862" t="s">
        <v>1901</v>
      </c>
      <c r="CD862">
        <v>0</v>
      </c>
      <c r="CE862">
        <v>0</v>
      </c>
      <c r="CF862">
        <v>0</v>
      </c>
      <c r="CG862">
        <v>0</v>
      </c>
      <c r="CH862">
        <v>0</v>
      </c>
      <c r="CI862" t="s">
        <v>983</v>
      </c>
      <c r="CJ862" t="s">
        <v>972</v>
      </c>
      <c r="CK862" t="s">
        <v>986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 t="s">
        <v>987</v>
      </c>
      <c r="CV862">
        <v>400008868</v>
      </c>
      <c r="CW862" t="s">
        <v>987</v>
      </c>
      <c r="CX862" t="s">
        <v>1081</v>
      </c>
      <c r="CY862" t="s">
        <v>989</v>
      </c>
    </row>
    <row r="863" spans="1:103" hidden="1" x14ac:dyDescent="0.25">
      <c r="A863">
        <v>410000869</v>
      </c>
      <c r="B863" t="s">
        <v>6083</v>
      </c>
      <c r="C863" t="s">
        <v>6084</v>
      </c>
      <c r="D863">
        <v>401100000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1</v>
      </c>
      <c r="X863">
        <v>1</v>
      </c>
      <c r="Y863" t="s">
        <v>972</v>
      </c>
      <c r="Z863" t="s">
        <v>987</v>
      </c>
      <c r="AA863" t="s">
        <v>6085</v>
      </c>
      <c r="AB863" t="s">
        <v>975</v>
      </c>
      <c r="AC863">
        <v>9850</v>
      </c>
      <c r="AD863" t="s">
        <v>6086</v>
      </c>
      <c r="AE863" t="s">
        <v>979</v>
      </c>
      <c r="AF863" t="s">
        <v>979</v>
      </c>
      <c r="AG863" t="s">
        <v>977</v>
      </c>
      <c r="AH863" t="s">
        <v>977</v>
      </c>
      <c r="AI863" t="s">
        <v>977</v>
      </c>
      <c r="AJ863" t="s">
        <v>6087</v>
      </c>
      <c r="AK863" t="s">
        <v>978</v>
      </c>
      <c r="AL863" t="s">
        <v>978</v>
      </c>
      <c r="AM863" t="s">
        <v>979</v>
      </c>
      <c r="AN863">
        <v>0</v>
      </c>
      <c r="AO863" t="s">
        <v>257</v>
      </c>
      <c r="AP863">
        <v>0</v>
      </c>
      <c r="AQ863">
        <v>20</v>
      </c>
      <c r="AR863">
        <v>43</v>
      </c>
      <c r="AS863">
        <v>1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1</v>
      </c>
      <c r="AZ863" t="s">
        <v>257</v>
      </c>
      <c r="BA863" t="s">
        <v>980</v>
      </c>
      <c r="BB863" t="s">
        <v>981</v>
      </c>
      <c r="BC863" t="s">
        <v>257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 t="s">
        <v>1285</v>
      </c>
      <c r="BK863" t="s">
        <v>981</v>
      </c>
      <c r="BL863" t="s">
        <v>6083</v>
      </c>
      <c r="BM863">
        <v>20231024</v>
      </c>
      <c r="BN863">
        <v>20231030</v>
      </c>
      <c r="BO863">
        <v>0</v>
      </c>
      <c r="BP863" t="s">
        <v>257</v>
      </c>
      <c r="BQ863" t="s">
        <v>983</v>
      </c>
      <c r="BR863" t="s">
        <v>978</v>
      </c>
      <c r="BS863" t="s">
        <v>979</v>
      </c>
      <c r="BT863">
        <v>0</v>
      </c>
      <c r="BU863">
        <v>0</v>
      </c>
      <c r="BV863" t="s">
        <v>2341</v>
      </c>
      <c r="BW863" t="s">
        <v>257</v>
      </c>
      <c r="BX863">
        <v>0</v>
      </c>
      <c r="BY863" t="s">
        <v>980</v>
      </c>
      <c r="BZ863" t="s">
        <v>257</v>
      </c>
      <c r="CA863">
        <v>0</v>
      </c>
      <c r="CB863">
        <v>0</v>
      </c>
      <c r="CC863" t="s">
        <v>985</v>
      </c>
      <c r="CD863">
        <v>0</v>
      </c>
      <c r="CE863">
        <v>0</v>
      </c>
      <c r="CF863">
        <v>0</v>
      </c>
      <c r="CG863">
        <v>0</v>
      </c>
      <c r="CH863">
        <v>0</v>
      </c>
      <c r="CI863" t="s">
        <v>983</v>
      </c>
      <c r="CJ863" t="s">
        <v>972</v>
      </c>
      <c r="CK863" t="s">
        <v>986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 t="s">
        <v>987</v>
      </c>
      <c r="CV863">
        <v>400008869</v>
      </c>
      <c r="CW863" t="s">
        <v>987</v>
      </c>
      <c r="CX863" t="s">
        <v>1081</v>
      </c>
      <c r="CY863" t="s">
        <v>989</v>
      </c>
    </row>
    <row r="864" spans="1:103" hidden="1" x14ac:dyDescent="0.25">
      <c r="A864">
        <v>410000870</v>
      </c>
      <c r="B864" t="s">
        <v>6088</v>
      </c>
      <c r="C864" t="s">
        <v>6089</v>
      </c>
      <c r="D864">
        <v>401100000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1</v>
      </c>
      <c r="X864">
        <v>1</v>
      </c>
      <c r="Y864" t="s">
        <v>972</v>
      </c>
      <c r="Z864" t="s">
        <v>987</v>
      </c>
      <c r="AA864" t="s">
        <v>6090</v>
      </c>
      <c r="AB864" t="s">
        <v>975</v>
      </c>
      <c r="AC864">
        <v>4141</v>
      </c>
      <c r="AD864" t="s">
        <v>3233</v>
      </c>
      <c r="AE864" t="s">
        <v>979</v>
      </c>
      <c r="AF864" t="s">
        <v>979</v>
      </c>
      <c r="AG864" t="s">
        <v>977</v>
      </c>
      <c r="AH864" t="s">
        <v>977</v>
      </c>
      <c r="AI864" t="s">
        <v>977</v>
      </c>
      <c r="AJ864" t="s">
        <v>978</v>
      </c>
      <c r="AK864" t="s">
        <v>978</v>
      </c>
      <c r="AL864" t="s">
        <v>978</v>
      </c>
      <c r="AM864" t="s">
        <v>979</v>
      </c>
      <c r="AN864">
        <v>0</v>
      </c>
      <c r="AO864" t="s">
        <v>257</v>
      </c>
      <c r="AP864">
        <v>0</v>
      </c>
      <c r="AQ864">
        <v>20</v>
      </c>
      <c r="AR864">
        <v>43</v>
      </c>
      <c r="AS864">
        <v>1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1</v>
      </c>
      <c r="AZ864" t="s">
        <v>257</v>
      </c>
      <c r="BA864" t="s">
        <v>980</v>
      </c>
      <c r="BB864" t="s">
        <v>981</v>
      </c>
      <c r="BC864" t="s">
        <v>257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 t="s">
        <v>1285</v>
      </c>
      <c r="BK864" t="s">
        <v>981</v>
      </c>
      <c r="BL864" t="s">
        <v>6088</v>
      </c>
      <c r="BM864">
        <v>20231024</v>
      </c>
      <c r="BN864">
        <v>20240226</v>
      </c>
      <c r="BO864">
        <v>0</v>
      </c>
      <c r="BP864" t="s">
        <v>257</v>
      </c>
      <c r="BQ864" t="s">
        <v>983</v>
      </c>
      <c r="BR864" t="s">
        <v>978</v>
      </c>
      <c r="BS864" t="s">
        <v>979</v>
      </c>
      <c r="BT864">
        <v>0</v>
      </c>
      <c r="BU864">
        <v>0</v>
      </c>
      <c r="BV864" t="s">
        <v>984</v>
      </c>
      <c r="BW864" t="s">
        <v>257</v>
      </c>
      <c r="BX864">
        <v>0</v>
      </c>
      <c r="BY864" t="s">
        <v>980</v>
      </c>
      <c r="BZ864" t="s">
        <v>257</v>
      </c>
      <c r="CA864">
        <v>0</v>
      </c>
      <c r="CB864">
        <v>0</v>
      </c>
      <c r="CC864" t="s">
        <v>1080</v>
      </c>
      <c r="CD864">
        <v>0</v>
      </c>
      <c r="CE864">
        <v>0</v>
      </c>
      <c r="CF864">
        <v>0</v>
      </c>
      <c r="CG864">
        <v>0</v>
      </c>
      <c r="CH864">
        <v>0</v>
      </c>
      <c r="CI864" t="s">
        <v>983</v>
      </c>
      <c r="CJ864" t="s">
        <v>972</v>
      </c>
      <c r="CK864" t="s">
        <v>986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 t="s">
        <v>987</v>
      </c>
      <c r="CV864">
        <v>400008870</v>
      </c>
      <c r="CW864" t="s">
        <v>987</v>
      </c>
      <c r="CX864" t="s">
        <v>6091</v>
      </c>
      <c r="CY864" t="s">
        <v>989</v>
      </c>
    </row>
    <row r="865" spans="1:103" hidden="1" x14ac:dyDescent="0.25">
      <c r="A865">
        <v>410000871</v>
      </c>
      <c r="B865" t="s">
        <v>6092</v>
      </c>
      <c r="C865" t="s">
        <v>6093</v>
      </c>
      <c r="D865">
        <v>401100000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1</v>
      </c>
      <c r="X865">
        <v>1</v>
      </c>
      <c r="Y865" t="s">
        <v>972</v>
      </c>
      <c r="Z865" t="s">
        <v>987</v>
      </c>
      <c r="AA865" t="s">
        <v>6094</v>
      </c>
      <c r="AB865" t="s">
        <v>975</v>
      </c>
      <c r="AC865">
        <v>4500</v>
      </c>
      <c r="AD865" t="s">
        <v>1445</v>
      </c>
      <c r="AE865">
        <v>3285231979</v>
      </c>
      <c r="AF865" t="s">
        <v>979</v>
      </c>
      <c r="AG865" t="s">
        <v>977</v>
      </c>
      <c r="AH865" t="s">
        <v>977</v>
      </c>
      <c r="AI865" t="s">
        <v>977</v>
      </c>
      <c r="AJ865" t="s">
        <v>978</v>
      </c>
      <c r="AK865" t="s">
        <v>978</v>
      </c>
      <c r="AL865" t="s">
        <v>978</v>
      </c>
      <c r="AM865" t="s">
        <v>979</v>
      </c>
      <c r="AN865">
        <v>0</v>
      </c>
      <c r="AO865" t="s">
        <v>257</v>
      </c>
      <c r="AP865">
        <v>0</v>
      </c>
      <c r="AQ865">
        <v>20</v>
      </c>
      <c r="AR865">
        <v>69</v>
      </c>
      <c r="AS865">
        <v>1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1</v>
      </c>
      <c r="AZ865" t="s">
        <v>257</v>
      </c>
      <c r="BA865" t="s">
        <v>980</v>
      </c>
      <c r="BB865" t="s">
        <v>981</v>
      </c>
      <c r="BC865" t="s">
        <v>257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 t="s">
        <v>1285</v>
      </c>
      <c r="BK865" t="s">
        <v>981</v>
      </c>
      <c r="BL865" t="s">
        <v>6092</v>
      </c>
      <c r="BM865">
        <v>20231024</v>
      </c>
      <c r="BN865">
        <v>20240910</v>
      </c>
      <c r="BO865">
        <v>0</v>
      </c>
      <c r="BP865" t="s">
        <v>257</v>
      </c>
      <c r="BQ865" t="s">
        <v>983</v>
      </c>
      <c r="BR865" t="s">
        <v>978</v>
      </c>
      <c r="BS865" t="s">
        <v>979</v>
      </c>
      <c r="BT865">
        <v>0</v>
      </c>
      <c r="BU865">
        <v>0</v>
      </c>
      <c r="BV865" t="s">
        <v>984</v>
      </c>
      <c r="BW865" t="s">
        <v>257</v>
      </c>
      <c r="BX865">
        <v>0</v>
      </c>
      <c r="BY865" t="s">
        <v>980</v>
      </c>
      <c r="BZ865" t="s">
        <v>257</v>
      </c>
      <c r="CA865">
        <v>0</v>
      </c>
      <c r="CB865">
        <v>0</v>
      </c>
      <c r="CC865" t="s">
        <v>1165</v>
      </c>
      <c r="CD865">
        <v>0</v>
      </c>
      <c r="CE865">
        <v>0</v>
      </c>
      <c r="CF865">
        <v>0</v>
      </c>
      <c r="CG865">
        <v>0</v>
      </c>
      <c r="CH865">
        <v>0</v>
      </c>
      <c r="CI865" t="s">
        <v>983</v>
      </c>
      <c r="CJ865" t="s">
        <v>972</v>
      </c>
      <c r="CK865" t="s">
        <v>986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 t="s">
        <v>987</v>
      </c>
      <c r="CV865">
        <v>400008871</v>
      </c>
      <c r="CW865" t="s">
        <v>987</v>
      </c>
      <c r="CX865" t="s">
        <v>6095</v>
      </c>
      <c r="CY865" t="s">
        <v>989</v>
      </c>
    </row>
    <row r="866" spans="1:103" hidden="1" x14ac:dyDescent="0.25">
      <c r="A866">
        <v>410000872</v>
      </c>
      <c r="B866" t="s">
        <v>6096</v>
      </c>
      <c r="C866" t="s">
        <v>978</v>
      </c>
      <c r="D866">
        <v>401100000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</v>
      </c>
      <c r="W866">
        <v>1</v>
      </c>
      <c r="X866">
        <v>1</v>
      </c>
      <c r="Y866" t="s">
        <v>972</v>
      </c>
      <c r="Z866" t="s">
        <v>987</v>
      </c>
      <c r="AA866" t="s">
        <v>6097</v>
      </c>
      <c r="AB866" t="s">
        <v>975</v>
      </c>
      <c r="AC866">
        <v>4042</v>
      </c>
      <c r="AD866" t="s">
        <v>1988</v>
      </c>
      <c r="AE866" t="s">
        <v>979</v>
      </c>
      <c r="AF866" t="s">
        <v>979</v>
      </c>
      <c r="AG866" t="s">
        <v>977</v>
      </c>
      <c r="AH866" t="s">
        <v>977</v>
      </c>
      <c r="AI866" t="s">
        <v>977</v>
      </c>
      <c r="AJ866" t="s">
        <v>978</v>
      </c>
      <c r="AK866" t="s">
        <v>978</v>
      </c>
      <c r="AL866" t="s">
        <v>978</v>
      </c>
      <c r="AM866" t="s">
        <v>979</v>
      </c>
      <c r="AN866">
        <v>0</v>
      </c>
      <c r="AO866" t="s">
        <v>257</v>
      </c>
      <c r="AP866">
        <v>0</v>
      </c>
      <c r="AQ866">
        <v>20</v>
      </c>
      <c r="AR866">
        <v>69</v>
      </c>
      <c r="AS866">
        <v>1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1</v>
      </c>
      <c r="AZ866" t="s">
        <v>257</v>
      </c>
      <c r="BA866" t="s">
        <v>980</v>
      </c>
      <c r="BB866" t="s">
        <v>981</v>
      </c>
      <c r="BC866" t="s">
        <v>257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 t="s">
        <v>1285</v>
      </c>
      <c r="BK866" t="s">
        <v>981</v>
      </c>
      <c r="BL866" t="s">
        <v>6096</v>
      </c>
      <c r="BM866">
        <v>20231024</v>
      </c>
      <c r="BN866">
        <v>20240910</v>
      </c>
      <c r="BO866">
        <v>0</v>
      </c>
      <c r="BP866" t="s">
        <v>257</v>
      </c>
      <c r="BQ866" t="s">
        <v>983</v>
      </c>
      <c r="BR866" t="s">
        <v>978</v>
      </c>
      <c r="BS866" t="s">
        <v>979</v>
      </c>
      <c r="BT866">
        <v>0</v>
      </c>
      <c r="BU866">
        <v>0</v>
      </c>
      <c r="BV866" t="s">
        <v>2341</v>
      </c>
      <c r="BW866" t="s">
        <v>257</v>
      </c>
      <c r="BX866">
        <v>0</v>
      </c>
      <c r="BY866" t="s">
        <v>980</v>
      </c>
      <c r="BZ866" t="s">
        <v>257</v>
      </c>
      <c r="CA866">
        <v>0</v>
      </c>
      <c r="CB866">
        <v>0</v>
      </c>
      <c r="CC866" t="s">
        <v>3851</v>
      </c>
      <c r="CD866">
        <v>0</v>
      </c>
      <c r="CE866">
        <v>0</v>
      </c>
      <c r="CF866">
        <v>0</v>
      </c>
      <c r="CG866">
        <v>0</v>
      </c>
      <c r="CH866">
        <v>0</v>
      </c>
      <c r="CI866" t="s">
        <v>983</v>
      </c>
      <c r="CJ866" t="s">
        <v>972</v>
      </c>
      <c r="CK866" t="s">
        <v>986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 t="s">
        <v>987</v>
      </c>
      <c r="CV866">
        <v>400008872</v>
      </c>
      <c r="CW866" t="s">
        <v>987</v>
      </c>
      <c r="CX866" t="s">
        <v>1081</v>
      </c>
      <c r="CY866" t="s">
        <v>989</v>
      </c>
    </row>
    <row r="867" spans="1:103" hidden="1" x14ac:dyDescent="0.25">
      <c r="A867">
        <v>410000873</v>
      </c>
      <c r="B867" t="s">
        <v>6098</v>
      </c>
      <c r="C867" t="s">
        <v>6099</v>
      </c>
      <c r="D867">
        <v>401100000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</v>
      </c>
      <c r="X867">
        <v>1</v>
      </c>
      <c r="Y867" t="s">
        <v>972</v>
      </c>
      <c r="Z867" t="s">
        <v>6100</v>
      </c>
      <c r="AA867" t="s">
        <v>6101</v>
      </c>
      <c r="AB867" t="s">
        <v>975</v>
      </c>
      <c r="AC867">
        <v>4000</v>
      </c>
      <c r="AD867" t="s">
        <v>1019</v>
      </c>
      <c r="AE867" t="s">
        <v>979</v>
      </c>
      <c r="AF867" t="s">
        <v>979</v>
      </c>
      <c r="AG867" t="s">
        <v>977</v>
      </c>
      <c r="AH867" t="s">
        <v>977</v>
      </c>
      <c r="AI867" t="s">
        <v>977</v>
      </c>
      <c r="AJ867" t="s">
        <v>978</v>
      </c>
      <c r="AK867" t="s">
        <v>978</v>
      </c>
      <c r="AL867" t="s">
        <v>978</v>
      </c>
      <c r="AM867" t="s">
        <v>979</v>
      </c>
      <c r="AN867">
        <v>0</v>
      </c>
      <c r="AO867" t="s">
        <v>257</v>
      </c>
      <c r="AP867">
        <v>0</v>
      </c>
      <c r="AQ867">
        <v>20</v>
      </c>
      <c r="AR867">
        <v>69</v>
      </c>
      <c r="AS867">
        <v>1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1</v>
      </c>
      <c r="AZ867" t="s">
        <v>257</v>
      </c>
      <c r="BA867" t="s">
        <v>980</v>
      </c>
      <c r="BB867" t="s">
        <v>981</v>
      </c>
      <c r="BC867" t="s">
        <v>257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 t="s">
        <v>1285</v>
      </c>
      <c r="BK867" t="s">
        <v>981</v>
      </c>
      <c r="BL867" t="s">
        <v>6098</v>
      </c>
      <c r="BM867">
        <v>20231024</v>
      </c>
      <c r="BN867">
        <v>20241003</v>
      </c>
      <c r="BO867">
        <v>0</v>
      </c>
      <c r="BP867" t="s">
        <v>257</v>
      </c>
      <c r="BQ867" t="s">
        <v>983</v>
      </c>
      <c r="BR867" t="s">
        <v>978</v>
      </c>
      <c r="BS867" t="s">
        <v>979</v>
      </c>
      <c r="BT867">
        <v>0</v>
      </c>
      <c r="BU867">
        <v>0</v>
      </c>
      <c r="BV867" t="s">
        <v>984</v>
      </c>
      <c r="BW867" t="s">
        <v>257</v>
      </c>
      <c r="BX867">
        <v>0</v>
      </c>
      <c r="BY867" t="s">
        <v>980</v>
      </c>
      <c r="BZ867" t="s">
        <v>257</v>
      </c>
      <c r="CA867">
        <v>0</v>
      </c>
      <c r="CB867">
        <v>0</v>
      </c>
      <c r="CC867" t="s">
        <v>1371</v>
      </c>
      <c r="CD867">
        <v>0</v>
      </c>
      <c r="CE867">
        <v>0</v>
      </c>
      <c r="CF867">
        <v>0</v>
      </c>
      <c r="CG867">
        <v>0</v>
      </c>
      <c r="CH867">
        <v>0</v>
      </c>
      <c r="CI867" t="s">
        <v>983</v>
      </c>
      <c r="CJ867" t="s">
        <v>972</v>
      </c>
      <c r="CK867" t="s">
        <v>986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 t="s">
        <v>987</v>
      </c>
      <c r="CV867">
        <v>400008873</v>
      </c>
      <c r="CW867" t="s">
        <v>987</v>
      </c>
      <c r="CX867" t="s">
        <v>6102</v>
      </c>
      <c r="CY867" t="s">
        <v>989</v>
      </c>
    </row>
    <row r="868" spans="1:103" hidden="1" x14ac:dyDescent="0.25">
      <c r="A868">
        <v>410000874</v>
      </c>
      <c r="B868" t="s">
        <v>6103</v>
      </c>
      <c r="C868" t="s">
        <v>978</v>
      </c>
      <c r="D868">
        <v>401100000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</v>
      </c>
      <c r="W868">
        <v>1</v>
      </c>
      <c r="X868">
        <v>1</v>
      </c>
      <c r="Y868" t="s">
        <v>972</v>
      </c>
      <c r="Z868" t="s">
        <v>6104</v>
      </c>
      <c r="AA868" t="s">
        <v>6105</v>
      </c>
      <c r="AB868" t="s">
        <v>975</v>
      </c>
      <c r="AC868">
        <v>4000</v>
      </c>
      <c r="AD868" t="s">
        <v>1019</v>
      </c>
      <c r="AE868" t="s">
        <v>979</v>
      </c>
      <c r="AF868" t="s">
        <v>979</v>
      </c>
      <c r="AG868" t="s">
        <v>977</v>
      </c>
      <c r="AH868" t="s">
        <v>977</v>
      </c>
      <c r="AI868" t="s">
        <v>977</v>
      </c>
      <c r="AJ868" t="s">
        <v>978</v>
      </c>
      <c r="AK868" t="s">
        <v>978</v>
      </c>
      <c r="AL868" t="s">
        <v>978</v>
      </c>
      <c r="AM868" t="s">
        <v>979</v>
      </c>
      <c r="AN868">
        <v>0</v>
      </c>
      <c r="AO868" t="s">
        <v>257</v>
      </c>
      <c r="AP868">
        <v>0</v>
      </c>
      <c r="AQ868">
        <v>20</v>
      </c>
      <c r="AR868">
        <v>43</v>
      </c>
      <c r="AS868">
        <v>1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1</v>
      </c>
      <c r="AZ868" t="s">
        <v>257</v>
      </c>
      <c r="BA868" t="s">
        <v>980</v>
      </c>
      <c r="BB868" t="s">
        <v>981</v>
      </c>
      <c r="BC868" t="s">
        <v>257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 t="s">
        <v>1285</v>
      </c>
      <c r="BK868" t="s">
        <v>981</v>
      </c>
      <c r="BL868" t="s">
        <v>6103</v>
      </c>
      <c r="BM868">
        <v>20231024</v>
      </c>
      <c r="BN868">
        <v>20231030</v>
      </c>
      <c r="BO868">
        <v>0</v>
      </c>
      <c r="BP868" t="s">
        <v>257</v>
      </c>
      <c r="BQ868" t="s">
        <v>983</v>
      </c>
      <c r="BR868" t="s">
        <v>978</v>
      </c>
      <c r="BS868" t="s">
        <v>979</v>
      </c>
      <c r="BT868">
        <v>0</v>
      </c>
      <c r="BU868">
        <v>0</v>
      </c>
      <c r="BV868" t="s">
        <v>2341</v>
      </c>
      <c r="BW868" t="s">
        <v>257</v>
      </c>
      <c r="BX868">
        <v>0</v>
      </c>
      <c r="BY868" t="s">
        <v>980</v>
      </c>
      <c r="BZ868" t="s">
        <v>257</v>
      </c>
      <c r="CA868">
        <v>0</v>
      </c>
      <c r="CB868">
        <v>0</v>
      </c>
      <c r="CC868" t="s">
        <v>2000</v>
      </c>
      <c r="CD868">
        <v>0</v>
      </c>
      <c r="CE868">
        <v>0</v>
      </c>
      <c r="CF868">
        <v>0</v>
      </c>
      <c r="CG868">
        <v>0</v>
      </c>
      <c r="CH868">
        <v>0</v>
      </c>
      <c r="CI868" t="s">
        <v>983</v>
      </c>
      <c r="CJ868" t="s">
        <v>972</v>
      </c>
      <c r="CK868" t="s">
        <v>986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 t="s">
        <v>987</v>
      </c>
      <c r="CV868">
        <v>400008874</v>
      </c>
      <c r="CW868" t="s">
        <v>987</v>
      </c>
      <c r="CX868" t="s">
        <v>1081</v>
      </c>
      <c r="CY868" t="s">
        <v>989</v>
      </c>
    </row>
    <row r="869" spans="1:103" hidden="1" x14ac:dyDescent="0.25">
      <c r="A869">
        <v>410000875</v>
      </c>
      <c r="B869" t="s">
        <v>6106</v>
      </c>
      <c r="C869" t="s">
        <v>6107</v>
      </c>
      <c r="D869">
        <v>401100000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1</v>
      </c>
      <c r="X869">
        <v>1</v>
      </c>
      <c r="Y869" t="s">
        <v>972</v>
      </c>
      <c r="Z869" t="s">
        <v>6108</v>
      </c>
      <c r="AA869" t="s">
        <v>6109</v>
      </c>
      <c r="AB869" t="s">
        <v>975</v>
      </c>
      <c r="AC869">
        <v>4000</v>
      </c>
      <c r="AD869" t="s">
        <v>1019</v>
      </c>
      <c r="AE869" t="s">
        <v>979</v>
      </c>
      <c r="AF869" t="s">
        <v>979</v>
      </c>
      <c r="AG869" t="s">
        <v>977</v>
      </c>
      <c r="AH869" t="s">
        <v>977</v>
      </c>
      <c r="AI869" t="s">
        <v>977</v>
      </c>
      <c r="AJ869" t="s">
        <v>978</v>
      </c>
      <c r="AK869" t="s">
        <v>978</v>
      </c>
      <c r="AL869" t="s">
        <v>978</v>
      </c>
      <c r="AM869" t="s">
        <v>979</v>
      </c>
      <c r="AN869">
        <v>0</v>
      </c>
      <c r="AO869" t="s">
        <v>257</v>
      </c>
      <c r="AP869">
        <v>0</v>
      </c>
      <c r="AQ869">
        <v>20</v>
      </c>
      <c r="AR869">
        <v>43</v>
      </c>
      <c r="AS869">
        <v>1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1</v>
      </c>
      <c r="AZ869" t="s">
        <v>257</v>
      </c>
      <c r="BA869" t="s">
        <v>980</v>
      </c>
      <c r="BB869" t="s">
        <v>981</v>
      </c>
      <c r="BC869" t="s">
        <v>257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 t="s">
        <v>1285</v>
      </c>
      <c r="BK869" t="s">
        <v>981</v>
      </c>
      <c r="BL869" t="s">
        <v>6106</v>
      </c>
      <c r="BM869">
        <v>20231024</v>
      </c>
      <c r="BN869">
        <v>20231030</v>
      </c>
      <c r="BO869">
        <v>0</v>
      </c>
      <c r="BP869" t="s">
        <v>257</v>
      </c>
      <c r="BQ869" t="s">
        <v>983</v>
      </c>
      <c r="BR869" t="s">
        <v>978</v>
      </c>
      <c r="BS869" t="s">
        <v>979</v>
      </c>
      <c r="BT869">
        <v>0</v>
      </c>
      <c r="BU869">
        <v>0</v>
      </c>
      <c r="BV869" t="s">
        <v>2341</v>
      </c>
      <c r="BW869" t="s">
        <v>257</v>
      </c>
      <c r="BX869">
        <v>0</v>
      </c>
      <c r="BY869" t="s">
        <v>980</v>
      </c>
      <c r="BZ869" t="s">
        <v>257</v>
      </c>
      <c r="CA869">
        <v>0</v>
      </c>
      <c r="CB869">
        <v>0</v>
      </c>
      <c r="CC869" t="s">
        <v>1391</v>
      </c>
      <c r="CD869">
        <v>0</v>
      </c>
      <c r="CE869">
        <v>0</v>
      </c>
      <c r="CF869">
        <v>0</v>
      </c>
      <c r="CG869">
        <v>0</v>
      </c>
      <c r="CH869">
        <v>0</v>
      </c>
      <c r="CI869" t="s">
        <v>983</v>
      </c>
      <c r="CJ869" t="s">
        <v>972</v>
      </c>
      <c r="CK869" t="s">
        <v>986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 t="s">
        <v>987</v>
      </c>
      <c r="CV869">
        <v>400008875</v>
      </c>
      <c r="CW869" t="s">
        <v>987</v>
      </c>
      <c r="CX869" t="s">
        <v>1081</v>
      </c>
      <c r="CY869" t="s">
        <v>989</v>
      </c>
    </row>
    <row r="870" spans="1:103" hidden="1" x14ac:dyDescent="0.25">
      <c r="A870">
        <v>410000876</v>
      </c>
      <c r="B870" t="s">
        <v>6110</v>
      </c>
      <c r="C870" t="s">
        <v>6111</v>
      </c>
      <c r="D870">
        <v>401100000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1</v>
      </c>
      <c r="Y870" t="s">
        <v>972</v>
      </c>
      <c r="Z870" t="s">
        <v>2698</v>
      </c>
      <c r="AA870" t="s">
        <v>6112</v>
      </c>
      <c r="AB870" t="s">
        <v>975</v>
      </c>
      <c r="AC870">
        <v>4040</v>
      </c>
      <c r="AD870" t="s">
        <v>976</v>
      </c>
      <c r="AE870" t="s">
        <v>979</v>
      </c>
      <c r="AF870" t="s">
        <v>979</v>
      </c>
      <c r="AG870" t="s">
        <v>977</v>
      </c>
      <c r="AH870" t="s">
        <v>977</v>
      </c>
      <c r="AI870" t="s">
        <v>977</v>
      </c>
      <c r="AJ870" t="s">
        <v>978</v>
      </c>
      <c r="AK870" t="s">
        <v>978</v>
      </c>
      <c r="AL870" t="s">
        <v>978</v>
      </c>
      <c r="AM870" t="s">
        <v>979</v>
      </c>
      <c r="AN870">
        <v>0</v>
      </c>
      <c r="AO870" t="s">
        <v>257</v>
      </c>
      <c r="AP870">
        <v>0</v>
      </c>
      <c r="AQ870">
        <v>20</v>
      </c>
      <c r="AR870">
        <v>43</v>
      </c>
      <c r="AS870">
        <v>1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1</v>
      </c>
      <c r="AZ870" t="s">
        <v>257</v>
      </c>
      <c r="BA870" t="s">
        <v>980</v>
      </c>
      <c r="BB870" t="s">
        <v>981</v>
      </c>
      <c r="BC870" t="s">
        <v>257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 t="s">
        <v>1285</v>
      </c>
      <c r="BK870" t="s">
        <v>981</v>
      </c>
      <c r="BL870" t="s">
        <v>6110</v>
      </c>
      <c r="BM870">
        <v>20231024</v>
      </c>
      <c r="BN870">
        <v>20231030</v>
      </c>
      <c r="BO870">
        <v>0</v>
      </c>
      <c r="BP870" t="s">
        <v>257</v>
      </c>
      <c r="BQ870" t="s">
        <v>983</v>
      </c>
      <c r="BR870" t="s">
        <v>978</v>
      </c>
      <c r="BS870" t="s">
        <v>979</v>
      </c>
      <c r="BT870">
        <v>0</v>
      </c>
      <c r="BU870">
        <v>0</v>
      </c>
      <c r="BV870" t="s">
        <v>2341</v>
      </c>
      <c r="BW870" t="s">
        <v>257</v>
      </c>
      <c r="BX870">
        <v>0</v>
      </c>
      <c r="BY870" t="s">
        <v>980</v>
      </c>
      <c r="BZ870" t="s">
        <v>257</v>
      </c>
      <c r="CA870">
        <v>0</v>
      </c>
      <c r="CB870">
        <v>0</v>
      </c>
      <c r="CC870" t="s">
        <v>1038</v>
      </c>
      <c r="CD870">
        <v>0</v>
      </c>
      <c r="CE870">
        <v>0</v>
      </c>
      <c r="CF870">
        <v>0</v>
      </c>
      <c r="CG870">
        <v>0</v>
      </c>
      <c r="CH870">
        <v>0</v>
      </c>
      <c r="CI870" t="s">
        <v>983</v>
      </c>
      <c r="CJ870" t="s">
        <v>972</v>
      </c>
      <c r="CK870" t="s">
        <v>986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 t="s">
        <v>987</v>
      </c>
      <c r="CV870">
        <v>400008876</v>
      </c>
      <c r="CW870" t="s">
        <v>987</v>
      </c>
      <c r="CX870" t="s">
        <v>1081</v>
      </c>
      <c r="CY870" t="s">
        <v>989</v>
      </c>
    </row>
    <row r="871" spans="1:103" hidden="1" x14ac:dyDescent="0.25">
      <c r="A871">
        <v>410000877</v>
      </c>
      <c r="B871" t="s">
        <v>6113</v>
      </c>
      <c r="C871" t="s">
        <v>6114</v>
      </c>
      <c r="D871">
        <v>401100000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1</v>
      </c>
      <c r="X871">
        <v>1</v>
      </c>
      <c r="Y871" t="s">
        <v>972</v>
      </c>
      <c r="Z871" t="s">
        <v>4052</v>
      </c>
      <c r="AA871" t="s">
        <v>6033</v>
      </c>
      <c r="AB871" t="s">
        <v>975</v>
      </c>
      <c r="AC871">
        <v>4020</v>
      </c>
      <c r="AD871" t="s">
        <v>1019</v>
      </c>
      <c r="AE871" t="s">
        <v>979</v>
      </c>
      <c r="AF871" t="s">
        <v>979</v>
      </c>
      <c r="AG871" t="s">
        <v>977</v>
      </c>
      <c r="AH871" t="s">
        <v>977</v>
      </c>
      <c r="AI871" t="s">
        <v>977</v>
      </c>
      <c r="AJ871" t="s">
        <v>978</v>
      </c>
      <c r="AK871" t="s">
        <v>978</v>
      </c>
      <c r="AL871" t="s">
        <v>978</v>
      </c>
      <c r="AM871" t="s">
        <v>979</v>
      </c>
      <c r="AN871">
        <v>0</v>
      </c>
      <c r="AO871" t="s">
        <v>257</v>
      </c>
      <c r="AP871">
        <v>0</v>
      </c>
      <c r="AQ871">
        <v>20</v>
      </c>
      <c r="AR871">
        <v>43</v>
      </c>
      <c r="AS871">
        <v>1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1</v>
      </c>
      <c r="AZ871" t="s">
        <v>257</v>
      </c>
      <c r="BA871" t="s">
        <v>980</v>
      </c>
      <c r="BB871" t="s">
        <v>981</v>
      </c>
      <c r="BC871" t="s">
        <v>257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 t="s">
        <v>1285</v>
      </c>
      <c r="BK871" t="s">
        <v>981</v>
      </c>
      <c r="BL871" t="s">
        <v>6113</v>
      </c>
      <c r="BM871">
        <v>20231024</v>
      </c>
      <c r="BN871">
        <v>20231030</v>
      </c>
      <c r="BO871">
        <v>0</v>
      </c>
      <c r="BP871" t="s">
        <v>257</v>
      </c>
      <c r="BQ871" t="s">
        <v>983</v>
      </c>
      <c r="BR871" t="s">
        <v>978</v>
      </c>
      <c r="BS871" t="s">
        <v>979</v>
      </c>
      <c r="BT871">
        <v>0</v>
      </c>
      <c r="BU871">
        <v>0</v>
      </c>
      <c r="BV871" t="s">
        <v>2341</v>
      </c>
      <c r="BW871" t="s">
        <v>257</v>
      </c>
      <c r="BX871">
        <v>0</v>
      </c>
      <c r="BY871" t="s">
        <v>980</v>
      </c>
      <c r="BZ871" t="s">
        <v>257</v>
      </c>
      <c r="CA871">
        <v>0</v>
      </c>
      <c r="CB871">
        <v>0</v>
      </c>
      <c r="CC871" t="s">
        <v>1848</v>
      </c>
      <c r="CD871">
        <v>0</v>
      </c>
      <c r="CE871">
        <v>0</v>
      </c>
      <c r="CF871">
        <v>0</v>
      </c>
      <c r="CG871">
        <v>0</v>
      </c>
      <c r="CH871">
        <v>0</v>
      </c>
      <c r="CI871" t="s">
        <v>983</v>
      </c>
      <c r="CJ871" t="s">
        <v>972</v>
      </c>
      <c r="CK871" t="s">
        <v>986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 t="s">
        <v>987</v>
      </c>
      <c r="CV871">
        <v>400008877</v>
      </c>
      <c r="CW871" t="s">
        <v>987</v>
      </c>
      <c r="CX871" t="s">
        <v>1081</v>
      </c>
      <c r="CY871" t="s">
        <v>989</v>
      </c>
    </row>
    <row r="872" spans="1:103" hidden="1" x14ac:dyDescent="0.25">
      <c r="A872">
        <v>410000878</v>
      </c>
      <c r="B872" t="s">
        <v>6115</v>
      </c>
      <c r="C872" t="s">
        <v>6116</v>
      </c>
      <c r="D872">
        <v>401100000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1</v>
      </c>
      <c r="Y872" t="s">
        <v>972</v>
      </c>
      <c r="Z872" t="s">
        <v>6117</v>
      </c>
      <c r="AA872" t="s">
        <v>6118</v>
      </c>
      <c r="AB872" t="s">
        <v>975</v>
      </c>
      <c r="AC872">
        <v>4430</v>
      </c>
      <c r="AD872" t="s">
        <v>1474</v>
      </c>
      <c r="AE872" t="s">
        <v>979</v>
      </c>
      <c r="AF872" t="s">
        <v>979</v>
      </c>
      <c r="AG872" t="s">
        <v>977</v>
      </c>
      <c r="AH872" t="s">
        <v>977</v>
      </c>
      <c r="AI872" t="s">
        <v>977</v>
      </c>
      <c r="AJ872" t="s">
        <v>978</v>
      </c>
      <c r="AK872" t="s">
        <v>978</v>
      </c>
      <c r="AL872" t="s">
        <v>978</v>
      </c>
      <c r="AM872" t="s">
        <v>979</v>
      </c>
      <c r="AN872">
        <v>0</v>
      </c>
      <c r="AO872" t="s">
        <v>257</v>
      </c>
      <c r="AP872">
        <v>0</v>
      </c>
      <c r="AQ872">
        <v>20</v>
      </c>
      <c r="AR872">
        <v>69</v>
      </c>
      <c r="AS872">
        <v>1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1</v>
      </c>
      <c r="AZ872" t="s">
        <v>257</v>
      </c>
      <c r="BA872" t="s">
        <v>980</v>
      </c>
      <c r="BB872" t="s">
        <v>981</v>
      </c>
      <c r="BC872" t="s">
        <v>257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 t="s">
        <v>1285</v>
      </c>
      <c r="BK872" t="s">
        <v>981</v>
      </c>
      <c r="BL872" t="s">
        <v>6115</v>
      </c>
      <c r="BM872">
        <v>20231024</v>
      </c>
      <c r="BN872">
        <v>20241119</v>
      </c>
      <c r="BO872">
        <v>0</v>
      </c>
      <c r="BP872" t="s">
        <v>257</v>
      </c>
      <c r="BQ872" t="s">
        <v>983</v>
      </c>
      <c r="BR872" t="s">
        <v>978</v>
      </c>
      <c r="BS872" t="s">
        <v>979</v>
      </c>
      <c r="BT872">
        <v>0</v>
      </c>
      <c r="BU872">
        <v>0</v>
      </c>
      <c r="BV872" t="s">
        <v>984</v>
      </c>
      <c r="BW872" t="s">
        <v>257</v>
      </c>
      <c r="BX872">
        <v>0</v>
      </c>
      <c r="BY872" t="s">
        <v>980</v>
      </c>
      <c r="BZ872" t="s">
        <v>257</v>
      </c>
      <c r="CA872">
        <v>0</v>
      </c>
      <c r="CB872">
        <v>0</v>
      </c>
      <c r="CC872" t="s">
        <v>2000</v>
      </c>
      <c r="CD872">
        <v>0</v>
      </c>
      <c r="CE872">
        <v>0</v>
      </c>
      <c r="CF872">
        <v>0</v>
      </c>
      <c r="CG872">
        <v>0</v>
      </c>
      <c r="CH872">
        <v>0</v>
      </c>
      <c r="CI872" t="s">
        <v>983</v>
      </c>
      <c r="CJ872" t="s">
        <v>972</v>
      </c>
      <c r="CK872" t="s">
        <v>986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 t="s">
        <v>987</v>
      </c>
      <c r="CV872">
        <v>400008878</v>
      </c>
      <c r="CW872" t="s">
        <v>987</v>
      </c>
      <c r="CX872" t="s">
        <v>6119</v>
      </c>
      <c r="CY872" t="s">
        <v>989</v>
      </c>
    </row>
    <row r="873" spans="1:103" hidden="1" x14ac:dyDescent="0.25">
      <c r="A873">
        <v>410000879</v>
      </c>
      <c r="B873" t="s">
        <v>6120</v>
      </c>
      <c r="C873" t="s">
        <v>978</v>
      </c>
      <c r="D873">
        <v>401100000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</v>
      </c>
      <c r="W873">
        <v>1</v>
      </c>
      <c r="X873">
        <v>1</v>
      </c>
      <c r="Y873" t="s">
        <v>972</v>
      </c>
      <c r="Z873" t="s">
        <v>987</v>
      </c>
      <c r="AA873" t="s">
        <v>6121</v>
      </c>
      <c r="AB873" t="s">
        <v>975</v>
      </c>
      <c r="AC873">
        <v>4030</v>
      </c>
      <c r="AD873" t="s">
        <v>2522</v>
      </c>
      <c r="AE873" t="s">
        <v>979</v>
      </c>
      <c r="AF873" t="s">
        <v>979</v>
      </c>
      <c r="AG873" t="s">
        <v>977</v>
      </c>
      <c r="AH873" t="s">
        <v>977</v>
      </c>
      <c r="AI873" t="s">
        <v>977</v>
      </c>
      <c r="AJ873" t="s">
        <v>978</v>
      </c>
      <c r="AK873" t="s">
        <v>978</v>
      </c>
      <c r="AL873" t="s">
        <v>978</v>
      </c>
      <c r="AM873" t="s">
        <v>979</v>
      </c>
      <c r="AN873">
        <v>0</v>
      </c>
      <c r="AO873" t="s">
        <v>257</v>
      </c>
      <c r="AP873">
        <v>0</v>
      </c>
      <c r="AQ873">
        <v>20</v>
      </c>
      <c r="AR873">
        <v>43</v>
      </c>
      <c r="AS873">
        <v>1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1</v>
      </c>
      <c r="AZ873" t="s">
        <v>257</v>
      </c>
      <c r="BA873" t="s">
        <v>980</v>
      </c>
      <c r="BB873" t="s">
        <v>981</v>
      </c>
      <c r="BC873" t="s">
        <v>257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 t="s">
        <v>1285</v>
      </c>
      <c r="BK873" t="s">
        <v>981</v>
      </c>
      <c r="BL873" t="s">
        <v>6120</v>
      </c>
      <c r="BM873">
        <v>20231024</v>
      </c>
      <c r="BN873">
        <v>20231030</v>
      </c>
      <c r="BO873">
        <v>0</v>
      </c>
      <c r="BP873" t="s">
        <v>257</v>
      </c>
      <c r="BQ873" t="s">
        <v>983</v>
      </c>
      <c r="BR873" t="s">
        <v>978</v>
      </c>
      <c r="BS873" t="s">
        <v>979</v>
      </c>
      <c r="BT873">
        <v>0</v>
      </c>
      <c r="BU873">
        <v>0</v>
      </c>
      <c r="BV873" t="s">
        <v>2341</v>
      </c>
      <c r="BW873" t="s">
        <v>257</v>
      </c>
      <c r="BX873">
        <v>0</v>
      </c>
      <c r="BY873" t="s">
        <v>980</v>
      </c>
      <c r="BZ873" t="s">
        <v>257</v>
      </c>
      <c r="CA873">
        <v>0</v>
      </c>
      <c r="CB873">
        <v>0</v>
      </c>
      <c r="CC873" t="s">
        <v>1371</v>
      </c>
      <c r="CD873">
        <v>0</v>
      </c>
      <c r="CE873">
        <v>0</v>
      </c>
      <c r="CF873">
        <v>0</v>
      </c>
      <c r="CG873">
        <v>0</v>
      </c>
      <c r="CH873">
        <v>0</v>
      </c>
      <c r="CI873" t="s">
        <v>983</v>
      </c>
      <c r="CJ873" t="s">
        <v>972</v>
      </c>
      <c r="CK873" t="s">
        <v>986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 t="s">
        <v>987</v>
      </c>
      <c r="CV873">
        <v>400008879</v>
      </c>
      <c r="CW873" t="s">
        <v>987</v>
      </c>
      <c r="CX873" t="s">
        <v>1081</v>
      </c>
      <c r="CY873" t="s">
        <v>989</v>
      </c>
    </row>
    <row r="874" spans="1:103" hidden="1" x14ac:dyDescent="0.25">
      <c r="A874">
        <v>410000880</v>
      </c>
      <c r="B874" t="s">
        <v>6122</v>
      </c>
      <c r="C874" t="s">
        <v>6123</v>
      </c>
      <c r="D874">
        <v>401100000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1</v>
      </c>
      <c r="Y874" t="s">
        <v>972</v>
      </c>
      <c r="Z874" t="s">
        <v>987</v>
      </c>
      <c r="AA874" t="s">
        <v>5587</v>
      </c>
      <c r="AB874" t="s">
        <v>975</v>
      </c>
      <c r="AC874">
        <v>4000</v>
      </c>
      <c r="AD874" t="s">
        <v>1019</v>
      </c>
      <c r="AE874" t="s">
        <v>979</v>
      </c>
      <c r="AF874" t="s">
        <v>979</v>
      </c>
      <c r="AG874" t="s">
        <v>977</v>
      </c>
      <c r="AH874" t="s">
        <v>977</v>
      </c>
      <c r="AI874" t="s">
        <v>977</v>
      </c>
      <c r="AJ874" t="s">
        <v>978</v>
      </c>
      <c r="AK874" t="s">
        <v>978</v>
      </c>
      <c r="AL874" t="s">
        <v>978</v>
      </c>
      <c r="AM874" t="s">
        <v>979</v>
      </c>
      <c r="AN874">
        <v>0</v>
      </c>
      <c r="AO874" t="s">
        <v>257</v>
      </c>
      <c r="AP874">
        <v>0</v>
      </c>
      <c r="AQ874">
        <v>20</v>
      </c>
      <c r="AR874">
        <v>43</v>
      </c>
      <c r="AS874">
        <v>1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1</v>
      </c>
      <c r="AZ874" t="s">
        <v>257</v>
      </c>
      <c r="BA874" t="s">
        <v>980</v>
      </c>
      <c r="BB874" t="s">
        <v>981</v>
      </c>
      <c r="BC874" t="s">
        <v>257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 t="s">
        <v>1285</v>
      </c>
      <c r="BK874" t="s">
        <v>981</v>
      </c>
      <c r="BL874" t="s">
        <v>6122</v>
      </c>
      <c r="BM874">
        <v>20231024</v>
      </c>
      <c r="BN874">
        <v>20240205</v>
      </c>
      <c r="BO874">
        <v>0</v>
      </c>
      <c r="BP874" t="s">
        <v>257</v>
      </c>
      <c r="BQ874" t="s">
        <v>983</v>
      </c>
      <c r="BR874" t="s">
        <v>978</v>
      </c>
      <c r="BS874" t="s">
        <v>979</v>
      </c>
      <c r="BT874">
        <v>0</v>
      </c>
      <c r="BU874">
        <v>0</v>
      </c>
      <c r="BV874" t="s">
        <v>984</v>
      </c>
      <c r="BW874" t="s">
        <v>257</v>
      </c>
      <c r="BX874">
        <v>0</v>
      </c>
      <c r="BY874" t="s">
        <v>980</v>
      </c>
      <c r="BZ874" t="s">
        <v>257</v>
      </c>
      <c r="CA874">
        <v>0</v>
      </c>
      <c r="CB874">
        <v>0</v>
      </c>
      <c r="CC874" t="s">
        <v>1391</v>
      </c>
      <c r="CD874">
        <v>0</v>
      </c>
      <c r="CE874">
        <v>0</v>
      </c>
      <c r="CF874">
        <v>0</v>
      </c>
      <c r="CG874">
        <v>0</v>
      </c>
      <c r="CH874">
        <v>0</v>
      </c>
      <c r="CI874" t="s">
        <v>983</v>
      </c>
      <c r="CJ874" t="s">
        <v>972</v>
      </c>
      <c r="CK874" t="s">
        <v>986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 t="s">
        <v>987</v>
      </c>
      <c r="CV874">
        <v>400008880</v>
      </c>
      <c r="CW874" t="s">
        <v>987</v>
      </c>
      <c r="CX874" t="s">
        <v>6124</v>
      </c>
      <c r="CY874" t="s">
        <v>989</v>
      </c>
    </row>
    <row r="875" spans="1:103" hidden="1" x14ac:dyDescent="0.25">
      <c r="A875">
        <v>410000881</v>
      </c>
      <c r="B875" t="s">
        <v>6125</v>
      </c>
      <c r="C875" t="s">
        <v>978</v>
      </c>
      <c r="D875">
        <v>401100000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4</v>
      </c>
      <c r="W875">
        <v>1</v>
      </c>
      <c r="X875">
        <v>1</v>
      </c>
      <c r="Y875" t="s">
        <v>972</v>
      </c>
      <c r="Z875" t="s">
        <v>987</v>
      </c>
      <c r="AA875" t="s">
        <v>6126</v>
      </c>
      <c r="AB875" t="s">
        <v>975</v>
      </c>
      <c r="AC875">
        <v>4053</v>
      </c>
      <c r="AD875" t="s">
        <v>2077</v>
      </c>
      <c r="AE875" t="s">
        <v>6127</v>
      </c>
      <c r="AF875" t="s">
        <v>979</v>
      </c>
      <c r="AG875" t="s">
        <v>977</v>
      </c>
      <c r="AH875" t="s">
        <v>977</v>
      </c>
      <c r="AI875" t="s">
        <v>977</v>
      </c>
      <c r="AJ875" t="s">
        <v>978</v>
      </c>
      <c r="AK875" t="s">
        <v>978</v>
      </c>
      <c r="AL875" t="s">
        <v>978</v>
      </c>
      <c r="AM875" t="s">
        <v>979</v>
      </c>
      <c r="AN875">
        <v>0</v>
      </c>
      <c r="AO875" t="s">
        <v>257</v>
      </c>
      <c r="AP875">
        <v>0</v>
      </c>
      <c r="AQ875">
        <v>20</v>
      </c>
      <c r="AR875">
        <v>69</v>
      </c>
      <c r="AS875">
        <v>1</v>
      </c>
      <c r="AT875">
        <v>0</v>
      </c>
      <c r="AU875">
        <v>1</v>
      </c>
      <c r="AV875">
        <v>0</v>
      </c>
      <c r="AW875">
        <v>0</v>
      </c>
      <c r="AX875">
        <v>0</v>
      </c>
      <c r="AY875">
        <v>1</v>
      </c>
      <c r="AZ875" t="s">
        <v>257</v>
      </c>
      <c r="BA875" t="s">
        <v>980</v>
      </c>
      <c r="BB875" t="s">
        <v>981</v>
      </c>
      <c r="BC875" t="s">
        <v>257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 t="s">
        <v>1285</v>
      </c>
      <c r="BK875" t="s">
        <v>981</v>
      </c>
      <c r="BL875" t="s">
        <v>6125</v>
      </c>
      <c r="BM875">
        <v>20231024</v>
      </c>
      <c r="BN875">
        <v>20240910</v>
      </c>
      <c r="BO875">
        <v>0</v>
      </c>
      <c r="BP875" t="s">
        <v>257</v>
      </c>
      <c r="BQ875" t="s">
        <v>983</v>
      </c>
      <c r="BR875" t="s">
        <v>978</v>
      </c>
      <c r="BS875" t="s">
        <v>979</v>
      </c>
      <c r="BT875">
        <v>0</v>
      </c>
      <c r="BU875">
        <v>0</v>
      </c>
      <c r="BV875" t="s">
        <v>984</v>
      </c>
      <c r="BW875" t="s">
        <v>257</v>
      </c>
      <c r="BX875">
        <v>0</v>
      </c>
      <c r="BY875" t="s">
        <v>980</v>
      </c>
      <c r="BZ875" t="s">
        <v>257</v>
      </c>
      <c r="CA875">
        <v>0</v>
      </c>
      <c r="CB875">
        <v>0</v>
      </c>
      <c r="CC875" t="s">
        <v>1080</v>
      </c>
      <c r="CD875">
        <v>0</v>
      </c>
      <c r="CE875">
        <v>0</v>
      </c>
      <c r="CF875">
        <v>0</v>
      </c>
      <c r="CG875">
        <v>0</v>
      </c>
      <c r="CH875">
        <v>0</v>
      </c>
      <c r="CI875" t="s">
        <v>983</v>
      </c>
      <c r="CJ875" t="s">
        <v>972</v>
      </c>
      <c r="CK875" t="s">
        <v>986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 t="s">
        <v>987</v>
      </c>
      <c r="CV875">
        <v>400008881</v>
      </c>
      <c r="CW875" t="s">
        <v>987</v>
      </c>
      <c r="CX875" t="s">
        <v>6128</v>
      </c>
      <c r="CY875" t="s">
        <v>989</v>
      </c>
    </row>
    <row r="876" spans="1:103" hidden="1" x14ac:dyDescent="0.25">
      <c r="A876">
        <v>410000882</v>
      </c>
      <c r="B876" t="s">
        <v>7117</v>
      </c>
      <c r="C876" t="s">
        <v>6129</v>
      </c>
      <c r="D876">
        <v>401100000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1</v>
      </c>
      <c r="Y876" t="s">
        <v>972</v>
      </c>
      <c r="Z876" t="s">
        <v>987</v>
      </c>
      <c r="AA876" t="s">
        <v>6130</v>
      </c>
      <c r="AB876" t="s">
        <v>975</v>
      </c>
      <c r="AC876">
        <v>4890</v>
      </c>
      <c r="AD876" t="s">
        <v>2603</v>
      </c>
      <c r="AE876">
        <v>3287307020</v>
      </c>
      <c r="AF876" t="s">
        <v>979</v>
      </c>
      <c r="AG876" t="s">
        <v>7118</v>
      </c>
      <c r="AH876" t="s">
        <v>977</v>
      </c>
      <c r="AI876" t="s">
        <v>977</v>
      </c>
      <c r="AJ876" t="s">
        <v>978</v>
      </c>
      <c r="AK876" t="s">
        <v>978</v>
      </c>
      <c r="AL876" t="s">
        <v>978</v>
      </c>
      <c r="AM876" t="s">
        <v>979</v>
      </c>
      <c r="AN876">
        <v>0</v>
      </c>
      <c r="AO876" t="s">
        <v>257</v>
      </c>
      <c r="AP876">
        <v>30</v>
      </c>
      <c r="AQ876">
        <v>20</v>
      </c>
      <c r="AR876">
        <v>43</v>
      </c>
      <c r="AS876">
        <v>1</v>
      </c>
      <c r="AT876">
        <v>0</v>
      </c>
      <c r="AU876">
        <v>1</v>
      </c>
      <c r="AV876">
        <v>0</v>
      </c>
      <c r="AW876">
        <v>0</v>
      </c>
      <c r="AX876">
        <v>0</v>
      </c>
      <c r="AY876">
        <v>1</v>
      </c>
      <c r="AZ876" t="s">
        <v>257</v>
      </c>
      <c r="BA876" t="s">
        <v>980</v>
      </c>
      <c r="BB876" t="s">
        <v>981</v>
      </c>
      <c r="BC876" t="s">
        <v>257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 t="s">
        <v>1285</v>
      </c>
      <c r="BK876" t="s">
        <v>981</v>
      </c>
      <c r="BL876" t="s">
        <v>7117</v>
      </c>
      <c r="BM876">
        <v>20231024</v>
      </c>
      <c r="BN876">
        <v>20250605</v>
      </c>
      <c r="BO876">
        <v>0</v>
      </c>
      <c r="BP876" t="s">
        <v>257</v>
      </c>
      <c r="BQ876" t="s">
        <v>983</v>
      </c>
      <c r="BR876" t="s">
        <v>978</v>
      </c>
      <c r="BS876">
        <v>32495297916</v>
      </c>
      <c r="BT876">
        <v>0</v>
      </c>
      <c r="BU876">
        <v>0</v>
      </c>
      <c r="BV876" t="s">
        <v>984</v>
      </c>
      <c r="BW876" t="s">
        <v>257</v>
      </c>
      <c r="BX876">
        <v>0</v>
      </c>
      <c r="BY876" t="s">
        <v>980</v>
      </c>
      <c r="BZ876" t="s">
        <v>257</v>
      </c>
      <c r="CA876">
        <v>0</v>
      </c>
      <c r="CB876">
        <v>0</v>
      </c>
      <c r="CC876" t="s">
        <v>1329</v>
      </c>
      <c r="CD876">
        <v>0</v>
      </c>
      <c r="CE876">
        <v>0</v>
      </c>
      <c r="CF876">
        <v>0</v>
      </c>
      <c r="CG876">
        <v>0</v>
      </c>
      <c r="CH876">
        <v>0</v>
      </c>
      <c r="CI876" t="s">
        <v>983</v>
      </c>
      <c r="CJ876" t="s">
        <v>972</v>
      </c>
      <c r="CK876" t="s">
        <v>986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 t="s">
        <v>987</v>
      </c>
      <c r="CV876">
        <v>400008882</v>
      </c>
      <c r="CW876" t="s">
        <v>987</v>
      </c>
      <c r="CX876" t="s">
        <v>6131</v>
      </c>
      <c r="CY876" t="s">
        <v>989</v>
      </c>
    </row>
    <row r="877" spans="1:103" hidden="1" x14ac:dyDescent="0.25">
      <c r="A877">
        <v>410000883</v>
      </c>
      <c r="B877" t="s">
        <v>6132</v>
      </c>
      <c r="C877" t="s">
        <v>6133</v>
      </c>
      <c r="D877">
        <v>401100000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1</v>
      </c>
      <c r="Y877" t="s">
        <v>972</v>
      </c>
      <c r="Z877" t="s">
        <v>987</v>
      </c>
      <c r="AA877" t="s">
        <v>6134</v>
      </c>
      <c r="AB877" t="s">
        <v>975</v>
      </c>
      <c r="AC877">
        <v>4030</v>
      </c>
      <c r="AD877" t="s">
        <v>2522</v>
      </c>
      <c r="AE877" t="s">
        <v>979</v>
      </c>
      <c r="AF877" t="s">
        <v>979</v>
      </c>
      <c r="AG877" t="s">
        <v>977</v>
      </c>
      <c r="AH877" t="s">
        <v>977</v>
      </c>
      <c r="AI877" t="s">
        <v>977</v>
      </c>
      <c r="AJ877" t="s">
        <v>978</v>
      </c>
      <c r="AK877" t="s">
        <v>978</v>
      </c>
      <c r="AL877" t="s">
        <v>978</v>
      </c>
      <c r="AM877" t="s">
        <v>979</v>
      </c>
      <c r="AN877">
        <v>0</v>
      </c>
      <c r="AO877" t="s">
        <v>257</v>
      </c>
      <c r="AP877">
        <v>0</v>
      </c>
      <c r="AQ877">
        <v>20</v>
      </c>
      <c r="AR877">
        <v>69</v>
      </c>
      <c r="AS877">
        <v>1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1</v>
      </c>
      <c r="AZ877" t="s">
        <v>257</v>
      </c>
      <c r="BA877" t="s">
        <v>980</v>
      </c>
      <c r="BB877" t="s">
        <v>981</v>
      </c>
      <c r="BC877" t="s">
        <v>257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 t="s">
        <v>1285</v>
      </c>
      <c r="BK877" t="s">
        <v>981</v>
      </c>
      <c r="BL877" t="s">
        <v>6132</v>
      </c>
      <c r="BM877">
        <v>20231024</v>
      </c>
      <c r="BN877">
        <v>20240910</v>
      </c>
      <c r="BO877">
        <v>0</v>
      </c>
      <c r="BP877" t="s">
        <v>257</v>
      </c>
      <c r="BQ877" t="s">
        <v>983</v>
      </c>
      <c r="BR877" t="s">
        <v>978</v>
      </c>
      <c r="BS877" t="s">
        <v>979</v>
      </c>
      <c r="BT877">
        <v>0</v>
      </c>
      <c r="BU877">
        <v>0</v>
      </c>
      <c r="BV877" t="s">
        <v>984</v>
      </c>
      <c r="BW877" t="s">
        <v>257</v>
      </c>
      <c r="BX877">
        <v>0</v>
      </c>
      <c r="BY877" t="s">
        <v>980</v>
      </c>
      <c r="BZ877" t="s">
        <v>257</v>
      </c>
      <c r="CA877">
        <v>0</v>
      </c>
      <c r="CB877">
        <v>0</v>
      </c>
      <c r="CC877" t="s">
        <v>1391</v>
      </c>
      <c r="CD877">
        <v>0</v>
      </c>
      <c r="CE877">
        <v>0</v>
      </c>
      <c r="CF877">
        <v>0</v>
      </c>
      <c r="CG877">
        <v>0</v>
      </c>
      <c r="CH877">
        <v>0</v>
      </c>
      <c r="CI877" t="s">
        <v>983</v>
      </c>
      <c r="CJ877" t="s">
        <v>972</v>
      </c>
      <c r="CK877" t="s">
        <v>986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 t="s">
        <v>987</v>
      </c>
      <c r="CV877">
        <v>400008883</v>
      </c>
      <c r="CW877" t="s">
        <v>987</v>
      </c>
      <c r="CX877" t="s">
        <v>6135</v>
      </c>
      <c r="CY877" t="s">
        <v>989</v>
      </c>
    </row>
    <row r="878" spans="1:103" hidden="1" x14ac:dyDescent="0.25">
      <c r="A878">
        <v>410000884</v>
      </c>
      <c r="B878" t="s">
        <v>6136</v>
      </c>
      <c r="C878" t="s">
        <v>6137</v>
      </c>
      <c r="D878">
        <v>401100000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1</v>
      </c>
      <c r="X878">
        <v>1</v>
      </c>
      <c r="Y878" t="s">
        <v>972</v>
      </c>
      <c r="Z878" t="s">
        <v>987</v>
      </c>
      <c r="AA878" t="s">
        <v>6138</v>
      </c>
      <c r="AB878" t="s">
        <v>975</v>
      </c>
      <c r="AC878">
        <v>4870</v>
      </c>
      <c r="AD878" t="s">
        <v>5755</v>
      </c>
      <c r="AE878" t="s">
        <v>979</v>
      </c>
      <c r="AF878" t="s">
        <v>979</v>
      </c>
      <c r="AG878" t="s">
        <v>977</v>
      </c>
      <c r="AH878" t="s">
        <v>977</v>
      </c>
      <c r="AI878" t="s">
        <v>977</v>
      </c>
      <c r="AJ878" t="s">
        <v>978</v>
      </c>
      <c r="AK878" t="s">
        <v>978</v>
      </c>
      <c r="AL878" t="s">
        <v>978</v>
      </c>
      <c r="AM878" t="s">
        <v>979</v>
      </c>
      <c r="AN878">
        <v>0</v>
      </c>
      <c r="AO878" t="s">
        <v>257</v>
      </c>
      <c r="AP878">
        <v>0</v>
      </c>
      <c r="AQ878">
        <v>20</v>
      </c>
      <c r="AR878">
        <v>43</v>
      </c>
      <c r="AS878">
        <v>1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1</v>
      </c>
      <c r="AZ878" t="s">
        <v>257</v>
      </c>
      <c r="BA878" t="s">
        <v>980</v>
      </c>
      <c r="BB878" t="s">
        <v>981</v>
      </c>
      <c r="BC878" t="s">
        <v>257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 t="s">
        <v>1285</v>
      </c>
      <c r="BK878" t="s">
        <v>981</v>
      </c>
      <c r="BL878" t="s">
        <v>6136</v>
      </c>
      <c r="BM878">
        <v>20231024</v>
      </c>
      <c r="BN878">
        <v>20231030</v>
      </c>
      <c r="BO878">
        <v>0</v>
      </c>
      <c r="BP878" t="s">
        <v>257</v>
      </c>
      <c r="BQ878" t="s">
        <v>983</v>
      </c>
      <c r="BR878" t="s">
        <v>978</v>
      </c>
      <c r="BS878" t="s">
        <v>979</v>
      </c>
      <c r="BT878">
        <v>0</v>
      </c>
      <c r="BU878">
        <v>0</v>
      </c>
      <c r="BV878" t="s">
        <v>2341</v>
      </c>
      <c r="BW878" t="s">
        <v>257</v>
      </c>
      <c r="BX878">
        <v>0</v>
      </c>
      <c r="BY878" t="s">
        <v>980</v>
      </c>
      <c r="BZ878" t="s">
        <v>257</v>
      </c>
      <c r="CA878">
        <v>0</v>
      </c>
      <c r="CB878">
        <v>0</v>
      </c>
      <c r="CC878" t="s">
        <v>2079</v>
      </c>
      <c r="CD878">
        <v>0</v>
      </c>
      <c r="CE878">
        <v>0</v>
      </c>
      <c r="CF878">
        <v>0</v>
      </c>
      <c r="CG878">
        <v>0</v>
      </c>
      <c r="CH878">
        <v>0</v>
      </c>
      <c r="CI878" t="s">
        <v>983</v>
      </c>
      <c r="CJ878" t="s">
        <v>972</v>
      </c>
      <c r="CK878" t="s">
        <v>986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 t="s">
        <v>987</v>
      </c>
      <c r="CV878">
        <v>400008884</v>
      </c>
      <c r="CW878" t="s">
        <v>987</v>
      </c>
      <c r="CX878" t="s">
        <v>1081</v>
      </c>
      <c r="CY878" t="s">
        <v>989</v>
      </c>
    </row>
    <row r="879" spans="1:103" hidden="1" x14ac:dyDescent="0.25">
      <c r="A879">
        <v>410000885</v>
      </c>
      <c r="B879" t="s">
        <v>6139</v>
      </c>
      <c r="C879" t="s">
        <v>6140</v>
      </c>
      <c r="D879">
        <v>401100000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1</v>
      </c>
      <c r="X879">
        <v>1</v>
      </c>
      <c r="Y879" t="s">
        <v>972</v>
      </c>
      <c r="Z879" t="s">
        <v>987</v>
      </c>
      <c r="AA879" t="s">
        <v>6141</v>
      </c>
      <c r="AB879" t="s">
        <v>975</v>
      </c>
      <c r="AC879">
        <v>5000</v>
      </c>
      <c r="AD879" t="s">
        <v>1789</v>
      </c>
      <c r="AE879" t="s">
        <v>979</v>
      </c>
      <c r="AF879" t="s">
        <v>979</v>
      </c>
      <c r="AG879" t="s">
        <v>977</v>
      </c>
      <c r="AH879" t="s">
        <v>977</v>
      </c>
      <c r="AI879" t="s">
        <v>977</v>
      </c>
      <c r="AJ879" t="s">
        <v>6142</v>
      </c>
      <c r="AK879" t="s">
        <v>978</v>
      </c>
      <c r="AL879" t="s">
        <v>978</v>
      </c>
      <c r="AM879" t="s">
        <v>979</v>
      </c>
      <c r="AN879">
        <v>0</v>
      </c>
      <c r="AO879" t="s">
        <v>257</v>
      </c>
      <c r="AP879">
        <v>0</v>
      </c>
      <c r="AQ879">
        <v>20</v>
      </c>
      <c r="AR879">
        <v>43</v>
      </c>
      <c r="AS879">
        <v>1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1</v>
      </c>
      <c r="AZ879" t="s">
        <v>257</v>
      </c>
      <c r="BA879" t="s">
        <v>980</v>
      </c>
      <c r="BB879" t="s">
        <v>981</v>
      </c>
      <c r="BC879" t="s">
        <v>257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 t="s">
        <v>1285</v>
      </c>
      <c r="BK879" t="s">
        <v>981</v>
      </c>
      <c r="BL879" t="s">
        <v>6139</v>
      </c>
      <c r="BM879">
        <v>20231025</v>
      </c>
      <c r="BN879">
        <v>20231030</v>
      </c>
      <c r="BO879">
        <v>0</v>
      </c>
      <c r="BP879" t="s">
        <v>257</v>
      </c>
      <c r="BQ879" t="s">
        <v>983</v>
      </c>
      <c r="BR879" t="s">
        <v>978</v>
      </c>
      <c r="BS879" t="s">
        <v>979</v>
      </c>
      <c r="BT879">
        <v>0</v>
      </c>
      <c r="BU879">
        <v>0</v>
      </c>
      <c r="BV879" t="s">
        <v>2341</v>
      </c>
      <c r="BW879" t="s">
        <v>257</v>
      </c>
      <c r="BX879">
        <v>0</v>
      </c>
      <c r="BY879" t="s">
        <v>980</v>
      </c>
      <c r="BZ879" t="s">
        <v>257</v>
      </c>
      <c r="CA879">
        <v>0</v>
      </c>
      <c r="CB879">
        <v>0</v>
      </c>
      <c r="CC879" t="s">
        <v>1901</v>
      </c>
      <c r="CD879">
        <v>0</v>
      </c>
      <c r="CE879">
        <v>0</v>
      </c>
      <c r="CF879">
        <v>0</v>
      </c>
      <c r="CG879">
        <v>0</v>
      </c>
      <c r="CH879">
        <v>0</v>
      </c>
      <c r="CI879" t="s">
        <v>983</v>
      </c>
      <c r="CJ879" t="s">
        <v>972</v>
      </c>
      <c r="CK879" t="s">
        <v>986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 t="s">
        <v>987</v>
      </c>
      <c r="CV879">
        <v>400008885</v>
      </c>
      <c r="CW879" t="s">
        <v>987</v>
      </c>
      <c r="CX879" t="s">
        <v>1081</v>
      </c>
      <c r="CY879" t="s">
        <v>989</v>
      </c>
    </row>
    <row r="880" spans="1:103" hidden="1" x14ac:dyDescent="0.25">
      <c r="A880">
        <v>410000886</v>
      </c>
      <c r="B880" t="s">
        <v>6143</v>
      </c>
      <c r="C880" t="s">
        <v>6144</v>
      </c>
      <c r="D880">
        <v>401100000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 t="s">
        <v>972</v>
      </c>
      <c r="Z880" t="s">
        <v>987</v>
      </c>
      <c r="AA880" t="s">
        <v>6145</v>
      </c>
      <c r="AB880" t="s">
        <v>975</v>
      </c>
      <c r="AC880">
        <v>6960</v>
      </c>
      <c r="AD880" t="s">
        <v>2179</v>
      </c>
      <c r="AE880" t="s">
        <v>979</v>
      </c>
      <c r="AF880" t="s">
        <v>979</v>
      </c>
      <c r="AG880" t="s">
        <v>977</v>
      </c>
      <c r="AH880" t="s">
        <v>977</v>
      </c>
      <c r="AI880" t="s">
        <v>977</v>
      </c>
      <c r="AJ880" t="s">
        <v>6146</v>
      </c>
      <c r="AK880" t="s">
        <v>978</v>
      </c>
      <c r="AL880" t="s">
        <v>978</v>
      </c>
      <c r="AM880" t="s">
        <v>979</v>
      </c>
      <c r="AN880">
        <v>0</v>
      </c>
      <c r="AO880" t="s">
        <v>257</v>
      </c>
      <c r="AP880">
        <v>0</v>
      </c>
      <c r="AQ880">
        <v>20</v>
      </c>
      <c r="AR880">
        <v>43</v>
      </c>
      <c r="AS880">
        <v>1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1</v>
      </c>
      <c r="AZ880" t="s">
        <v>257</v>
      </c>
      <c r="BA880" t="s">
        <v>980</v>
      </c>
      <c r="BB880" t="s">
        <v>981</v>
      </c>
      <c r="BC880" t="s">
        <v>257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 t="s">
        <v>1285</v>
      </c>
      <c r="BK880" t="s">
        <v>981</v>
      </c>
      <c r="BL880" t="s">
        <v>6143</v>
      </c>
      <c r="BM880">
        <v>20231025</v>
      </c>
      <c r="BN880">
        <v>20231030</v>
      </c>
      <c r="BO880">
        <v>0</v>
      </c>
      <c r="BP880" t="s">
        <v>257</v>
      </c>
      <c r="BQ880" t="s">
        <v>983</v>
      </c>
      <c r="BR880" t="s">
        <v>978</v>
      </c>
      <c r="BS880" t="s">
        <v>979</v>
      </c>
      <c r="BT880">
        <v>0</v>
      </c>
      <c r="BU880">
        <v>0</v>
      </c>
      <c r="BV880" t="s">
        <v>2341</v>
      </c>
      <c r="BW880" t="s">
        <v>257</v>
      </c>
      <c r="BX880">
        <v>0</v>
      </c>
      <c r="BY880" t="s">
        <v>980</v>
      </c>
      <c r="BZ880" t="s">
        <v>257</v>
      </c>
      <c r="CA880">
        <v>0</v>
      </c>
      <c r="CB880">
        <v>0</v>
      </c>
      <c r="CC880" t="s">
        <v>1901</v>
      </c>
      <c r="CD880">
        <v>0</v>
      </c>
      <c r="CE880">
        <v>0</v>
      </c>
      <c r="CF880">
        <v>0</v>
      </c>
      <c r="CG880">
        <v>0</v>
      </c>
      <c r="CH880">
        <v>0</v>
      </c>
      <c r="CI880" t="s">
        <v>983</v>
      </c>
      <c r="CJ880" t="s">
        <v>972</v>
      </c>
      <c r="CK880" t="s">
        <v>986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 t="s">
        <v>987</v>
      </c>
      <c r="CV880">
        <v>400008886</v>
      </c>
      <c r="CW880" t="s">
        <v>987</v>
      </c>
      <c r="CX880" t="s">
        <v>1081</v>
      </c>
      <c r="CY880" t="s">
        <v>989</v>
      </c>
    </row>
    <row r="881" spans="1:103" hidden="1" x14ac:dyDescent="0.25">
      <c r="A881">
        <v>410000887</v>
      </c>
      <c r="B881" t="s">
        <v>6147</v>
      </c>
      <c r="C881" t="s">
        <v>6148</v>
      </c>
      <c r="D881">
        <v>401100000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1</v>
      </c>
      <c r="X881">
        <v>1</v>
      </c>
      <c r="Y881" t="s">
        <v>972</v>
      </c>
      <c r="Z881" t="s">
        <v>987</v>
      </c>
      <c r="AA881" t="s">
        <v>6149</v>
      </c>
      <c r="AB881" t="s">
        <v>975</v>
      </c>
      <c r="AC881">
        <v>4040</v>
      </c>
      <c r="AD881" t="s">
        <v>976</v>
      </c>
      <c r="AE881" t="s">
        <v>979</v>
      </c>
      <c r="AF881" t="s">
        <v>979</v>
      </c>
      <c r="AG881" t="s">
        <v>977</v>
      </c>
      <c r="AH881" t="s">
        <v>977</v>
      </c>
      <c r="AI881" t="s">
        <v>977</v>
      </c>
      <c r="AJ881" t="s">
        <v>978</v>
      </c>
      <c r="AK881" t="s">
        <v>978</v>
      </c>
      <c r="AL881" t="s">
        <v>978</v>
      </c>
      <c r="AM881" t="s">
        <v>979</v>
      </c>
      <c r="AN881">
        <v>0</v>
      </c>
      <c r="AO881" t="s">
        <v>257</v>
      </c>
      <c r="AP881">
        <v>0</v>
      </c>
      <c r="AQ881">
        <v>20</v>
      </c>
      <c r="AR881">
        <v>43</v>
      </c>
      <c r="AS881">
        <v>1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1</v>
      </c>
      <c r="AZ881" t="s">
        <v>257</v>
      </c>
      <c r="BA881" t="s">
        <v>980</v>
      </c>
      <c r="BB881" t="s">
        <v>981</v>
      </c>
      <c r="BC881" t="s">
        <v>257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 t="s">
        <v>1285</v>
      </c>
      <c r="BK881" t="s">
        <v>981</v>
      </c>
      <c r="BL881" t="s">
        <v>6147</v>
      </c>
      <c r="BM881">
        <v>20231025</v>
      </c>
      <c r="BN881">
        <v>20231030</v>
      </c>
      <c r="BO881">
        <v>0</v>
      </c>
      <c r="BP881" t="s">
        <v>257</v>
      </c>
      <c r="BQ881" t="s">
        <v>983</v>
      </c>
      <c r="BR881" t="s">
        <v>978</v>
      </c>
      <c r="BS881" t="s">
        <v>979</v>
      </c>
      <c r="BT881">
        <v>0</v>
      </c>
      <c r="BU881">
        <v>0</v>
      </c>
      <c r="BV881" t="s">
        <v>2341</v>
      </c>
      <c r="BW881" t="s">
        <v>257</v>
      </c>
      <c r="BX881">
        <v>0</v>
      </c>
      <c r="BY881" t="s">
        <v>980</v>
      </c>
      <c r="BZ881" t="s">
        <v>257</v>
      </c>
      <c r="CA881">
        <v>0</v>
      </c>
      <c r="CB881">
        <v>0</v>
      </c>
      <c r="CC881" t="s">
        <v>3623</v>
      </c>
      <c r="CD881">
        <v>0</v>
      </c>
      <c r="CE881">
        <v>0</v>
      </c>
      <c r="CF881">
        <v>0</v>
      </c>
      <c r="CG881">
        <v>0</v>
      </c>
      <c r="CH881">
        <v>0</v>
      </c>
      <c r="CI881" t="s">
        <v>983</v>
      </c>
      <c r="CJ881" t="s">
        <v>972</v>
      </c>
      <c r="CK881" t="s">
        <v>986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 t="s">
        <v>987</v>
      </c>
      <c r="CV881">
        <v>400008887</v>
      </c>
      <c r="CW881" t="s">
        <v>987</v>
      </c>
      <c r="CX881" t="s">
        <v>1081</v>
      </c>
      <c r="CY881" t="s">
        <v>989</v>
      </c>
    </row>
    <row r="882" spans="1:103" hidden="1" x14ac:dyDescent="0.25">
      <c r="A882">
        <v>410000888</v>
      </c>
      <c r="B882" t="s">
        <v>6150</v>
      </c>
      <c r="C882" t="s">
        <v>6151</v>
      </c>
      <c r="D882">
        <v>401100000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</v>
      </c>
      <c r="X882">
        <v>1</v>
      </c>
      <c r="Y882" t="s">
        <v>972</v>
      </c>
      <c r="Z882" t="s">
        <v>987</v>
      </c>
      <c r="AA882" t="s">
        <v>6152</v>
      </c>
      <c r="AB882" t="s">
        <v>975</v>
      </c>
      <c r="AC882">
        <v>4620</v>
      </c>
      <c r="AD882" t="s">
        <v>1368</v>
      </c>
      <c r="AE882" t="s">
        <v>979</v>
      </c>
      <c r="AF882" t="s">
        <v>979</v>
      </c>
      <c r="AG882" t="s">
        <v>977</v>
      </c>
      <c r="AH882" t="s">
        <v>977</v>
      </c>
      <c r="AI882" t="s">
        <v>977</v>
      </c>
      <c r="AJ882" t="s">
        <v>978</v>
      </c>
      <c r="AK882" t="s">
        <v>978</v>
      </c>
      <c r="AL882" t="s">
        <v>978</v>
      </c>
      <c r="AM882" t="s">
        <v>979</v>
      </c>
      <c r="AN882">
        <v>0</v>
      </c>
      <c r="AO882" t="s">
        <v>257</v>
      </c>
      <c r="AP882">
        <v>0</v>
      </c>
      <c r="AQ882">
        <v>20</v>
      </c>
      <c r="AR882">
        <v>43</v>
      </c>
      <c r="AS882">
        <v>1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1</v>
      </c>
      <c r="AZ882" t="s">
        <v>257</v>
      </c>
      <c r="BA882" t="s">
        <v>980</v>
      </c>
      <c r="BB882" t="s">
        <v>981</v>
      </c>
      <c r="BC882" t="s">
        <v>257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 t="s">
        <v>1285</v>
      </c>
      <c r="BK882" t="s">
        <v>981</v>
      </c>
      <c r="BL882" t="s">
        <v>6150</v>
      </c>
      <c r="BM882">
        <v>20231025</v>
      </c>
      <c r="BN882">
        <v>20231030</v>
      </c>
      <c r="BO882">
        <v>0</v>
      </c>
      <c r="BP882" t="s">
        <v>257</v>
      </c>
      <c r="BQ882" t="s">
        <v>983</v>
      </c>
      <c r="BR882" t="s">
        <v>978</v>
      </c>
      <c r="BS882" t="s">
        <v>979</v>
      </c>
      <c r="BT882">
        <v>0</v>
      </c>
      <c r="BU882">
        <v>0</v>
      </c>
      <c r="BV882" t="s">
        <v>2341</v>
      </c>
      <c r="BW882" t="s">
        <v>257</v>
      </c>
      <c r="BX882">
        <v>0</v>
      </c>
      <c r="BY882" t="s">
        <v>980</v>
      </c>
      <c r="BZ882" t="s">
        <v>257</v>
      </c>
      <c r="CA882">
        <v>0</v>
      </c>
      <c r="CB882">
        <v>0</v>
      </c>
      <c r="CC882" t="s">
        <v>1499</v>
      </c>
      <c r="CD882">
        <v>0</v>
      </c>
      <c r="CE882">
        <v>0</v>
      </c>
      <c r="CF882">
        <v>0</v>
      </c>
      <c r="CG882">
        <v>0</v>
      </c>
      <c r="CH882">
        <v>0</v>
      </c>
      <c r="CI882" t="s">
        <v>983</v>
      </c>
      <c r="CJ882" t="s">
        <v>972</v>
      </c>
      <c r="CK882" t="s">
        <v>986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 t="s">
        <v>987</v>
      </c>
      <c r="CV882">
        <v>400008888</v>
      </c>
      <c r="CW882" t="s">
        <v>987</v>
      </c>
      <c r="CX882" t="s">
        <v>1081</v>
      </c>
      <c r="CY882" t="s">
        <v>989</v>
      </c>
    </row>
    <row r="883" spans="1:103" hidden="1" x14ac:dyDescent="0.25">
      <c r="A883">
        <v>410000889</v>
      </c>
      <c r="B883" t="s">
        <v>6153</v>
      </c>
      <c r="C883" t="s">
        <v>6154</v>
      </c>
      <c r="D883">
        <v>401100000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1</v>
      </c>
      <c r="Y883" t="s">
        <v>972</v>
      </c>
      <c r="Z883" t="s">
        <v>6155</v>
      </c>
      <c r="AA883" t="s">
        <v>6156</v>
      </c>
      <c r="AB883" t="s">
        <v>975</v>
      </c>
      <c r="AC883">
        <v>4000</v>
      </c>
      <c r="AD883" t="s">
        <v>1019</v>
      </c>
      <c r="AE883" t="s">
        <v>979</v>
      </c>
      <c r="AF883" t="s">
        <v>979</v>
      </c>
      <c r="AG883" t="s">
        <v>977</v>
      </c>
      <c r="AH883" t="s">
        <v>977</v>
      </c>
      <c r="AI883" t="s">
        <v>977</v>
      </c>
      <c r="AJ883" t="s">
        <v>978</v>
      </c>
      <c r="AK883" t="s">
        <v>978</v>
      </c>
      <c r="AL883" t="s">
        <v>978</v>
      </c>
      <c r="AM883" t="s">
        <v>979</v>
      </c>
      <c r="AN883">
        <v>0</v>
      </c>
      <c r="AO883" t="s">
        <v>257</v>
      </c>
      <c r="AP883">
        <v>0</v>
      </c>
      <c r="AQ883">
        <v>20</v>
      </c>
      <c r="AR883">
        <v>43</v>
      </c>
      <c r="AS883">
        <v>1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1</v>
      </c>
      <c r="AZ883" t="s">
        <v>257</v>
      </c>
      <c r="BA883" t="s">
        <v>980</v>
      </c>
      <c r="BB883" t="s">
        <v>981</v>
      </c>
      <c r="BC883" t="s">
        <v>257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 t="s">
        <v>1285</v>
      </c>
      <c r="BK883" t="s">
        <v>981</v>
      </c>
      <c r="BL883" t="s">
        <v>6153</v>
      </c>
      <c r="BM883">
        <v>20231025</v>
      </c>
      <c r="BN883">
        <v>20231030</v>
      </c>
      <c r="BO883">
        <v>0</v>
      </c>
      <c r="BP883" t="s">
        <v>257</v>
      </c>
      <c r="BQ883" t="s">
        <v>983</v>
      </c>
      <c r="BR883" t="s">
        <v>978</v>
      </c>
      <c r="BS883" t="s">
        <v>979</v>
      </c>
      <c r="BT883">
        <v>0</v>
      </c>
      <c r="BU883">
        <v>0</v>
      </c>
      <c r="BV883" t="s">
        <v>2341</v>
      </c>
      <c r="BW883" t="s">
        <v>257</v>
      </c>
      <c r="BX883">
        <v>0</v>
      </c>
      <c r="BY883" t="s">
        <v>980</v>
      </c>
      <c r="BZ883" t="s">
        <v>257</v>
      </c>
      <c r="CA883">
        <v>0</v>
      </c>
      <c r="CB883">
        <v>0</v>
      </c>
      <c r="CC883" t="s">
        <v>1815</v>
      </c>
      <c r="CD883">
        <v>0</v>
      </c>
      <c r="CE883">
        <v>0</v>
      </c>
      <c r="CF883">
        <v>0</v>
      </c>
      <c r="CG883">
        <v>0</v>
      </c>
      <c r="CH883">
        <v>0</v>
      </c>
      <c r="CI883" t="s">
        <v>983</v>
      </c>
      <c r="CJ883" t="s">
        <v>972</v>
      </c>
      <c r="CK883" t="s">
        <v>986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 t="s">
        <v>987</v>
      </c>
      <c r="CV883">
        <v>400008889</v>
      </c>
      <c r="CW883" t="s">
        <v>987</v>
      </c>
      <c r="CX883" t="s">
        <v>1081</v>
      </c>
      <c r="CY883" t="s">
        <v>989</v>
      </c>
    </row>
    <row r="884" spans="1:103" hidden="1" x14ac:dyDescent="0.25">
      <c r="A884">
        <v>410000890</v>
      </c>
      <c r="B884" t="s">
        <v>6157</v>
      </c>
      <c r="C884" t="s">
        <v>978</v>
      </c>
      <c r="D884">
        <v>401100000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</v>
      </c>
      <c r="W884">
        <v>1</v>
      </c>
      <c r="X884">
        <v>1</v>
      </c>
      <c r="Y884" t="s">
        <v>972</v>
      </c>
      <c r="Z884" t="s">
        <v>987</v>
      </c>
      <c r="AA884" t="s">
        <v>6158</v>
      </c>
      <c r="AB884" t="s">
        <v>975</v>
      </c>
      <c r="AC884">
        <v>4163</v>
      </c>
      <c r="AD884" t="s">
        <v>6159</v>
      </c>
      <c r="AE884" t="s">
        <v>979</v>
      </c>
      <c r="AF884" t="s">
        <v>979</v>
      </c>
      <c r="AG884" t="s">
        <v>977</v>
      </c>
      <c r="AH884" t="s">
        <v>977</v>
      </c>
      <c r="AI884" t="s">
        <v>977</v>
      </c>
      <c r="AJ884" t="s">
        <v>978</v>
      </c>
      <c r="AK884" t="s">
        <v>978</v>
      </c>
      <c r="AL884" t="s">
        <v>978</v>
      </c>
      <c r="AM884" t="s">
        <v>979</v>
      </c>
      <c r="AN884">
        <v>0</v>
      </c>
      <c r="AO884" t="s">
        <v>257</v>
      </c>
      <c r="AP884">
        <v>0</v>
      </c>
      <c r="AQ884">
        <v>20</v>
      </c>
      <c r="AR884">
        <v>43</v>
      </c>
      <c r="AS884">
        <v>1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1</v>
      </c>
      <c r="AZ884" t="s">
        <v>257</v>
      </c>
      <c r="BA884" t="s">
        <v>980</v>
      </c>
      <c r="BB884" t="s">
        <v>981</v>
      </c>
      <c r="BC884" t="s">
        <v>257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 t="s">
        <v>1285</v>
      </c>
      <c r="BK884" t="s">
        <v>981</v>
      </c>
      <c r="BL884" t="s">
        <v>6157</v>
      </c>
      <c r="BM884">
        <v>20231025</v>
      </c>
      <c r="BN884">
        <v>20231030</v>
      </c>
      <c r="BO884">
        <v>0</v>
      </c>
      <c r="BP884" t="s">
        <v>257</v>
      </c>
      <c r="BQ884" t="s">
        <v>983</v>
      </c>
      <c r="BR884" t="s">
        <v>978</v>
      </c>
      <c r="BS884" t="s">
        <v>979</v>
      </c>
      <c r="BT884">
        <v>0</v>
      </c>
      <c r="BU884">
        <v>0</v>
      </c>
      <c r="BV884" t="s">
        <v>2341</v>
      </c>
      <c r="BW884" t="s">
        <v>257</v>
      </c>
      <c r="BX884">
        <v>0</v>
      </c>
      <c r="BY884" t="s">
        <v>980</v>
      </c>
      <c r="BZ884" t="s">
        <v>257</v>
      </c>
      <c r="CA884">
        <v>0</v>
      </c>
      <c r="CB884">
        <v>0</v>
      </c>
      <c r="CC884" t="s">
        <v>1430</v>
      </c>
      <c r="CD884">
        <v>0</v>
      </c>
      <c r="CE884">
        <v>0</v>
      </c>
      <c r="CF884">
        <v>0</v>
      </c>
      <c r="CG884">
        <v>0</v>
      </c>
      <c r="CH884">
        <v>0</v>
      </c>
      <c r="CI884" t="s">
        <v>983</v>
      </c>
      <c r="CJ884" t="s">
        <v>972</v>
      </c>
      <c r="CK884" t="s">
        <v>986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 t="s">
        <v>987</v>
      </c>
      <c r="CV884">
        <v>400008890</v>
      </c>
      <c r="CW884" t="s">
        <v>987</v>
      </c>
      <c r="CX884" t="s">
        <v>1081</v>
      </c>
      <c r="CY884" t="s">
        <v>989</v>
      </c>
    </row>
    <row r="885" spans="1:103" hidden="1" x14ac:dyDescent="0.25">
      <c r="A885">
        <v>410000891</v>
      </c>
      <c r="B885" t="s">
        <v>6160</v>
      </c>
      <c r="C885" t="s">
        <v>6161</v>
      </c>
      <c r="D885">
        <v>401100000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</v>
      </c>
      <c r="X885">
        <v>1</v>
      </c>
      <c r="Y885" t="s">
        <v>972</v>
      </c>
      <c r="Z885" t="s">
        <v>987</v>
      </c>
      <c r="AA885" t="s">
        <v>6162</v>
      </c>
      <c r="AB885" t="s">
        <v>975</v>
      </c>
      <c r="AC885">
        <v>4000</v>
      </c>
      <c r="AD885" t="s">
        <v>1019</v>
      </c>
      <c r="AE885" t="s">
        <v>979</v>
      </c>
      <c r="AF885" t="s">
        <v>979</v>
      </c>
      <c r="AG885" t="s">
        <v>977</v>
      </c>
      <c r="AH885" t="s">
        <v>977</v>
      </c>
      <c r="AI885" t="s">
        <v>977</v>
      </c>
      <c r="AJ885" t="s">
        <v>978</v>
      </c>
      <c r="AK885" t="s">
        <v>978</v>
      </c>
      <c r="AL885" t="s">
        <v>978</v>
      </c>
      <c r="AM885" t="s">
        <v>979</v>
      </c>
      <c r="AN885">
        <v>0</v>
      </c>
      <c r="AO885" t="s">
        <v>257</v>
      </c>
      <c r="AP885">
        <v>0</v>
      </c>
      <c r="AQ885">
        <v>20</v>
      </c>
      <c r="AR885">
        <v>43</v>
      </c>
      <c r="AS885">
        <v>1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1</v>
      </c>
      <c r="AZ885" t="s">
        <v>257</v>
      </c>
      <c r="BA885" t="s">
        <v>980</v>
      </c>
      <c r="BB885" t="s">
        <v>981</v>
      </c>
      <c r="BC885" t="s">
        <v>257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 t="s">
        <v>1285</v>
      </c>
      <c r="BK885" t="s">
        <v>981</v>
      </c>
      <c r="BL885" t="s">
        <v>6160</v>
      </c>
      <c r="BM885">
        <v>20231025</v>
      </c>
      <c r="BN885">
        <v>20231030</v>
      </c>
      <c r="BO885">
        <v>0</v>
      </c>
      <c r="BP885" t="s">
        <v>257</v>
      </c>
      <c r="BQ885" t="s">
        <v>983</v>
      </c>
      <c r="BR885" t="s">
        <v>978</v>
      </c>
      <c r="BS885" t="s">
        <v>979</v>
      </c>
      <c r="BT885">
        <v>0</v>
      </c>
      <c r="BU885">
        <v>0</v>
      </c>
      <c r="BV885" t="s">
        <v>2341</v>
      </c>
      <c r="BW885" t="s">
        <v>257</v>
      </c>
      <c r="BX885">
        <v>0</v>
      </c>
      <c r="BY885" t="s">
        <v>980</v>
      </c>
      <c r="BZ885" t="s">
        <v>257</v>
      </c>
      <c r="CA885">
        <v>0</v>
      </c>
      <c r="CB885">
        <v>0</v>
      </c>
      <c r="CC885" t="s">
        <v>1499</v>
      </c>
      <c r="CD885">
        <v>0</v>
      </c>
      <c r="CE885">
        <v>0</v>
      </c>
      <c r="CF885">
        <v>0</v>
      </c>
      <c r="CG885">
        <v>0</v>
      </c>
      <c r="CH885">
        <v>0</v>
      </c>
      <c r="CI885" t="s">
        <v>983</v>
      </c>
      <c r="CJ885" t="s">
        <v>972</v>
      </c>
      <c r="CK885" t="s">
        <v>986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 t="s">
        <v>987</v>
      </c>
      <c r="CV885">
        <v>400008891</v>
      </c>
      <c r="CW885" t="s">
        <v>987</v>
      </c>
      <c r="CX885" t="s">
        <v>1081</v>
      </c>
      <c r="CY885" t="s">
        <v>989</v>
      </c>
    </row>
    <row r="886" spans="1:103" hidden="1" x14ac:dyDescent="0.25">
      <c r="A886">
        <v>410000892</v>
      </c>
      <c r="B886" t="s">
        <v>6163</v>
      </c>
      <c r="C886" t="s">
        <v>978</v>
      </c>
      <c r="D886">
        <v>401100000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4</v>
      </c>
      <c r="W886">
        <v>1</v>
      </c>
      <c r="X886">
        <v>1</v>
      </c>
      <c r="Y886" t="s">
        <v>972</v>
      </c>
      <c r="Z886" t="s">
        <v>987</v>
      </c>
      <c r="AA886" t="s">
        <v>5587</v>
      </c>
      <c r="AB886" t="s">
        <v>975</v>
      </c>
      <c r="AC886">
        <v>4000</v>
      </c>
      <c r="AD886" t="s">
        <v>1019</v>
      </c>
      <c r="AE886" t="s">
        <v>979</v>
      </c>
      <c r="AF886" t="s">
        <v>979</v>
      </c>
      <c r="AG886" t="s">
        <v>977</v>
      </c>
      <c r="AH886" t="s">
        <v>977</v>
      </c>
      <c r="AI886" t="s">
        <v>977</v>
      </c>
      <c r="AJ886" t="s">
        <v>978</v>
      </c>
      <c r="AK886" t="s">
        <v>978</v>
      </c>
      <c r="AL886" t="s">
        <v>978</v>
      </c>
      <c r="AM886" t="s">
        <v>979</v>
      </c>
      <c r="AN886">
        <v>0</v>
      </c>
      <c r="AO886" t="s">
        <v>257</v>
      </c>
      <c r="AP886">
        <v>0</v>
      </c>
      <c r="AQ886">
        <v>20</v>
      </c>
      <c r="AR886">
        <v>43</v>
      </c>
      <c r="AS886">
        <v>1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1</v>
      </c>
      <c r="AZ886" t="s">
        <v>257</v>
      </c>
      <c r="BA886" t="s">
        <v>980</v>
      </c>
      <c r="BB886" t="s">
        <v>981</v>
      </c>
      <c r="BC886" t="s">
        <v>257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 t="s">
        <v>1285</v>
      </c>
      <c r="BK886" t="s">
        <v>981</v>
      </c>
      <c r="BL886" t="s">
        <v>6163</v>
      </c>
      <c r="BM886">
        <v>20231025</v>
      </c>
      <c r="BN886">
        <v>20240205</v>
      </c>
      <c r="BO886">
        <v>0</v>
      </c>
      <c r="BP886" t="s">
        <v>257</v>
      </c>
      <c r="BQ886" t="s">
        <v>983</v>
      </c>
      <c r="BR886" t="s">
        <v>978</v>
      </c>
      <c r="BS886" t="s">
        <v>979</v>
      </c>
      <c r="BT886">
        <v>0</v>
      </c>
      <c r="BU886">
        <v>0</v>
      </c>
      <c r="BV886" t="s">
        <v>984</v>
      </c>
      <c r="BW886" t="s">
        <v>257</v>
      </c>
      <c r="BX886">
        <v>0</v>
      </c>
      <c r="BY886" t="s">
        <v>980</v>
      </c>
      <c r="BZ886" t="s">
        <v>257</v>
      </c>
      <c r="CA886">
        <v>0</v>
      </c>
      <c r="CB886">
        <v>0</v>
      </c>
      <c r="CC886" t="s">
        <v>1391</v>
      </c>
      <c r="CD886">
        <v>0</v>
      </c>
      <c r="CE886">
        <v>0</v>
      </c>
      <c r="CF886">
        <v>0</v>
      </c>
      <c r="CG886">
        <v>0</v>
      </c>
      <c r="CH886">
        <v>0</v>
      </c>
      <c r="CI886" t="s">
        <v>983</v>
      </c>
      <c r="CJ886" t="s">
        <v>972</v>
      </c>
      <c r="CK886" t="s">
        <v>986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 t="s">
        <v>987</v>
      </c>
      <c r="CV886">
        <v>400008892</v>
      </c>
      <c r="CW886" t="s">
        <v>987</v>
      </c>
      <c r="CX886" t="s">
        <v>5589</v>
      </c>
      <c r="CY886" t="s">
        <v>989</v>
      </c>
    </row>
    <row r="887" spans="1:103" hidden="1" x14ac:dyDescent="0.25">
      <c r="A887">
        <v>410000893</v>
      </c>
      <c r="B887" t="s">
        <v>6164</v>
      </c>
      <c r="C887" t="s">
        <v>6165</v>
      </c>
      <c r="D887">
        <v>401100000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1</v>
      </c>
      <c r="Y887" t="s">
        <v>972</v>
      </c>
      <c r="Z887" t="s">
        <v>987</v>
      </c>
      <c r="AA887" t="s">
        <v>6166</v>
      </c>
      <c r="AB887" t="s">
        <v>975</v>
      </c>
      <c r="AC887">
        <v>4420</v>
      </c>
      <c r="AD887" t="s">
        <v>4314</v>
      </c>
      <c r="AE887" t="s">
        <v>979</v>
      </c>
      <c r="AF887" t="s">
        <v>979</v>
      </c>
      <c r="AG887" t="s">
        <v>977</v>
      </c>
      <c r="AH887" t="s">
        <v>977</v>
      </c>
      <c r="AI887" t="s">
        <v>977</v>
      </c>
      <c r="AJ887" t="s">
        <v>978</v>
      </c>
      <c r="AK887" t="s">
        <v>978</v>
      </c>
      <c r="AL887" t="s">
        <v>978</v>
      </c>
      <c r="AM887" t="s">
        <v>979</v>
      </c>
      <c r="AN887">
        <v>0</v>
      </c>
      <c r="AO887" t="s">
        <v>257</v>
      </c>
      <c r="AP887">
        <v>0</v>
      </c>
      <c r="AQ887">
        <v>20</v>
      </c>
      <c r="AR887">
        <v>43</v>
      </c>
      <c r="AS887">
        <v>1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1</v>
      </c>
      <c r="AZ887" t="s">
        <v>257</v>
      </c>
      <c r="BA887" t="s">
        <v>980</v>
      </c>
      <c r="BB887" t="s">
        <v>981</v>
      </c>
      <c r="BC887" t="s">
        <v>257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 t="s">
        <v>1285</v>
      </c>
      <c r="BK887" t="s">
        <v>981</v>
      </c>
      <c r="BL887" t="s">
        <v>6164</v>
      </c>
      <c r="BM887">
        <v>20231025</v>
      </c>
      <c r="BN887">
        <v>20231030</v>
      </c>
      <c r="BO887">
        <v>0</v>
      </c>
      <c r="BP887" t="s">
        <v>257</v>
      </c>
      <c r="BQ887" t="s">
        <v>983</v>
      </c>
      <c r="BR887" t="s">
        <v>978</v>
      </c>
      <c r="BS887" t="s">
        <v>979</v>
      </c>
      <c r="BT887">
        <v>0</v>
      </c>
      <c r="BU887">
        <v>0</v>
      </c>
      <c r="BV887" t="s">
        <v>2341</v>
      </c>
      <c r="BW887" t="s">
        <v>257</v>
      </c>
      <c r="BX887">
        <v>0</v>
      </c>
      <c r="BY887" t="s">
        <v>980</v>
      </c>
      <c r="BZ887" t="s">
        <v>257</v>
      </c>
      <c r="CA887">
        <v>0</v>
      </c>
      <c r="CB887">
        <v>0</v>
      </c>
      <c r="CC887" t="s">
        <v>1371</v>
      </c>
      <c r="CD887">
        <v>0</v>
      </c>
      <c r="CE887">
        <v>0</v>
      </c>
      <c r="CF887">
        <v>0</v>
      </c>
      <c r="CG887">
        <v>0</v>
      </c>
      <c r="CH887">
        <v>0</v>
      </c>
      <c r="CI887" t="s">
        <v>983</v>
      </c>
      <c r="CJ887" t="s">
        <v>972</v>
      </c>
      <c r="CK887" t="s">
        <v>986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 t="s">
        <v>987</v>
      </c>
      <c r="CV887">
        <v>400008893</v>
      </c>
      <c r="CW887" t="s">
        <v>987</v>
      </c>
      <c r="CX887" t="s">
        <v>1081</v>
      </c>
      <c r="CY887" t="s">
        <v>989</v>
      </c>
    </row>
    <row r="888" spans="1:103" hidden="1" x14ac:dyDescent="0.25">
      <c r="A888">
        <v>410000894</v>
      </c>
      <c r="B888" t="s">
        <v>6167</v>
      </c>
      <c r="C888" t="s">
        <v>6168</v>
      </c>
      <c r="D888">
        <v>401100000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1</v>
      </c>
      <c r="X888">
        <v>1</v>
      </c>
      <c r="Y888" t="s">
        <v>972</v>
      </c>
      <c r="Z888" t="s">
        <v>987</v>
      </c>
      <c r="AA888" t="s">
        <v>6169</v>
      </c>
      <c r="AB888" t="s">
        <v>975</v>
      </c>
      <c r="AC888">
        <v>4020</v>
      </c>
      <c r="AD888" t="s">
        <v>1019</v>
      </c>
      <c r="AE888" t="s">
        <v>979</v>
      </c>
      <c r="AF888" t="s">
        <v>979</v>
      </c>
      <c r="AG888" t="s">
        <v>977</v>
      </c>
      <c r="AH888" t="s">
        <v>977</v>
      </c>
      <c r="AI888" t="s">
        <v>977</v>
      </c>
      <c r="AJ888" t="s">
        <v>978</v>
      </c>
      <c r="AK888" t="s">
        <v>978</v>
      </c>
      <c r="AL888" t="s">
        <v>978</v>
      </c>
      <c r="AM888" t="s">
        <v>979</v>
      </c>
      <c r="AN888">
        <v>0</v>
      </c>
      <c r="AO888" t="s">
        <v>257</v>
      </c>
      <c r="AP888">
        <v>0</v>
      </c>
      <c r="AQ888">
        <v>20</v>
      </c>
      <c r="AR888">
        <v>43</v>
      </c>
      <c r="AS888">
        <v>1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1</v>
      </c>
      <c r="AZ888" t="s">
        <v>257</v>
      </c>
      <c r="BA888" t="s">
        <v>980</v>
      </c>
      <c r="BB888" t="s">
        <v>981</v>
      </c>
      <c r="BC888" t="s">
        <v>257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 t="s">
        <v>1285</v>
      </c>
      <c r="BK888" t="s">
        <v>981</v>
      </c>
      <c r="BL888" t="s">
        <v>6167</v>
      </c>
      <c r="BM888">
        <v>20231025</v>
      </c>
      <c r="BN888">
        <v>20231030</v>
      </c>
      <c r="BO888">
        <v>0</v>
      </c>
      <c r="BP888" t="s">
        <v>257</v>
      </c>
      <c r="BQ888" t="s">
        <v>983</v>
      </c>
      <c r="BR888" t="s">
        <v>978</v>
      </c>
      <c r="BS888" t="s">
        <v>979</v>
      </c>
      <c r="BT888">
        <v>0</v>
      </c>
      <c r="BU888">
        <v>0</v>
      </c>
      <c r="BV888" t="s">
        <v>2341</v>
      </c>
      <c r="BW888" t="s">
        <v>257</v>
      </c>
      <c r="BX888">
        <v>0</v>
      </c>
      <c r="BY888" t="s">
        <v>980</v>
      </c>
      <c r="BZ888" t="s">
        <v>257</v>
      </c>
      <c r="CA888">
        <v>0</v>
      </c>
      <c r="CB888">
        <v>0</v>
      </c>
      <c r="CC888" t="s">
        <v>1119</v>
      </c>
      <c r="CD888">
        <v>0</v>
      </c>
      <c r="CE888">
        <v>0</v>
      </c>
      <c r="CF888">
        <v>0</v>
      </c>
      <c r="CG888">
        <v>0</v>
      </c>
      <c r="CH888">
        <v>0</v>
      </c>
      <c r="CI888" t="s">
        <v>983</v>
      </c>
      <c r="CJ888" t="s">
        <v>972</v>
      </c>
      <c r="CK888" t="s">
        <v>986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 t="s">
        <v>987</v>
      </c>
      <c r="CV888">
        <v>400008894</v>
      </c>
      <c r="CW888" t="s">
        <v>987</v>
      </c>
      <c r="CX888" t="s">
        <v>1081</v>
      </c>
      <c r="CY888" t="s">
        <v>989</v>
      </c>
    </row>
    <row r="889" spans="1:103" hidden="1" x14ac:dyDescent="0.25">
      <c r="A889">
        <v>410000895</v>
      </c>
      <c r="B889" t="s">
        <v>6170</v>
      </c>
      <c r="C889" t="s">
        <v>6171</v>
      </c>
      <c r="D889">
        <v>401100000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1</v>
      </c>
      <c r="Y889" t="s">
        <v>972</v>
      </c>
      <c r="Z889" t="s">
        <v>6172</v>
      </c>
      <c r="AA889" t="s">
        <v>6173</v>
      </c>
      <c r="AB889" t="s">
        <v>975</v>
      </c>
      <c r="AC889">
        <v>4020</v>
      </c>
      <c r="AD889" t="s">
        <v>1019</v>
      </c>
      <c r="AE889" t="s">
        <v>979</v>
      </c>
      <c r="AF889" t="s">
        <v>979</v>
      </c>
      <c r="AG889" t="s">
        <v>977</v>
      </c>
      <c r="AH889">
        <v>456839712</v>
      </c>
      <c r="AI889">
        <v>71111</v>
      </c>
      <c r="AJ889" t="s">
        <v>978</v>
      </c>
      <c r="AK889" t="s">
        <v>978</v>
      </c>
      <c r="AL889" t="s">
        <v>978</v>
      </c>
      <c r="AM889" t="s">
        <v>979</v>
      </c>
      <c r="AN889">
        <v>0</v>
      </c>
      <c r="AO889" t="s">
        <v>257</v>
      </c>
      <c r="AP889">
        <v>0</v>
      </c>
      <c r="AQ889">
        <v>20</v>
      </c>
      <c r="AR889">
        <v>43</v>
      </c>
      <c r="AS889">
        <v>1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1</v>
      </c>
      <c r="AZ889" t="s">
        <v>257</v>
      </c>
      <c r="BA889" t="s">
        <v>980</v>
      </c>
      <c r="BB889" t="s">
        <v>981</v>
      </c>
      <c r="BC889" t="s">
        <v>257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 t="s">
        <v>1285</v>
      </c>
      <c r="BK889" t="s">
        <v>981</v>
      </c>
      <c r="BL889" t="s">
        <v>6170</v>
      </c>
      <c r="BM889">
        <v>20231025</v>
      </c>
      <c r="BN889">
        <v>20240415</v>
      </c>
      <c r="BO889">
        <v>0</v>
      </c>
      <c r="BP889" t="s">
        <v>257</v>
      </c>
      <c r="BQ889" t="s">
        <v>983</v>
      </c>
      <c r="BR889" t="s">
        <v>978</v>
      </c>
      <c r="BS889">
        <v>32495517314</v>
      </c>
      <c r="BT889">
        <v>0</v>
      </c>
      <c r="BU889">
        <v>0</v>
      </c>
      <c r="BV889" t="s">
        <v>984</v>
      </c>
      <c r="BW889" t="s">
        <v>257</v>
      </c>
      <c r="BX889">
        <v>0</v>
      </c>
      <c r="BY889" t="s">
        <v>980</v>
      </c>
      <c r="BZ889" t="s">
        <v>257</v>
      </c>
      <c r="CA889">
        <v>0</v>
      </c>
      <c r="CB889">
        <v>0</v>
      </c>
      <c r="CC889" t="s">
        <v>1371</v>
      </c>
      <c r="CD889">
        <v>0</v>
      </c>
      <c r="CE889">
        <v>0</v>
      </c>
      <c r="CF889">
        <v>0</v>
      </c>
      <c r="CG889">
        <v>0</v>
      </c>
      <c r="CH889">
        <v>0</v>
      </c>
      <c r="CI889" t="s">
        <v>983</v>
      </c>
      <c r="CJ889" t="s">
        <v>972</v>
      </c>
      <c r="CK889" t="s">
        <v>986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 t="s">
        <v>987</v>
      </c>
      <c r="CV889">
        <v>400008895</v>
      </c>
      <c r="CW889" t="s">
        <v>987</v>
      </c>
      <c r="CX889" t="s">
        <v>6174</v>
      </c>
      <c r="CY889" t="s">
        <v>989</v>
      </c>
    </row>
    <row r="890" spans="1:103" hidden="1" x14ac:dyDescent="0.25">
      <c r="A890">
        <v>410000896</v>
      </c>
      <c r="B890" t="s">
        <v>6175</v>
      </c>
      <c r="C890" t="s">
        <v>6176</v>
      </c>
      <c r="D890">
        <v>401100000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1</v>
      </c>
      <c r="X890">
        <v>1</v>
      </c>
      <c r="Y890" t="s">
        <v>972</v>
      </c>
      <c r="Z890" t="s">
        <v>987</v>
      </c>
      <c r="AA890" t="s">
        <v>6177</v>
      </c>
      <c r="AB890" t="s">
        <v>975</v>
      </c>
      <c r="AC890">
        <v>4052</v>
      </c>
      <c r="AD890" t="s">
        <v>2739</v>
      </c>
      <c r="AE890" t="s">
        <v>979</v>
      </c>
      <c r="AF890" t="s">
        <v>979</v>
      </c>
      <c r="AG890" t="s">
        <v>977</v>
      </c>
      <c r="AH890" t="s">
        <v>977</v>
      </c>
      <c r="AI890" t="s">
        <v>977</v>
      </c>
      <c r="AJ890" t="s">
        <v>978</v>
      </c>
      <c r="AK890" t="s">
        <v>978</v>
      </c>
      <c r="AL890" t="s">
        <v>978</v>
      </c>
      <c r="AM890" t="s">
        <v>979</v>
      </c>
      <c r="AN890">
        <v>0</v>
      </c>
      <c r="AO890" t="s">
        <v>257</v>
      </c>
      <c r="AP890">
        <v>0</v>
      </c>
      <c r="AQ890">
        <v>20</v>
      </c>
      <c r="AR890">
        <v>43</v>
      </c>
      <c r="AS890">
        <v>1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1</v>
      </c>
      <c r="AZ890" t="s">
        <v>257</v>
      </c>
      <c r="BA890" t="s">
        <v>980</v>
      </c>
      <c r="BB890" t="s">
        <v>981</v>
      </c>
      <c r="BC890" t="s">
        <v>257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 t="s">
        <v>1285</v>
      </c>
      <c r="BK890" t="s">
        <v>981</v>
      </c>
      <c r="BL890" t="s">
        <v>6175</v>
      </c>
      <c r="BM890">
        <v>20231025</v>
      </c>
      <c r="BN890">
        <v>20231030</v>
      </c>
      <c r="BO890">
        <v>0</v>
      </c>
      <c r="BP890" t="s">
        <v>257</v>
      </c>
      <c r="BQ890" t="s">
        <v>983</v>
      </c>
      <c r="BR890" t="s">
        <v>978</v>
      </c>
      <c r="BS890" t="s">
        <v>979</v>
      </c>
      <c r="BT890">
        <v>0</v>
      </c>
      <c r="BU890">
        <v>0</v>
      </c>
      <c r="BV890" t="s">
        <v>2341</v>
      </c>
      <c r="BW890" t="s">
        <v>257</v>
      </c>
      <c r="BX890">
        <v>0</v>
      </c>
      <c r="BY890" t="s">
        <v>980</v>
      </c>
      <c r="BZ890" t="s">
        <v>257</v>
      </c>
      <c r="CA890">
        <v>0</v>
      </c>
      <c r="CB890">
        <v>0</v>
      </c>
      <c r="CC890" t="s">
        <v>1916</v>
      </c>
      <c r="CD890">
        <v>0</v>
      </c>
      <c r="CE890">
        <v>0</v>
      </c>
      <c r="CF890">
        <v>0</v>
      </c>
      <c r="CG890">
        <v>0</v>
      </c>
      <c r="CH890">
        <v>0</v>
      </c>
      <c r="CI890" t="s">
        <v>983</v>
      </c>
      <c r="CJ890" t="s">
        <v>972</v>
      </c>
      <c r="CK890" t="s">
        <v>986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 t="s">
        <v>987</v>
      </c>
      <c r="CV890">
        <v>400008896</v>
      </c>
      <c r="CW890" t="s">
        <v>987</v>
      </c>
      <c r="CX890" t="s">
        <v>1081</v>
      </c>
      <c r="CY890" t="s">
        <v>989</v>
      </c>
    </row>
    <row r="891" spans="1:103" hidden="1" x14ac:dyDescent="0.25">
      <c r="A891">
        <v>410000897</v>
      </c>
      <c r="B891" t="s">
        <v>6178</v>
      </c>
      <c r="C891" t="s">
        <v>6179</v>
      </c>
      <c r="D891">
        <v>401100000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1</v>
      </c>
      <c r="Y891" t="s">
        <v>972</v>
      </c>
      <c r="Z891" t="s">
        <v>987</v>
      </c>
      <c r="AA891" t="s">
        <v>6180</v>
      </c>
      <c r="AB891" t="s">
        <v>975</v>
      </c>
      <c r="AC891">
        <v>4690</v>
      </c>
      <c r="AD891" t="s">
        <v>1540</v>
      </c>
      <c r="AE891" t="s">
        <v>979</v>
      </c>
      <c r="AF891" t="s">
        <v>979</v>
      </c>
      <c r="AG891" t="s">
        <v>977</v>
      </c>
      <c r="AH891" t="s">
        <v>977</v>
      </c>
      <c r="AI891" t="s">
        <v>977</v>
      </c>
      <c r="AJ891" t="s">
        <v>978</v>
      </c>
      <c r="AK891" t="s">
        <v>978</v>
      </c>
      <c r="AL891" t="s">
        <v>978</v>
      </c>
      <c r="AM891" t="s">
        <v>979</v>
      </c>
      <c r="AN891">
        <v>0</v>
      </c>
      <c r="AO891" t="s">
        <v>257</v>
      </c>
      <c r="AP891">
        <v>0</v>
      </c>
      <c r="AQ891">
        <v>20</v>
      </c>
      <c r="AR891">
        <v>43</v>
      </c>
      <c r="AS891">
        <v>1</v>
      </c>
      <c r="AT891">
        <v>0</v>
      </c>
      <c r="AU891">
        <v>1</v>
      </c>
      <c r="AV891">
        <v>0</v>
      </c>
      <c r="AW891">
        <v>0</v>
      </c>
      <c r="AX891">
        <v>0</v>
      </c>
      <c r="AY891">
        <v>1</v>
      </c>
      <c r="AZ891" t="s">
        <v>257</v>
      </c>
      <c r="BA891" t="s">
        <v>980</v>
      </c>
      <c r="BB891" t="s">
        <v>981</v>
      </c>
      <c r="BC891" t="s">
        <v>257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 t="s">
        <v>1285</v>
      </c>
      <c r="BK891" t="s">
        <v>981</v>
      </c>
      <c r="BL891" t="s">
        <v>6178</v>
      </c>
      <c r="BM891">
        <v>20231026</v>
      </c>
      <c r="BN891">
        <v>20231030</v>
      </c>
      <c r="BO891">
        <v>0</v>
      </c>
      <c r="BP891" t="s">
        <v>257</v>
      </c>
      <c r="BQ891" t="s">
        <v>983</v>
      </c>
      <c r="BR891" t="s">
        <v>978</v>
      </c>
      <c r="BS891" t="s">
        <v>979</v>
      </c>
      <c r="BT891">
        <v>0</v>
      </c>
      <c r="BU891">
        <v>0</v>
      </c>
      <c r="BV891" t="s">
        <v>984</v>
      </c>
      <c r="BW891" t="s">
        <v>257</v>
      </c>
      <c r="BX891">
        <v>0</v>
      </c>
      <c r="BY891" t="s">
        <v>980</v>
      </c>
      <c r="BZ891" t="s">
        <v>257</v>
      </c>
      <c r="CA891">
        <v>0</v>
      </c>
      <c r="CB891">
        <v>0</v>
      </c>
      <c r="CC891" t="s">
        <v>1317</v>
      </c>
      <c r="CD891">
        <v>0</v>
      </c>
      <c r="CE891">
        <v>0</v>
      </c>
      <c r="CF891">
        <v>0</v>
      </c>
      <c r="CG891">
        <v>0</v>
      </c>
      <c r="CH891">
        <v>0</v>
      </c>
      <c r="CI891" t="s">
        <v>983</v>
      </c>
      <c r="CJ891" t="s">
        <v>972</v>
      </c>
      <c r="CK891" t="s">
        <v>986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 t="s">
        <v>987</v>
      </c>
      <c r="CV891">
        <v>400008897</v>
      </c>
      <c r="CW891" t="s">
        <v>987</v>
      </c>
      <c r="CX891" t="s">
        <v>6181</v>
      </c>
      <c r="CY891" t="s">
        <v>989</v>
      </c>
    </row>
    <row r="892" spans="1:103" hidden="1" x14ac:dyDescent="0.25">
      <c r="A892">
        <v>410000898</v>
      </c>
      <c r="B892" t="s">
        <v>6182</v>
      </c>
      <c r="C892" t="s">
        <v>6183</v>
      </c>
      <c r="D892">
        <v>401100000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1</v>
      </c>
      <c r="X892">
        <v>1</v>
      </c>
      <c r="Y892" t="s">
        <v>972</v>
      </c>
      <c r="Z892" t="s">
        <v>987</v>
      </c>
      <c r="AA892" t="s">
        <v>7195</v>
      </c>
      <c r="AB892" t="s">
        <v>975</v>
      </c>
      <c r="AC892">
        <v>4700</v>
      </c>
      <c r="AD892" t="s">
        <v>1610</v>
      </c>
      <c r="AE892" t="s">
        <v>979</v>
      </c>
      <c r="AF892" t="s">
        <v>979</v>
      </c>
      <c r="AG892" t="s">
        <v>977</v>
      </c>
      <c r="AH892" t="s">
        <v>977</v>
      </c>
      <c r="AI892" t="s">
        <v>977</v>
      </c>
      <c r="AJ892" t="s">
        <v>978</v>
      </c>
      <c r="AK892" t="s">
        <v>978</v>
      </c>
      <c r="AL892" t="s">
        <v>978</v>
      </c>
      <c r="AM892" t="s">
        <v>979</v>
      </c>
      <c r="AN892">
        <v>0</v>
      </c>
      <c r="AO892" t="s">
        <v>257</v>
      </c>
      <c r="AP892">
        <v>0</v>
      </c>
      <c r="AQ892">
        <v>20</v>
      </c>
      <c r="AR892">
        <v>43</v>
      </c>
      <c r="AS892">
        <v>1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1</v>
      </c>
      <c r="AZ892" t="s">
        <v>257</v>
      </c>
      <c r="BA892" t="s">
        <v>980</v>
      </c>
      <c r="BB892" t="s">
        <v>981</v>
      </c>
      <c r="BC892" t="s">
        <v>257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 t="s">
        <v>1285</v>
      </c>
      <c r="BK892" t="s">
        <v>981</v>
      </c>
      <c r="BL892" t="s">
        <v>6182</v>
      </c>
      <c r="BM892">
        <v>20231026</v>
      </c>
      <c r="BN892">
        <v>20250630</v>
      </c>
      <c r="BO892">
        <v>0</v>
      </c>
      <c r="BP892" t="s">
        <v>257</v>
      </c>
      <c r="BQ892" t="s">
        <v>983</v>
      </c>
      <c r="BR892" t="s">
        <v>978</v>
      </c>
      <c r="BS892" t="s">
        <v>979</v>
      </c>
      <c r="BT892">
        <v>0</v>
      </c>
      <c r="BU892">
        <v>0</v>
      </c>
      <c r="BV892" t="s">
        <v>984</v>
      </c>
      <c r="BW892" t="s">
        <v>257</v>
      </c>
      <c r="BX892">
        <v>0</v>
      </c>
      <c r="BY892" t="s">
        <v>980</v>
      </c>
      <c r="BZ892" t="s">
        <v>257</v>
      </c>
      <c r="CA892">
        <v>0</v>
      </c>
      <c r="CB892">
        <v>0</v>
      </c>
      <c r="CC892" t="s">
        <v>1865</v>
      </c>
      <c r="CD892">
        <v>0</v>
      </c>
      <c r="CE892">
        <v>0</v>
      </c>
      <c r="CF892">
        <v>0</v>
      </c>
      <c r="CG892">
        <v>0</v>
      </c>
      <c r="CH892">
        <v>0</v>
      </c>
      <c r="CI892" t="s">
        <v>983</v>
      </c>
      <c r="CJ892" t="s">
        <v>972</v>
      </c>
      <c r="CK892" t="s">
        <v>986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 t="s">
        <v>987</v>
      </c>
      <c r="CV892">
        <v>400008898</v>
      </c>
      <c r="CW892" t="s">
        <v>987</v>
      </c>
      <c r="CX892" t="s">
        <v>7196</v>
      </c>
      <c r="CY892" t="s">
        <v>989</v>
      </c>
    </row>
    <row r="893" spans="1:103" hidden="1" x14ac:dyDescent="0.25">
      <c r="A893">
        <v>410000899</v>
      </c>
      <c r="B893" t="s">
        <v>6184</v>
      </c>
      <c r="C893" t="s">
        <v>6185</v>
      </c>
      <c r="D893">
        <v>401100000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1</v>
      </c>
      <c r="X893">
        <v>1</v>
      </c>
      <c r="Y893" t="s">
        <v>972</v>
      </c>
      <c r="Z893" t="s">
        <v>6186</v>
      </c>
      <c r="AA893" t="s">
        <v>6187</v>
      </c>
      <c r="AB893" t="s">
        <v>975</v>
      </c>
      <c r="AC893">
        <v>4671</v>
      </c>
      <c r="AD893" t="s">
        <v>6188</v>
      </c>
      <c r="AE893">
        <v>3242767002</v>
      </c>
      <c r="AF893" t="s">
        <v>979</v>
      </c>
      <c r="AG893" t="s">
        <v>977</v>
      </c>
      <c r="AH893" t="s">
        <v>977</v>
      </c>
      <c r="AI893" t="s">
        <v>977</v>
      </c>
      <c r="AJ893" t="s">
        <v>978</v>
      </c>
      <c r="AK893" t="s">
        <v>978</v>
      </c>
      <c r="AL893" t="s">
        <v>978</v>
      </c>
      <c r="AM893" t="s">
        <v>979</v>
      </c>
      <c r="AN893">
        <v>0</v>
      </c>
      <c r="AO893" t="s">
        <v>257</v>
      </c>
      <c r="AP893">
        <v>0</v>
      </c>
      <c r="AQ893">
        <v>20</v>
      </c>
      <c r="AR893">
        <v>69</v>
      </c>
      <c r="AS893">
        <v>1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1</v>
      </c>
      <c r="AZ893" t="s">
        <v>257</v>
      </c>
      <c r="BA893" t="s">
        <v>980</v>
      </c>
      <c r="BB893" t="s">
        <v>981</v>
      </c>
      <c r="BC893" t="s">
        <v>257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 t="s">
        <v>1285</v>
      </c>
      <c r="BK893" t="s">
        <v>981</v>
      </c>
      <c r="BL893" t="s">
        <v>6184</v>
      </c>
      <c r="BM893">
        <v>20231026</v>
      </c>
      <c r="BN893">
        <v>20240910</v>
      </c>
      <c r="BO893">
        <v>0</v>
      </c>
      <c r="BP893" t="s">
        <v>257</v>
      </c>
      <c r="BQ893" t="s">
        <v>983</v>
      </c>
      <c r="BR893" t="s">
        <v>978</v>
      </c>
      <c r="BS893" t="s">
        <v>979</v>
      </c>
      <c r="BT893">
        <v>0</v>
      </c>
      <c r="BU893">
        <v>0</v>
      </c>
      <c r="BV893" t="s">
        <v>2341</v>
      </c>
      <c r="BW893" t="s">
        <v>257</v>
      </c>
      <c r="BX893">
        <v>0</v>
      </c>
      <c r="BY893" t="s">
        <v>980</v>
      </c>
      <c r="BZ893" t="s">
        <v>257</v>
      </c>
      <c r="CA893">
        <v>0</v>
      </c>
      <c r="CB893">
        <v>0</v>
      </c>
      <c r="CC893" t="s">
        <v>1815</v>
      </c>
      <c r="CD893">
        <v>0</v>
      </c>
      <c r="CE893">
        <v>0</v>
      </c>
      <c r="CF893">
        <v>0</v>
      </c>
      <c r="CG893">
        <v>0</v>
      </c>
      <c r="CH893">
        <v>0</v>
      </c>
      <c r="CI893" t="s">
        <v>983</v>
      </c>
      <c r="CJ893" t="s">
        <v>972</v>
      </c>
      <c r="CK893" t="s">
        <v>986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 t="s">
        <v>987</v>
      </c>
      <c r="CV893">
        <v>400008899</v>
      </c>
      <c r="CW893" t="s">
        <v>987</v>
      </c>
      <c r="CX893" t="s">
        <v>1081</v>
      </c>
      <c r="CY893" t="s">
        <v>989</v>
      </c>
    </row>
    <row r="894" spans="1:103" hidden="1" x14ac:dyDescent="0.25">
      <c r="A894">
        <v>410000900</v>
      </c>
      <c r="B894" t="s">
        <v>6189</v>
      </c>
      <c r="C894" t="s">
        <v>6190</v>
      </c>
      <c r="D894">
        <v>401100000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1</v>
      </c>
      <c r="X894">
        <v>1</v>
      </c>
      <c r="Y894" t="s">
        <v>972</v>
      </c>
      <c r="Z894" t="s">
        <v>987</v>
      </c>
      <c r="AA894" t="s">
        <v>6191</v>
      </c>
      <c r="AB894" t="s">
        <v>975</v>
      </c>
      <c r="AC894">
        <v>4000</v>
      </c>
      <c r="AD894" t="s">
        <v>1019</v>
      </c>
      <c r="AE894">
        <v>3242242423</v>
      </c>
      <c r="AF894" t="s">
        <v>979</v>
      </c>
      <c r="AG894" t="s">
        <v>977</v>
      </c>
      <c r="AH894" t="s">
        <v>977</v>
      </c>
      <c r="AI894" t="s">
        <v>977</v>
      </c>
      <c r="AJ894" t="s">
        <v>978</v>
      </c>
      <c r="AK894" t="s">
        <v>978</v>
      </c>
      <c r="AL894" t="s">
        <v>978</v>
      </c>
      <c r="AM894" t="s">
        <v>979</v>
      </c>
      <c r="AN894">
        <v>0</v>
      </c>
      <c r="AO894" t="s">
        <v>257</v>
      </c>
      <c r="AP894">
        <v>0</v>
      </c>
      <c r="AQ894">
        <v>20</v>
      </c>
      <c r="AR894">
        <v>43</v>
      </c>
      <c r="AS894">
        <v>1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1</v>
      </c>
      <c r="AZ894" t="s">
        <v>257</v>
      </c>
      <c r="BA894" t="s">
        <v>980</v>
      </c>
      <c r="BB894" t="s">
        <v>981</v>
      </c>
      <c r="BC894" t="s">
        <v>257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 t="s">
        <v>1285</v>
      </c>
      <c r="BK894" t="s">
        <v>981</v>
      </c>
      <c r="BL894" t="s">
        <v>6189</v>
      </c>
      <c r="BM894">
        <v>20231026</v>
      </c>
      <c r="BN894">
        <v>20240828</v>
      </c>
      <c r="BO894">
        <v>0</v>
      </c>
      <c r="BP894" t="s">
        <v>257</v>
      </c>
      <c r="BQ894" t="s">
        <v>983</v>
      </c>
      <c r="BR894" t="s">
        <v>978</v>
      </c>
      <c r="BS894" t="s">
        <v>979</v>
      </c>
      <c r="BT894">
        <v>0</v>
      </c>
      <c r="BU894">
        <v>0</v>
      </c>
      <c r="BV894" t="s">
        <v>984</v>
      </c>
      <c r="BW894" t="s">
        <v>257</v>
      </c>
      <c r="BX894">
        <v>0</v>
      </c>
      <c r="BY894" t="s">
        <v>980</v>
      </c>
      <c r="BZ894" t="s">
        <v>257</v>
      </c>
      <c r="CA894">
        <v>0</v>
      </c>
      <c r="CB894">
        <v>0</v>
      </c>
      <c r="CC894" t="s">
        <v>1848</v>
      </c>
      <c r="CD894">
        <v>0</v>
      </c>
      <c r="CE894">
        <v>0</v>
      </c>
      <c r="CF894">
        <v>0</v>
      </c>
      <c r="CG894">
        <v>0</v>
      </c>
      <c r="CH894">
        <v>0</v>
      </c>
      <c r="CI894" t="s">
        <v>983</v>
      </c>
      <c r="CJ894" t="s">
        <v>972</v>
      </c>
      <c r="CK894" t="s">
        <v>986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 t="s">
        <v>987</v>
      </c>
      <c r="CV894">
        <v>400008900</v>
      </c>
      <c r="CW894" t="s">
        <v>987</v>
      </c>
      <c r="CX894" t="s">
        <v>6192</v>
      </c>
      <c r="CY894" t="s">
        <v>989</v>
      </c>
    </row>
    <row r="895" spans="1:103" hidden="1" x14ac:dyDescent="0.25">
      <c r="A895">
        <v>410000901</v>
      </c>
      <c r="B895" t="s">
        <v>6193</v>
      </c>
      <c r="C895" t="s">
        <v>978</v>
      </c>
      <c r="D895">
        <v>401100000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4</v>
      </c>
      <c r="W895">
        <v>1</v>
      </c>
      <c r="X895">
        <v>1</v>
      </c>
      <c r="Y895" t="s">
        <v>972</v>
      </c>
      <c r="Z895" t="s">
        <v>987</v>
      </c>
      <c r="AA895" t="s">
        <v>6194</v>
      </c>
      <c r="AB895" t="s">
        <v>975</v>
      </c>
      <c r="AC895">
        <v>4000</v>
      </c>
      <c r="AD895" t="s">
        <v>1019</v>
      </c>
      <c r="AE895" t="s">
        <v>979</v>
      </c>
      <c r="AF895" t="s">
        <v>979</v>
      </c>
      <c r="AG895" t="s">
        <v>977</v>
      </c>
      <c r="AH895" t="s">
        <v>977</v>
      </c>
      <c r="AI895" t="s">
        <v>977</v>
      </c>
      <c r="AJ895" t="s">
        <v>978</v>
      </c>
      <c r="AK895" t="s">
        <v>978</v>
      </c>
      <c r="AL895" t="s">
        <v>978</v>
      </c>
      <c r="AM895" t="s">
        <v>979</v>
      </c>
      <c r="AN895">
        <v>0</v>
      </c>
      <c r="AO895" t="s">
        <v>257</v>
      </c>
      <c r="AP895">
        <v>0</v>
      </c>
      <c r="AQ895">
        <v>20</v>
      </c>
      <c r="AR895">
        <v>43</v>
      </c>
      <c r="AS895">
        <v>1</v>
      </c>
      <c r="AT895">
        <v>0</v>
      </c>
      <c r="AU895">
        <v>1</v>
      </c>
      <c r="AV895">
        <v>0</v>
      </c>
      <c r="AW895">
        <v>0</v>
      </c>
      <c r="AX895">
        <v>0</v>
      </c>
      <c r="AY895">
        <v>1</v>
      </c>
      <c r="AZ895" t="s">
        <v>257</v>
      </c>
      <c r="BA895" t="s">
        <v>980</v>
      </c>
      <c r="BB895" t="s">
        <v>981</v>
      </c>
      <c r="BC895" t="s">
        <v>257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 t="s">
        <v>1285</v>
      </c>
      <c r="BK895" t="s">
        <v>981</v>
      </c>
      <c r="BL895" t="s">
        <v>6193</v>
      </c>
      <c r="BM895">
        <v>20231026</v>
      </c>
      <c r="BN895">
        <v>20240506</v>
      </c>
      <c r="BO895">
        <v>0</v>
      </c>
      <c r="BP895" t="s">
        <v>257</v>
      </c>
      <c r="BQ895" t="s">
        <v>983</v>
      </c>
      <c r="BR895" t="s">
        <v>978</v>
      </c>
      <c r="BS895" t="s">
        <v>979</v>
      </c>
      <c r="BT895">
        <v>0</v>
      </c>
      <c r="BU895">
        <v>0</v>
      </c>
      <c r="BV895" t="s">
        <v>984</v>
      </c>
      <c r="BW895" t="s">
        <v>257</v>
      </c>
      <c r="BX895">
        <v>0</v>
      </c>
      <c r="BY895" t="s">
        <v>980</v>
      </c>
      <c r="BZ895" t="s">
        <v>257</v>
      </c>
      <c r="CA895">
        <v>0</v>
      </c>
      <c r="CB895">
        <v>0</v>
      </c>
      <c r="CC895" t="s">
        <v>1371</v>
      </c>
      <c r="CD895">
        <v>0</v>
      </c>
      <c r="CE895">
        <v>0</v>
      </c>
      <c r="CF895">
        <v>0</v>
      </c>
      <c r="CG895">
        <v>0</v>
      </c>
      <c r="CH895">
        <v>0</v>
      </c>
      <c r="CI895" t="s">
        <v>983</v>
      </c>
      <c r="CJ895" t="s">
        <v>972</v>
      </c>
      <c r="CK895" t="s">
        <v>986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 t="s">
        <v>987</v>
      </c>
      <c r="CV895">
        <v>400008901</v>
      </c>
      <c r="CW895" t="s">
        <v>987</v>
      </c>
      <c r="CX895" t="s">
        <v>6195</v>
      </c>
      <c r="CY895" t="s">
        <v>989</v>
      </c>
    </row>
    <row r="896" spans="1:103" hidden="1" x14ac:dyDescent="0.25">
      <c r="A896">
        <v>410000902</v>
      </c>
      <c r="B896" t="s">
        <v>6196</v>
      </c>
      <c r="C896" t="s">
        <v>6197</v>
      </c>
      <c r="D896">
        <v>401100000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1</v>
      </c>
      <c r="X896">
        <v>1</v>
      </c>
      <c r="Y896" t="s">
        <v>972</v>
      </c>
      <c r="Z896" t="s">
        <v>987</v>
      </c>
      <c r="AA896" t="s">
        <v>6198</v>
      </c>
      <c r="AB896" t="s">
        <v>975</v>
      </c>
      <c r="AC896">
        <v>4020</v>
      </c>
      <c r="AD896" t="s">
        <v>1019</v>
      </c>
      <c r="AE896" t="s">
        <v>979</v>
      </c>
      <c r="AF896" t="s">
        <v>979</v>
      </c>
      <c r="AG896" t="s">
        <v>977</v>
      </c>
      <c r="AH896" t="s">
        <v>977</v>
      </c>
      <c r="AI896" t="s">
        <v>977</v>
      </c>
      <c r="AJ896" t="s">
        <v>978</v>
      </c>
      <c r="AK896" t="s">
        <v>978</v>
      </c>
      <c r="AL896" t="s">
        <v>978</v>
      </c>
      <c r="AM896" t="s">
        <v>979</v>
      </c>
      <c r="AN896">
        <v>0</v>
      </c>
      <c r="AO896" t="s">
        <v>257</v>
      </c>
      <c r="AP896">
        <v>0</v>
      </c>
      <c r="AQ896">
        <v>20</v>
      </c>
      <c r="AR896">
        <v>43</v>
      </c>
      <c r="AS896">
        <v>1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1</v>
      </c>
      <c r="AZ896" t="s">
        <v>257</v>
      </c>
      <c r="BA896" t="s">
        <v>980</v>
      </c>
      <c r="BB896" t="s">
        <v>981</v>
      </c>
      <c r="BC896" t="s">
        <v>257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 t="s">
        <v>1285</v>
      </c>
      <c r="BK896" t="s">
        <v>981</v>
      </c>
      <c r="BL896" t="s">
        <v>6196</v>
      </c>
      <c r="BM896">
        <v>20231026</v>
      </c>
      <c r="BN896">
        <v>20231030</v>
      </c>
      <c r="BO896">
        <v>0</v>
      </c>
      <c r="BP896" t="s">
        <v>257</v>
      </c>
      <c r="BQ896" t="s">
        <v>983</v>
      </c>
      <c r="BR896" t="s">
        <v>978</v>
      </c>
      <c r="BS896" t="s">
        <v>979</v>
      </c>
      <c r="BT896">
        <v>0</v>
      </c>
      <c r="BU896">
        <v>0</v>
      </c>
      <c r="BV896" t="s">
        <v>2341</v>
      </c>
      <c r="BW896" t="s">
        <v>257</v>
      </c>
      <c r="BX896">
        <v>0</v>
      </c>
      <c r="BY896" t="s">
        <v>980</v>
      </c>
      <c r="BZ896" t="s">
        <v>257</v>
      </c>
      <c r="CA896">
        <v>0</v>
      </c>
      <c r="CB896">
        <v>0</v>
      </c>
      <c r="CC896" t="s">
        <v>1507</v>
      </c>
      <c r="CD896">
        <v>0</v>
      </c>
      <c r="CE896">
        <v>0</v>
      </c>
      <c r="CF896">
        <v>0</v>
      </c>
      <c r="CG896">
        <v>0</v>
      </c>
      <c r="CH896">
        <v>0</v>
      </c>
      <c r="CI896" t="s">
        <v>983</v>
      </c>
      <c r="CJ896" t="s">
        <v>972</v>
      </c>
      <c r="CK896" t="s">
        <v>986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 t="s">
        <v>987</v>
      </c>
      <c r="CV896">
        <v>400008902</v>
      </c>
      <c r="CW896" t="s">
        <v>987</v>
      </c>
      <c r="CX896" t="s">
        <v>1081</v>
      </c>
      <c r="CY896" t="s">
        <v>989</v>
      </c>
    </row>
    <row r="897" spans="1:103" hidden="1" x14ac:dyDescent="0.25">
      <c r="A897">
        <v>410000903</v>
      </c>
      <c r="B897" t="s">
        <v>6199</v>
      </c>
      <c r="C897" t="s">
        <v>6200</v>
      </c>
      <c r="D897">
        <v>401100000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1</v>
      </c>
      <c r="X897">
        <v>1</v>
      </c>
      <c r="Y897" t="s">
        <v>972</v>
      </c>
      <c r="Z897" t="s">
        <v>6201</v>
      </c>
      <c r="AA897" t="s">
        <v>6202</v>
      </c>
      <c r="AB897" t="s">
        <v>975</v>
      </c>
      <c r="AC897">
        <v>4102</v>
      </c>
      <c r="AD897" t="s">
        <v>6203</v>
      </c>
      <c r="AE897" t="s">
        <v>979</v>
      </c>
      <c r="AF897" t="s">
        <v>979</v>
      </c>
      <c r="AG897" t="s">
        <v>6204</v>
      </c>
      <c r="AH897" t="s">
        <v>977</v>
      </c>
      <c r="AI897" t="s">
        <v>977</v>
      </c>
      <c r="AJ897" t="s">
        <v>978</v>
      </c>
      <c r="AK897" t="s">
        <v>978</v>
      </c>
      <c r="AL897" t="s">
        <v>978</v>
      </c>
      <c r="AM897" t="s">
        <v>979</v>
      </c>
      <c r="AN897">
        <v>0</v>
      </c>
      <c r="AO897" t="s">
        <v>257</v>
      </c>
      <c r="AP897">
        <v>0</v>
      </c>
      <c r="AQ897">
        <v>20</v>
      </c>
      <c r="AR897">
        <v>43</v>
      </c>
      <c r="AS897">
        <v>1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1</v>
      </c>
      <c r="AZ897" t="s">
        <v>257</v>
      </c>
      <c r="BA897" t="s">
        <v>980</v>
      </c>
      <c r="BB897" t="s">
        <v>981</v>
      </c>
      <c r="BC897" t="s">
        <v>257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 t="s">
        <v>1285</v>
      </c>
      <c r="BK897" t="s">
        <v>981</v>
      </c>
      <c r="BL897" t="s">
        <v>6199</v>
      </c>
      <c r="BM897">
        <v>20231026</v>
      </c>
      <c r="BN897">
        <v>20240219</v>
      </c>
      <c r="BO897">
        <v>0</v>
      </c>
      <c r="BP897" t="s">
        <v>257</v>
      </c>
      <c r="BQ897" t="s">
        <v>983</v>
      </c>
      <c r="BR897" t="s">
        <v>978</v>
      </c>
      <c r="BS897">
        <v>32485798139</v>
      </c>
      <c r="BT897">
        <v>0</v>
      </c>
      <c r="BU897">
        <v>0</v>
      </c>
      <c r="BV897" t="s">
        <v>984</v>
      </c>
      <c r="BW897" t="s">
        <v>257</v>
      </c>
      <c r="BX897">
        <v>0</v>
      </c>
      <c r="BY897" t="s">
        <v>980</v>
      </c>
      <c r="BZ897" t="s">
        <v>257</v>
      </c>
      <c r="CA897">
        <v>0</v>
      </c>
      <c r="CB897">
        <v>0</v>
      </c>
      <c r="CC897" t="s">
        <v>1161</v>
      </c>
      <c r="CD897">
        <v>0</v>
      </c>
      <c r="CE897">
        <v>0</v>
      </c>
      <c r="CF897">
        <v>0</v>
      </c>
      <c r="CG897">
        <v>0</v>
      </c>
      <c r="CH897">
        <v>0</v>
      </c>
      <c r="CI897" t="s">
        <v>983</v>
      </c>
      <c r="CJ897" t="s">
        <v>972</v>
      </c>
      <c r="CK897" t="s">
        <v>986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 t="s">
        <v>987</v>
      </c>
      <c r="CV897">
        <v>400008903</v>
      </c>
      <c r="CW897" t="s">
        <v>987</v>
      </c>
      <c r="CX897" t="s">
        <v>6002</v>
      </c>
      <c r="CY897" t="s">
        <v>989</v>
      </c>
    </row>
    <row r="898" spans="1:103" hidden="1" x14ac:dyDescent="0.25">
      <c r="A898">
        <v>410000904</v>
      </c>
      <c r="B898" t="s">
        <v>6205</v>
      </c>
      <c r="C898" t="s">
        <v>978</v>
      </c>
      <c r="D898">
        <v>401100000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4</v>
      </c>
      <c r="W898">
        <v>1</v>
      </c>
      <c r="X898">
        <v>1</v>
      </c>
      <c r="Y898" t="s">
        <v>972</v>
      </c>
      <c r="Z898" t="s">
        <v>987</v>
      </c>
      <c r="AA898" t="s">
        <v>6206</v>
      </c>
      <c r="AB898" t="s">
        <v>975</v>
      </c>
      <c r="AC898">
        <v>4020</v>
      </c>
      <c r="AD898" t="s">
        <v>1019</v>
      </c>
      <c r="AE898" t="s">
        <v>979</v>
      </c>
      <c r="AF898" t="s">
        <v>979</v>
      </c>
      <c r="AG898" t="s">
        <v>977</v>
      </c>
      <c r="AH898" t="s">
        <v>977</v>
      </c>
      <c r="AI898" t="s">
        <v>977</v>
      </c>
      <c r="AJ898" t="s">
        <v>978</v>
      </c>
      <c r="AK898" t="s">
        <v>978</v>
      </c>
      <c r="AL898" t="s">
        <v>978</v>
      </c>
      <c r="AM898" t="s">
        <v>979</v>
      </c>
      <c r="AN898">
        <v>0</v>
      </c>
      <c r="AO898" t="s">
        <v>257</v>
      </c>
      <c r="AP898">
        <v>0</v>
      </c>
      <c r="AQ898">
        <v>20</v>
      </c>
      <c r="AR898">
        <v>43</v>
      </c>
      <c r="AS898">
        <v>1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1</v>
      </c>
      <c r="AZ898" t="s">
        <v>257</v>
      </c>
      <c r="BA898" t="s">
        <v>980</v>
      </c>
      <c r="BB898" t="s">
        <v>981</v>
      </c>
      <c r="BC898" t="s">
        <v>257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 t="s">
        <v>1285</v>
      </c>
      <c r="BK898" t="s">
        <v>981</v>
      </c>
      <c r="BL898" t="s">
        <v>6205</v>
      </c>
      <c r="BM898">
        <v>20231026</v>
      </c>
      <c r="BN898">
        <v>20231215</v>
      </c>
      <c r="BO898">
        <v>0</v>
      </c>
      <c r="BP898" t="s">
        <v>257</v>
      </c>
      <c r="BQ898" t="s">
        <v>983</v>
      </c>
      <c r="BR898" t="s">
        <v>978</v>
      </c>
      <c r="BS898">
        <v>32478302081</v>
      </c>
      <c r="BT898">
        <v>0</v>
      </c>
      <c r="BU898">
        <v>0</v>
      </c>
      <c r="BV898" t="s">
        <v>984</v>
      </c>
      <c r="BW898" t="s">
        <v>257</v>
      </c>
      <c r="BX898">
        <v>0</v>
      </c>
      <c r="BY898" t="s">
        <v>980</v>
      </c>
      <c r="BZ898" t="s">
        <v>257</v>
      </c>
      <c r="CA898">
        <v>0</v>
      </c>
      <c r="CB898">
        <v>0</v>
      </c>
      <c r="CC898" t="s">
        <v>1916</v>
      </c>
      <c r="CD898">
        <v>0</v>
      </c>
      <c r="CE898">
        <v>0</v>
      </c>
      <c r="CF898">
        <v>0</v>
      </c>
      <c r="CG898">
        <v>0</v>
      </c>
      <c r="CH898">
        <v>0</v>
      </c>
      <c r="CI898" t="s">
        <v>983</v>
      </c>
      <c r="CJ898" t="s">
        <v>972</v>
      </c>
      <c r="CK898" t="s">
        <v>986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 t="s">
        <v>987</v>
      </c>
      <c r="CV898">
        <v>400008904</v>
      </c>
      <c r="CW898" t="s">
        <v>987</v>
      </c>
      <c r="CX898" t="s">
        <v>6207</v>
      </c>
      <c r="CY898" t="s">
        <v>989</v>
      </c>
    </row>
    <row r="899" spans="1:103" hidden="1" x14ac:dyDescent="0.25">
      <c r="A899">
        <v>410000905</v>
      </c>
      <c r="B899" t="s">
        <v>6208</v>
      </c>
      <c r="C899" t="s">
        <v>6209</v>
      </c>
      <c r="D899">
        <v>401100000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1</v>
      </c>
      <c r="Y899" t="s">
        <v>972</v>
      </c>
      <c r="Z899" t="s">
        <v>987</v>
      </c>
      <c r="AA899" t="s">
        <v>6210</v>
      </c>
      <c r="AB899" t="s">
        <v>975</v>
      </c>
      <c r="AC899">
        <v>4052</v>
      </c>
      <c r="AD899" t="s">
        <v>2739</v>
      </c>
      <c r="AE899" t="s">
        <v>979</v>
      </c>
      <c r="AF899" t="s">
        <v>979</v>
      </c>
      <c r="AG899" t="s">
        <v>977</v>
      </c>
      <c r="AH899" t="s">
        <v>977</v>
      </c>
      <c r="AI899" t="s">
        <v>977</v>
      </c>
      <c r="AJ899" t="s">
        <v>978</v>
      </c>
      <c r="AK899" t="s">
        <v>978</v>
      </c>
      <c r="AL899" t="s">
        <v>978</v>
      </c>
      <c r="AM899" t="s">
        <v>979</v>
      </c>
      <c r="AN899">
        <v>0</v>
      </c>
      <c r="AO899" t="s">
        <v>257</v>
      </c>
      <c r="AP899">
        <v>0</v>
      </c>
      <c r="AQ899">
        <v>20</v>
      </c>
      <c r="AR899">
        <v>43</v>
      </c>
      <c r="AS899">
        <v>1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1</v>
      </c>
      <c r="AZ899" t="s">
        <v>257</v>
      </c>
      <c r="BA899" t="s">
        <v>980</v>
      </c>
      <c r="BB899" t="s">
        <v>981</v>
      </c>
      <c r="BC899" t="s">
        <v>257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 t="s">
        <v>1285</v>
      </c>
      <c r="BK899" t="s">
        <v>981</v>
      </c>
      <c r="BL899" t="s">
        <v>6208</v>
      </c>
      <c r="BM899">
        <v>20231026</v>
      </c>
      <c r="BN899">
        <v>20231030</v>
      </c>
      <c r="BO899">
        <v>0</v>
      </c>
      <c r="BP899" t="s">
        <v>257</v>
      </c>
      <c r="BQ899" t="s">
        <v>983</v>
      </c>
      <c r="BR899" t="s">
        <v>978</v>
      </c>
      <c r="BS899" t="s">
        <v>979</v>
      </c>
      <c r="BT899">
        <v>0</v>
      </c>
      <c r="BU899">
        <v>0</v>
      </c>
      <c r="BV899" t="s">
        <v>2341</v>
      </c>
      <c r="BW899" t="s">
        <v>257</v>
      </c>
      <c r="BX899">
        <v>0</v>
      </c>
      <c r="BY899" t="s">
        <v>980</v>
      </c>
      <c r="BZ899" t="s">
        <v>257</v>
      </c>
      <c r="CA899">
        <v>0</v>
      </c>
      <c r="CB899">
        <v>0</v>
      </c>
      <c r="CC899" t="s">
        <v>3268</v>
      </c>
      <c r="CD899">
        <v>0</v>
      </c>
      <c r="CE899">
        <v>0</v>
      </c>
      <c r="CF899">
        <v>0</v>
      </c>
      <c r="CG899">
        <v>0</v>
      </c>
      <c r="CH899">
        <v>0</v>
      </c>
      <c r="CI899" t="s">
        <v>983</v>
      </c>
      <c r="CJ899" t="s">
        <v>972</v>
      </c>
      <c r="CK899" t="s">
        <v>986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 t="s">
        <v>987</v>
      </c>
      <c r="CV899">
        <v>400008905</v>
      </c>
      <c r="CW899" t="s">
        <v>987</v>
      </c>
      <c r="CX899" t="s">
        <v>1081</v>
      </c>
      <c r="CY899" t="s">
        <v>989</v>
      </c>
    </row>
    <row r="900" spans="1:103" hidden="1" x14ac:dyDescent="0.25">
      <c r="A900">
        <v>410000906</v>
      </c>
      <c r="B900" t="s">
        <v>6211</v>
      </c>
      <c r="C900" t="s">
        <v>6161</v>
      </c>
      <c r="D900">
        <v>401100000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1</v>
      </c>
      <c r="X900">
        <v>1</v>
      </c>
      <c r="Y900" t="s">
        <v>972</v>
      </c>
      <c r="Z900" t="s">
        <v>987</v>
      </c>
      <c r="AA900" t="s">
        <v>6212</v>
      </c>
      <c r="AB900" t="s">
        <v>975</v>
      </c>
      <c r="AC900">
        <v>4000</v>
      </c>
      <c r="AD900" t="s">
        <v>1019</v>
      </c>
      <c r="AE900" t="s">
        <v>979</v>
      </c>
      <c r="AF900" t="s">
        <v>979</v>
      </c>
      <c r="AG900" t="s">
        <v>977</v>
      </c>
      <c r="AH900" t="s">
        <v>977</v>
      </c>
      <c r="AI900" t="s">
        <v>977</v>
      </c>
      <c r="AJ900" t="s">
        <v>978</v>
      </c>
      <c r="AK900" t="s">
        <v>978</v>
      </c>
      <c r="AL900" t="s">
        <v>978</v>
      </c>
      <c r="AM900" t="s">
        <v>979</v>
      </c>
      <c r="AN900">
        <v>0</v>
      </c>
      <c r="AO900" t="s">
        <v>257</v>
      </c>
      <c r="AP900">
        <v>0</v>
      </c>
      <c r="AQ900">
        <v>20</v>
      </c>
      <c r="AR900">
        <v>69</v>
      </c>
      <c r="AS900">
        <v>1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1</v>
      </c>
      <c r="AZ900" t="s">
        <v>257</v>
      </c>
      <c r="BA900" t="s">
        <v>980</v>
      </c>
      <c r="BB900" t="s">
        <v>981</v>
      </c>
      <c r="BC900" t="s">
        <v>257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 t="s">
        <v>1285</v>
      </c>
      <c r="BK900" t="s">
        <v>981</v>
      </c>
      <c r="BL900" t="s">
        <v>6211</v>
      </c>
      <c r="BM900">
        <v>20231026</v>
      </c>
      <c r="BN900">
        <v>20240910</v>
      </c>
      <c r="BO900">
        <v>0</v>
      </c>
      <c r="BP900" t="s">
        <v>257</v>
      </c>
      <c r="BQ900" t="s">
        <v>983</v>
      </c>
      <c r="BR900" t="s">
        <v>978</v>
      </c>
      <c r="BS900" t="s">
        <v>979</v>
      </c>
      <c r="BT900">
        <v>0</v>
      </c>
      <c r="BU900">
        <v>0</v>
      </c>
      <c r="BV900" t="s">
        <v>984</v>
      </c>
      <c r="BW900" t="s">
        <v>257</v>
      </c>
      <c r="BX900">
        <v>0</v>
      </c>
      <c r="BY900" t="s">
        <v>980</v>
      </c>
      <c r="BZ900" t="s">
        <v>257</v>
      </c>
      <c r="CA900">
        <v>0</v>
      </c>
      <c r="CB900">
        <v>0</v>
      </c>
      <c r="CC900" t="s">
        <v>1371</v>
      </c>
      <c r="CD900">
        <v>0</v>
      </c>
      <c r="CE900">
        <v>0</v>
      </c>
      <c r="CF900">
        <v>0</v>
      </c>
      <c r="CG900">
        <v>0</v>
      </c>
      <c r="CH900">
        <v>0</v>
      </c>
      <c r="CI900" t="s">
        <v>983</v>
      </c>
      <c r="CJ900" t="s">
        <v>972</v>
      </c>
      <c r="CK900" t="s">
        <v>986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 t="s">
        <v>987</v>
      </c>
      <c r="CV900">
        <v>400008906</v>
      </c>
      <c r="CW900" t="s">
        <v>987</v>
      </c>
      <c r="CX900" t="s">
        <v>6213</v>
      </c>
      <c r="CY900" t="s">
        <v>989</v>
      </c>
    </row>
    <row r="901" spans="1:103" hidden="1" x14ac:dyDescent="0.25">
      <c r="A901">
        <v>410000907</v>
      </c>
      <c r="B901" t="s">
        <v>6214</v>
      </c>
      <c r="C901" t="s">
        <v>6215</v>
      </c>
      <c r="D901">
        <v>401100000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1</v>
      </c>
      <c r="Y901" t="s">
        <v>972</v>
      </c>
      <c r="Z901" t="s">
        <v>987</v>
      </c>
      <c r="AA901" t="s">
        <v>6216</v>
      </c>
      <c r="AB901" t="s">
        <v>975</v>
      </c>
      <c r="AC901">
        <v>4052</v>
      </c>
      <c r="AD901" t="s">
        <v>2739</v>
      </c>
      <c r="AE901" t="s">
        <v>979</v>
      </c>
      <c r="AF901" t="s">
        <v>979</v>
      </c>
      <c r="AG901" t="s">
        <v>977</v>
      </c>
      <c r="AH901" t="s">
        <v>977</v>
      </c>
      <c r="AI901" t="s">
        <v>977</v>
      </c>
      <c r="AJ901" t="s">
        <v>978</v>
      </c>
      <c r="AK901" t="s">
        <v>978</v>
      </c>
      <c r="AL901" t="s">
        <v>978</v>
      </c>
      <c r="AM901" t="s">
        <v>979</v>
      </c>
      <c r="AN901">
        <v>0</v>
      </c>
      <c r="AO901" t="s">
        <v>257</v>
      </c>
      <c r="AP901">
        <v>0</v>
      </c>
      <c r="AQ901">
        <v>20</v>
      </c>
      <c r="AR901">
        <v>69</v>
      </c>
      <c r="AS901">
        <v>1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1</v>
      </c>
      <c r="AZ901" t="s">
        <v>257</v>
      </c>
      <c r="BA901" t="s">
        <v>980</v>
      </c>
      <c r="BB901" t="s">
        <v>981</v>
      </c>
      <c r="BC901" t="s">
        <v>257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 t="s">
        <v>1285</v>
      </c>
      <c r="BK901" t="s">
        <v>981</v>
      </c>
      <c r="BL901" t="s">
        <v>6214</v>
      </c>
      <c r="BM901">
        <v>20231026</v>
      </c>
      <c r="BN901">
        <v>20240910</v>
      </c>
      <c r="BO901">
        <v>0</v>
      </c>
      <c r="BP901" t="s">
        <v>257</v>
      </c>
      <c r="BQ901" t="s">
        <v>983</v>
      </c>
      <c r="BR901" t="s">
        <v>978</v>
      </c>
      <c r="BS901" t="s">
        <v>979</v>
      </c>
      <c r="BT901">
        <v>0</v>
      </c>
      <c r="BU901">
        <v>0</v>
      </c>
      <c r="BV901" t="s">
        <v>2341</v>
      </c>
      <c r="BW901" t="s">
        <v>257</v>
      </c>
      <c r="BX901">
        <v>0</v>
      </c>
      <c r="BY901" t="s">
        <v>980</v>
      </c>
      <c r="BZ901" t="s">
        <v>257</v>
      </c>
      <c r="CA901">
        <v>0</v>
      </c>
      <c r="CB901">
        <v>0</v>
      </c>
      <c r="CC901" t="s">
        <v>1871</v>
      </c>
      <c r="CD901">
        <v>0</v>
      </c>
      <c r="CE901">
        <v>0</v>
      </c>
      <c r="CF901">
        <v>0</v>
      </c>
      <c r="CG901">
        <v>0</v>
      </c>
      <c r="CH901">
        <v>0</v>
      </c>
      <c r="CI901" t="s">
        <v>983</v>
      </c>
      <c r="CJ901" t="s">
        <v>972</v>
      </c>
      <c r="CK901" t="s">
        <v>986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 t="s">
        <v>987</v>
      </c>
      <c r="CV901">
        <v>400008907</v>
      </c>
      <c r="CW901" t="s">
        <v>987</v>
      </c>
      <c r="CX901" t="s">
        <v>1081</v>
      </c>
      <c r="CY901" t="s">
        <v>989</v>
      </c>
    </row>
    <row r="902" spans="1:103" hidden="1" x14ac:dyDescent="0.25">
      <c r="A902">
        <v>410000908</v>
      </c>
      <c r="B902" t="s">
        <v>6217</v>
      </c>
      <c r="C902" t="s">
        <v>6218</v>
      </c>
      <c r="D902">
        <v>401100000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</v>
      </c>
      <c r="X902">
        <v>1</v>
      </c>
      <c r="Y902" t="s">
        <v>972</v>
      </c>
      <c r="Z902" t="s">
        <v>987</v>
      </c>
      <c r="AA902" t="s">
        <v>6219</v>
      </c>
      <c r="AB902" t="s">
        <v>975</v>
      </c>
      <c r="AC902">
        <v>4020</v>
      </c>
      <c r="AD902" t="s">
        <v>1019</v>
      </c>
      <c r="AE902" t="s">
        <v>979</v>
      </c>
      <c r="AF902" t="s">
        <v>979</v>
      </c>
      <c r="AG902" t="s">
        <v>977</v>
      </c>
      <c r="AH902">
        <v>861350694</v>
      </c>
      <c r="AI902" t="s">
        <v>6220</v>
      </c>
      <c r="AJ902" t="s">
        <v>978</v>
      </c>
      <c r="AK902" t="s">
        <v>978</v>
      </c>
      <c r="AL902" t="s">
        <v>978</v>
      </c>
      <c r="AM902" t="s">
        <v>979</v>
      </c>
      <c r="AN902">
        <v>0</v>
      </c>
      <c r="AO902" t="s">
        <v>257</v>
      </c>
      <c r="AP902">
        <v>0</v>
      </c>
      <c r="AQ902">
        <v>1</v>
      </c>
      <c r="AR902">
        <v>43</v>
      </c>
      <c r="AS902">
        <v>1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1</v>
      </c>
      <c r="AZ902" t="s">
        <v>257</v>
      </c>
      <c r="BA902" t="s">
        <v>980</v>
      </c>
      <c r="BB902" t="s">
        <v>981</v>
      </c>
      <c r="BC902" t="s">
        <v>257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 t="s">
        <v>1285</v>
      </c>
      <c r="BK902" t="s">
        <v>981</v>
      </c>
      <c r="BL902" t="s">
        <v>6217</v>
      </c>
      <c r="BM902">
        <v>20231027</v>
      </c>
      <c r="BN902">
        <v>20231030</v>
      </c>
      <c r="BO902">
        <v>0</v>
      </c>
      <c r="BP902" t="s">
        <v>257</v>
      </c>
      <c r="BQ902" t="s">
        <v>983</v>
      </c>
      <c r="BR902" t="s">
        <v>978</v>
      </c>
      <c r="BS902">
        <v>32475316124</v>
      </c>
      <c r="BT902">
        <v>0</v>
      </c>
      <c r="BU902">
        <v>0</v>
      </c>
      <c r="BV902" t="s">
        <v>984</v>
      </c>
      <c r="BW902" t="s">
        <v>257</v>
      </c>
      <c r="BX902">
        <v>0</v>
      </c>
      <c r="BY902" t="s">
        <v>980</v>
      </c>
      <c r="BZ902" t="s">
        <v>257</v>
      </c>
      <c r="CA902">
        <v>0</v>
      </c>
      <c r="CB902">
        <v>0</v>
      </c>
      <c r="CC902" t="s">
        <v>1371</v>
      </c>
      <c r="CD902">
        <v>0</v>
      </c>
      <c r="CE902">
        <v>0</v>
      </c>
      <c r="CF902">
        <v>0</v>
      </c>
      <c r="CG902">
        <v>0</v>
      </c>
      <c r="CH902">
        <v>0</v>
      </c>
      <c r="CI902" t="s">
        <v>983</v>
      </c>
      <c r="CJ902" t="s">
        <v>972</v>
      </c>
      <c r="CK902" t="s">
        <v>986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 t="s">
        <v>987</v>
      </c>
      <c r="CV902">
        <v>400008908</v>
      </c>
      <c r="CW902" t="s">
        <v>987</v>
      </c>
      <c r="CX902" t="s">
        <v>6221</v>
      </c>
      <c r="CY902" t="s">
        <v>989</v>
      </c>
    </row>
    <row r="903" spans="1:103" hidden="1" x14ac:dyDescent="0.25">
      <c r="A903">
        <v>410000909</v>
      </c>
      <c r="B903" t="s">
        <v>6222</v>
      </c>
      <c r="C903" t="s">
        <v>6223</v>
      </c>
      <c r="D903">
        <v>401100000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1</v>
      </c>
      <c r="Y903" t="s">
        <v>972</v>
      </c>
      <c r="Z903" t="s">
        <v>987</v>
      </c>
      <c r="AA903" t="s">
        <v>6224</v>
      </c>
      <c r="AB903" t="s">
        <v>975</v>
      </c>
      <c r="AC903">
        <v>1150</v>
      </c>
      <c r="AD903" t="s">
        <v>1006</v>
      </c>
      <c r="AE903" t="s">
        <v>979</v>
      </c>
      <c r="AF903" t="s">
        <v>979</v>
      </c>
      <c r="AG903" t="s">
        <v>6225</v>
      </c>
      <c r="AH903" t="s">
        <v>6226</v>
      </c>
      <c r="AI903" t="s">
        <v>5629</v>
      </c>
      <c r="AJ903" t="s">
        <v>5722</v>
      </c>
      <c r="AK903" t="s">
        <v>978</v>
      </c>
      <c r="AL903" t="s">
        <v>978</v>
      </c>
      <c r="AM903" t="s">
        <v>979</v>
      </c>
      <c r="AN903">
        <v>0</v>
      </c>
      <c r="AO903" t="s">
        <v>257</v>
      </c>
      <c r="AP903">
        <v>0</v>
      </c>
      <c r="AQ903">
        <v>1</v>
      </c>
      <c r="AR903">
        <v>43</v>
      </c>
      <c r="AS903">
        <v>1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1</v>
      </c>
      <c r="AZ903" t="s">
        <v>257</v>
      </c>
      <c r="BA903" t="s">
        <v>980</v>
      </c>
      <c r="BB903" t="s">
        <v>981</v>
      </c>
      <c r="BC903" t="s">
        <v>257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 t="s">
        <v>1285</v>
      </c>
      <c r="BK903" t="s">
        <v>981</v>
      </c>
      <c r="BL903" t="s">
        <v>6222</v>
      </c>
      <c r="BM903">
        <v>20231030</v>
      </c>
      <c r="BN903">
        <v>20231030</v>
      </c>
      <c r="BO903">
        <v>0</v>
      </c>
      <c r="BP903" t="s">
        <v>257</v>
      </c>
      <c r="BQ903" t="s">
        <v>983</v>
      </c>
      <c r="BR903" t="s">
        <v>978</v>
      </c>
      <c r="BS903">
        <v>32479707611</v>
      </c>
      <c r="BT903">
        <v>0</v>
      </c>
      <c r="BU903">
        <v>0</v>
      </c>
      <c r="BV903" t="s">
        <v>984</v>
      </c>
      <c r="BW903" t="s">
        <v>257</v>
      </c>
      <c r="BX903">
        <v>0</v>
      </c>
      <c r="BY903" t="s">
        <v>980</v>
      </c>
      <c r="BZ903" t="s">
        <v>257</v>
      </c>
      <c r="CA903">
        <v>0</v>
      </c>
      <c r="CB903">
        <v>0</v>
      </c>
      <c r="CC903" t="s">
        <v>1901</v>
      </c>
      <c r="CD903">
        <v>0</v>
      </c>
      <c r="CE903">
        <v>0</v>
      </c>
      <c r="CF903">
        <v>0</v>
      </c>
      <c r="CG903">
        <v>0</v>
      </c>
      <c r="CH903">
        <v>0</v>
      </c>
      <c r="CI903" t="s">
        <v>983</v>
      </c>
      <c r="CJ903" t="s">
        <v>972</v>
      </c>
      <c r="CK903" t="s">
        <v>986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 t="s">
        <v>987</v>
      </c>
      <c r="CV903">
        <v>400008909</v>
      </c>
      <c r="CW903" t="s">
        <v>987</v>
      </c>
      <c r="CX903" t="s">
        <v>6227</v>
      </c>
      <c r="CY903" t="s">
        <v>989</v>
      </c>
    </row>
    <row r="904" spans="1:103" hidden="1" x14ac:dyDescent="0.25">
      <c r="A904">
        <v>410000910</v>
      </c>
      <c r="B904" t="s">
        <v>6228</v>
      </c>
      <c r="C904" t="s">
        <v>6229</v>
      </c>
      <c r="D904">
        <v>401100000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1</v>
      </c>
      <c r="Y904" t="s">
        <v>972</v>
      </c>
      <c r="Z904" t="s">
        <v>987</v>
      </c>
      <c r="AA904" t="s">
        <v>6230</v>
      </c>
      <c r="AB904" t="s">
        <v>975</v>
      </c>
      <c r="AC904">
        <v>4000</v>
      </c>
      <c r="AD904" t="s">
        <v>1019</v>
      </c>
      <c r="AE904">
        <v>3243404217</v>
      </c>
      <c r="AF904" t="s">
        <v>979</v>
      </c>
      <c r="AG904" t="s">
        <v>977</v>
      </c>
      <c r="AH904" t="s">
        <v>977</v>
      </c>
      <c r="AI904" t="s">
        <v>977</v>
      </c>
      <c r="AJ904" t="s">
        <v>978</v>
      </c>
      <c r="AK904" t="s">
        <v>978</v>
      </c>
      <c r="AL904" t="s">
        <v>978</v>
      </c>
      <c r="AM904" t="s">
        <v>979</v>
      </c>
      <c r="AN904">
        <v>0</v>
      </c>
      <c r="AO904" t="s">
        <v>257</v>
      </c>
      <c r="AP904">
        <v>0</v>
      </c>
      <c r="AQ904">
        <v>20</v>
      </c>
      <c r="AR904">
        <v>43</v>
      </c>
      <c r="AS904">
        <v>1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1</v>
      </c>
      <c r="AZ904" t="s">
        <v>257</v>
      </c>
      <c r="BA904" t="s">
        <v>980</v>
      </c>
      <c r="BB904" t="s">
        <v>981</v>
      </c>
      <c r="BC904" t="s">
        <v>257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 t="s">
        <v>1285</v>
      </c>
      <c r="BK904" t="s">
        <v>981</v>
      </c>
      <c r="BL904" t="s">
        <v>6228</v>
      </c>
      <c r="BM904">
        <v>20231030</v>
      </c>
      <c r="BN904">
        <v>20240530</v>
      </c>
      <c r="BO904">
        <v>0</v>
      </c>
      <c r="BP904" t="s">
        <v>257</v>
      </c>
      <c r="BQ904" t="s">
        <v>983</v>
      </c>
      <c r="BR904" t="s">
        <v>978</v>
      </c>
      <c r="BS904" t="s">
        <v>979</v>
      </c>
      <c r="BT904">
        <v>0</v>
      </c>
      <c r="BU904">
        <v>0</v>
      </c>
      <c r="BV904" t="s">
        <v>984</v>
      </c>
      <c r="BW904" t="s">
        <v>257</v>
      </c>
      <c r="BX904">
        <v>0</v>
      </c>
      <c r="BY904" t="s">
        <v>980</v>
      </c>
      <c r="BZ904" t="s">
        <v>257</v>
      </c>
      <c r="CA904">
        <v>0</v>
      </c>
      <c r="CB904">
        <v>0</v>
      </c>
      <c r="CC904" t="s">
        <v>1113</v>
      </c>
      <c r="CD904">
        <v>0</v>
      </c>
      <c r="CE904">
        <v>0</v>
      </c>
      <c r="CF904">
        <v>0</v>
      </c>
      <c r="CG904">
        <v>0</v>
      </c>
      <c r="CH904">
        <v>0</v>
      </c>
      <c r="CI904" t="s">
        <v>983</v>
      </c>
      <c r="CJ904" t="s">
        <v>972</v>
      </c>
      <c r="CK904" t="s">
        <v>986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 t="s">
        <v>987</v>
      </c>
      <c r="CV904">
        <v>400008910</v>
      </c>
      <c r="CW904" t="s">
        <v>987</v>
      </c>
      <c r="CX904" t="s">
        <v>6231</v>
      </c>
      <c r="CY904" t="s">
        <v>989</v>
      </c>
    </row>
    <row r="905" spans="1:103" hidden="1" x14ac:dyDescent="0.25">
      <c r="A905">
        <v>410000911</v>
      </c>
      <c r="B905" t="s">
        <v>6232</v>
      </c>
      <c r="C905" t="s">
        <v>6233</v>
      </c>
      <c r="D905">
        <v>401100000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1</v>
      </c>
      <c r="X905">
        <v>1</v>
      </c>
      <c r="Y905" t="s">
        <v>972</v>
      </c>
      <c r="Z905" t="s">
        <v>987</v>
      </c>
      <c r="AA905" t="s">
        <v>6234</v>
      </c>
      <c r="AB905" t="s">
        <v>975</v>
      </c>
      <c r="AC905">
        <v>4000</v>
      </c>
      <c r="AD905" t="s">
        <v>1019</v>
      </c>
      <c r="AE905" t="s">
        <v>979</v>
      </c>
      <c r="AF905" t="s">
        <v>979</v>
      </c>
      <c r="AG905" t="s">
        <v>977</v>
      </c>
      <c r="AH905" t="s">
        <v>977</v>
      </c>
      <c r="AI905" t="s">
        <v>977</v>
      </c>
      <c r="AJ905" t="s">
        <v>978</v>
      </c>
      <c r="AK905" t="s">
        <v>978</v>
      </c>
      <c r="AL905" t="s">
        <v>978</v>
      </c>
      <c r="AM905" t="s">
        <v>979</v>
      </c>
      <c r="AN905">
        <v>0</v>
      </c>
      <c r="AO905" t="s">
        <v>257</v>
      </c>
      <c r="AP905">
        <v>0</v>
      </c>
      <c r="AQ905">
        <v>20</v>
      </c>
      <c r="AR905">
        <v>43</v>
      </c>
      <c r="AS905">
        <v>1</v>
      </c>
      <c r="AT905">
        <v>0</v>
      </c>
      <c r="AU905">
        <v>1</v>
      </c>
      <c r="AV905">
        <v>0</v>
      </c>
      <c r="AW905">
        <v>0</v>
      </c>
      <c r="AX905">
        <v>0</v>
      </c>
      <c r="AY905">
        <v>1</v>
      </c>
      <c r="AZ905" t="s">
        <v>257</v>
      </c>
      <c r="BA905" t="s">
        <v>980</v>
      </c>
      <c r="BB905" t="s">
        <v>981</v>
      </c>
      <c r="BC905" t="s">
        <v>257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 t="s">
        <v>1285</v>
      </c>
      <c r="BK905" t="s">
        <v>981</v>
      </c>
      <c r="BL905" t="s">
        <v>6232</v>
      </c>
      <c r="BM905">
        <v>20231030</v>
      </c>
      <c r="BN905">
        <v>20231030</v>
      </c>
      <c r="BO905">
        <v>0</v>
      </c>
      <c r="BP905" t="s">
        <v>257</v>
      </c>
      <c r="BQ905" t="s">
        <v>983</v>
      </c>
      <c r="BR905" t="s">
        <v>978</v>
      </c>
      <c r="BS905" t="s">
        <v>979</v>
      </c>
      <c r="BT905">
        <v>0</v>
      </c>
      <c r="BU905">
        <v>0</v>
      </c>
      <c r="BV905" t="s">
        <v>2341</v>
      </c>
      <c r="BW905" t="s">
        <v>257</v>
      </c>
      <c r="BX905">
        <v>0</v>
      </c>
      <c r="BY905" t="s">
        <v>980</v>
      </c>
      <c r="BZ905" t="s">
        <v>257</v>
      </c>
      <c r="CA905">
        <v>0</v>
      </c>
      <c r="CB905">
        <v>0</v>
      </c>
      <c r="CC905" t="s">
        <v>1371</v>
      </c>
      <c r="CD905">
        <v>0</v>
      </c>
      <c r="CE905">
        <v>0</v>
      </c>
      <c r="CF905">
        <v>0</v>
      </c>
      <c r="CG905">
        <v>0</v>
      </c>
      <c r="CH905">
        <v>0</v>
      </c>
      <c r="CI905" t="s">
        <v>983</v>
      </c>
      <c r="CJ905" t="s">
        <v>972</v>
      </c>
      <c r="CK905" t="s">
        <v>986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 t="s">
        <v>987</v>
      </c>
      <c r="CV905">
        <v>400008911</v>
      </c>
      <c r="CW905" t="s">
        <v>987</v>
      </c>
      <c r="CX905" t="s">
        <v>1081</v>
      </c>
      <c r="CY905" t="s">
        <v>989</v>
      </c>
    </row>
    <row r="906" spans="1:103" hidden="1" x14ac:dyDescent="0.25">
      <c r="A906">
        <v>410000912</v>
      </c>
      <c r="B906" t="s">
        <v>6235</v>
      </c>
      <c r="C906" t="s">
        <v>6236</v>
      </c>
      <c r="D906">
        <v>401100000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1</v>
      </c>
      <c r="Y906" t="s">
        <v>972</v>
      </c>
      <c r="Z906" t="s">
        <v>987</v>
      </c>
      <c r="AA906" t="s">
        <v>6237</v>
      </c>
      <c r="AB906" t="s">
        <v>975</v>
      </c>
      <c r="AC906">
        <v>4130</v>
      </c>
      <c r="AD906" t="s">
        <v>2454</v>
      </c>
      <c r="AE906" t="s">
        <v>979</v>
      </c>
      <c r="AF906" t="s">
        <v>979</v>
      </c>
      <c r="AG906" t="s">
        <v>977</v>
      </c>
      <c r="AH906" t="s">
        <v>977</v>
      </c>
      <c r="AI906" t="s">
        <v>977</v>
      </c>
      <c r="AJ906" t="s">
        <v>978</v>
      </c>
      <c r="AK906" t="s">
        <v>978</v>
      </c>
      <c r="AL906" t="s">
        <v>978</v>
      </c>
      <c r="AM906" t="s">
        <v>979</v>
      </c>
      <c r="AN906">
        <v>0</v>
      </c>
      <c r="AO906" t="s">
        <v>257</v>
      </c>
      <c r="AP906">
        <v>0</v>
      </c>
      <c r="AQ906">
        <v>20</v>
      </c>
      <c r="AR906">
        <v>69</v>
      </c>
      <c r="AS906">
        <v>1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1</v>
      </c>
      <c r="AZ906" t="s">
        <v>257</v>
      </c>
      <c r="BA906" t="s">
        <v>980</v>
      </c>
      <c r="BB906" t="s">
        <v>981</v>
      </c>
      <c r="BC906" t="s">
        <v>257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 t="s">
        <v>1285</v>
      </c>
      <c r="BK906" t="s">
        <v>981</v>
      </c>
      <c r="BL906" t="s">
        <v>6235</v>
      </c>
      <c r="BM906">
        <v>20231030</v>
      </c>
      <c r="BN906">
        <v>20240910</v>
      </c>
      <c r="BO906">
        <v>0</v>
      </c>
      <c r="BP906" t="s">
        <v>257</v>
      </c>
      <c r="BQ906" t="s">
        <v>983</v>
      </c>
      <c r="BR906" t="s">
        <v>978</v>
      </c>
      <c r="BS906" t="s">
        <v>979</v>
      </c>
      <c r="BT906">
        <v>0</v>
      </c>
      <c r="BU906">
        <v>0</v>
      </c>
      <c r="BV906" t="s">
        <v>984</v>
      </c>
      <c r="BW906" t="s">
        <v>257</v>
      </c>
      <c r="BX906">
        <v>0</v>
      </c>
      <c r="BY906" t="s">
        <v>980</v>
      </c>
      <c r="BZ906" t="s">
        <v>257</v>
      </c>
      <c r="CA906">
        <v>0</v>
      </c>
      <c r="CB906">
        <v>0</v>
      </c>
      <c r="CC906" t="s">
        <v>2366</v>
      </c>
      <c r="CD906">
        <v>0</v>
      </c>
      <c r="CE906">
        <v>0</v>
      </c>
      <c r="CF906">
        <v>0</v>
      </c>
      <c r="CG906">
        <v>0</v>
      </c>
      <c r="CH906">
        <v>0</v>
      </c>
      <c r="CI906" t="s">
        <v>983</v>
      </c>
      <c r="CJ906" t="s">
        <v>972</v>
      </c>
      <c r="CK906" t="s">
        <v>986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 t="s">
        <v>987</v>
      </c>
      <c r="CV906">
        <v>400008912</v>
      </c>
      <c r="CW906" t="s">
        <v>987</v>
      </c>
      <c r="CX906" t="s">
        <v>6238</v>
      </c>
      <c r="CY906" t="s">
        <v>989</v>
      </c>
    </row>
    <row r="907" spans="1:103" hidden="1" x14ac:dyDescent="0.25">
      <c r="A907">
        <v>410000913</v>
      </c>
      <c r="B907" t="s">
        <v>6239</v>
      </c>
      <c r="C907" t="s">
        <v>6240</v>
      </c>
      <c r="D907">
        <v>401100000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1</v>
      </c>
      <c r="X907">
        <v>1</v>
      </c>
      <c r="Y907" t="s">
        <v>972</v>
      </c>
      <c r="Z907" t="s">
        <v>987</v>
      </c>
      <c r="AA907" t="s">
        <v>6241</v>
      </c>
      <c r="AB907" t="s">
        <v>975</v>
      </c>
      <c r="AC907">
        <v>1050</v>
      </c>
      <c r="AD907" t="s">
        <v>2200</v>
      </c>
      <c r="AE907" t="s">
        <v>979</v>
      </c>
      <c r="AF907" t="s">
        <v>979</v>
      </c>
      <c r="AG907" t="s">
        <v>977</v>
      </c>
      <c r="AH907" t="s">
        <v>977</v>
      </c>
      <c r="AI907" t="s">
        <v>977</v>
      </c>
      <c r="AJ907" t="s">
        <v>5844</v>
      </c>
      <c r="AK907" t="s">
        <v>978</v>
      </c>
      <c r="AL907" t="s">
        <v>978</v>
      </c>
      <c r="AM907" t="s">
        <v>979</v>
      </c>
      <c r="AN907">
        <v>0</v>
      </c>
      <c r="AO907" t="s">
        <v>257</v>
      </c>
      <c r="AP907">
        <v>0</v>
      </c>
      <c r="AQ907">
        <v>20</v>
      </c>
      <c r="AR907">
        <v>43</v>
      </c>
      <c r="AS907">
        <v>1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1</v>
      </c>
      <c r="AZ907" t="s">
        <v>257</v>
      </c>
      <c r="BA907" t="s">
        <v>980</v>
      </c>
      <c r="BB907" t="s">
        <v>981</v>
      </c>
      <c r="BC907" t="s">
        <v>257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 t="s">
        <v>1285</v>
      </c>
      <c r="BK907" t="s">
        <v>981</v>
      </c>
      <c r="BL907" t="s">
        <v>6239</v>
      </c>
      <c r="BM907">
        <v>20231030</v>
      </c>
      <c r="BN907">
        <v>20231030</v>
      </c>
      <c r="BO907">
        <v>0</v>
      </c>
      <c r="BP907" t="s">
        <v>257</v>
      </c>
      <c r="BQ907" t="s">
        <v>983</v>
      </c>
      <c r="BR907" t="s">
        <v>978</v>
      </c>
      <c r="BS907" t="s">
        <v>979</v>
      </c>
      <c r="BT907">
        <v>0</v>
      </c>
      <c r="BU907">
        <v>0</v>
      </c>
      <c r="BV907" t="s">
        <v>2341</v>
      </c>
      <c r="BW907" t="s">
        <v>257</v>
      </c>
      <c r="BX907">
        <v>0</v>
      </c>
      <c r="BY907" t="s">
        <v>980</v>
      </c>
      <c r="BZ907" t="s">
        <v>257</v>
      </c>
      <c r="CA907">
        <v>0</v>
      </c>
      <c r="CB907">
        <v>0</v>
      </c>
      <c r="CC907" t="s">
        <v>1901</v>
      </c>
      <c r="CD907">
        <v>0</v>
      </c>
      <c r="CE907">
        <v>0</v>
      </c>
      <c r="CF907">
        <v>0</v>
      </c>
      <c r="CG907">
        <v>0</v>
      </c>
      <c r="CH907">
        <v>0</v>
      </c>
      <c r="CI907" t="s">
        <v>983</v>
      </c>
      <c r="CJ907" t="s">
        <v>972</v>
      </c>
      <c r="CK907" t="s">
        <v>986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 t="s">
        <v>987</v>
      </c>
      <c r="CV907">
        <v>400008913</v>
      </c>
      <c r="CW907" t="s">
        <v>987</v>
      </c>
      <c r="CX907" t="s">
        <v>1081</v>
      </c>
      <c r="CY907" t="s">
        <v>989</v>
      </c>
    </row>
    <row r="908" spans="1:103" hidden="1" x14ac:dyDescent="0.25">
      <c r="A908">
        <v>410000914</v>
      </c>
      <c r="B908" t="s">
        <v>6242</v>
      </c>
      <c r="C908" t="s">
        <v>6243</v>
      </c>
      <c r="D908">
        <v>401100000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1</v>
      </c>
      <c r="X908">
        <v>1</v>
      </c>
      <c r="Y908" t="s">
        <v>972</v>
      </c>
      <c r="Z908" t="s">
        <v>987</v>
      </c>
      <c r="AA908" t="s">
        <v>6033</v>
      </c>
      <c r="AB908" t="s">
        <v>975</v>
      </c>
      <c r="AC908">
        <v>4020</v>
      </c>
      <c r="AD908" t="s">
        <v>1019</v>
      </c>
      <c r="AE908" t="s">
        <v>979</v>
      </c>
      <c r="AF908" t="s">
        <v>979</v>
      </c>
      <c r="AG908" t="s">
        <v>977</v>
      </c>
      <c r="AH908" t="s">
        <v>977</v>
      </c>
      <c r="AI908" t="s">
        <v>977</v>
      </c>
      <c r="AJ908" t="s">
        <v>978</v>
      </c>
      <c r="AK908" t="s">
        <v>978</v>
      </c>
      <c r="AL908" t="s">
        <v>978</v>
      </c>
      <c r="AM908" t="s">
        <v>979</v>
      </c>
      <c r="AN908">
        <v>0</v>
      </c>
      <c r="AO908" t="s">
        <v>257</v>
      </c>
      <c r="AP908">
        <v>0</v>
      </c>
      <c r="AQ908">
        <v>20</v>
      </c>
      <c r="AR908">
        <v>43</v>
      </c>
      <c r="AS908">
        <v>1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1</v>
      </c>
      <c r="AZ908" t="s">
        <v>257</v>
      </c>
      <c r="BA908" t="s">
        <v>980</v>
      </c>
      <c r="BB908" t="s">
        <v>981</v>
      </c>
      <c r="BC908" t="s">
        <v>257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 t="s">
        <v>1285</v>
      </c>
      <c r="BK908" t="s">
        <v>981</v>
      </c>
      <c r="BL908" t="s">
        <v>6242</v>
      </c>
      <c r="BM908">
        <v>20231030</v>
      </c>
      <c r="BN908">
        <v>20231030</v>
      </c>
      <c r="BO908">
        <v>0</v>
      </c>
      <c r="BP908" t="s">
        <v>257</v>
      </c>
      <c r="BQ908" t="s">
        <v>983</v>
      </c>
      <c r="BR908" t="s">
        <v>978</v>
      </c>
      <c r="BS908" t="s">
        <v>979</v>
      </c>
      <c r="BT908">
        <v>0</v>
      </c>
      <c r="BU908">
        <v>0</v>
      </c>
      <c r="BV908" t="s">
        <v>2341</v>
      </c>
      <c r="BW908" t="s">
        <v>257</v>
      </c>
      <c r="BX908">
        <v>0</v>
      </c>
      <c r="BY908" t="s">
        <v>980</v>
      </c>
      <c r="BZ908" t="s">
        <v>257</v>
      </c>
      <c r="CA908">
        <v>0</v>
      </c>
      <c r="CB908">
        <v>0</v>
      </c>
      <c r="CC908" t="s">
        <v>1848</v>
      </c>
      <c r="CD908">
        <v>0</v>
      </c>
      <c r="CE908">
        <v>0</v>
      </c>
      <c r="CF908">
        <v>0</v>
      </c>
      <c r="CG908">
        <v>0</v>
      </c>
      <c r="CH908">
        <v>0</v>
      </c>
      <c r="CI908" t="s">
        <v>983</v>
      </c>
      <c r="CJ908" t="s">
        <v>972</v>
      </c>
      <c r="CK908" t="s">
        <v>986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 t="s">
        <v>987</v>
      </c>
      <c r="CV908">
        <v>400008914</v>
      </c>
      <c r="CW908" t="s">
        <v>987</v>
      </c>
      <c r="CX908" t="s">
        <v>1081</v>
      </c>
      <c r="CY908" t="s">
        <v>989</v>
      </c>
    </row>
    <row r="909" spans="1:103" hidden="1" x14ac:dyDescent="0.25">
      <c r="A909">
        <v>410000915</v>
      </c>
      <c r="B909" t="s">
        <v>6244</v>
      </c>
      <c r="C909" t="s">
        <v>6245</v>
      </c>
      <c r="D909">
        <v>401100000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1</v>
      </c>
      <c r="Y909" t="s">
        <v>972</v>
      </c>
      <c r="Z909" t="s">
        <v>987</v>
      </c>
      <c r="AA909" t="s">
        <v>6246</v>
      </c>
      <c r="AB909" t="s">
        <v>975</v>
      </c>
      <c r="AC909">
        <v>4000</v>
      </c>
      <c r="AD909" t="s">
        <v>1019</v>
      </c>
      <c r="AE909" t="s">
        <v>979</v>
      </c>
      <c r="AF909" t="s">
        <v>979</v>
      </c>
      <c r="AG909" t="s">
        <v>977</v>
      </c>
      <c r="AH909" t="s">
        <v>977</v>
      </c>
      <c r="AI909" t="s">
        <v>977</v>
      </c>
      <c r="AJ909" t="s">
        <v>978</v>
      </c>
      <c r="AK909" t="s">
        <v>978</v>
      </c>
      <c r="AL909" t="s">
        <v>978</v>
      </c>
      <c r="AM909" t="s">
        <v>979</v>
      </c>
      <c r="AN909">
        <v>0</v>
      </c>
      <c r="AO909" t="s">
        <v>257</v>
      </c>
      <c r="AP909">
        <v>0</v>
      </c>
      <c r="AQ909">
        <v>20</v>
      </c>
      <c r="AR909">
        <v>43</v>
      </c>
      <c r="AS909">
        <v>1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1</v>
      </c>
      <c r="AZ909" t="s">
        <v>257</v>
      </c>
      <c r="BA909" t="s">
        <v>980</v>
      </c>
      <c r="BB909" t="s">
        <v>981</v>
      </c>
      <c r="BC909" t="s">
        <v>257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 t="s">
        <v>1285</v>
      </c>
      <c r="BK909" t="s">
        <v>981</v>
      </c>
      <c r="BL909" t="s">
        <v>6244</v>
      </c>
      <c r="BM909">
        <v>20231030</v>
      </c>
      <c r="BN909">
        <v>20240725</v>
      </c>
      <c r="BO909">
        <v>0</v>
      </c>
      <c r="BP909" t="s">
        <v>257</v>
      </c>
      <c r="BQ909" t="s">
        <v>983</v>
      </c>
      <c r="BR909" t="s">
        <v>978</v>
      </c>
      <c r="BS909" t="s">
        <v>979</v>
      </c>
      <c r="BT909">
        <v>0</v>
      </c>
      <c r="BU909">
        <v>0</v>
      </c>
      <c r="BV909" t="s">
        <v>984</v>
      </c>
      <c r="BW909" t="s">
        <v>257</v>
      </c>
      <c r="BX909">
        <v>0</v>
      </c>
      <c r="BY909" t="s">
        <v>980</v>
      </c>
      <c r="BZ909" t="s">
        <v>257</v>
      </c>
      <c r="CA909">
        <v>0</v>
      </c>
      <c r="CB909">
        <v>0</v>
      </c>
      <c r="CC909" t="s">
        <v>1848</v>
      </c>
      <c r="CD909">
        <v>0</v>
      </c>
      <c r="CE909">
        <v>0</v>
      </c>
      <c r="CF909">
        <v>0</v>
      </c>
      <c r="CG909">
        <v>0</v>
      </c>
      <c r="CH909">
        <v>0</v>
      </c>
      <c r="CI909" t="s">
        <v>983</v>
      </c>
      <c r="CJ909" t="s">
        <v>972</v>
      </c>
      <c r="CK909" t="s">
        <v>986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 t="s">
        <v>987</v>
      </c>
      <c r="CV909">
        <v>400008915</v>
      </c>
      <c r="CW909" t="s">
        <v>987</v>
      </c>
      <c r="CX909" t="s">
        <v>6247</v>
      </c>
      <c r="CY909" t="s">
        <v>989</v>
      </c>
    </row>
    <row r="910" spans="1:103" hidden="1" x14ac:dyDescent="0.25">
      <c r="A910">
        <v>410000916</v>
      </c>
      <c r="B910" t="s">
        <v>6248</v>
      </c>
      <c r="C910" t="s">
        <v>6249</v>
      </c>
      <c r="D910">
        <v>401100000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1</v>
      </c>
      <c r="X910">
        <v>1</v>
      </c>
      <c r="Y910" t="s">
        <v>972</v>
      </c>
      <c r="Z910" t="s">
        <v>987</v>
      </c>
      <c r="AA910" t="s">
        <v>6250</v>
      </c>
      <c r="AB910" t="s">
        <v>975</v>
      </c>
      <c r="AC910">
        <v>4121</v>
      </c>
      <c r="AD910" t="s">
        <v>3151</v>
      </c>
      <c r="AE910" t="s">
        <v>979</v>
      </c>
      <c r="AF910" t="s">
        <v>979</v>
      </c>
      <c r="AG910" t="s">
        <v>977</v>
      </c>
      <c r="AH910" t="s">
        <v>977</v>
      </c>
      <c r="AI910" t="s">
        <v>977</v>
      </c>
      <c r="AJ910" t="s">
        <v>978</v>
      </c>
      <c r="AK910" t="s">
        <v>978</v>
      </c>
      <c r="AL910" t="s">
        <v>978</v>
      </c>
      <c r="AM910" t="s">
        <v>979</v>
      </c>
      <c r="AN910">
        <v>0</v>
      </c>
      <c r="AO910" t="s">
        <v>257</v>
      </c>
      <c r="AP910">
        <v>0</v>
      </c>
      <c r="AQ910">
        <v>20</v>
      </c>
      <c r="AR910">
        <v>43</v>
      </c>
      <c r="AS910">
        <v>1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1</v>
      </c>
      <c r="AZ910" t="s">
        <v>257</v>
      </c>
      <c r="BA910" t="s">
        <v>980</v>
      </c>
      <c r="BB910" t="s">
        <v>981</v>
      </c>
      <c r="BC910" t="s">
        <v>257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 t="s">
        <v>1285</v>
      </c>
      <c r="BK910" t="s">
        <v>981</v>
      </c>
      <c r="BL910" t="s">
        <v>6248</v>
      </c>
      <c r="BM910">
        <v>20231030</v>
      </c>
      <c r="BN910">
        <v>20231030</v>
      </c>
      <c r="BO910">
        <v>0</v>
      </c>
      <c r="BP910" t="s">
        <v>257</v>
      </c>
      <c r="BQ910" t="s">
        <v>983</v>
      </c>
      <c r="BR910" t="s">
        <v>978</v>
      </c>
      <c r="BS910" t="s">
        <v>979</v>
      </c>
      <c r="BT910">
        <v>0</v>
      </c>
      <c r="BU910">
        <v>0</v>
      </c>
      <c r="BV910" t="s">
        <v>2341</v>
      </c>
      <c r="BW910" t="s">
        <v>257</v>
      </c>
      <c r="BX910">
        <v>0</v>
      </c>
      <c r="BY910" t="s">
        <v>980</v>
      </c>
      <c r="BZ910" t="s">
        <v>257</v>
      </c>
      <c r="CA910">
        <v>0</v>
      </c>
      <c r="CB910">
        <v>0</v>
      </c>
      <c r="CC910" t="s">
        <v>1391</v>
      </c>
      <c r="CD910">
        <v>0</v>
      </c>
      <c r="CE910">
        <v>0</v>
      </c>
      <c r="CF910">
        <v>0</v>
      </c>
      <c r="CG910">
        <v>0</v>
      </c>
      <c r="CH910">
        <v>0</v>
      </c>
      <c r="CI910" t="s">
        <v>983</v>
      </c>
      <c r="CJ910" t="s">
        <v>972</v>
      </c>
      <c r="CK910" t="s">
        <v>986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 t="s">
        <v>987</v>
      </c>
      <c r="CV910">
        <v>400008916</v>
      </c>
      <c r="CW910" t="s">
        <v>987</v>
      </c>
      <c r="CX910" t="s">
        <v>1081</v>
      </c>
      <c r="CY910" t="s">
        <v>989</v>
      </c>
    </row>
    <row r="911" spans="1:103" hidden="1" x14ac:dyDescent="0.25">
      <c r="A911">
        <v>410000917</v>
      </c>
      <c r="B911" t="s">
        <v>6251</v>
      </c>
      <c r="C911" t="s">
        <v>6252</v>
      </c>
      <c r="D911">
        <v>401100000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1</v>
      </c>
      <c r="X911">
        <v>1</v>
      </c>
      <c r="Y911" t="s">
        <v>972</v>
      </c>
      <c r="Z911" t="s">
        <v>987</v>
      </c>
      <c r="AA911" t="s">
        <v>6253</v>
      </c>
      <c r="AB911" t="s">
        <v>975</v>
      </c>
      <c r="AC911">
        <v>4802</v>
      </c>
      <c r="AD911" t="s">
        <v>1378</v>
      </c>
      <c r="AE911" t="s">
        <v>979</v>
      </c>
      <c r="AF911" t="s">
        <v>979</v>
      </c>
      <c r="AG911" t="s">
        <v>977</v>
      </c>
      <c r="AH911" t="s">
        <v>977</v>
      </c>
      <c r="AI911" t="s">
        <v>977</v>
      </c>
      <c r="AJ911" t="s">
        <v>978</v>
      </c>
      <c r="AK911" t="s">
        <v>978</v>
      </c>
      <c r="AL911" t="s">
        <v>978</v>
      </c>
      <c r="AM911" t="s">
        <v>979</v>
      </c>
      <c r="AN911">
        <v>0</v>
      </c>
      <c r="AO911" t="s">
        <v>257</v>
      </c>
      <c r="AP911">
        <v>0</v>
      </c>
      <c r="AQ911">
        <v>20</v>
      </c>
      <c r="AR911">
        <v>43</v>
      </c>
      <c r="AS911">
        <v>1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1</v>
      </c>
      <c r="AZ911" t="s">
        <v>257</v>
      </c>
      <c r="BA911" t="s">
        <v>980</v>
      </c>
      <c r="BB911" t="s">
        <v>981</v>
      </c>
      <c r="BC911" t="s">
        <v>257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 t="s">
        <v>1285</v>
      </c>
      <c r="BK911" t="s">
        <v>981</v>
      </c>
      <c r="BL911" t="s">
        <v>6251</v>
      </c>
      <c r="BM911">
        <v>20231030</v>
      </c>
      <c r="BN911">
        <v>20231030</v>
      </c>
      <c r="BO911">
        <v>0</v>
      </c>
      <c r="BP911" t="s">
        <v>257</v>
      </c>
      <c r="BQ911" t="s">
        <v>983</v>
      </c>
      <c r="BR911" t="s">
        <v>978</v>
      </c>
      <c r="BS911" t="s">
        <v>979</v>
      </c>
      <c r="BT911">
        <v>0</v>
      </c>
      <c r="BU911">
        <v>0</v>
      </c>
      <c r="BV911" t="s">
        <v>2341</v>
      </c>
      <c r="BW911" t="s">
        <v>257</v>
      </c>
      <c r="BX911">
        <v>0</v>
      </c>
      <c r="BY911" t="s">
        <v>980</v>
      </c>
      <c r="BZ911" t="s">
        <v>257</v>
      </c>
      <c r="CA911">
        <v>0</v>
      </c>
      <c r="CB911">
        <v>0</v>
      </c>
      <c r="CC911" t="s">
        <v>1128</v>
      </c>
      <c r="CD911">
        <v>0</v>
      </c>
      <c r="CE911">
        <v>0</v>
      </c>
      <c r="CF911">
        <v>0</v>
      </c>
      <c r="CG911">
        <v>0</v>
      </c>
      <c r="CH911">
        <v>0</v>
      </c>
      <c r="CI911" t="s">
        <v>983</v>
      </c>
      <c r="CJ911" t="s">
        <v>972</v>
      </c>
      <c r="CK911" t="s">
        <v>986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 t="s">
        <v>987</v>
      </c>
      <c r="CV911">
        <v>400008917</v>
      </c>
      <c r="CW911" t="s">
        <v>987</v>
      </c>
      <c r="CX911" t="s">
        <v>1081</v>
      </c>
      <c r="CY911" t="s">
        <v>989</v>
      </c>
    </row>
    <row r="912" spans="1:103" hidden="1" x14ac:dyDescent="0.25">
      <c r="A912">
        <v>410000918</v>
      </c>
      <c r="B912" t="s">
        <v>6254</v>
      </c>
      <c r="C912" t="s">
        <v>6255</v>
      </c>
      <c r="D912">
        <v>401100000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1</v>
      </c>
      <c r="X912">
        <v>1</v>
      </c>
      <c r="Y912" t="s">
        <v>972</v>
      </c>
      <c r="Z912" t="s">
        <v>987</v>
      </c>
      <c r="AA912" t="s">
        <v>6256</v>
      </c>
      <c r="AB912" t="s">
        <v>975</v>
      </c>
      <c r="AC912">
        <v>4000</v>
      </c>
      <c r="AD912" t="s">
        <v>1019</v>
      </c>
      <c r="AE912" t="s">
        <v>979</v>
      </c>
      <c r="AF912" t="s">
        <v>979</v>
      </c>
      <c r="AG912" t="s">
        <v>977</v>
      </c>
      <c r="AH912" t="s">
        <v>977</v>
      </c>
      <c r="AI912" t="s">
        <v>977</v>
      </c>
      <c r="AJ912" t="s">
        <v>978</v>
      </c>
      <c r="AK912" t="s">
        <v>978</v>
      </c>
      <c r="AL912" t="s">
        <v>978</v>
      </c>
      <c r="AM912" t="s">
        <v>979</v>
      </c>
      <c r="AN912">
        <v>0</v>
      </c>
      <c r="AO912" t="s">
        <v>257</v>
      </c>
      <c r="AP912">
        <v>0</v>
      </c>
      <c r="AQ912">
        <v>20</v>
      </c>
      <c r="AR912">
        <v>69</v>
      </c>
      <c r="AS912">
        <v>1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1</v>
      </c>
      <c r="AZ912" t="s">
        <v>257</v>
      </c>
      <c r="BA912" t="s">
        <v>980</v>
      </c>
      <c r="BB912" t="s">
        <v>981</v>
      </c>
      <c r="BC912" t="s">
        <v>257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 t="s">
        <v>1285</v>
      </c>
      <c r="BK912" t="s">
        <v>981</v>
      </c>
      <c r="BL912" t="s">
        <v>6254</v>
      </c>
      <c r="BM912">
        <v>20231030</v>
      </c>
      <c r="BN912">
        <v>20240911</v>
      </c>
      <c r="BO912">
        <v>0</v>
      </c>
      <c r="BP912" t="s">
        <v>257</v>
      </c>
      <c r="BQ912" t="s">
        <v>983</v>
      </c>
      <c r="BR912" t="s">
        <v>978</v>
      </c>
      <c r="BS912" t="s">
        <v>979</v>
      </c>
      <c r="BT912">
        <v>0</v>
      </c>
      <c r="BU912">
        <v>0</v>
      </c>
      <c r="BV912" t="s">
        <v>984</v>
      </c>
      <c r="BW912" t="s">
        <v>257</v>
      </c>
      <c r="BX912">
        <v>0</v>
      </c>
      <c r="BY912" t="s">
        <v>980</v>
      </c>
      <c r="BZ912" t="s">
        <v>257</v>
      </c>
      <c r="CA912">
        <v>0</v>
      </c>
      <c r="CB912">
        <v>0</v>
      </c>
      <c r="CC912" t="s">
        <v>2000</v>
      </c>
      <c r="CD912">
        <v>0</v>
      </c>
      <c r="CE912">
        <v>0</v>
      </c>
      <c r="CF912">
        <v>0</v>
      </c>
      <c r="CG912">
        <v>0</v>
      </c>
      <c r="CH912">
        <v>0</v>
      </c>
      <c r="CI912" t="s">
        <v>983</v>
      </c>
      <c r="CJ912" t="s">
        <v>972</v>
      </c>
      <c r="CK912" t="s">
        <v>986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 t="s">
        <v>987</v>
      </c>
      <c r="CV912">
        <v>400008918</v>
      </c>
      <c r="CW912" t="s">
        <v>987</v>
      </c>
      <c r="CX912" t="s">
        <v>6257</v>
      </c>
      <c r="CY912" t="s">
        <v>989</v>
      </c>
    </row>
    <row r="913" spans="1:103" hidden="1" x14ac:dyDescent="0.25">
      <c r="A913">
        <v>410000919</v>
      </c>
      <c r="B913" t="s">
        <v>6258</v>
      </c>
      <c r="C913" t="s">
        <v>6018</v>
      </c>
      <c r="D913">
        <v>401100000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1</v>
      </c>
      <c r="Y913" t="s">
        <v>972</v>
      </c>
      <c r="Z913" t="s">
        <v>987</v>
      </c>
      <c r="AA913" t="s">
        <v>6259</v>
      </c>
      <c r="AB913" t="s">
        <v>975</v>
      </c>
      <c r="AC913">
        <v>4120</v>
      </c>
      <c r="AD913" t="s">
        <v>4300</v>
      </c>
      <c r="AE913" t="s">
        <v>979</v>
      </c>
      <c r="AF913" t="s">
        <v>979</v>
      </c>
      <c r="AG913" t="s">
        <v>977</v>
      </c>
      <c r="AH913" t="s">
        <v>977</v>
      </c>
      <c r="AI913" t="s">
        <v>977</v>
      </c>
      <c r="AJ913" t="s">
        <v>978</v>
      </c>
      <c r="AK913" t="s">
        <v>978</v>
      </c>
      <c r="AL913" t="s">
        <v>978</v>
      </c>
      <c r="AM913" t="s">
        <v>979</v>
      </c>
      <c r="AN913">
        <v>0</v>
      </c>
      <c r="AO913" t="s">
        <v>257</v>
      </c>
      <c r="AP913">
        <v>0</v>
      </c>
      <c r="AQ913">
        <v>20</v>
      </c>
      <c r="AR913">
        <v>43</v>
      </c>
      <c r="AS913">
        <v>1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1</v>
      </c>
      <c r="AZ913" t="s">
        <v>257</v>
      </c>
      <c r="BA913" t="s">
        <v>980</v>
      </c>
      <c r="BB913" t="s">
        <v>981</v>
      </c>
      <c r="BC913" t="s">
        <v>257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 t="s">
        <v>1285</v>
      </c>
      <c r="BK913" t="s">
        <v>981</v>
      </c>
      <c r="BL913" t="s">
        <v>6258</v>
      </c>
      <c r="BM913">
        <v>20231030</v>
      </c>
      <c r="BN913">
        <v>20240422</v>
      </c>
      <c r="BO913">
        <v>0</v>
      </c>
      <c r="BP913" t="s">
        <v>257</v>
      </c>
      <c r="BQ913" t="s">
        <v>983</v>
      </c>
      <c r="BR913" t="s">
        <v>978</v>
      </c>
      <c r="BS913" t="s">
        <v>979</v>
      </c>
      <c r="BT913">
        <v>0</v>
      </c>
      <c r="BU913">
        <v>0</v>
      </c>
      <c r="BV913" t="s">
        <v>984</v>
      </c>
      <c r="BW913" t="s">
        <v>257</v>
      </c>
      <c r="BX913">
        <v>0</v>
      </c>
      <c r="BY913" t="s">
        <v>980</v>
      </c>
      <c r="BZ913" t="s">
        <v>257</v>
      </c>
      <c r="CA913">
        <v>0</v>
      </c>
      <c r="CB913">
        <v>0</v>
      </c>
      <c r="CC913" t="s">
        <v>1865</v>
      </c>
      <c r="CD913">
        <v>0</v>
      </c>
      <c r="CE913">
        <v>0</v>
      </c>
      <c r="CF913">
        <v>0</v>
      </c>
      <c r="CG913">
        <v>0</v>
      </c>
      <c r="CH913">
        <v>0</v>
      </c>
      <c r="CI913" t="s">
        <v>983</v>
      </c>
      <c r="CJ913" t="s">
        <v>972</v>
      </c>
      <c r="CK913" t="s">
        <v>986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 t="s">
        <v>987</v>
      </c>
      <c r="CV913">
        <v>400008919</v>
      </c>
      <c r="CW913" t="s">
        <v>987</v>
      </c>
      <c r="CX913" t="s">
        <v>6260</v>
      </c>
      <c r="CY913" t="s">
        <v>989</v>
      </c>
    </row>
    <row r="914" spans="1:103" hidden="1" x14ac:dyDescent="0.25">
      <c r="A914">
        <v>410000920</v>
      </c>
      <c r="B914" t="s">
        <v>6261</v>
      </c>
      <c r="C914" t="s">
        <v>6262</v>
      </c>
      <c r="D914">
        <v>401100000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1</v>
      </c>
      <c r="X914">
        <v>1</v>
      </c>
      <c r="Y914" t="s">
        <v>972</v>
      </c>
      <c r="Z914" t="s">
        <v>987</v>
      </c>
      <c r="AA914" t="s">
        <v>6263</v>
      </c>
      <c r="AB914" t="s">
        <v>975</v>
      </c>
      <c r="AC914">
        <v>4130</v>
      </c>
      <c r="AD914" t="s">
        <v>2454</v>
      </c>
      <c r="AE914" t="s">
        <v>6264</v>
      </c>
      <c r="AF914" t="s">
        <v>979</v>
      </c>
      <c r="AG914" t="s">
        <v>977</v>
      </c>
      <c r="AH914" t="s">
        <v>977</v>
      </c>
      <c r="AI914" t="s">
        <v>977</v>
      </c>
      <c r="AJ914" t="s">
        <v>978</v>
      </c>
      <c r="AK914" t="s">
        <v>978</v>
      </c>
      <c r="AL914" t="s">
        <v>978</v>
      </c>
      <c r="AM914" t="s">
        <v>979</v>
      </c>
      <c r="AN914">
        <v>0</v>
      </c>
      <c r="AO914" t="s">
        <v>257</v>
      </c>
      <c r="AP914">
        <v>0</v>
      </c>
      <c r="AQ914">
        <v>20</v>
      </c>
      <c r="AR914">
        <v>43</v>
      </c>
      <c r="AS914">
        <v>1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1</v>
      </c>
      <c r="AZ914" t="s">
        <v>257</v>
      </c>
      <c r="BA914" t="s">
        <v>980</v>
      </c>
      <c r="BB914" t="s">
        <v>981</v>
      </c>
      <c r="BC914" t="s">
        <v>257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 t="s">
        <v>1285</v>
      </c>
      <c r="BK914" t="s">
        <v>981</v>
      </c>
      <c r="BL914" t="s">
        <v>6261</v>
      </c>
      <c r="BM914">
        <v>20231030</v>
      </c>
      <c r="BN914">
        <v>20231030</v>
      </c>
      <c r="BO914">
        <v>0</v>
      </c>
      <c r="BP914" t="s">
        <v>257</v>
      </c>
      <c r="BQ914" t="s">
        <v>983</v>
      </c>
      <c r="BR914" t="s">
        <v>978</v>
      </c>
      <c r="BS914" t="s">
        <v>979</v>
      </c>
      <c r="BT914">
        <v>0</v>
      </c>
      <c r="BU914">
        <v>0</v>
      </c>
      <c r="BV914" t="s">
        <v>2341</v>
      </c>
      <c r="BW914" t="s">
        <v>257</v>
      </c>
      <c r="BX914">
        <v>0</v>
      </c>
      <c r="BY914" t="s">
        <v>980</v>
      </c>
      <c r="BZ914" t="s">
        <v>257</v>
      </c>
      <c r="CA914">
        <v>0</v>
      </c>
      <c r="CB914">
        <v>0</v>
      </c>
      <c r="CC914" t="s">
        <v>1916</v>
      </c>
      <c r="CD914">
        <v>0</v>
      </c>
      <c r="CE914">
        <v>0</v>
      </c>
      <c r="CF914">
        <v>0</v>
      </c>
      <c r="CG914">
        <v>0</v>
      </c>
      <c r="CH914">
        <v>0</v>
      </c>
      <c r="CI914" t="s">
        <v>983</v>
      </c>
      <c r="CJ914" t="s">
        <v>972</v>
      </c>
      <c r="CK914" t="s">
        <v>986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 t="s">
        <v>987</v>
      </c>
      <c r="CV914">
        <v>400008920</v>
      </c>
      <c r="CW914" t="s">
        <v>987</v>
      </c>
      <c r="CX914" t="s">
        <v>1081</v>
      </c>
      <c r="CY914" t="s">
        <v>989</v>
      </c>
    </row>
    <row r="915" spans="1:103" hidden="1" x14ac:dyDescent="0.25">
      <c r="A915">
        <v>410000921</v>
      </c>
      <c r="B915" t="s">
        <v>6265</v>
      </c>
      <c r="C915" t="s">
        <v>6266</v>
      </c>
      <c r="D915">
        <v>401100000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1</v>
      </c>
      <c r="X915">
        <v>1</v>
      </c>
      <c r="Y915" t="s">
        <v>972</v>
      </c>
      <c r="Z915" t="s">
        <v>987</v>
      </c>
      <c r="AA915" t="s">
        <v>6267</v>
      </c>
      <c r="AB915" t="s">
        <v>975</v>
      </c>
      <c r="AC915">
        <v>4260</v>
      </c>
      <c r="AD915" t="s">
        <v>5290</v>
      </c>
      <c r="AE915" t="s">
        <v>979</v>
      </c>
      <c r="AF915" t="s">
        <v>979</v>
      </c>
      <c r="AG915" t="s">
        <v>977</v>
      </c>
      <c r="AH915" t="s">
        <v>977</v>
      </c>
      <c r="AI915" t="s">
        <v>977</v>
      </c>
      <c r="AJ915" t="s">
        <v>978</v>
      </c>
      <c r="AK915" t="s">
        <v>978</v>
      </c>
      <c r="AL915" t="s">
        <v>978</v>
      </c>
      <c r="AM915" t="s">
        <v>979</v>
      </c>
      <c r="AN915">
        <v>0</v>
      </c>
      <c r="AO915" t="s">
        <v>257</v>
      </c>
      <c r="AP915">
        <v>0</v>
      </c>
      <c r="AQ915">
        <v>20</v>
      </c>
      <c r="AR915">
        <v>43</v>
      </c>
      <c r="AS915">
        <v>1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1</v>
      </c>
      <c r="AZ915" t="s">
        <v>257</v>
      </c>
      <c r="BA915" t="s">
        <v>980</v>
      </c>
      <c r="BB915" t="s">
        <v>981</v>
      </c>
      <c r="BC915" t="s">
        <v>257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 t="s">
        <v>1285</v>
      </c>
      <c r="BK915" t="s">
        <v>981</v>
      </c>
      <c r="BL915" t="s">
        <v>6265</v>
      </c>
      <c r="BM915">
        <v>20231030</v>
      </c>
      <c r="BN915">
        <v>20231030</v>
      </c>
      <c r="BO915">
        <v>0</v>
      </c>
      <c r="BP915" t="s">
        <v>257</v>
      </c>
      <c r="BQ915" t="s">
        <v>983</v>
      </c>
      <c r="BR915" t="s">
        <v>978</v>
      </c>
      <c r="BS915" t="s">
        <v>979</v>
      </c>
      <c r="BT915">
        <v>0</v>
      </c>
      <c r="BU915">
        <v>0</v>
      </c>
      <c r="BV915" t="s">
        <v>2341</v>
      </c>
      <c r="BW915" t="s">
        <v>257</v>
      </c>
      <c r="BX915">
        <v>0</v>
      </c>
      <c r="BY915" t="s">
        <v>980</v>
      </c>
      <c r="BZ915" t="s">
        <v>257</v>
      </c>
      <c r="CA915">
        <v>0</v>
      </c>
      <c r="CB915">
        <v>0</v>
      </c>
      <c r="CC915" t="s">
        <v>1000</v>
      </c>
      <c r="CD915">
        <v>0</v>
      </c>
      <c r="CE915">
        <v>0</v>
      </c>
      <c r="CF915">
        <v>0</v>
      </c>
      <c r="CG915">
        <v>0</v>
      </c>
      <c r="CH915">
        <v>0</v>
      </c>
      <c r="CI915" t="s">
        <v>983</v>
      </c>
      <c r="CJ915" t="s">
        <v>972</v>
      </c>
      <c r="CK915" t="s">
        <v>986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 t="s">
        <v>987</v>
      </c>
      <c r="CV915">
        <v>400008921</v>
      </c>
      <c r="CW915" t="s">
        <v>987</v>
      </c>
      <c r="CX915" t="s">
        <v>1081</v>
      </c>
      <c r="CY915" t="s">
        <v>989</v>
      </c>
    </row>
    <row r="916" spans="1:103" hidden="1" x14ac:dyDescent="0.25">
      <c r="A916">
        <v>410000922</v>
      </c>
      <c r="B916" t="s">
        <v>6268</v>
      </c>
      <c r="C916" t="s">
        <v>6269</v>
      </c>
      <c r="D916">
        <v>401100000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1</v>
      </c>
      <c r="Y916" t="s">
        <v>972</v>
      </c>
      <c r="Z916" t="s">
        <v>987</v>
      </c>
      <c r="AA916" t="s">
        <v>6270</v>
      </c>
      <c r="AB916" t="s">
        <v>975</v>
      </c>
      <c r="AC916">
        <v>4400</v>
      </c>
      <c r="AD916" t="s">
        <v>1237</v>
      </c>
      <c r="AE916" t="s">
        <v>979</v>
      </c>
      <c r="AF916" t="s">
        <v>979</v>
      </c>
      <c r="AG916" t="s">
        <v>977</v>
      </c>
      <c r="AH916" t="s">
        <v>977</v>
      </c>
      <c r="AI916" t="s">
        <v>977</v>
      </c>
      <c r="AJ916" t="s">
        <v>978</v>
      </c>
      <c r="AK916" t="s">
        <v>978</v>
      </c>
      <c r="AL916" t="s">
        <v>978</v>
      </c>
      <c r="AM916" t="s">
        <v>979</v>
      </c>
      <c r="AN916">
        <v>0</v>
      </c>
      <c r="AO916" t="s">
        <v>257</v>
      </c>
      <c r="AP916">
        <v>0</v>
      </c>
      <c r="AQ916">
        <v>20</v>
      </c>
      <c r="AR916">
        <v>43</v>
      </c>
      <c r="AS916">
        <v>1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1</v>
      </c>
      <c r="AZ916" t="s">
        <v>257</v>
      </c>
      <c r="BA916" t="s">
        <v>980</v>
      </c>
      <c r="BB916" t="s">
        <v>981</v>
      </c>
      <c r="BC916" t="s">
        <v>257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 t="s">
        <v>1285</v>
      </c>
      <c r="BK916" t="s">
        <v>981</v>
      </c>
      <c r="BL916" t="s">
        <v>6268</v>
      </c>
      <c r="BM916">
        <v>20231030</v>
      </c>
      <c r="BN916">
        <v>20231030</v>
      </c>
      <c r="BO916">
        <v>0</v>
      </c>
      <c r="BP916" t="s">
        <v>257</v>
      </c>
      <c r="BQ916" t="s">
        <v>983</v>
      </c>
      <c r="BR916" t="s">
        <v>978</v>
      </c>
      <c r="BS916" t="s">
        <v>979</v>
      </c>
      <c r="BT916">
        <v>0</v>
      </c>
      <c r="BU916">
        <v>0</v>
      </c>
      <c r="BV916" t="s">
        <v>2341</v>
      </c>
      <c r="BW916" t="s">
        <v>257</v>
      </c>
      <c r="BX916">
        <v>0</v>
      </c>
      <c r="BY916" t="s">
        <v>980</v>
      </c>
      <c r="BZ916" t="s">
        <v>257</v>
      </c>
      <c r="CA916">
        <v>0</v>
      </c>
      <c r="CB916">
        <v>0</v>
      </c>
      <c r="CC916" t="s">
        <v>1128</v>
      </c>
      <c r="CD916">
        <v>0</v>
      </c>
      <c r="CE916">
        <v>0</v>
      </c>
      <c r="CF916">
        <v>0</v>
      </c>
      <c r="CG916">
        <v>0</v>
      </c>
      <c r="CH916">
        <v>0</v>
      </c>
      <c r="CI916" t="s">
        <v>983</v>
      </c>
      <c r="CJ916" t="s">
        <v>972</v>
      </c>
      <c r="CK916" t="s">
        <v>986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 t="s">
        <v>987</v>
      </c>
      <c r="CV916">
        <v>400008922</v>
      </c>
      <c r="CW916" t="s">
        <v>987</v>
      </c>
      <c r="CX916" t="s">
        <v>1081</v>
      </c>
      <c r="CY916" t="s">
        <v>989</v>
      </c>
    </row>
    <row r="917" spans="1:103" hidden="1" x14ac:dyDescent="0.25">
      <c r="A917">
        <v>410000923</v>
      </c>
      <c r="B917" t="s">
        <v>6271</v>
      </c>
      <c r="C917" t="s">
        <v>6272</v>
      </c>
      <c r="D917">
        <v>401100000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1</v>
      </c>
      <c r="X917">
        <v>1</v>
      </c>
      <c r="Y917" t="s">
        <v>972</v>
      </c>
      <c r="Z917" t="s">
        <v>987</v>
      </c>
      <c r="AA917" t="s">
        <v>6273</v>
      </c>
      <c r="AB917" t="s">
        <v>975</v>
      </c>
      <c r="AC917">
        <v>4052</v>
      </c>
      <c r="AD917" t="s">
        <v>2739</v>
      </c>
      <c r="AE917" t="s">
        <v>979</v>
      </c>
      <c r="AF917" t="s">
        <v>979</v>
      </c>
      <c r="AG917" t="s">
        <v>977</v>
      </c>
      <c r="AH917" t="s">
        <v>977</v>
      </c>
      <c r="AI917" t="s">
        <v>977</v>
      </c>
      <c r="AJ917" t="s">
        <v>978</v>
      </c>
      <c r="AK917" t="s">
        <v>978</v>
      </c>
      <c r="AL917" t="s">
        <v>978</v>
      </c>
      <c r="AM917" t="s">
        <v>979</v>
      </c>
      <c r="AN917">
        <v>0</v>
      </c>
      <c r="AO917" t="s">
        <v>257</v>
      </c>
      <c r="AP917">
        <v>0</v>
      </c>
      <c r="AQ917">
        <v>20</v>
      </c>
      <c r="AR917">
        <v>43</v>
      </c>
      <c r="AS917">
        <v>1</v>
      </c>
      <c r="AT917">
        <v>0</v>
      </c>
      <c r="AU917">
        <v>1</v>
      </c>
      <c r="AV917">
        <v>0</v>
      </c>
      <c r="AW917">
        <v>0</v>
      </c>
      <c r="AX917">
        <v>0</v>
      </c>
      <c r="AY917">
        <v>1</v>
      </c>
      <c r="AZ917" t="s">
        <v>257</v>
      </c>
      <c r="BA917" t="s">
        <v>980</v>
      </c>
      <c r="BB917" t="s">
        <v>981</v>
      </c>
      <c r="BC917" t="s">
        <v>257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 t="s">
        <v>1285</v>
      </c>
      <c r="BK917" t="s">
        <v>981</v>
      </c>
      <c r="BL917" t="s">
        <v>6271</v>
      </c>
      <c r="BM917">
        <v>20231030</v>
      </c>
      <c r="BN917">
        <v>20231030</v>
      </c>
      <c r="BO917">
        <v>0</v>
      </c>
      <c r="BP917" t="s">
        <v>257</v>
      </c>
      <c r="BQ917" t="s">
        <v>983</v>
      </c>
      <c r="BR917" t="s">
        <v>978</v>
      </c>
      <c r="BS917" t="s">
        <v>979</v>
      </c>
      <c r="BT917">
        <v>0</v>
      </c>
      <c r="BU917">
        <v>0</v>
      </c>
      <c r="BV917" t="s">
        <v>2341</v>
      </c>
      <c r="BW917" t="s">
        <v>257</v>
      </c>
      <c r="BX917">
        <v>0</v>
      </c>
      <c r="BY917" t="s">
        <v>980</v>
      </c>
      <c r="BZ917" t="s">
        <v>257</v>
      </c>
      <c r="CA917">
        <v>0</v>
      </c>
      <c r="CB917">
        <v>0</v>
      </c>
      <c r="CC917" t="s">
        <v>3687</v>
      </c>
      <c r="CD917">
        <v>0</v>
      </c>
      <c r="CE917">
        <v>0</v>
      </c>
      <c r="CF917">
        <v>0</v>
      </c>
      <c r="CG917">
        <v>0</v>
      </c>
      <c r="CH917">
        <v>0</v>
      </c>
      <c r="CI917" t="s">
        <v>983</v>
      </c>
      <c r="CJ917" t="s">
        <v>972</v>
      </c>
      <c r="CK917" t="s">
        <v>986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 t="s">
        <v>987</v>
      </c>
      <c r="CV917">
        <v>400008923</v>
      </c>
      <c r="CW917" t="s">
        <v>987</v>
      </c>
      <c r="CX917" t="s">
        <v>1081</v>
      </c>
      <c r="CY917" t="s">
        <v>989</v>
      </c>
    </row>
    <row r="918" spans="1:103" hidden="1" x14ac:dyDescent="0.25">
      <c r="A918">
        <v>410000924</v>
      </c>
      <c r="B918" t="s">
        <v>6274</v>
      </c>
      <c r="C918" t="s">
        <v>6275</v>
      </c>
      <c r="D918">
        <v>401100000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1</v>
      </c>
      <c r="Y918" t="s">
        <v>972</v>
      </c>
      <c r="Z918" t="s">
        <v>987</v>
      </c>
      <c r="AA918" t="s">
        <v>5059</v>
      </c>
      <c r="AB918" t="s">
        <v>975</v>
      </c>
      <c r="AC918">
        <v>4032</v>
      </c>
      <c r="AD918" t="s">
        <v>4038</v>
      </c>
      <c r="AE918" t="s">
        <v>979</v>
      </c>
      <c r="AF918" t="s">
        <v>979</v>
      </c>
      <c r="AG918" t="s">
        <v>977</v>
      </c>
      <c r="AH918" t="s">
        <v>977</v>
      </c>
      <c r="AI918" t="s">
        <v>977</v>
      </c>
      <c r="AJ918" t="s">
        <v>978</v>
      </c>
      <c r="AK918" t="s">
        <v>978</v>
      </c>
      <c r="AL918" t="s">
        <v>978</v>
      </c>
      <c r="AM918" t="s">
        <v>979</v>
      </c>
      <c r="AN918">
        <v>0</v>
      </c>
      <c r="AO918" t="s">
        <v>257</v>
      </c>
      <c r="AP918">
        <v>0</v>
      </c>
      <c r="AQ918">
        <v>20</v>
      </c>
      <c r="AR918">
        <v>43</v>
      </c>
      <c r="AS918">
        <v>1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1</v>
      </c>
      <c r="AZ918" t="s">
        <v>257</v>
      </c>
      <c r="BA918" t="s">
        <v>980</v>
      </c>
      <c r="BB918" t="s">
        <v>981</v>
      </c>
      <c r="BC918" t="s">
        <v>257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 t="s">
        <v>1285</v>
      </c>
      <c r="BK918" t="s">
        <v>981</v>
      </c>
      <c r="BL918" t="s">
        <v>6274</v>
      </c>
      <c r="BM918">
        <v>20231030</v>
      </c>
      <c r="BN918">
        <v>20240115</v>
      </c>
      <c r="BO918">
        <v>0</v>
      </c>
      <c r="BP918" t="s">
        <v>257</v>
      </c>
      <c r="BQ918" t="s">
        <v>983</v>
      </c>
      <c r="BR918" t="s">
        <v>978</v>
      </c>
      <c r="BS918" t="s">
        <v>979</v>
      </c>
      <c r="BT918">
        <v>0</v>
      </c>
      <c r="BU918">
        <v>0</v>
      </c>
      <c r="BV918" t="s">
        <v>984</v>
      </c>
      <c r="BW918" t="s">
        <v>257</v>
      </c>
      <c r="BX918">
        <v>0</v>
      </c>
      <c r="BY918" t="s">
        <v>980</v>
      </c>
      <c r="BZ918" t="s">
        <v>257</v>
      </c>
      <c r="CA918">
        <v>0</v>
      </c>
      <c r="CB918">
        <v>0</v>
      </c>
      <c r="CC918" t="s">
        <v>1491</v>
      </c>
      <c r="CD918">
        <v>0</v>
      </c>
      <c r="CE918">
        <v>0</v>
      </c>
      <c r="CF918">
        <v>0</v>
      </c>
      <c r="CG918">
        <v>0</v>
      </c>
      <c r="CH918">
        <v>0</v>
      </c>
      <c r="CI918" t="s">
        <v>983</v>
      </c>
      <c r="CJ918" t="s">
        <v>972</v>
      </c>
      <c r="CK918" t="s">
        <v>986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 t="s">
        <v>987</v>
      </c>
      <c r="CV918">
        <v>400008924</v>
      </c>
      <c r="CW918" t="s">
        <v>987</v>
      </c>
      <c r="CX918" t="s">
        <v>6276</v>
      </c>
      <c r="CY918" t="s">
        <v>989</v>
      </c>
    </row>
    <row r="919" spans="1:103" hidden="1" x14ac:dyDescent="0.25">
      <c r="A919">
        <v>410000925</v>
      </c>
      <c r="B919" t="s">
        <v>6277</v>
      </c>
      <c r="C919" t="s">
        <v>6278</v>
      </c>
      <c r="D919">
        <v>401100000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1</v>
      </c>
      <c r="X919">
        <v>1</v>
      </c>
      <c r="Y919" t="s">
        <v>972</v>
      </c>
      <c r="Z919" t="s">
        <v>987</v>
      </c>
      <c r="AA919" t="s">
        <v>6279</v>
      </c>
      <c r="AB919" t="s">
        <v>975</v>
      </c>
      <c r="AC919">
        <v>5100</v>
      </c>
      <c r="AD919" t="s">
        <v>1789</v>
      </c>
      <c r="AE919" t="s">
        <v>979</v>
      </c>
      <c r="AF919" t="s">
        <v>979</v>
      </c>
      <c r="AG919" t="s">
        <v>977</v>
      </c>
      <c r="AH919" t="s">
        <v>977</v>
      </c>
      <c r="AI919" t="s">
        <v>977</v>
      </c>
      <c r="AJ919" t="s">
        <v>6280</v>
      </c>
      <c r="AK919" t="s">
        <v>978</v>
      </c>
      <c r="AL919" t="s">
        <v>978</v>
      </c>
      <c r="AM919" t="s">
        <v>979</v>
      </c>
      <c r="AN919">
        <v>0</v>
      </c>
      <c r="AO919" t="s">
        <v>257</v>
      </c>
      <c r="AP919">
        <v>0</v>
      </c>
      <c r="AQ919">
        <v>20</v>
      </c>
      <c r="AR919">
        <v>69</v>
      </c>
      <c r="AS919">
        <v>1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1</v>
      </c>
      <c r="AZ919" t="s">
        <v>257</v>
      </c>
      <c r="BA919" t="s">
        <v>980</v>
      </c>
      <c r="BB919" t="s">
        <v>981</v>
      </c>
      <c r="BC919" t="s">
        <v>257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 t="s">
        <v>1285</v>
      </c>
      <c r="BK919" t="s">
        <v>981</v>
      </c>
      <c r="BL919" t="s">
        <v>6277</v>
      </c>
      <c r="BM919">
        <v>20231030</v>
      </c>
      <c r="BN919">
        <v>20240910</v>
      </c>
      <c r="BO919">
        <v>0</v>
      </c>
      <c r="BP919" t="s">
        <v>257</v>
      </c>
      <c r="BQ919" t="s">
        <v>983</v>
      </c>
      <c r="BR919" t="s">
        <v>978</v>
      </c>
      <c r="BS919" t="s">
        <v>979</v>
      </c>
      <c r="BT919">
        <v>0</v>
      </c>
      <c r="BU919">
        <v>0</v>
      </c>
      <c r="BV919" t="s">
        <v>984</v>
      </c>
      <c r="BW919" t="s">
        <v>257</v>
      </c>
      <c r="BX919">
        <v>0</v>
      </c>
      <c r="BY919" t="s">
        <v>980</v>
      </c>
      <c r="BZ919" t="s">
        <v>257</v>
      </c>
      <c r="CA919">
        <v>0</v>
      </c>
      <c r="CB919">
        <v>0</v>
      </c>
      <c r="CC919" t="s">
        <v>1901</v>
      </c>
      <c r="CD919">
        <v>0</v>
      </c>
      <c r="CE919">
        <v>0</v>
      </c>
      <c r="CF919">
        <v>0</v>
      </c>
      <c r="CG919">
        <v>0</v>
      </c>
      <c r="CH919">
        <v>0</v>
      </c>
      <c r="CI919" t="s">
        <v>983</v>
      </c>
      <c r="CJ919" t="s">
        <v>972</v>
      </c>
      <c r="CK919" t="s">
        <v>986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 t="s">
        <v>987</v>
      </c>
      <c r="CV919">
        <v>400008925</v>
      </c>
      <c r="CW919" t="s">
        <v>987</v>
      </c>
      <c r="CX919" t="s">
        <v>6281</v>
      </c>
      <c r="CY919" t="s">
        <v>989</v>
      </c>
    </row>
    <row r="920" spans="1:103" hidden="1" x14ac:dyDescent="0.25">
      <c r="A920">
        <v>410000926</v>
      </c>
      <c r="B920" t="s">
        <v>6282</v>
      </c>
      <c r="C920" t="s">
        <v>6283</v>
      </c>
      <c r="D920">
        <v>401100000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1</v>
      </c>
      <c r="X920">
        <v>1</v>
      </c>
      <c r="Y920" t="s">
        <v>972</v>
      </c>
      <c r="Z920" t="s">
        <v>987</v>
      </c>
      <c r="AA920" t="s">
        <v>6284</v>
      </c>
      <c r="AB920" t="s">
        <v>975</v>
      </c>
      <c r="AC920">
        <v>4450</v>
      </c>
      <c r="AD920" t="s">
        <v>6285</v>
      </c>
      <c r="AE920" t="s">
        <v>979</v>
      </c>
      <c r="AF920" t="s">
        <v>979</v>
      </c>
      <c r="AG920" t="s">
        <v>977</v>
      </c>
      <c r="AH920" t="s">
        <v>977</v>
      </c>
      <c r="AI920" t="s">
        <v>977</v>
      </c>
      <c r="AJ920" t="s">
        <v>978</v>
      </c>
      <c r="AK920" t="s">
        <v>978</v>
      </c>
      <c r="AL920" t="s">
        <v>978</v>
      </c>
      <c r="AM920" t="s">
        <v>979</v>
      </c>
      <c r="AN920">
        <v>0</v>
      </c>
      <c r="AO920" t="s">
        <v>257</v>
      </c>
      <c r="AP920">
        <v>0</v>
      </c>
      <c r="AQ920">
        <v>20</v>
      </c>
      <c r="AR920">
        <v>43</v>
      </c>
      <c r="AS920">
        <v>1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1</v>
      </c>
      <c r="AZ920" t="s">
        <v>257</v>
      </c>
      <c r="BA920" t="s">
        <v>980</v>
      </c>
      <c r="BB920" t="s">
        <v>981</v>
      </c>
      <c r="BC920" t="s">
        <v>257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 t="s">
        <v>1285</v>
      </c>
      <c r="BK920" t="s">
        <v>981</v>
      </c>
      <c r="BL920" t="s">
        <v>6282</v>
      </c>
      <c r="BM920">
        <v>20231030</v>
      </c>
      <c r="BN920">
        <v>20231030</v>
      </c>
      <c r="BO920">
        <v>0</v>
      </c>
      <c r="BP920" t="s">
        <v>257</v>
      </c>
      <c r="BQ920" t="s">
        <v>983</v>
      </c>
      <c r="BR920" t="s">
        <v>978</v>
      </c>
      <c r="BS920" t="s">
        <v>979</v>
      </c>
      <c r="BT920">
        <v>0</v>
      </c>
      <c r="BU920">
        <v>0</v>
      </c>
      <c r="BV920" t="s">
        <v>2341</v>
      </c>
      <c r="BW920" t="s">
        <v>257</v>
      </c>
      <c r="BX920">
        <v>0</v>
      </c>
      <c r="BY920" t="s">
        <v>980</v>
      </c>
      <c r="BZ920" t="s">
        <v>257</v>
      </c>
      <c r="CA920">
        <v>0</v>
      </c>
      <c r="CB920">
        <v>0</v>
      </c>
      <c r="CC920" t="s">
        <v>3851</v>
      </c>
      <c r="CD920">
        <v>0</v>
      </c>
      <c r="CE920">
        <v>0</v>
      </c>
      <c r="CF920">
        <v>0</v>
      </c>
      <c r="CG920">
        <v>0</v>
      </c>
      <c r="CH920">
        <v>0</v>
      </c>
      <c r="CI920" t="s">
        <v>983</v>
      </c>
      <c r="CJ920" t="s">
        <v>972</v>
      </c>
      <c r="CK920" t="s">
        <v>986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 t="s">
        <v>987</v>
      </c>
      <c r="CV920">
        <v>400008926</v>
      </c>
      <c r="CW920" t="s">
        <v>987</v>
      </c>
      <c r="CX920" t="s">
        <v>1081</v>
      </c>
      <c r="CY920" t="s">
        <v>989</v>
      </c>
    </row>
    <row r="921" spans="1:103" hidden="1" x14ac:dyDescent="0.25">
      <c r="A921">
        <v>410000927</v>
      </c>
      <c r="B921" t="s">
        <v>262</v>
      </c>
      <c r="C921" t="s">
        <v>6286</v>
      </c>
      <c r="D921">
        <v>401100000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1</v>
      </c>
      <c r="X921">
        <v>1</v>
      </c>
      <c r="Y921" t="s">
        <v>972</v>
      </c>
      <c r="Z921" t="s">
        <v>987</v>
      </c>
      <c r="AA921" t="s">
        <v>6287</v>
      </c>
      <c r="AB921" t="s">
        <v>975</v>
      </c>
      <c r="AC921">
        <v>4671</v>
      </c>
      <c r="AD921" t="s">
        <v>3208</v>
      </c>
      <c r="AE921" t="s">
        <v>979</v>
      </c>
      <c r="AF921" t="s">
        <v>979</v>
      </c>
      <c r="AG921" t="s">
        <v>977</v>
      </c>
      <c r="AH921" t="s">
        <v>977</v>
      </c>
      <c r="AI921" t="s">
        <v>977</v>
      </c>
      <c r="AJ921" t="s">
        <v>978</v>
      </c>
      <c r="AK921" t="s">
        <v>978</v>
      </c>
      <c r="AL921" t="s">
        <v>978</v>
      </c>
      <c r="AM921" t="s">
        <v>979</v>
      </c>
      <c r="AN921">
        <v>0</v>
      </c>
      <c r="AO921" t="s">
        <v>257</v>
      </c>
      <c r="AP921">
        <v>0</v>
      </c>
      <c r="AQ921">
        <v>20</v>
      </c>
      <c r="AR921">
        <v>43</v>
      </c>
      <c r="AS921">
        <v>1</v>
      </c>
      <c r="AT921">
        <v>0</v>
      </c>
      <c r="AU921">
        <v>1</v>
      </c>
      <c r="AV921">
        <v>0</v>
      </c>
      <c r="AW921">
        <v>0</v>
      </c>
      <c r="AX921">
        <v>0</v>
      </c>
      <c r="AY921">
        <v>1</v>
      </c>
      <c r="AZ921" t="s">
        <v>257</v>
      </c>
      <c r="BA921" t="s">
        <v>980</v>
      </c>
      <c r="BB921" t="s">
        <v>981</v>
      </c>
      <c r="BC921" t="s">
        <v>257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 t="s">
        <v>1285</v>
      </c>
      <c r="BK921" t="s">
        <v>981</v>
      </c>
      <c r="BL921" t="s">
        <v>262</v>
      </c>
      <c r="BM921">
        <v>20231030</v>
      </c>
      <c r="BN921">
        <v>20231030</v>
      </c>
      <c r="BO921">
        <v>0</v>
      </c>
      <c r="BP921" t="s">
        <v>257</v>
      </c>
      <c r="BQ921" t="s">
        <v>983</v>
      </c>
      <c r="BR921" t="s">
        <v>978</v>
      </c>
      <c r="BS921" t="s">
        <v>979</v>
      </c>
      <c r="BT921">
        <v>0</v>
      </c>
      <c r="BU921">
        <v>0</v>
      </c>
      <c r="BV921" t="s">
        <v>2341</v>
      </c>
      <c r="BW921" t="s">
        <v>257</v>
      </c>
      <c r="BX921">
        <v>0</v>
      </c>
      <c r="BY921" t="s">
        <v>980</v>
      </c>
      <c r="BZ921" t="s">
        <v>257</v>
      </c>
      <c r="CA921">
        <v>0</v>
      </c>
      <c r="CB921">
        <v>0</v>
      </c>
      <c r="CC921" t="s">
        <v>1317</v>
      </c>
      <c r="CD921">
        <v>0</v>
      </c>
      <c r="CE921">
        <v>0</v>
      </c>
      <c r="CF921">
        <v>0</v>
      </c>
      <c r="CG921">
        <v>0</v>
      </c>
      <c r="CH921">
        <v>0</v>
      </c>
      <c r="CI921" t="s">
        <v>983</v>
      </c>
      <c r="CJ921" t="s">
        <v>972</v>
      </c>
      <c r="CK921" t="s">
        <v>986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 t="s">
        <v>987</v>
      </c>
      <c r="CV921">
        <v>400008927</v>
      </c>
      <c r="CW921" t="s">
        <v>987</v>
      </c>
      <c r="CX921" t="s">
        <v>1081</v>
      </c>
      <c r="CY921" t="s">
        <v>989</v>
      </c>
    </row>
    <row r="922" spans="1:103" hidden="1" x14ac:dyDescent="0.25">
      <c r="A922">
        <v>410000928</v>
      </c>
      <c r="B922" t="s">
        <v>6288</v>
      </c>
      <c r="C922" t="s">
        <v>6289</v>
      </c>
      <c r="D922">
        <v>401100000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1</v>
      </c>
      <c r="X922">
        <v>1</v>
      </c>
      <c r="Y922" t="s">
        <v>972</v>
      </c>
      <c r="Z922" t="s">
        <v>6290</v>
      </c>
      <c r="AA922" t="s">
        <v>7298</v>
      </c>
      <c r="AB922" t="s">
        <v>975</v>
      </c>
      <c r="AC922">
        <v>4460</v>
      </c>
      <c r="AD922" t="s">
        <v>1946</v>
      </c>
      <c r="AE922" t="s">
        <v>979</v>
      </c>
      <c r="AF922" t="s">
        <v>979</v>
      </c>
      <c r="AG922" t="s">
        <v>977</v>
      </c>
      <c r="AH922" t="s">
        <v>977</v>
      </c>
      <c r="AI922" t="s">
        <v>977</v>
      </c>
      <c r="AJ922" t="s">
        <v>978</v>
      </c>
      <c r="AK922" t="s">
        <v>978</v>
      </c>
      <c r="AL922" t="s">
        <v>978</v>
      </c>
      <c r="AM922" t="s">
        <v>979</v>
      </c>
      <c r="AN922">
        <v>0</v>
      </c>
      <c r="AO922" t="s">
        <v>257</v>
      </c>
      <c r="AP922">
        <v>0</v>
      </c>
      <c r="AQ922">
        <v>20</v>
      </c>
      <c r="AR922">
        <v>43</v>
      </c>
      <c r="AS922">
        <v>1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1</v>
      </c>
      <c r="AZ922" t="s">
        <v>257</v>
      </c>
      <c r="BA922" t="s">
        <v>980</v>
      </c>
      <c r="BB922" t="s">
        <v>981</v>
      </c>
      <c r="BC922" t="s">
        <v>257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 t="s">
        <v>998</v>
      </c>
      <c r="BK922" t="s">
        <v>981</v>
      </c>
      <c r="BL922" t="s">
        <v>6288</v>
      </c>
      <c r="BM922">
        <v>20231030</v>
      </c>
      <c r="BN922">
        <v>20250902</v>
      </c>
      <c r="BO922">
        <v>0</v>
      </c>
      <c r="BP922" t="s">
        <v>257</v>
      </c>
      <c r="BQ922" t="s">
        <v>983</v>
      </c>
      <c r="BR922" t="s">
        <v>978</v>
      </c>
      <c r="BS922" t="s">
        <v>979</v>
      </c>
      <c r="BT922">
        <v>0</v>
      </c>
      <c r="BU922">
        <v>0</v>
      </c>
      <c r="BV922" t="s">
        <v>984</v>
      </c>
      <c r="BW922" t="s">
        <v>257</v>
      </c>
      <c r="BX922">
        <v>0</v>
      </c>
      <c r="BY922" t="s">
        <v>980</v>
      </c>
      <c r="BZ922" t="s">
        <v>257</v>
      </c>
      <c r="CA922">
        <v>0</v>
      </c>
      <c r="CB922">
        <v>0</v>
      </c>
      <c r="CC922" t="s">
        <v>1391</v>
      </c>
      <c r="CD922">
        <v>0</v>
      </c>
      <c r="CE922">
        <v>0</v>
      </c>
      <c r="CF922">
        <v>0</v>
      </c>
      <c r="CG922">
        <v>0</v>
      </c>
      <c r="CH922">
        <v>0</v>
      </c>
      <c r="CI922" t="s">
        <v>983</v>
      </c>
      <c r="CJ922" t="s">
        <v>972</v>
      </c>
      <c r="CK922" t="s">
        <v>986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 t="s">
        <v>987</v>
      </c>
      <c r="CV922">
        <v>400008928</v>
      </c>
      <c r="CW922" t="s">
        <v>987</v>
      </c>
      <c r="CX922" t="s">
        <v>6291</v>
      </c>
      <c r="CY922" t="s">
        <v>989</v>
      </c>
    </row>
    <row r="923" spans="1:103" hidden="1" x14ac:dyDescent="0.25">
      <c r="A923">
        <v>410000929</v>
      </c>
      <c r="B923" t="s">
        <v>6292</v>
      </c>
      <c r="C923" t="s">
        <v>6293</v>
      </c>
      <c r="D923">
        <v>401100000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1</v>
      </c>
      <c r="Y923" t="s">
        <v>972</v>
      </c>
      <c r="Z923" t="s">
        <v>987</v>
      </c>
      <c r="AA923" t="s">
        <v>6294</v>
      </c>
      <c r="AB923" t="s">
        <v>975</v>
      </c>
      <c r="AC923">
        <v>4170</v>
      </c>
      <c r="AD923" t="s">
        <v>5872</v>
      </c>
      <c r="AE923" t="s">
        <v>979</v>
      </c>
      <c r="AF923" t="s">
        <v>979</v>
      </c>
      <c r="AG923" t="s">
        <v>977</v>
      </c>
      <c r="AH923" t="s">
        <v>977</v>
      </c>
      <c r="AI923" t="s">
        <v>977</v>
      </c>
      <c r="AJ923" t="s">
        <v>978</v>
      </c>
      <c r="AK923" t="s">
        <v>978</v>
      </c>
      <c r="AL923" t="s">
        <v>978</v>
      </c>
      <c r="AM923" t="s">
        <v>979</v>
      </c>
      <c r="AN923">
        <v>0</v>
      </c>
      <c r="AO923" t="s">
        <v>257</v>
      </c>
      <c r="AP923">
        <v>0</v>
      </c>
      <c r="AQ923">
        <v>20</v>
      </c>
      <c r="AR923">
        <v>43</v>
      </c>
      <c r="AS923">
        <v>1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1</v>
      </c>
      <c r="AZ923" t="s">
        <v>257</v>
      </c>
      <c r="BA923" t="s">
        <v>980</v>
      </c>
      <c r="BB923" t="s">
        <v>981</v>
      </c>
      <c r="BC923" t="s">
        <v>257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 t="s">
        <v>1285</v>
      </c>
      <c r="BK923" t="s">
        <v>981</v>
      </c>
      <c r="BL923" t="s">
        <v>6292</v>
      </c>
      <c r="BM923">
        <v>20231030</v>
      </c>
      <c r="BN923">
        <v>20231030</v>
      </c>
      <c r="BO923">
        <v>0</v>
      </c>
      <c r="BP923" t="s">
        <v>257</v>
      </c>
      <c r="BQ923" t="s">
        <v>983</v>
      </c>
      <c r="BR923" t="s">
        <v>978</v>
      </c>
      <c r="BS923" t="s">
        <v>979</v>
      </c>
      <c r="BT923">
        <v>0</v>
      </c>
      <c r="BU923">
        <v>0</v>
      </c>
      <c r="BV923" t="s">
        <v>2341</v>
      </c>
      <c r="BW923" t="s">
        <v>257</v>
      </c>
      <c r="BX923">
        <v>0</v>
      </c>
      <c r="BY923" t="s">
        <v>980</v>
      </c>
      <c r="BZ923" t="s">
        <v>257</v>
      </c>
      <c r="CA923">
        <v>0</v>
      </c>
      <c r="CB923">
        <v>0</v>
      </c>
      <c r="CC923" t="s">
        <v>1070</v>
      </c>
      <c r="CD923">
        <v>0</v>
      </c>
      <c r="CE923">
        <v>0</v>
      </c>
      <c r="CF923">
        <v>0</v>
      </c>
      <c r="CG923">
        <v>0</v>
      </c>
      <c r="CH923">
        <v>0</v>
      </c>
      <c r="CI923" t="s">
        <v>983</v>
      </c>
      <c r="CJ923" t="s">
        <v>972</v>
      </c>
      <c r="CK923" t="s">
        <v>986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 t="s">
        <v>987</v>
      </c>
      <c r="CV923">
        <v>400008929</v>
      </c>
      <c r="CW923" t="s">
        <v>987</v>
      </c>
      <c r="CX923" t="s">
        <v>1081</v>
      </c>
      <c r="CY923" t="s">
        <v>989</v>
      </c>
    </row>
    <row r="924" spans="1:103" hidden="1" x14ac:dyDescent="0.25">
      <c r="A924">
        <v>410000930</v>
      </c>
      <c r="B924" t="s">
        <v>6295</v>
      </c>
      <c r="C924" t="s">
        <v>6296</v>
      </c>
      <c r="D924">
        <v>401100000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1</v>
      </c>
      <c r="X924">
        <v>1</v>
      </c>
      <c r="Y924" t="s">
        <v>972</v>
      </c>
      <c r="Z924" t="s">
        <v>987</v>
      </c>
      <c r="AA924" t="s">
        <v>6297</v>
      </c>
      <c r="AB924" t="s">
        <v>975</v>
      </c>
      <c r="AC924">
        <v>4880</v>
      </c>
      <c r="AD924" t="s">
        <v>2408</v>
      </c>
      <c r="AE924" t="s">
        <v>979</v>
      </c>
      <c r="AF924" t="s">
        <v>979</v>
      </c>
      <c r="AG924" t="s">
        <v>977</v>
      </c>
      <c r="AH924" t="s">
        <v>977</v>
      </c>
      <c r="AI924" t="s">
        <v>977</v>
      </c>
      <c r="AJ924" t="s">
        <v>978</v>
      </c>
      <c r="AK924" t="s">
        <v>978</v>
      </c>
      <c r="AL924" t="s">
        <v>978</v>
      </c>
      <c r="AM924" t="s">
        <v>979</v>
      </c>
      <c r="AN924">
        <v>0</v>
      </c>
      <c r="AO924" t="s">
        <v>257</v>
      </c>
      <c r="AP924">
        <v>0</v>
      </c>
      <c r="AQ924">
        <v>20</v>
      </c>
      <c r="AR924">
        <v>43</v>
      </c>
      <c r="AS924">
        <v>1</v>
      </c>
      <c r="AT924">
        <v>0</v>
      </c>
      <c r="AU924">
        <v>1</v>
      </c>
      <c r="AV924">
        <v>0</v>
      </c>
      <c r="AW924">
        <v>0</v>
      </c>
      <c r="AX924">
        <v>0</v>
      </c>
      <c r="AY924">
        <v>1</v>
      </c>
      <c r="AZ924" t="s">
        <v>257</v>
      </c>
      <c r="BA924" t="s">
        <v>980</v>
      </c>
      <c r="BB924" t="s">
        <v>981</v>
      </c>
      <c r="BC924" t="s">
        <v>257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 t="s">
        <v>1285</v>
      </c>
      <c r="BK924" t="s">
        <v>981</v>
      </c>
      <c r="BL924" t="s">
        <v>6295</v>
      </c>
      <c r="BM924">
        <v>20231030</v>
      </c>
      <c r="BN924">
        <v>20231030</v>
      </c>
      <c r="BO924">
        <v>0</v>
      </c>
      <c r="BP924" t="s">
        <v>257</v>
      </c>
      <c r="BQ924" t="s">
        <v>983</v>
      </c>
      <c r="BR924" t="s">
        <v>978</v>
      </c>
      <c r="BS924" t="s">
        <v>979</v>
      </c>
      <c r="BT924">
        <v>0</v>
      </c>
      <c r="BU924">
        <v>0</v>
      </c>
      <c r="BV924" t="s">
        <v>2341</v>
      </c>
      <c r="BW924" t="s">
        <v>257</v>
      </c>
      <c r="BX924">
        <v>0</v>
      </c>
      <c r="BY924" t="s">
        <v>980</v>
      </c>
      <c r="BZ924" t="s">
        <v>257</v>
      </c>
      <c r="CA924">
        <v>0</v>
      </c>
      <c r="CB924">
        <v>0</v>
      </c>
      <c r="CC924" t="s">
        <v>1128</v>
      </c>
      <c r="CD924">
        <v>0</v>
      </c>
      <c r="CE924">
        <v>0</v>
      </c>
      <c r="CF924">
        <v>0</v>
      </c>
      <c r="CG924">
        <v>0</v>
      </c>
      <c r="CH924">
        <v>0</v>
      </c>
      <c r="CI924" t="s">
        <v>983</v>
      </c>
      <c r="CJ924" t="s">
        <v>972</v>
      </c>
      <c r="CK924" t="s">
        <v>986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 t="s">
        <v>987</v>
      </c>
      <c r="CV924">
        <v>400008930</v>
      </c>
      <c r="CW924" t="s">
        <v>987</v>
      </c>
      <c r="CX924" t="s">
        <v>1081</v>
      </c>
      <c r="CY924" t="s">
        <v>989</v>
      </c>
    </row>
    <row r="925" spans="1:103" hidden="1" x14ac:dyDescent="0.25">
      <c r="A925">
        <v>410000931</v>
      </c>
      <c r="B925" t="s">
        <v>6298</v>
      </c>
      <c r="C925" t="s">
        <v>6299</v>
      </c>
      <c r="D925">
        <v>401100000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1</v>
      </c>
      <c r="X925">
        <v>1</v>
      </c>
      <c r="Y925" t="s">
        <v>972</v>
      </c>
      <c r="Z925" t="s">
        <v>6300</v>
      </c>
      <c r="AA925" t="s">
        <v>6301</v>
      </c>
      <c r="AB925" t="s">
        <v>975</v>
      </c>
      <c r="AC925">
        <v>4340</v>
      </c>
      <c r="AD925" t="s">
        <v>1076</v>
      </c>
      <c r="AE925" t="s">
        <v>979</v>
      </c>
      <c r="AF925" t="s">
        <v>979</v>
      </c>
      <c r="AG925" t="s">
        <v>977</v>
      </c>
      <c r="AH925" t="s">
        <v>977</v>
      </c>
      <c r="AI925" t="s">
        <v>977</v>
      </c>
      <c r="AJ925" t="s">
        <v>978</v>
      </c>
      <c r="AK925" t="s">
        <v>978</v>
      </c>
      <c r="AL925" t="s">
        <v>978</v>
      </c>
      <c r="AM925" t="s">
        <v>979</v>
      </c>
      <c r="AN925">
        <v>0</v>
      </c>
      <c r="AO925" t="s">
        <v>257</v>
      </c>
      <c r="AP925">
        <v>0</v>
      </c>
      <c r="AQ925">
        <v>20</v>
      </c>
      <c r="AR925">
        <v>43</v>
      </c>
      <c r="AS925">
        <v>1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1</v>
      </c>
      <c r="AZ925" t="s">
        <v>257</v>
      </c>
      <c r="BA925" t="s">
        <v>980</v>
      </c>
      <c r="BB925" t="s">
        <v>981</v>
      </c>
      <c r="BC925" t="s">
        <v>257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 t="s">
        <v>1285</v>
      </c>
      <c r="BK925" t="s">
        <v>981</v>
      </c>
      <c r="BL925" t="s">
        <v>6298</v>
      </c>
      <c r="BM925">
        <v>20231030</v>
      </c>
      <c r="BN925">
        <v>20231030</v>
      </c>
      <c r="BO925">
        <v>0</v>
      </c>
      <c r="BP925" t="s">
        <v>257</v>
      </c>
      <c r="BQ925" t="s">
        <v>983</v>
      </c>
      <c r="BR925" t="s">
        <v>978</v>
      </c>
      <c r="BS925" t="s">
        <v>979</v>
      </c>
      <c r="BT925">
        <v>0</v>
      </c>
      <c r="BU925">
        <v>0</v>
      </c>
      <c r="BV925" t="s">
        <v>2341</v>
      </c>
      <c r="BW925" t="s">
        <v>257</v>
      </c>
      <c r="BX925">
        <v>0</v>
      </c>
      <c r="BY925" t="s">
        <v>980</v>
      </c>
      <c r="BZ925" t="s">
        <v>257</v>
      </c>
      <c r="CA925">
        <v>0</v>
      </c>
      <c r="CB925">
        <v>0</v>
      </c>
      <c r="CC925" t="s">
        <v>1207</v>
      </c>
      <c r="CD925">
        <v>0</v>
      </c>
      <c r="CE925">
        <v>0</v>
      </c>
      <c r="CF925">
        <v>0</v>
      </c>
      <c r="CG925">
        <v>0</v>
      </c>
      <c r="CH925">
        <v>0</v>
      </c>
      <c r="CI925" t="s">
        <v>983</v>
      </c>
      <c r="CJ925" t="s">
        <v>972</v>
      </c>
      <c r="CK925" t="s">
        <v>986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 t="s">
        <v>987</v>
      </c>
      <c r="CV925">
        <v>400008931</v>
      </c>
      <c r="CW925" t="s">
        <v>987</v>
      </c>
      <c r="CX925" t="s">
        <v>1081</v>
      </c>
      <c r="CY925" t="s">
        <v>989</v>
      </c>
    </row>
    <row r="926" spans="1:103" hidden="1" x14ac:dyDescent="0.25">
      <c r="A926">
        <v>410000932</v>
      </c>
      <c r="B926" t="s">
        <v>6302</v>
      </c>
      <c r="C926" t="s">
        <v>6303</v>
      </c>
      <c r="D926">
        <v>401100000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1</v>
      </c>
      <c r="X926">
        <v>1</v>
      </c>
      <c r="Y926" t="s">
        <v>972</v>
      </c>
      <c r="Z926" t="s">
        <v>987</v>
      </c>
      <c r="AA926" t="s">
        <v>6304</v>
      </c>
      <c r="AB926" t="s">
        <v>975</v>
      </c>
      <c r="AC926">
        <v>4053</v>
      </c>
      <c r="AD926" t="s">
        <v>2739</v>
      </c>
      <c r="AE926" t="s">
        <v>979</v>
      </c>
      <c r="AF926" t="s">
        <v>979</v>
      </c>
      <c r="AG926" t="s">
        <v>977</v>
      </c>
      <c r="AH926" t="s">
        <v>977</v>
      </c>
      <c r="AI926" t="s">
        <v>977</v>
      </c>
      <c r="AJ926" t="s">
        <v>978</v>
      </c>
      <c r="AK926" t="s">
        <v>978</v>
      </c>
      <c r="AL926" t="s">
        <v>978</v>
      </c>
      <c r="AM926" t="s">
        <v>979</v>
      </c>
      <c r="AN926">
        <v>0</v>
      </c>
      <c r="AO926" t="s">
        <v>257</v>
      </c>
      <c r="AP926">
        <v>0</v>
      </c>
      <c r="AQ926">
        <v>20</v>
      </c>
      <c r="AR926">
        <v>43</v>
      </c>
      <c r="AS926">
        <v>1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1</v>
      </c>
      <c r="AZ926" t="s">
        <v>257</v>
      </c>
      <c r="BA926" t="s">
        <v>980</v>
      </c>
      <c r="BB926" t="s">
        <v>981</v>
      </c>
      <c r="BC926" t="s">
        <v>257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 t="s">
        <v>1285</v>
      </c>
      <c r="BK926" t="s">
        <v>981</v>
      </c>
      <c r="BL926" t="s">
        <v>6302</v>
      </c>
      <c r="BM926">
        <v>20231030</v>
      </c>
      <c r="BN926">
        <v>20231030</v>
      </c>
      <c r="BO926">
        <v>0</v>
      </c>
      <c r="BP926" t="s">
        <v>257</v>
      </c>
      <c r="BQ926" t="s">
        <v>983</v>
      </c>
      <c r="BR926" t="s">
        <v>978</v>
      </c>
      <c r="BS926" t="s">
        <v>979</v>
      </c>
      <c r="BT926">
        <v>0</v>
      </c>
      <c r="BU926">
        <v>0</v>
      </c>
      <c r="BV926" t="s">
        <v>2341</v>
      </c>
      <c r="BW926" t="s">
        <v>257</v>
      </c>
      <c r="BX926">
        <v>0</v>
      </c>
      <c r="BY926" t="s">
        <v>980</v>
      </c>
      <c r="BZ926" t="s">
        <v>257</v>
      </c>
      <c r="CA926">
        <v>0</v>
      </c>
      <c r="CB926">
        <v>0</v>
      </c>
      <c r="CC926" t="s">
        <v>2079</v>
      </c>
      <c r="CD926">
        <v>0</v>
      </c>
      <c r="CE926">
        <v>0</v>
      </c>
      <c r="CF926">
        <v>0</v>
      </c>
      <c r="CG926">
        <v>0</v>
      </c>
      <c r="CH926">
        <v>0</v>
      </c>
      <c r="CI926" t="s">
        <v>983</v>
      </c>
      <c r="CJ926" t="s">
        <v>972</v>
      </c>
      <c r="CK926" t="s">
        <v>986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 t="s">
        <v>987</v>
      </c>
      <c r="CV926">
        <v>400008932</v>
      </c>
      <c r="CW926" t="s">
        <v>987</v>
      </c>
      <c r="CX926" t="s">
        <v>1081</v>
      </c>
      <c r="CY926" t="s">
        <v>989</v>
      </c>
    </row>
    <row r="927" spans="1:103" hidden="1" x14ac:dyDescent="0.25">
      <c r="A927">
        <v>410000933</v>
      </c>
      <c r="B927" t="s">
        <v>6305</v>
      </c>
      <c r="C927" t="s">
        <v>6306</v>
      </c>
      <c r="D927">
        <v>401100000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1</v>
      </c>
      <c r="Y927" t="s">
        <v>972</v>
      </c>
      <c r="Z927" t="s">
        <v>987</v>
      </c>
      <c r="AA927" t="s">
        <v>6307</v>
      </c>
      <c r="AB927" t="s">
        <v>975</v>
      </c>
      <c r="AC927">
        <v>4624</v>
      </c>
      <c r="AD927" t="s">
        <v>1368</v>
      </c>
      <c r="AE927" t="s">
        <v>979</v>
      </c>
      <c r="AF927" t="s">
        <v>979</v>
      </c>
      <c r="AG927" t="s">
        <v>977</v>
      </c>
      <c r="AH927" t="s">
        <v>977</v>
      </c>
      <c r="AI927" t="s">
        <v>977</v>
      </c>
      <c r="AJ927" t="s">
        <v>978</v>
      </c>
      <c r="AK927" t="s">
        <v>978</v>
      </c>
      <c r="AL927" t="s">
        <v>978</v>
      </c>
      <c r="AM927" t="s">
        <v>979</v>
      </c>
      <c r="AN927">
        <v>0</v>
      </c>
      <c r="AO927" t="s">
        <v>257</v>
      </c>
      <c r="AP927">
        <v>0</v>
      </c>
      <c r="AQ927">
        <v>20</v>
      </c>
      <c r="AR927">
        <v>43</v>
      </c>
      <c r="AS927">
        <v>1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1</v>
      </c>
      <c r="AZ927" t="s">
        <v>257</v>
      </c>
      <c r="BA927" t="s">
        <v>980</v>
      </c>
      <c r="BB927" t="s">
        <v>259</v>
      </c>
      <c r="BC927" t="s">
        <v>257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 t="s">
        <v>1285</v>
      </c>
      <c r="BK927" t="s">
        <v>981</v>
      </c>
      <c r="BL927" t="s">
        <v>6305</v>
      </c>
      <c r="BM927">
        <v>20231030</v>
      </c>
      <c r="BN927">
        <v>20240715</v>
      </c>
      <c r="BO927">
        <v>20240715</v>
      </c>
      <c r="BP927" t="s">
        <v>257</v>
      </c>
      <c r="BQ927" t="s">
        <v>983</v>
      </c>
      <c r="BR927" t="s">
        <v>978</v>
      </c>
      <c r="BS927" t="s">
        <v>979</v>
      </c>
      <c r="BT927">
        <v>0</v>
      </c>
      <c r="BU927">
        <v>0</v>
      </c>
      <c r="BV927" t="s">
        <v>2341</v>
      </c>
      <c r="BW927" t="s">
        <v>257</v>
      </c>
      <c r="BX927">
        <v>0</v>
      </c>
      <c r="BY927" t="s">
        <v>980</v>
      </c>
      <c r="BZ927" t="s">
        <v>257</v>
      </c>
      <c r="CA927">
        <v>0</v>
      </c>
      <c r="CB927">
        <v>0</v>
      </c>
      <c r="CC927" t="s">
        <v>1207</v>
      </c>
      <c r="CD927">
        <v>0</v>
      </c>
      <c r="CE927">
        <v>0</v>
      </c>
      <c r="CF927">
        <v>0</v>
      </c>
      <c r="CG927">
        <v>0</v>
      </c>
      <c r="CH927">
        <v>0</v>
      </c>
      <c r="CI927" t="s">
        <v>983</v>
      </c>
      <c r="CJ927" t="s">
        <v>972</v>
      </c>
      <c r="CK927" t="s">
        <v>986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 t="s">
        <v>987</v>
      </c>
      <c r="CV927">
        <v>400008933</v>
      </c>
      <c r="CW927" t="s">
        <v>987</v>
      </c>
      <c r="CX927" t="s">
        <v>1081</v>
      </c>
      <c r="CY927" t="s">
        <v>989</v>
      </c>
    </row>
    <row r="928" spans="1:103" hidden="1" x14ac:dyDescent="0.25">
      <c r="A928">
        <v>410000934</v>
      </c>
      <c r="B928" t="s">
        <v>6308</v>
      </c>
      <c r="C928" t="s">
        <v>6309</v>
      </c>
      <c r="D928">
        <v>401100000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1</v>
      </c>
      <c r="Y928" t="s">
        <v>972</v>
      </c>
      <c r="Z928" t="s">
        <v>987</v>
      </c>
      <c r="AA928" t="s">
        <v>6310</v>
      </c>
      <c r="AB928" t="s">
        <v>975</v>
      </c>
      <c r="AC928">
        <v>4020</v>
      </c>
      <c r="AD928" t="s">
        <v>1019</v>
      </c>
      <c r="AE928">
        <v>3243490872</v>
      </c>
      <c r="AF928" t="s">
        <v>979</v>
      </c>
      <c r="AG928" t="s">
        <v>977</v>
      </c>
      <c r="AH928">
        <v>448415459</v>
      </c>
      <c r="AI928" t="s">
        <v>5699</v>
      </c>
      <c r="AJ928" t="s">
        <v>978</v>
      </c>
      <c r="AK928" t="s">
        <v>978</v>
      </c>
      <c r="AL928" t="s">
        <v>978</v>
      </c>
      <c r="AM928" t="s">
        <v>979</v>
      </c>
      <c r="AN928">
        <v>0</v>
      </c>
      <c r="AO928" t="s">
        <v>257</v>
      </c>
      <c r="AP928">
        <v>0</v>
      </c>
      <c r="AQ928">
        <v>1</v>
      </c>
      <c r="AR928">
        <v>43</v>
      </c>
      <c r="AS928">
        <v>1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1</v>
      </c>
      <c r="AZ928" t="s">
        <v>257</v>
      </c>
      <c r="BA928" t="s">
        <v>980</v>
      </c>
      <c r="BB928" t="s">
        <v>981</v>
      </c>
      <c r="BC928" t="s">
        <v>257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 t="s">
        <v>998</v>
      </c>
      <c r="BK928" t="s">
        <v>981</v>
      </c>
      <c r="BL928" t="s">
        <v>6308</v>
      </c>
      <c r="BM928">
        <v>20231110</v>
      </c>
      <c r="BN928">
        <v>20231114</v>
      </c>
      <c r="BO928">
        <v>0</v>
      </c>
      <c r="BP928" t="s">
        <v>257</v>
      </c>
      <c r="BQ928" t="s">
        <v>983</v>
      </c>
      <c r="BR928" t="s">
        <v>978</v>
      </c>
      <c r="BS928" t="s">
        <v>979</v>
      </c>
      <c r="BT928">
        <v>0</v>
      </c>
      <c r="BU928">
        <v>0</v>
      </c>
      <c r="BV928" t="s">
        <v>984</v>
      </c>
      <c r="BW928" t="s">
        <v>257</v>
      </c>
      <c r="BX928">
        <v>0</v>
      </c>
      <c r="BY928" t="s">
        <v>980</v>
      </c>
      <c r="BZ928" t="s">
        <v>257</v>
      </c>
      <c r="CA928">
        <v>0</v>
      </c>
      <c r="CB928">
        <v>0</v>
      </c>
      <c r="CC928" t="s">
        <v>1371</v>
      </c>
      <c r="CD928">
        <v>0</v>
      </c>
      <c r="CE928">
        <v>0</v>
      </c>
      <c r="CF928">
        <v>0</v>
      </c>
      <c r="CG928">
        <v>0</v>
      </c>
      <c r="CH928">
        <v>0</v>
      </c>
      <c r="CI928" t="s">
        <v>983</v>
      </c>
      <c r="CJ928" t="s">
        <v>972</v>
      </c>
      <c r="CK928" t="s">
        <v>986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 t="s">
        <v>987</v>
      </c>
      <c r="CV928">
        <v>400008934</v>
      </c>
      <c r="CW928" t="s">
        <v>987</v>
      </c>
      <c r="CX928" t="s">
        <v>6311</v>
      </c>
      <c r="CY928" t="s">
        <v>989</v>
      </c>
    </row>
    <row r="929" spans="1:103" hidden="1" x14ac:dyDescent="0.25">
      <c r="A929">
        <v>410000935</v>
      </c>
      <c r="B929" t="s">
        <v>6312</v>
      </c>
      <c r="C929" t="s">
        <v>6313</v>
      </c>
      <c r="D929">
        <v>401100000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1</v>
      </c>
      <c r="Y929" t="s">
        <v>972</v>
      </c>
      <c r="Z929" t="s">
        <v>987</v>
      </c>
      <c r="AA929" t="s">
        <v>6314</v>
      </c>
      <c r="AB929" t="s">
        <v>975</v>
      </c>
      <c r="AC929">
        <v>1420</v>
      </c>
      <c r="AD929" t="s">
        <v>2333</v>
      </c>
      <c r="AE929" t="s">
        <v>979</v>
      </c>
      <c r="AF929" t="s">
        <v>979</v>
      </c>
      <c r="AG929" t="s">
        <v>977</v>
      </c>
      <c r="AH929">
        <v>425702910</v>
      </c>
      <c r="AI929" t="s">
        <v>6315</v>
      </c>
      <c r="AJ929" t="s">
        <v>5167</v>
      </c>
      <c r="AK929" t="s">
        <v>978</v>
      </c>
      <c r="AL929" t="s">
        <v>978</v>
      </c>
      <c r="AM929" t="s">
        <v>979</v>
      </c>
      <c r="AN929">
        <v>0</v>
      </c>
      <c r="AO929" t="s">
        <v>257</v>
      </c>
      <c r="AP929">
        <v>0</v>
      </c>
      <c r="AQ929">
        <v>1</v>
      </c>
      <c r="AR929">
        <v>43</v>
      </c>
      <c r="AS929">
        <v>1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1</v>
      </c>
      <c r="AZ929" t="s">
        <v>257</v>
      </c>
      <c r="BA929" t="s">
        <v>980</v>
      </c>
      <c r="BB929" t="s">
        <v>981</v>
      </c>
      <c r="BC929" t="s">
        <v>257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 t="s">
        <v>998</v>
      </c>
      <c r="BK929" t="s">
        <v>981</v>
      </c>
      <c r="BL929" t="s">
        <v>6312</v>
      </c>
      <c r="BM929">
        <v>20231115</v>
      </c>
      <c r="BN929">
        <v>20231115</v>
      </c>
      <c r="BO929">
        <v>0</v>
      </c>
      <c r="BP929" t="s">
        <v>257</v>
      </c>
      <c r="BQ929" t="s">
        <v>983</v>
      </c>
      <c r="BR929" t="s">
        <v>978</v>
      </c>
      <c r="BS929">
        <v>32474672374</v>
      </c>
      <c r="BT929">
        <v>0</v>
      </c>
      <c r="BU929">
        <v>0</v>
      </c>
      <c r="BV929" t="s">
        <v>984</v>
      </c>
      <c r="BW929" t="s">
        <v>257</v>
      </c>
      <c r="BX929">
        <v>0</v>
      </c>
      <c r="BY929" t="s">
        <v>980</v>
      </c>
      <c r="BZ929" t="s">
        <v>257</v>
      </c>
      <c r="CA929">
        <v>0</v>
      </c>
      <c r="CB929">
        <v>0</v>
      </c>
      <c r="CC929" t="s">
        <v>1901</v>
      </c>
      <c r="CD929">
        <v>0</v>
      </c>
      <c r="CE929">
        <v>0</v>
      </c>
      <c r="CF929">
        <v>0</v>
      </c>
      <c r="CG929">
        <v>0</v>
      </c>
      <c r="CH929">
        <v>0</v>
      </c>
      <c r="CI929" t="s">
        <v>983</v>
      </c>
      <c r="CJ929" t="s">
        <v>972</v>
      </c>
      <c r="CK929" t="s">
        <v>986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 t="s">
        <v>987</v>
      </c>
      <c r="CV929">
        <v>400008935</v>
      </c>
      <c r="CW929" t="s">
        <v>987</v>
      </c>
      <c r="CX929" t="s">
        <v>6316</v>
      </c>
      <c r="CY929" t="s">
        <v>989</v>
      </c>
    </row>
    <row r="930" spans="1:103" hidden="1" x14ac:dyDescent="0.25">
      <c r="A930">
        <v>410000936</v>
      </c>
      <c r="B930" t="s">
        <v>6317</v>
      </c>
      <c r="C930" t="s">
        <v>6318</v>
      </c>
      <c r="D930">
        <v>401100000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1</v>
      </c>
      <c r="Y930" t="s">
        <v>972</v>
      </c>
      <c r="Z930" t="s">
        <v>987</v>
      </c>
      <c r="AA930" t="s">
        <v>6319</v>
      </c>
      <c r="AB930" t="s">
        <v>975</v>
      </c>
      <c r="AC930">
        <v>4020</v>
      </c>
      <c r="AD930" t="s">
        <v>1019</v>
      </c>
      <c r="AE930" t="s">
        <v>979</v>
      </c>
      <c r="AF930" t="s">
        <v>979</v>
      </c>
      <c r="AG930" t="s">
        <v>977</v>
      </c>
      <c r="AH930" t="s">
        <v>977</v>
      </c>
      <c r="AI930" t="s">
        <v>977</v>
      </c>
      <c r="AJ930" t="s">
        <v>978</v>
      </c>
      <c r="AK930" t="s">
        <v>978</v>
      </c>
      <c r="AL930" t="s">
        <v>978</v>
      </c>
      <c r="AM930" t="s">
        <v>979</v>
      </c>
      <c r="AN930">
        <v>0</v>
      </c>
      <c r="AO930" t="s">
        <v>257</v>
      </c>
      <c r="AP930">
        <v>0</v>
      </c>
      <c r="AQ930">
        <v>1</v>
      </c>
      <c r="AR930">
        <v>43</v>
      </c>
      <c r="AS930">
        <v>1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1</v>
      </c>
      <c r="AZ930" t="s">
        <v>257</v>
      </c>
      <c r="BA930" t="s">
        <v>980</v>
      </c>
      <c r="BB930" t="s">
        <v>981</v>
      </c>
      <c r="BC930" t="s">
        <v>257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 t="s">
        <v>998</v>
      </c>
      <c r="BK930" t="s">
        <v>981</v>
      </c>
      <c r="BL930" t="s">
        <v>6317</v>
      </c>
      <c r="BM930">
        <v>20231122</v>
      </c>
      <c r="BN930">
        <v>20240918</v>
      </c>
      <c r="BO930">
        <v>0</v>
      </c>
      <c r="BP930" t="s">
        <v>257</v>
      </c>
      <c r="BQ930" t="s">
        <v>983</v>
      </c>
      <c r="BR930" t="s">
        <v>978</v>
      </c>
      <c r="BS930">
        <v>32494902083</v>
      </c>
      <c r="BT930">
        <v>0</v>
      </c>
      <c r="BU930">
        <v>0</v>
      </c>
      <c r="BV930" t="s">
        <v>984</v>
      </c>
      <c r="BW930" t="s">
        <v>257</v>
      </c>
      <c r="BX930">
        <v>0</v>
      </c>
      <c r="BY930" t="s">
        <v>980</v>
      </c>
      <c r="BZ930" t="s">
        <v>257</v>
      </c>
      <c r="CA930">
        <v>0</v>
      </c>
      <c r="CB930">
        <v>0</v>
      </c>
      <c r="CC930" t="s">
        <v>1391</v>
      </c>
      <c r="CD930">
        <v>0</v>
      </c>
      <c r="CE930">
        <v>0</v>
      </c>
      <c r="CF930">
        <v>0</v>
      </c>
      <c r="CG930">
        <v>0</v>
      </c>
      <c r="CH930">
        <v>0</v>
      </c>
      <c r="CI930" t="s">
        <v>983</v>
      </c>
      <c r="CJ930" t="s">
        <v>972</v>
      </c>
      <c r="CK930" t="s">
        <v>986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 t="s">
        <v>987</v>
      </c>
      <c r="CV930">
        <v>400008936</v>
      </c>
      <c r="CW930" t="s">
        <v>987</v>
      </c>
      <c r="CX930" t="s">
        <v>6320</v>
      </c>
      <c r="CY930" t="s">
        <v>989</v>
      </c>
    </row>
    <row r="931" spans="1:103" hidden="1" x14ac:dyDescent="0.25">
      <c r="A931">
        <v>410000937</v>
      </c>
      <c r="B931" t="s">
        <v>6321</v>
      </c>
      <c r="C931" t="s">
        <v>6322</v>
      </c>
      <c r="D931">
        <v>401100000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1</v>
      </c>
      <c r="Y931" t="s">
        <v>972</v>
      </c>
      <c r="Z931" t="s">
        <v>4834</v>
      </c>
      <c r="AA931" t="s">
        <v>5587</v>
      </c>
      <c r="AB931" t="s">
        <v>975</v>
      </c>
      <c r="AC931">
        <v>4000</v>
      </c>
      <c r="AD931" t="s">
        <v>1019</v>
      </c>
      <c r="AE931">
        <v>3242541454</v>
      </c>
      <c r="AF931" t="s">
        <v>979</v>
      </c>
      <c r="AG931" t="s">
        <v>977</v>
      </c>
      <c r="AH931" t="s">
        <v>977</v>
      </c>
      <c r="AI931" t="s">
        <v>977</v>
      </c>
      <c r="AJ931" t="s">
        <v>978</v>
      </c>
      <c r="AK931" t="s">
        <v>978</v>
      </c>
      <c r="AL931" t="s">
        <v>978</v>
      </c>
      <c r="AM931" t="s">
        <v>979</v>
      </c>
      <c r="AN931">
        <v>0</v>
      </c>
      <c r="AO931" t="s">
        <v>257</v>
      </c>
      <c r="AP931">
        <v>0</v>
      </c>
      <c r="AQ931">
        <v>20</v>
      </c>
      <c r="AR931">
        <v>43</v>
      </c>
      <c r="AS931">
        <v>1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1</v>
      </c>
      <c r="AZ931" t="s">
        <v>257</v>
      </c>
      <c r="BA931" t="s">
        <v>980</v>
      </c>
      <c r="BB931" t="s">
        <v>981</v>
      </c>
      <c r="BC931" t="s">
        <v>257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 t="s">
        <v>998</v>
      </c>
      <c r="BK931" t="s">
        <v>981</v>
      </c>
      <c r="BL931" t="s">
        <v>6321</v>
      </c>
      <c r="BM931">
        <v>20231124</v>
      </c>
      <c r="BN931">
        <v>20231124</v>
      </c>
      <c r="BO931">
        <v>0</v>
      </c>
      <c r="BP931" t="s">
        <v>257</v>
      </c>
      <c r="BQ931" t="s">
        <v>983</v>
      </c>
      <c r="BR931" t="s">
        <v>978</v>
      </c>
      <c r="BS931" t="s">
        <v>979</v>
      </c>
      <c r="BT931">
        <v>0</v>
      </c>
      <c r="BU931">
        <v>0</v>
      </c>
      <c r="BV931" t="s">
        <v>984</v>
      </c>
      <c r="BW931" t="s">
        <v>257</v>
      </c>
      <c r="BX931">
        <v>0</v>
      </c>
      <c r="BY931" t="s">
        <v>980</v>
      </c>
      <c r="BZ931" t="s">
        <v>257</v>
      </c>
      <c r="CA931">
        <v>0</v>
      </c>
      <c r="CB931">
        <v>0</v>
      </c>
      <c r="CC931" t="s">
        <v>1391</v>
      </c>
      <c r="CD931">
        <v>0</v>
      </c>
      <c r="CE931">
        <v>0</v>
      </c>
      <c r="CF931">
        <v>0</v>
      </c>
      <c r="CG931">
        <v>0</v>
      </c>
      <c r="CH931">
        <v>0</v>
      </c>
      <c r="CI931" t="s">
        <v>983</v>
      </c>
      <c r="CJ931" t="s">
        <v>972</v>
      </c>
      <c r="CK931" t="s">
        <v>986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 t="s">
        <v>987</v>
      </c>
      <c r="CV931">
        <v>400008937</v>
      </c>
      <c r="CW931" t="s">
        <v>987</v>
      </c>
      <c r="CX931" t="s">
        <v>6323</v>
      </c>
      <c r="CY931" t="s">
        <v>989</v>
      </c>
    </row>
    <row r="932" spans="1:103" hidden="1" x14ac:dyDescent="0.25">
      <c r="A932">
        <v>410000938</v>
      </c>
      <c r="B932" t="s">
        <v>6324</v>
      </c>
      <c r="C932" t="s">
        <v>6325</v>
      </c>
      <c r="D932">
        <v>401100000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1</v>
      </c>
      <c r="Y932" t="s">
        <v>972</v>
      </c>
      <c r="Z932" t="s">
        <v>987</v>
      </c>
      <c r="AA932" t="s">
        <v>6326</v>
      </c>
      <c r="AB932" t="s">
        <v>975</v>
      </c>
      <c r="AC932">
        <v>5333</v>
      </c>
      <c r="AD932" t="s">
        <v>6327</v>
      </c>
      <c r="AE932" t="s">
        <v>979</v>
      </c>
      <c r="AF932" t="s">
        <v>979</v>
      </c>
      <c r="AG932" t="s">
        <v>977</v>
      </c>
      <c r="AH932" t="s">
        <v>977</v>
      </c>
      <c r="AI932" t="s">
        <v>977</v>
      </c>
      <c r="AJ932" t="s">
        <v>6328</v>
      </c>
      <c r="AK932" t="s">
        <v>978</v>
      </c>
      <c r="AL932" t="s">
        <v>978</v>
      </c>
      <c r="AM932" t="s">
        <v>979</v>
      </c>
      <c r="AN932">
        <v>0</v>
      </c>
      <c r="AO932" t="s">
        <v>257</v>
      </c>
      <c r="AP932">
        <v>0</v>
      </c>
      <c r="AQ932">
        <v>1</v>
      </c>
      <c r="AR932">
        <v>43</v>
      </c>
      <c r="AS932">
        <v>1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1</v>
      </c>
      <c r="AZ932" t="s">
        <v>257</v>
      </c>
      <c r="BA932" t="s">
        <v>980</v>
      </c>
      <c r="BB932" t="s">
        <v>981</v>
      </c>
      <c r="BC932" t="s">
        <v>257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 t="s">
        <v>998</v>
      </c>
      <c r="BK932" t="s">
        <v>981</v>
      </c>
      <c r="BL932" t="s">
        <v>6324</v>
      </c>
      <c r="BM932">
        <v>20231128</v>
      </c>
      <c r="BN932">
        <v>0</v>
      </c>
      <c r="BO932">
        <v>0</v>
      </c>
      <c r="BP932" t="s">
        <v>257</v>
      </c>
      <c r="BQ932" t="s">
        <v>983</v>
      </c>
      <c r="BR932" t="s">
        <v>978</v>
      </c>
      <c r="BS932" t="s">
        <v>979</v>
      </c>
      <c r="BT932">
        <v>0</v>
      </c>
      <c r="BU932">
        <v>0</v>
      </c>
      <c r="BV932" t="s">
        <v>2341</v>
      </c>
      <c r="BW932" t="s">
        <v>257</v>
      </c>
      <c r="BX932">
        <v>0</v>
      </c>
      <c r="BY932" t="s">
        <v>980</v>
      </c>
      <c r="BZ932" t="s">
        <v>257</v>
      </c>
      <c r="CA932">
        <v>0</v>
      </c>
      <c r="CB932">
        <v>0</v>
      </c>
      <c r="CC932" t="s">
        <v>1901</v>
      </c>
      <c r="CD932">
        <v>0</v>
      </c>
      <c r="CE932">
        <v>0</v>
      </c>
      <c r="CF932">
        <v>0</v>
      </c>
      <c r="CG932">
        <v>0</v>
      </c>
      <c r="CH932">
        <v>0</v>
      </c>
      <c r="CI932" t="s">
        <v>983</v>
      </c>
      <c r="CJ932" t="s">
        <v>972</v>
      </c>
      <c r="CK932" t="s">
        <v>986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 t="s">
        <v>987</v>
      </c>
      <c r="CV932">
        <v>400008938</v>
      </c>
      <c r="CW932" t="s">
        <v>987</v>
      </c>
      <c r="CX932" t="s">
        <v>1081</v>
      </c>
      <c r="CY932" t="s">
        <v>989</v>
      </c>
    </row>
    <row r="933" spans="1:103" hidden="1" x14ac:dyDescent="0.25">
      <c r="A933">
        <v>410000939</v>
      </c>
      <c r="B933" t="s">
        <v>6329</v>
      </c>
      <c r="C933" t="s">
        <v>6330</v>
      </c>
      <c r="D933">
        <v>401100000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1</v>
      </c>
      <c r="Y933" t="s">
        <v>972</v>
      </c>
      <c r="Z933" t="s">
        <v>987</v>
      </c>
      <c r="AA933" t="s">
        <v>6331</v>
      </c>
      <c r="AB933" t="s">
        <v>975</v>
      </c>
      <c r="AC933">
        <v>4300</v>
      </c>
      <c r="AD933" t="s">
        <v>1170</v>
      </c>
      <c r="AE933" t="s">
        <v>979</v>
      </c>
      <c r="AF933" t="s">
        <v>979</v>
      </c>
      <c r="AG933" t="s">
        <v>6332</v>
      </c>
      <c r="AH933" t="s">
        <v>977</v>
      </c>
      <c r="AI933" t="s">
        <v>977</v>
      </c>
      <c r="AJ933" t="s">
        <v>978</v>
      </c>
      <c r="AK933" t="s">
        <v>978</v>
      </c>
      <c r="AL933" t="s">
        <v>978</v>
      </c>
      <c r="AM933" t="s">
        <v>979</v>
      </c>
      <c r="AN933">
        <v>0</v>
      </c>
      <c r="AO933" t="s">
        <v>257</v>
      </c>
      <c r="AP933">
        <v>0</v>
      </c>
      <c r="AQ933">
        <v>1</v>
      </c>
      <c r="AR933">
        <v>43</v>
      </c>
      <c r="AS933">
        <v>1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1</v>
      </c>
      <c r="AZ933" t="s">
        <v>257</v>
      </c>
      <c r="BA933" t="s">
        <v>980</v>
      </c>
      <c r="BB933" t="s">
        <v>981</v>
      </c>
      <c r="BC933" t="s">
        <v>257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 t="s">
        <v>998</v>
      </c>
      <c r="BK933" t="s">
        <v>981</v>
      </c>
      <c r="BL933" t="s">
        <v>6329</v>
      </c>
      <c r="BM933">
        <v>20231128</v>
      </c>
      <c r="BN933">
        <v>0</v>
      </c>
      <c r="BO933">
        <v>0</v>
      </c>
      <c r="BP933" t="s">
        <v>257</v>
      </c>
      <c r="BQ933" t="s">
        <v>983</v>
      </c>
      <c r="BR933" t="s">
        <v>978</v>
      </c>
      <c r="BS933">
        <v>32498215795</v>
      </c>
      <c r="BT933">
        <v>0</v>
      </c>
      <c r="BU933">
        <v>0</v>
      </c>
      <c r="BV933" t="s">
        <v>984</v>
      </c>
      <c r="BW933" t="s">
        <v>257</v>
      </c>
      <c r="BX933">
        <v>0</v>
      </c>
      <c r="BY933" t="s">
        <v>980</v>
      </c>
      <c r="BZ933" t="s">
        <v>257</v>
      </c>
      <c r="CA933">
        <v>0</v>
      </c>
      <c r="CB933">
        <v>0</v>
      </c>
      <c r="CC933" t="s">
        <v>3687</v>
      </c>
      <c r="CD933">
        <v>0</v>
      </c>
      <c r="CE933">
        <v>0</v>
      </c>
      <c r="CF933">
        <v>0</v>
      </c>
      <c r="CG933">
        <v>0</v>
      </c>
      <c r="CH933">
        <v>0</v>
      </c>
      <c r="CI933" t="s">
        <v>983</v>
      </c>
      <c r="CJ933" t="s">
        <v>972</v>
      </c>
      <c r="CK933" t="s">
        <v>986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 t="s">
        <v>987</v>
      </c>
      <c r="CV933">
        <v>400008939</v>
      </c>
      <c r="CW933" t="s">
        <v>987</v>
      </c>
      <c r="CX933" t="s">
        <v>6333</v>
      </c>
      <c r="CY933" t="s">
        <v>989</v>
      </c>
    </row>
    <row r="934" spans="1:103" hidden="1" x14ac:dyDescent="0.25">
      <c r="A934">
        <v>410000940</v>
      </c>
      <c r="B934" t="s">
        <v>6334</v>
      </c>
      <c r="C934" t="s">
        <v>6335</v>
      </c>
      <c r="D934">
        <v>401100000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</v>
      </c>
      <c r="W934">
        <v>1</v>
      </c>
      <c r="X934">
        <v>1</v>
      </c>
      <c r="Y934" t="s">
        <v>972</v>
      </c>
      <c r="Z934" t="s">
        <v>987</v>
      </c>
      <c r="AA934" t="s">
        <v>6336</v>
      </c>
      <c r="AB934" t="s">
        <v>1626</v>
      </c>
      <c r="AC934">
        <v>4823</v>
      </c>
      <c r="AD934" t="s">
        <v>6337</v>
      </c>
      <c r="AE934" t="s">
        <v>979</v>
      </c>
      <c r="AF934" t="s">
        <v>979</v>
      </c>
      <c r="AG934" t="s">
        <v>977</v>
      </c>
      <c r="AH934" t="s">
        <v>6338</v>
      </c>
      <c r="AI934">
        <v>69200</v>
      </c>
      <c r="AJ934" t="s">
        <v>978</v>
      </c>
      <c r="AK934" t="s">
        <v>978</v>
      </c>
      <c r="AL934" t="s">
        <v>978</v>
      </c>
      <c r="AM934" t="s">
        <v>979</v>
      </c>
      <c r="AN934">
        <v>0</v>
      </c>
      <c r="AO934" t="s">
        <v>257</v>
      </c>
      <c r="AP934">
        <v>0</v>
      </c>
      <c r="AQ934">
        <v>1</v>
      </c>
      <c r="AR934">
        <v>43</v>
      </c>
      <c r="AS934">
        <v>1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1</v>
      </c>
      <c r="AZ934" t="s">
        <v>257</v>
      </c>
      <c r="BA934" t="s">
        <v>257</v>
      </c>
      <c r="BB934" t="s">
        <v>981</v>
      </c>
      <c r="BC934" t="s">
        <v>257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 t="s">
        <v>998</v>
      </c>
      <c r="BK934" t="s">
        <v>981</v>
      </c>
      <c r="BL934" t="s">
        <v>6334</v>
      </c>
      <c r="BM934">
        <v>20231201</v>
      </c>
      <c r="BN934">
        <v>20240429</v>
      </c>
      <c r="BO934">
        <v>0</v>
      </c>
      <c r="BP934" t="s">
        <v>257</v>
      </c>
      <c r="BQ934" t="s">
        <v>983</v>
      </c>
      <c r="BR934" t="s">
        <v>978</v>
      </c>
      <c r="BS934" t="s">
        <v>979</v>
      </c>
      <c r="BT934">
        <v>0</v>
      </c>
      <c r="BU934">
        <v>0</v>
      </c>
      <c r="BV934" t="s">
        <v>984</v>
      </c>
      <c r="BW934" t="s">
        <v>257</v>
      </c>
      <c r="BX934">
        <v>0</v>
      </c>
      <c r="BY934" t="s">
        <v>980</v>
      </c>
      <c r="BZ934" t="s">
        <v>257</v>
      </c>
      <c r="CA934">
        <v>0</v>
      </c>
      <c r="CB934">
        <v>0</v>
      </c>
      <c r="CC934" t="s">
        <v>1033</v>
      </c>
      <c r="CD934">
        <v>0</v>
      </c>
      <c r="CE934">
        <v>0</v>
      </c>
      <c r="CF934">
        <v>0</v>
      </c>
      <c r="CG934">
        <v>0</v>
      </c>
      <c r="CH934">
        <v>0</v>
      </c>
      <c r="CI934" t="s">
        <v>983</v>
      </c>
      <c r="CJ934" t="s">
        <v>972</v>
      </c>
      <c r="CK934" t="s">
        <v>986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 t="s">
        <v>987</v>
      </c>
      <c r="CV934">
        <v>400008940</v>
      </c>
      <c r="CW934" t="s">
        <v>987</v>
      </c>
      <c r="CX934" t="s">
        <v>6339</v>
      </c>
      <c r="CY934" t="s">
        <v>989</v>
      </c>
    </row>
    <row r="935" spans="1:103" hidden="1" x14ac:dyDescent="0.25">
      <c r="A935">
        <v>410000941</v>
      </c>
      <c r="B935" t="s">
        <v>6340</v>
      </c>
      <c r="C935" t="s">
        <v>6341</v>
      </c>
      <c r="D935">
        <v>401100000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1</v>
      </c>
      <c r="X935">
        <v>1</v>
      </c>
      <c r="Y935" t="s">
        <v>972</v>
      </c>
      <c r="Z935" t="s">
        <v>987</v>
      </c>
      <c r="AA935" t="s">
        <v>6342</v>
      </c>
      <c r="AB935" t="s">
        <v>975</v>
      </c>
      <c r="AC935">
        <v>5377</v>
      </c>
      <c r="AD935" t="s">
        <v>1435</v>
      </c>
      <c r="AE935">
        <v>3286212112</v>
      </c>
      <c r="AF935" t="s">
        <v>979</v>
      </c>
      <c r="AG935" t="s">
        <v>6343</v>
      </c>
      <c r="AH935">
        <v>550858644</v>
      </c>
      <c r="AI935">
        <v>46610</v>
      </c>
      <c r="AJ935" t="s">
        <v>6344</v>
      </c>
      <c r="AK935" t="s">
        <v>978</v>
      </c>
      <c r="AL935" t="s">
        <v>978</v>
      </c>
      <c r="AM935" t="s">
        <v>979</v>
      </c>
      <c r="AN935">
        <v>0</v>
      </c>
      <c r="AO935" t="s">
        <v>257</v>
      </c>
      <c r="AP935">
        <v>0</v>
      </c>
      <c r="AQ935">
        <v>1</v>
      </c>
      <c r="AR935">
        <v>43</v>
      </c>
      <c r="AS935">
        <v>1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1</v>
      </c>
      <c r="AZ935" t="s">
        <v>257</v>
      </c>
      <c r="BA935" t="s">
        <v>980</v>
      </c>
      <c r="BB935" t="s">
        <v>981</v>
      </c>
      <c r="BC935" t="s">
        <v>257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 t="s">
        <v>998</v>
      </c>
      <c r="BK935" t="s">
        <v>981</v>
      </c>
      <c r="BL935" t="s">
        <v>6340</v>
      </c>
      <c r="BM935">
        <v>20231206</v>
      </c>
      <c r="BN935">
        <v>20231208</v>
      </c>
      <c r="BO935">
        <v>0</v>
      </c>
      <c r="BP935" t="s">
        <v>257</v>
      </c>
      <c r="BQ935" t="s">
        <v>983</v>
      </c>
      <c r="BR935" t="s">
        <v>978</v>
      </c>
      <c r="BS935" t="s">
        <v>979</v>
      </c>
      <c r="BT935">
        <v>0</v>
      </c>
      <c r="BU935">
        <v>0</v>
      </c>
      <c r="BV935" t="s">
        <v>984</v>
      </c>
      <c r="BW935" t="s">
        <v>257</v>
      </c>
      <c r="BX935">
        <v>0</v>
      </c>
      <c r="BY935" t="s">
        <v>980</v>
      </c>
      <c r="BZ935" t="s">
        <v>257</v>
      </c>
      <c r="CA935">
        <v>0</v>
      </c>
      <c r="CB935">
        <v>0</v>
      </c>
      <c r="CC935" t="s">
        <v>1901</v>
      </c>
      <c r="CD935">
        <v>0</v>
      </c>
      <c r="CE935">
        <v>0</v>
      </c>
      <c r="CF935">
        <v>0</v>
      </c>
      <c r="CG935">
        <v>0</v>
      </c>
      <c r="CH935">
        <v>0</v>
      </c>
      <c r="CI935" t="s">
        <v>983</v>
      </c>
      <c r="CJ935" t="s">
        <v>972</v>
      </c>
      <c r="CK935" t="s">
        <v>986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 t="s">
        <v>987</v>
      </c>
      <c r="CV935">
        <v>400008941</v>
      </c>
      <c r="CW935" t="s">
        <v>987</v>
      </c>
      <c r="CX935" t="s">
        <v>6345</v>
      </c>
      <c r="CY935" t="s">
        <v>989</v>
      </c>
    </row>
    <row r="936" spans="1:103" hidden="1" x14ac:dyDescent="0.25">
      <c r="A936">
        <v>410000941</v>
      </c>
      <c r="B936" t="s">
        <v>7990</v>
      </c>
      <c r="C936" t="s">
        <v>7991</v>
      </c>
      <c r="D936">
        <v>401100000</v>
      </c>
      <c r="V936">
        <v>1</v>
      </c>
      <c r="AA936" t="s">
        <v>7992</v>
      </c>
      <c r="AB936" t="s">
        <v>975</v>
      </c>
      <c r="AC936">
        <v>5377</v>
      </c>
      <c r="AD936" t="s">
        <v>7993</v>
      </c>
      <c r="BI936">
        <v>0</v>
      </c>
      <c r="BJ936" t="s">
        <v>998</v>
      </c>
      <c r="BK936" t="s">
        <v>981</v>
      </c>
      <c r="BL936" t="s">
        <v>7990</v>
      </c>
      <c r="CV936">
        <v>400001941</v>
      </c>
    </row>
    <row r="937" spans="1:103" hidden="1" x14ac:dyDescent="0.25">
      <c r="A937">
        <v>410000942</v>
      </c>
      <c r="B937" t="s">
        <v>6346</v>
      </c>
      <c r="C937" t="s">
        <v>6347</v>
      </c>
      <c r="D937">
        <v>401100000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1</v>
      </c>
      <c r="X937">
        <v>1</v>
      </c>
      <c r="Y937" t="s">
        <v>972</v>
      </c>
      <c r="Z937" t="s">
        <v>987</v>
      </c>
      <c r="AA937" t="s">
        <v>6348</v>
      </c>
      <c r="AB937" t="s">
        <v>975</v>
      </c>
      <c r="AC937">
        <v>4920</v>
      </c>
      <c r="AD937" t="s">
        <v>6068</v>
      </c>
      <c r="AE937" t="s">
        <v>979</v>
      </c>
      <c r="AF937" t="s">
        <v>979</v>
      </c>
      <c r="AG937" t="s">
        <v>977</v>
      </c>
      <c r="AH937" t="s">
        <v>977</v>
      </c>
      <c r="AI937" t="s">
        <v>977</v>
      </c>
      <c r="AJ937" t="s">
        <v>978</v>
      </c>
      <c r="AK937" t="s">
        <v>978</v>
      </c>
      <c r="AL937" t="s">
        <v>978</v>
      </c>
      <c r="AM937" t="s">
        <v>979</v>
      </c>
      <c r="AN937">
        <v>0</v>
      </c>
      <c r="AO937" t="s">
        <v>257</v>
      </c>
      <c r="AP937">
        <v>0</v>
      </c>
      <c r="AQ937">
        <v>1</v>
      </c>
      <c r="AR937">
        <v>43</v>
      </c>
      <c r="AS937">
        <v>1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1</v>
      </c>
      <c r="AZ937" t="s">
        <v>257</v>
      </c>
      <c r="BA937" t="s">
        <v>980</v>
      </c>
      <c r="BB937" t="s">
        <v>981</v>
      </c>
      <c r="BC937" t="s">
        <v>257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 t="s">
        <v>998</v>
      </c>
      <c r="BK937" t="s">
        <v>981</v>
      </c>
      <c r="BL937" t="s">
        <v>6346</v>
      </c>
      <c r="BM937">
        <v>20231208</v>
      </c>
      <c r="BN937">
        <v>20231208</v>
      </c>
      <c r="BO937">
        <v>0</v>
      </c>
      <c r="BP937" t="s">
        <v>257</v>
      </c>
      <c r="BQ937" t="s">
        <v>983</v>
      </c>
      <c r="BR937" t="s">
        <v>978</v>
      </c>
      <c r="BS937">
        <v>32476943125</v>
      </c>
      <c r="BT937">
        <v>0</v>
      </c>
      <c r="BU937">
        <v>0</v>
      </c>
      <c r="BV937" t="s">
        <v>984</v>
      </c>
      <c r="BW937" t="s">
        <v>257</v>
      </c>
      <c r="BX937">
        <v>0</v>
      </c>
      <c r="BY937" t="s">
        <v>980</v>
      </c>
      <c r="BZ937" t="s">
        <v>257</v>
      </c>
      <c r="CA937">
        <v>0</v>
      </c>
      <c r="CB937">
        <v>0</v>
      </c>
      <c r="CC937" t="s">
        <v>3268</v>
      </c>
      <c r="CD937">
        <v>0</v>
      </c>
      <c r="CE937">
        <v>0</v>
      </c>
      <c r="CF937">
        <v>0</v>
      </c>
      <c r="CG937">
        <v>0</v>
      </c>
      <c r="CH937">
        <v>0</v>
      </c>
      <c r="CI937" t="s">
        <v>983</v>
      </c>
      <c r="CJ937" t="s">
        <v>972</v>
      </c>
      <c r="CK937" t="s">
        <v>986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 t="s">
        <v>987</v>
      </c>
      <c r="CV937">
        <v>400008942</v>
      </c>
      <c r="CW937" t="s">
        <v>987</v>
      </c>
      <c r="CX937" t="s">
        <v>6349</v>
      </c>
      <c r="CY937" t="s">
        <v>989</v>
      </c>
    </row>
    <row r="938" spans="1:103" hidden="1" x14ac:dyDescent="0.25">
      <c r="A938">
        <v>410000943</v>
      </c>
      <c r="B938" t="s">
        <v>6350</v>
      </c>
      <c r="C938" t="s">
        <v>6351</v>
      </c>
      <c r="D938">
        <v>401100000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1</v>
      </c>
      <c r="X938">
        <v>1</v>
      </c>
      <c r="Y938" t="s">
        <v>972</v>
      </c>
      <c r="Z938" t="s">
        <v>987</v>
      </c>
      <c r="AA938" t="s">
        <v>6352</v>
      </c>
      <c r="AB938" t="s">
        <v>975</v>
      </c>
      <c r="AC938">
        <v>4650</v>
      </c>
      <c r="AD938" t="s">
        <v>1204</v>
      </c>
      <c r="AE938" t="s">
        <v>6353</v>
      </c>
      <c r="AF938" t="s">
        <v>979</v>
      </c>
      <c r="AG938" t="s">
        <v>977</v>
      </c>
      <c r="AH938">
        <v>665804337</v>
      </c>
      <c r="AI938">
        <v>69201</v>
      </c>
      <c r="AJ938" t="s">
        <v>6354</v>
      </c>
      <c r="AK938" t="s">
        <v>6355</v>
      </c>
      <c r="AL938" t="s">
        <v>978</v>
      </c>
      <c r="AM938" t="s">
        <v>979</v>
      </c>
      <c r="AN938">
        <v>0</v>
      </c>
      <c r="AO938" t="s">
        <v>257</v>
      </c>
      <c r="AP938">
        <v>0</v>
      </c>
      <c r="AQ938">
        <v>1</v>
      </c>
      <c r="AR938">
        <v>43</v>
      </c>
      <c r="AS938">
        <v>1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1</v>
      </c>
      <c r="AZ938" t="s">
        <v>257</v>
      </c>
      <c r="BA938" t="s">
        <v>980</v>
      </c>
      <c r="BB938" t="s">
        <v>981</v>
      </c>
      <c r="BC938" t="s">
        <v>257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 t="s">
        <v>998</v>
      </c>
      <c r="BK938" t="s">
        <v>981</v>
      </c>
      <c r="BL938" t="s">
        <v>6350</v>
      </c>
      <c r="BM938">
        <v>20231211</v>
      </c>
      <c r="BN938">
        <v>20240708</v>
      </c>
      <c r="BO938">
        <v>0</v>
      </c>
      <c r="BP938" t="s">
        <v>257</v>
      </c>
      <c r="BQ938" t="s">
        <v>983</v>
      </c>
      <c r="BR938" t="s">
        <v>978</v>
      </c>
      <c r="BS938" t="s">
        <v>979</v>
      </c>
      <c r="BT938">
        <v>0</v>
      </c>
      <c r="BU938">
        <v>0</v>
      </c>
      <c r="BV938" t="s">
        <v>984</v>
      </c>
      <c r="BW938" t="s">
        <v>257</v>
      </c>
      <c r="BX938">
        <v>0</v>
      </c>
      <c r="BY938" t="s">
        <v>980</v>
      </c>
      <c r="BZ938" t="s">
        <v>257</v>
      </c>
      <c r="CA938">
        <v>0</v>
      </c>
      <c r="CB938">
        <v>0</v>
      </c>
      <c r="CC938" t="s">
        <v>1491</v>
      </c>
      <c r="CD938">
        <v>0</v>
      </c>
      <c r="CE938">
        <v>0</v>
      </c>
      <c r="CF938">
        <v>0</v>
      </c>
      <c r="CG938">
        <v>0</v>
      </c>
      <c r="CH938">
        <v>0</v>
      </c>
      <c r="CI938" t="s">
        <v>983</v>
      </c>
      <c r="CJ938" t="s">
        <v>972</v>
      </c>
      <c r="CK938" t="s">
        <v>986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 t="s">
        <v>987</v>
      </c>
      <c r="CV938">
        <v>400008943</v>
      </c>
      <c r="CW938" t="s">
        <v>987</v>
      </c>
      <c r="CX938" t="s">
        <v>6356</v>
      </c>
      <c r="CY938" t="s">
        <v>989</v>
      </c>
    </row>
    <row r="939" spans="1:103" hidden="1" x14ac:dyDescent="0.25">
      <c r="A939">
        <v>410000944</v>
      </c>
      <c r="B939" t="s">
        <v>5825</v>
      </c>
      <c r="C939" t="s">
        <v>6357</v>
      </c>
      <c r="D939">
        <v>401100000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1</v>
      </c>
      <c r="X939">
        <v>1</v>
      </c>
      <c r="Y939" t="s">
        <v>972</v>
      </c>
      <c r="Z939" t="s">
        <v>987</v>
      </c>
      <c r="AA939" t="s">
        <v>5822</v>
      </c>
      <c r="AB939" t="s">
        <v>975</v>
      </c>
      <c r="AC939">
        <v>4500</v>
      </c>
      <c r="AD939" t="s">
        <v>1445</v>
      </c>
      <c r="AE939">
        <v>3285252548</v>
      </c>
      <c r="AF939" t="s">
        <v>979</v>
      </c>
      <c r="AG939" t="s">
        <v>977</v>
      </c>
      <c r="AH939" t="s">
        <v>977</v>
      </c>
      <c r="AI939" t="s">
        <v>977</v>
      </c>
      <c r="AJ939" t="s">
        <v>978</v>
      </c>
      <c r="AK939" t="s">
        <v>978</v>
      </c>
      <c r="AL939" t="s">
        <v>978</v>
      </c>
      <c r="AM939" t="s">
        <v>979</v>
      </c>
      <c r="AN939">
        <v>0</v>
      </c>
      <c r="AO939" t="s">
        <v>257</v>
      </c>
      <c r="AP939">
        <v>0</v>
      </c>
      <c r="AQ939">
        <v>20</v>
      </c>
      <c r="AR939">
        <v>43</v>
      </c>
      <c r="AS939">
        <v>1</v>
      </c>
      <c r="AT939">
        <v>0</v>
      </c>
      <c r="AU939">
        <v>1</v>
      </c>
      <c r="AV939">
        <v>0</v>
      </c>
      <c r="AW939">
        <v>0</v>
      </c>
      <c r="AX939">
        <v>0</v>
      </c>
      <c r="AY939">
        <v>1</v>
      </c>
      <c r="AZ939" t="s">
        <v>257</v>
      </c>
      <c r="BA939" t="s">
        <v>980</v>
      </c>
      <c r="BB939" t="s">
        <v>981</v>
      </c>
      <c r="BC939" t="s">
        <v>257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 t="s">
        <v>998</v>
      </c>
      <c r="BK939" t="s">
        <v>981</v>
      </c>
      <c r="BL939" t="s">
        <v>5825</v>
      </c>
      <c r="BM939">
        <v>20231219</v>
      </c>
      <c r="BN939">
        <v>20240326</v>
      </c>
      <c r="BO939">
        <v>0</v>
      </c>
      <c r="BP939" t="s">
        <v>257</v>
      </c>
      <c r="BQ939" t="s">
        <v>983</v>
      </c>
      <c r="BR939" t="s">
        <v>978</v>
      </c>
      <c r="BS939" t="s">
        <v>979</v>
      </c>
      <c r="BT939">
        <v>0</v>
      </c>
      <c r="BU939">
        <v>0</v>
      </c>
      <c r="BV939" t="s">
        <v>984</v>
      </c>
      <c r="BW939" t="s">
        <v>257</v>
      </c>
      <c r="BX939">
        <v>0</v>
      </c>
      <c r="BY939" t="s">
        <v>980</v>
      </c>
      <c r="BZ939" t="s">
        <v>257</v>
      </c>
      <c r="CA939">
        <v>0</v>
      </c>
      <c r="CB939">
        <v>0</v>
      </c>
      <c r="CC939" t="s">
        <v>1000</v>
      </c>
      <c r="CD939">
        <v>0</v>
      </c>
      <c r="CE939">
        <v>0</v>
      </c>
      <c r="CF939">
        <v>0</v>
      </c>
      <c r="CG939">
        <v>0</v>
      </c>
      <c r="CH939">
        <v>0</v>
      </c>
      <c r="CI939" t="s">
        <v>983</v>
      </c>
      <c r="CJ939" t="s">
        <v>972</v>
      </c>
      <c r="CK939" t="s">
        <v>986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 t="s">
        <v>987</v>
      </c>
      <c r="CV939">
        <v>400008944</v>
      </c>
      <c r="CW939" t="s">
        <v>987</v>
      </c>
      <c r="CX939" t="s">
        <v>6358</v>
      </c>
      <c r="CY939" t="s">
        <v>989</v>
      </c>
    </row>
    <row r="940" spans="1:103" hidden="1" x14ac:dyDescent="0.25">
      <c r="A940">
        <v>410000945</v>
      </c>
      <c r="B940" t="s">
        <v>6359</v>
      </c>
      <c r="C940" t="s">
        <v>6004</v>
      </c>
      <c r="D940">
        <v>401100000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1</v>
      </c>
      <c r="X940">
        <v>1</v>
      </c>
      <c r="Y940" t="s">
        <v>972</v>
      </c>
      <c r="Z940" t="s">
        <v>987</v>
      </c>
      <c r="AA940" t="s">
        <v>6360</v>
      </c>
      <c r="AB940" t="s">
        <v>975</v>
      </c>
      <c r="AC940">
        <v>4101</v>
      </c>
      <c r="AD940" t="s">
        <v>1655</v>
      </c>
      <c r="AE940">
        <v>3243360420</v>
      </c>
      <c r="AF940" t="s">
        <v>979</v>
      </c>
      <c r="AG940" t="s">
        <v>977</v>
      </c>
      <c r="AH940" t="s">
        <v>977</v>
      </c>
      <c r="AI940" t="s">
        <v>977</v>
      </c>
      <c r="AJ940" t="s">
        <v>978</v>
      </c>
      <c r="AK940" t="s">
        <v>978</v>
      </c>
      <c r="AL940" t="s">
        <v>978</v>
      </c>
      <c r="AM940" t="s">
        <v>979</v>
      </c>
      <c r="AN940">
        <v>0</v>
      </c>
      <c r="AO940" t="s">
        <v>257</v>
      </c>
      <c r="AP940">
        <v>0</v>
      </c>
      <c r="AQ940">
        <v>1</v>
      </c>
      <c r="AR940">
        <v>43</v>
      </c>
      <c r="AS940">
        <v>1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1</v>
      </c>
      <c r="AZ940" t="s">
        <v>257</v>
      </c>
      <c r="BA940" t="s">
        <v>257</v>
      </c>
      <c r="BB940" t="s">
        <v>981</v>
      </c>
      <c r="BC940" t="s">
        <v>257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410000845</v>
      </c>
      <c r="BJ940" t="s">
        <v>998</v>
      </c>
      <c r="BK940" t="s">
        <v>981</v>
      </c>
      <c r="BL940" t="s">
        <v>6359</v>
      </c>
      <c r="BM940">
        <v>20231220</v>
      </c>
      <c r="BN940">
        <v>20231220</v>
      </c>
      <c r="BO940">
        <v>0</v>
      </c>
      <c r="BP940" t="s">
        <v>257</v>
      </c>
      <c r="BQ940" t="s">
        <v>983</v>
      </c>
      <c r="BR940" t="s">
        <v>978</v>
      </c>
      <c r="BS940" t="s">
        <v>979</v>
      </c>
      <c r="BT940">
        <v>0</v>
      </c>
      <c r="BU940">
        <v>0</v>
      </c>
      <c r="BV940" t="s">
        <v>984</v>
      </c>
      <c r="BW940" t="s">
        <v>257</v>
      </c>
      <c r="BX940">
        <v>0</v>
      </c>
      <c r="BY940" t="s">
        <v>980</v>
      </c>
      <c r="BZ940" t="s">
        <v>257</v>
      </c>
      <c r="CA940">
        <v>0</v>
      </c>
      <c r="CB940">
        <v>0</v>
      </c>
      <c r="CC940" t="s">
        <v>1207</v>
      </c>
      <c r="CD940">
        <v>0</v>
      </c>
      <c r="CE940">
        <v>0</v>
      </c>
      <c r="CF940">
        <v>0</v>
      </c>
      <c r="CG940">
        <v>0</v>
      </c>
      <c r="CH940">
        <v>0</v>
      </c>
      <c r="CI940" t="s">
        <v>983</v>
      </c>
      <c r="CJ940" t="s">
        <v>972</v>
      </c>
      <c r="CK940" t="s">
        <v>986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 t="s">
        <v>987</v>
      </c>
      <c r="CV940">
        <v>400008945</v>
      </c>
      <c r="CW940" t="s">
        <v>987</v>
      </c>
      <c r="CX940" t="s">
        <v>6361</v>
      </c>
      <c r="CY940" t="s">
        <v>989</v>
      </c>
    </row>
    <row r="941" spans="1:103" hidden="1" x14ac:dyDescent="0.25">
      <c r="A941">
        <v>410000946</v>
      </c>
      <c r="B941" t="s">
        <v>6362</v>
      </c>
      <c r="C941" t="s">
        <v>6363</v>
      </c>
      <c r="D941">
        <v>401100000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1</v>
      </c>
      <c r="X941">
        <v>1</v>
      </c>
      <c r="Y941" t="s">
        <v>972</v>
      </c>
      <c r="Z941" t="s">
        <v>987</v>
      </c>
      <c r="AA941" t="s">
        <v>6364</v>
      </c>
      <c r="AB941" t="s">
        <v>975</v>
      </c>
      <c r="AC941">
        <v>7110</v>
      </c>
      <c r="AD941" t="s">
        <v>4290</v>
      </c>
      <c r="AE941">
        <v>3264700045</v>
      </c>
      <c r="AF941" t="s">
        <v>979</v>
      </c>
      <c r="AG941" t="s">
        <v>977</v>
      </c>
      <c r="AH941" t="s">
        <v>977</v>
      </c>
      <c r="AI941" t="s">
        <v>977</v>
      </c>
      <c r="AJ941" t="s">
        <v>5923</v>
      </c>
      <c r="AK941" t="s">
        <v>978</v>
      </c>
      <c r="AL941" t="s">
        <v>978</v>
      </c>
      <c r="AM941" t="s">
        <v>979</v>
      </c>
      <c r="AN941">
        <v>0</v>
      </c>
      <c r="AO941" t="s">
        <v>257</v>
      </c>
      <c r="AP941">
        <v>0</v>
      </c>
      <c r="AQ941">
        <v>1</v>
      </c>
      <c r="AR941">
        <v>43</v>
      </c>
      <c r="AS941">
        <v>1</v>
      </c>
      <c r="AT941">
        <v>0</v>
      </c>
      <c r="AU941">
        <v>1</v>
      </c>
      <c r="AV941">
        <v>0</v>
      </c>
      <c r="AW941">
        <v>0</v>
      </c>
      <c r="AX941">
        <v>0</v>
      </c>
      <c r="AY941">
        <v>1</v>
      </c>
      <c r="AZ941" t="s">
        <v>257</v>
      </c>
      <c r="BA941" t="s">
        <v>980</v>
      </c>
      <c r="BB941" t="s">
        <v>981</v>
      </c>
      <c r="BC941" t="s">
        <v>257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 t="s">
        <v>998</v>
      </c>
      <c r="BK941" t="s">
        <v>981</v>
      </c>
      <c r="BL941" t="s">
        <v>6362</v>
      </c>
      <c r="BM941">
        <v>20231221</v>
      </c>
      <c r="BN941">
        <v>20231221</v>
      </c>
      <c r="BO941">
        <v>0</v>
      </c>
      <c r="BP941" t="s">
        <v>257</v>
      </c>
      <c r="BQ941" t="s">
        <v>983</v>
      </c>
      <c r="BR941" t="s">
        <v>978</v>
      </c>
      <c r="BS941" t="s">
        <v>979</v>
      </c>
      <c r="BT941">
        <v>0</v>
      </c>
      <c r="BU941">
        <v>0</v>
      </c>
      <c r="BV941" t="s">
        <v>984</v>
      </c>
      <c r="BW941" t="s">
        <v>257</v>
      </c>
      <c r="BX941">
        <v>0</v>
      </c>
      <c r="BY941" t="s">
        <v>980</v>
      </c>
      <c r="BZ941" t="s">
        <v>257</v>
      </c>
      <c r="CA941">
        <v>0</v>
      </c>
      <c r="CB941">
        <v>0</v>
      </c>
      <c r="CC941" t="s">
        <v>1901</v>
      </c>
      <c r="CD941">
        <v>0</v>
      </c>
      <c r="CE941">
        <v>0</v>
      </c>
      <c r="CF941">
        <v>0</v>
      </c>
      <c r="CG941">
        <v>0</v>
      </c>
      <c r="CH941">
        <v>0</v>
      </c>
      <c r="CI941" t="s">
        <v>983</v>
      </c>
      <c r="CJ941" t="s">
        <v>972</v>
      </c>
      <c r="CK941" t="s">
        <v>986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 t="s">
        <v>987</v>
      </c>
      <c r="CV941">
        <v>400008946</v>
      </c>
      <c r="CW941" t="s">
        <v>987</v>
      </c>
      <c r="CX941" t="s">
        <v>5924</v>
      </c>
      <c r="CY941" t="s">
        <v>989</v>
      </c>
    </row>
    <row r="942" spans="1:103" hidden="1" x14ac:dyDescent="0.25">
      <c r="A942">
        <v>410000947</v>
      </c>
      <c r="B942" t="s">
        <v>6365</v>
      </c>
      <c r="C942" t="s">
        <v>6366</v>
      </c>
      <c r="D942">
        <v>401100000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1</v>
      </c>
      <c r="X942">
        <v>1</v>
      </c>
      <c r="Y942" t="s">
        <v>972</v>
      </c>
      <c r="Z942" t="s">
        <v>987</v>
      </c>
      <c r="AA942" t="s">
        <v>6364</v>
      </c>
      <c r="AB942" t="s">
        <v>975</v>
      </c>
      <c r="AC942">
        <v>7110</v>
      </c>
      <c r="AD942" t="s">
        <v>4290</v>
      </c>
      <c r="AE942">
        <v>3264700045</v>
      </c>
      <c r="AF942" t="s">
        <v>979</v>
      </c>
      <c r="AG942" t="s">
        <v>6367</v>
      </c>
      <c r="AH942" t="s">
        <v>977</v>
      </c>
      <c r="AI942" t="s">
        <v>977</v>
      </c>
      <c r="AJ942" t="s">
        <v>6368</v>
      </c>
      <c r="AK942" t="s">
        <v>978</v>
      </c>
      <c r="AL942" t="s">
        <v>978</v>
      </c>
      <c r="AM942" t="s">
        <v>979</v>
      </c>
      <c r="AN942">
        <v>0</v>
      </c>
      <c r="AO942" t="s">
        <v>257</v>
      </c>
      <c r="AP942">
        <v>0</v>
      </c>
      <c r="AQ942">
        <v>1</v>
      </c>
      <c r="AR942">
        <v>43</v>
      </c>
      <c r="AS942">
        <v>1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1</v>
      </c>
      <c r="AZ942" t="s">
        <v>257</v>
      </c>
      <c r="BA942" t="s">
        <v>980</v>
      </c>
      <c r="BB942" t="s">
        <v>981</v>
      </c>
      <c r="BC942" t="s">
        <v>257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 t="s">
        <v>998</v>
      </c>
      <c r="BK942" t="s">
        <v>981</v>
      </c>
      <c r="BL942" t="s">
        <v>6365</v>
      </c>
      <c r="BM942">
        <v>20231221</v>
      </c>
      <c r="BN942">
        <v>20231221</v>
      </c>
      <c r="BO942">
        <v>0</v>
      </c>
      <c r="BP942" t="s">
        <v>257</v>
      </c>
      <c r="BQ942" t="s">
        <v>983</v>
      </c>
      <c r="BR942" t="s">
        <v>978</v>
      </c>
      <c r="BS942" t="s">
        <v>979</v>
      </c>
      <c r="BT942">
        <v>0</v>
      </c>
      <c r="BU942">
        <v>0</v>
      </c>
      <c r="BV942" t="s">
        <v>984</v>
      </c>
      <c r="BW942" t="s">
        <v>257</v>
      </c>
      <c r="BX942">
        <v>0</v>
      </c>
      <c r="BY942" t="s">
        <v>980</v>
      </c>
      <c r="BZ942" t="s">
        <v>257</v>
      </c>
      <c r="CA942">
        <v>0</v>
      </c>
      <c r="CB942">
        <v>0</v>
      </c>
      <c r="CC942" t="s">
        <v>1901</v>
      </c>
      <c r="CD942">
        <v>0</v>
      </c>
      <c r="CE942">
        <v>0</v>
      </c>
      <c r="CF942">
        <v>0</v>
      </c>
      <c r="CG942">
        <v>0</v>
      </c>
      <c r="CH942">
        <v>0</v>
      </c>
      <c r="CI942" t="s">
        <v>983</v>
      </c>
      <c r="CJ942" t="s">
        <v>972</v>
      </c>
      <c r="CK942" t="s">
        <v>986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 t="s">
        <v>987</v>
      </c>
      <c r="CV942">
        <v>400008947</v>
      </c>
      <c r="CW942" t="s">
        <v>987</v>
      </c>
      <c r="CX942" t="s">
        <v>6369</v>
      </c>
      <c r="CY942" t="s">
        <v>989</v>
      </c>
    </row>
    <row r="943" spans="1:103" hidden="1" x14ac:dyDescent="0.25">
      <c r="A943">
        <v>410000948</v>
      </c>
      <c r="B943" t="s">
        <v>6370</v>
      </c>
      <c r="C943" t="s">
        <v>6371</v>
      </c>
      <c r="D943">
        <v>401100000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1</v>
      </c>
      <c r="X943">
        <v>1</v>
      </c>
      <c r="Y943" t="s">
        <v>972</v>
      </c>
      <c r="Z943" t="s">
        <v>987</v>
      </c>
      <c r="AA943" t="s">
        <v>6364</v>
      </c>
      <c r="AB943" t="s">
        <v>975</v>
      </c>
      <c r="AC943">
        <v>7110</v>
      </c>
      <c r="AD943" t="s">
        <v>4290</v>
      </c>
      <c r="AE943">
        <v>3264700045</v>
      </c>
      <c r="AF943" t="s">
        <v>979</v>
      </c>
      <c r="AG943" t="s">
        <v>6367</v>
      </c>
      <c r="AH943" t="s">
        <v>977</v>
      </c>
      <c r="AI943" t="s">
        <v>977</v>
      </c>
      <c r="AJ943" t="s">
        <v>5923</v>
      </c>
      <c r="AK943" t="s">
        <v>978</v>
      </c>
      <c r="AL943" t="s">
        <v>978</v>
      </c>
      <c r="AM943" t="s">
        <v>979</v>
      </c>
      <c r="AN943">
        <v>0</v>
      </c>
      <c r="AO943" t="s">
        <v>257</v>
      </c>
      <c r="AP943">
        <v>0</v>
      </c>
      <c r="AQ943">
        <v>1</v>
      </c>
      <c r="AR943">
        <v>69</v>
      </c>
      <c r="AS943">
        <v>1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1</v>
      </c>
      <c r="AZ943" t="s">
        <v>257</v>
      </c>
      <c r="BA943" t="s">
        <v>980</v>
      </c>
      <c r="BB943" t="s">
        <v>981</v>
      </c>
      <c r="BC943" t="s">
        <v>257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 t="s">
        <v>998</v>
      </c>
      <c r="BK943" t="s">
        <v>981</v>
      </c>
      <c r="BL943" t="s">
        <v>6370</v>
      </c>
      <c r="BM943">
        <v>20231221</v>
      </c>
      <c r="BN943">
        <v>20240910</v>
      </c>
      <c r="BO943">
        <v>0</v>
      </c>
      <c r="BP943" t="s">
        <v>257</v>
      </c>
      <c r="BQ943" t="s">
        <v>983</v>
      </c>
      <c r="BR943" t="s">
        <v>978</v>
      </c>
      <c r="BS943" t="s">
        <v>979</v>
      </c>
      <c r="BT943">
        <v>0</v>
      </c>
      <c r="BU943">
        <v>0</v>
      </c>
      <c r="BV943" t="s">
        <v>984</v>
      </c>
      <c r="BW943" t="s">
        <v>257</v>
      </c>
      <c r="BX943">
        <v>0</v>
      </c>
      <c r="BY943" t="s">
        <v>980</v>
      </c>
      <c r="BZ943" t="s">
        <v>257</v>
      </c>
      <c r="CA943">
        <v>0</v>
      </c>
      <c r="CB943">
        <v>0</v>
      </c>
      <c r="CC943" t="s">
        <v>1901</v>
      </c>
      <c r="CD943">
        <v>0</v>
      </c>
      <c r="CE943">
        <v>0</v>
      </c>
      <c r="CF943">
        <v>0</v>
      </c>
      <c r="CG943">
        <v>0</v>
      </c>
      <c r="CH943">
        <v>0</v>
      </c>
      <c r="CI943" t="s">
        <v>983</v>
      </c>
      <c r="CJ943" t="s">
        <v>972</v>
      </c>
      <c r="CK943" t="s">
        <v>986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 t="s">
        <v>987</v>
      </c>
      <c r="CV943">
        <v>400008948</v>
      </c>
      <c r="CW943" t="s">
        <v>987</v>
      </c>
      <c r="CX943" t="s">
        <v>6369</v>
      </c>
      <c r="CY943" t="s">
        <v>989</v>
      </c>
    </row>
    <row r="944" spans="1:103" hidden="1" x14ac:dyDescent="0.25">
      <c r="A944">
        <v>410000949</v>
      </c>
      <c r="B944" t="s">
        <v>6372</v>
      </c>
      <c r="C944" t="s">
        <v>6373</v>
      </c>
      <c r="D944">
        <v>401100000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1</v>
      </c>
      <c r="X944">
        <v>1</v>
      </c>
      <c r="Y944" t="s">
        <v>972</v>
      </c>
      <c r="Z944" t="s">
        <v>987</v>
      </c>
      <c r="AA944" t="s">
        <v>6364</v>
      </c>
      <c r="AB944" t="s">
        <v>975</v>
      </c>
      <c r="AC944">
        <v>7110</v>
      </c>
      <c r="AD944" t="s">
        <v>4290</v>
      </c>
      <c r="AE944">
        <v>3264700045</v>
      </c>
      <c r="AF944" t="s">
        <v>979</v>
      </c>
      <c r="AG944" t="s">
        <v>6367</v>
      </c>
      <c r="AH944" t="s">
        <v>977</v>
      </c>
      <c r="AI944" t="s">
        <v>977</v>
      </c>
      <c r="AJ944" t="s">
        <v>5923</v>
      </c>
      <c r="AK944" t="s">
        <v>978</v>
      </c>
      <c r="AL944" t="s">
        <v>978</v>
      </c>
      <c r="AM944" t="s">
        <v>979</v>
      </c>
      <c r="AN944">
        <v>0</v>
      </c>
      <c r="AO944" t="s">
        <v>257</v>
      </c>
      <c r="AP944">
        <v>0</v>
      </c>
      <c r="AQ944">
        <v>1</v>
      </c>
      <c r="AR944">
        <v>43</v>
      </c>
      <c r="AS944">
        <v>1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1</v>
      </c>
      <c r="AZ944" t="s">
        <v>257</v>
      </c>
      <c r="BA944" t="s">
        <v>980</v>
      </c>
      <c r="BB944" t="s">
        <v>981</v>
      </c>
      <c r="BC944" t="s">
        <v>257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 t="s">
        <v>998</v>
      </c>
      <c r="BK944" t="s">
        <v>981</v>
      </c>
      <c r="BL944" t="s">
        <v>6372</v>
      </c>
      <c r="BM944">
        <v>20231221</v>
      </c>
      <c r="BN944">
        <v>0</v>
      </c>
      <c r="BO944">
        <v>0</v>
      </c>
      <c r="BP944" t="s">
        <v>257</v>
      </c>
      <c r="BQ944" t="s">
        <v>983</v>
      </c>
      <c r="BR944" t="s">
        <v>978</v>
      </c>
      <c r="BS944" t="s">
        <v>979</v>
      </c>
      <c r="BT944">
        <v>0</v>
      </c>
      <c r="BU944">
        <v>0</v>
      </c>
      <c r="BV944" t="s">
        <v>984</v>
      </c>
      <c r="BW944" t="s">
        <v>257</v>
      </c>
      <c r="BX944">
        <v>0</v>
      </c>
      <c r="BY944" t="s">
        <v>980</v>
      </c>
      <c r="BZ944" t="s">
        <v>257</v>
      </c>
      <c r="CA944">
        <v>0</v>
      </c>
      <c r="CB944">
        <v>0</v>
      </c>
      <c r="CC944" t="s">
        <v>1901</v>
      </c>
      <c r="CD944">
        <v>0</v>
      </c>
      <c r="CE944">
        <v>0</v>
      </c>
      <c r="CF944">
        <v>0</v>
      </c>
      <c r="CG944">
        <v>0</v>
      </c>
      <c r="CH944">
        <v>0</v>
      </c>
      <c r="CI944" t="s">
        <v>983</v>
      </c>
      <c r="CJ944" t="s">
        <v>972</v>
      </c>
      <c r="CK944" t="s">
        <v>986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 t="s">
        <v>987</v>
      </c>
      <c r="CV944">
        <v>400008949</v>
      </c>
      <c r="CW944" t="s">
        <v>987</v>
      </c>
      <c r="CX944" t="s">
        <v>6369</v>
      </c>
      <c r="CY944" t="s">
        <v>989</v>
      </c>
    </row>
    <row r="945" spans="1:103" hidden="1" x14ac:dyDescent="0.25">
      <c r="A945">
        <v>410000950</v>
      </c>
      <c r="B945" t="s">
        <v>6374</v>
      </c>
      <c r="C945" t="s">
        <v>6375</v>
      </c>
      <c r="D945">
        <v>401100000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1</v>
      </c>
      <c r="X945">
        <v>1</v>
      </c>
      <c r="Y945" t="s">
        <v>972</v>
      </c>
      <c r="Z945" t="s">
        <v>987</v>
      </c>
      <c r="AA945" t="s">
        <v>6376</v>
      </c>
      <c r="AB945" t="s">
        <v>975</v>
      </c>
      <c r="AC945">
        <v>4460</v>
      </c>
      <c r="AD945" t="s">
        <v>1946</v>
      </c>
      <c r="AE945">
        <v>3264700045</v>
      </c>
      <c r="AF945" t="s">
        <v>979</v>
      </c>
      <c r="AG945" t="s">
        <v>6367</v>
      </c>
      <c r="AH945" t="s">
        <v>977</v>
      </c>
      <c r="AI945" t="s">
        <v>977</v>
      </c>
      <c r="AJ945" t="s">
        <v>978</v>
      </c>
      <c r="AK945" t="s">
        <v>978</v>
      </c>
      <c r="AL945" t="s">
        <v>978</v>
      </c>
      <c r="AM945" t="s">
        <v>979</v>
      </c>
      <c r="AN945">
        <v>0</v>
      </c>
      <c r="AO945" t="s">
        <v>257</v>
      </c>
      <c r="AP945">
        <v>0</v>
      </c>
      <c r="AQ945">
        <v>1</v>
      </c>
      <c r="AR945">
        <v>43</v>
      </c>
      <c r="AS945">
        <v>1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1</v>
      </c>
      <c r="AZ945" t="s">
        <v>257</v>
      </c>
      <c r="BA945" t="s">
        <v>980</v>
      </c>
      <c r="BB945" t="s">
        <v>981</v>
      </c>
      <c r="BC945" t="s">
        <v>257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 t="s">
        <v>998</v>
      </c>
      <c r="BK945" t="s">
        <v>981</v>
      </c>
      <c r="BL945" t="s">
        <v>6374</v>
      </c>
      <c r="BM945">
        <v>20231221</v>
      </c>
      <c r="BN945">
        <v>20231221</v>
      </c>
      <c r="BO945">
        <v>0</v>
      </c>
      <c r="BP945" t="s">
        <v>257</v>
      </c>
      <c r="BQ945" t="s">
        <v>983</v>
      </c>
      <c r="BR945" t="s">
        <v>978</v>
      </c>
      <c r="BS945" t="s">
        <v>979</v>
      </c>
      <c r="BT945">
        <v>0</v>
      </c>
      <c r="BU945">
        <v>0</v>
      </c>
      <c r="BV945" t="s">
        <v>984</v>
      </c>
      <c r="BW945" t="s">
        <v>257</v>
      </c>
      <c r="BX945">
        <v>0</v>
      </c>
      <c r="BY945" t="s">
        <v>980</v>
      </c>
      <c r="BZ945" t="s">
        <v>257</v>
      </c>
      <c r="CA945">
        <v>0</v>
      </c>
      <c r="CB945">
        <v>0</v>
      </c>
      <c r="CC945" t="s">
        <v>1391</v>
      </c>
      <c r="CD945">
        <v>0</v>
      </c>
      <c r="CE945">
        <v>0</v>
      </c>
      <c r="CF945">
        <v>0</v>
      </c>
      <c r="CG945">
        <v>0</v>
      </c>
      <c r="CH945">
        <v>0</v>
      </c>
      <c r="CI945" t="s">
        <v>983</v>
      </c>
      <c r="CJ945" t="s">
        <v>972</v>
      </c>
      <c r="CK945" t="s">
        <v>986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 t="s">
        <v>987</v>
      </c>
      <c r="CV945">
        <v>400008950</v>
      </c>
      <c r="CW945" t="s">
        <v>987</v>
      </c>
      <c r="CX945" t="s">
        <v>6369</v>
      </c>
      <c r="CY945" t="s">
        <v>989</v>
      </c>
    </row>
    <row r="946" spans="1:103" hidden="1" x14ac:dyDescent="0.25">
      <c r="A946">
        <v>410000951</v>
      </c>
      <c r="B946" t="s">
        <v>263</v>
      </c>
      <c r="C946" t="s">
        <v>6377</v>
      </c>
      <c r="D946">
        <v>401100000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1</v>
      </c>
      <c r="Y946" t="s">
        <v>972</v>
      </c>
      <c r="Z946" t="s">
        <v>987</v>
      </c>
      <c r="AA946" t="s">
        <v>6378</v>
      </c>
      <c r="AB946" t="s">
        <v>975</v>
      </c>
      <c r="AC946">
        <v>7110</v>
      </c>
      <c r="AD946" t="s">
        <v>4290</v>
      </c>
      <c r="AE946">
        <v>3264700045</v>
      </c>
      <c r="AF946" t="s">
        <v>979</v>
      </c>
      <c r="AG946" t="s">
        <v>6367</v>
      </c>
      <c r="AH946" t="s">
        <v>977</v>
      </c>
      <c r="AI946" t="s">
        <v>977</v>
      </c>
      <c r="AJ946" t="s">
        <v>5923</v>
      </c>
      <c r="AK946" t="s">
        <v>978</v>
      </c>
      <c r="AL946" t="s">
        <v>978</v>
      </c>
      <c r="AM946" t="s">
        <v>979</v>
      </c>
      <c r="AN946">
        <v>0</v>
      </c>
      <c r="AO946" t="s">
        <v>257</v>
      </c>
      <c r="AP946">
        <v>0</v>
      </c>
      <c r="AQ946">
        <v>1</v>
      </c>
      <c r="AR946">
        <v>69</v>
      </c>
      <c r="AS946">
        <v>1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1</v>
      </c>
      <c r="AZ946" t="s">
        <v>257</v>
      </c>
      <c r="BA946" t="s">
        <v>980</v>
      </c>
      <c r="BB946" t="s">
        <v>981</v>
      </c>
      <c r="BC946" t="s">
        <v>257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 t="s">
        <v>998</v>
      </c>
      <c r="BK946" t="s">
        <v>981</v>
      </c>
      <c r="BL946" t="s">
        <v>263</v>
      </c>
      <c r="BM946">
        <v>20231221</v>
      </c>
      <c r="BN946">
        <v>20240910</v>
      </c>
      <c r="BO946">
        <v>0</v>
      </c>
      <c r="BP946" t="s">
        <v>257</v>
      </c>
      <c r="BQ946" t="s">
        <v>983</v>
      </c>
      <c r="BR946" t="s">
        <v>978</v>
      </c>
      <c r="BS946" t="s">
        <v>979</v>
      </c>
      <c r="BT946">
        <v>0</v>
      </c>
      <c r="BU946">
        <v>0</v>
      </c>
      <c r="BV946" t="s">
        <v>984</v>
      </c>
      <c r="BW946" t="s">
        <v>257</v>
      </c>
      <c r="BX946">
        <v>0</v>
      </c>
      <c r="BY946" t="s">
        <v>980</v>
      </c>
      <c r="BZ946" t="s">
        <v>257</v>
      </c>
      <c r="CA946">
        <v>0</v>
      </c>
      <c r="CB946">
        <v>0</v>
      </c>
      <c r="CC946" t="s">
        <v>1901</v>
      </c>
      <c r="CD946">
        <v>0</v>
      </c>
      <c r="CE946">
        <v>0</v>
      </c>
      <c r="CF946">
        <v>0</v>
      </c>
      <c r="CG946">
        <v>0</v>
      </c>
      <c r="CH946">
        <v>0</v>
      </c>
      <c r="CI946" t="s">
        <v>983</v>
      </c>
      <c r="CJ946" t="s">
        <v>972</v>
      </c>
      <c r="CK946" t="s">
        <v>986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 t="s">
        <v>987</v>
      </c>
      <c r="CV946">
        <v>400008951</v>
      </c>
      <c r="CW946" t="s">
        <v>987</v>
      </c>
      <c r="CX946" t="s">
        <v>6369</v>
      </c>
      <c r="CY946" t="s">
        <v>989</v>
      </c>
    </row>
    <row r="947" spans="1:103" hidden="1" x14ac:dyDescent="0.25">
      <c r="A947">
        <v>410000952</v>
      </c>
      <c r="B947" t="s">
        <v>6379</v>
      </c>
      <c r="C947" t="s">
        <v>6380</v>
      </c>
      <c r="D947">
        <v>401100000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1</v>
      </c>
      <c r="Y947" t="s">
        <v>972</v>
      </c>
      <c r="Z947" t="s">
        <v>4834</v>
      </c>
      <c r="AA947" t="s">
        <v>6381</v>
      </c>
      <c r="AB947" t="s">
        <v>975</v>
      </c>
      <c r="AC947">
        <v>4802</v>
      </c>
      <c r="AD947" t="s">
        <v>1378</v>
      </c>
      <c r="AE947" t="s">
        <v>979</v>
      </c>
      <c r="AF947" t="s">
        <v>979</v>
      </c>
      <c r="AG947" t="s">
        <v>6382</v>
      </c>
      <c r="AH947" t="s">
        <v>977</v>
      </c>
      <c r="AI947" t="s">
        <v>977</v>
      </c>
      <c r="AJ947" t="s">
        <v>978</v>
      </c>
      <c r="AK947" t="s">
        <v>978</v>
      </c>
      <c r="AL947" t="s">
        <v>978</v>
      </c>
      <c r="AM947" t="s">
        <v>979</v>
      </c>
      <c r="AN947">
        <v>0</v>
      </c>
      <c r="AO947" t="s">
        <v>257</v>
      </c>
      <c r="AP947">
        <v>0</v>
      </c>
      <c r="AQ947">
        <v>1</v>
      </c>
      <c r="AR947">
        <v>43</v>
      </c>
      <c r="AS947">
        <v>1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1</v>
      </c>
      <c r="AZ947" t="s">
        <v>257</v>
      </c>
      <c r="BA947" t="s">
        <v>980</v>
      </c>
      <c r="BB947" t="s">
        <v>981</v>
      </c>
      <c r="BC947" t="s">
        <v>257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 t="s">
        <v>998</v>
      </c>
      <c r="BK947" t="s">
        <v>981</v>
      </c>
      <c r="BL947" t="s">
        <v>6379</v>
      </c>
      <c r="BM947">
        <v>20231221</v>
      </c>
      <c r="BN947">
        <v>20241119</v>
      </c>
      <c r="BO947">
        <v>0</v>
      </c>
      <c r="BP947" t="s">
        <v>257</v>
      </c>
      <c r="BQ947" t="s">
        <v>983</v>
      </c>
      <c r="BR947" t="s">
        <v>978</v>
      </c>
      <c r="BS947">
        <v>32498659438</v>
      </c>
      <c r="BT947">
        <v>0</v>
      </c>
      <c r="BU947">
        <v>0</v>
      </c>
      <c r="BV947" t="s">
        <v>984</v>
      </c>
      <c r="BW947" t="s">
        <v>257</v>
      </c>
      <c r="BX947">
        <v>0</v>
      </c>
      <c r="BY947" t="s">
        <v>980</v>
      </c>
      <c r="BZ947" t="s">
        <v>257</v>
      </c>
      <c r="CA947">
        <v>0</v>
      </c>
      <c r="CB947">
        <v>0</v>
      </c>
      <c r="CC947" t="s">
        <v>1916</v>
      </c>
      <c r="CD947">
        <v>0</v>
      </c>
      <c r="CE947">
        <v>0</v>
      </c>
      <c r="CF947">
        <v>0</v>
      </c>
      <c r="CG947">
        <v>0</v>
      </c>
      <c r="CH947">
        <v>0</v>
      </c>
      <c r="CI947" t="s">
        <v>983</v>
      </c>
      <c r="CJ947" t="s">
        <v>972</v>
      </c>
      <c r="CK947" t="s">
        <v>986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 t="s">
        <v>987</v>
      </c>
      <c r="CV947">
        <v>400008952</v>
      </c>
      <c r="CW947" t="s">
        <v>987</v>
      </c>
      <c r="CX947" t="s">
        <v>6383</v>
      </c>
      <c r="CY947" t="s">
        <v>989</v>
      </c>
    </row>
    <row r="948" spans="1:103" hidden="1" x14ac:dyDescent="0.25">
      <c r="A948">
        <v>410000953</v>
      </c>
      <c r="B948" t="s">
        <v>6384</v>
      </c>
      <c r="C948" t="s">
        <v>6385</v>
      </c>
      <c r="D948">
        <v>401100000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</v>
      </c>
      <c r="W948">
        <v>1</v>
      </c>
      <c r="X948">
        <v>1</v>
      </c>
      <c r="Y948" t="s">
        <v>972</v>
      </c>
      <c r="Z948" t="s">
        <v>6386</v>
      </c>
      <c r="AA948" t="s">
        <v>6387</v>
      </c>
      <c r="AB948" t="s">
        <v>1626</v>
      </c>
      <c r="AC948">
        <v>1331</v>
      </c>
      <c r="AD948" t="s">
        <v>6388</v>
      </c>
      <c r="AE948">
        <v>352276140450</v>
      </c>
      <c r="AF948" t="s">
        <v>979</v>
      </c>
      <c r="AG948" t="s">
        <v>977</v>
      </c>
      <c r="AH948" t="s">
        <v>6389</v>
      </c>
      <c r="AI948">
        <v>82190</v>
      </c>
      <c r="AJ948" t="s">
        <v>978</v>
      </c>
      <c r="AK948" t="s">
        <v>978</v>
      </c>
      <c r="AL948" t="s">
        <v>978</v>
      </c>
      <c r="AM948" t="s">
        <v>979</v>
      </c>
      <c r="AN948">
        <v>0</v>
      </c>
      <c r="AO948" t="s">
        <v>257</v>
      </c>
      <c r="AP948">
        <v>30</v>
      </c>
      <c r="AQ948">
        <v>1</v>
      </c>
      <c r="AR948">
        <v>43</v>
      </c>
      <c r="AS948">
        <v>1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1</v>
      </c>
      <c r="AZ948" t="s">
        <v>257</v>
      </c>
      <c r="BA948" t="s">
        <v>980</v>
      </c>
      <c r="BB948" t="s">
        <v>981</v>
      </c>
      <c r="BC948" t="s">
        <v>257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 t="s">
        <v>998</v>
      </c>
      <c r="BK948" t="s">
        <v>981</v>
      </c>
      <c r="BL948" t="s">
        <v>6384</v>
      </c>
      <c r="BM948">
        <v>20240105</v>
      </c>
      <c r="BN948">
        <v>20240108</v>
      </c>
      <c r="BO948">
        <v>0</v>
      </c>
      <c r="BP948" t="s">
        <v>257</v>
      </c>
      <c r="BQ948" t="s">
        <v>983</v>
      </c>
      <c r="BR948" t="s">
        <v>978</v>
      </c>
      <c r="BS948" t="s">
        <v>979</v>
      </c>
      <c r="BT948">
        <v>0</v>
      </c>
      <c r="BU948">
        <v>0</v>
      </c>
      <c r="BV948" t="s">
        <v>984</v>
      </c>
      <c r="BW948" t="s">
        <v>257</v>
      </c>
      <c r="BX948">
        <v>0</v>
      </c>
      <c r="BY948" t="s">
        <v>980</v>
      </c>
      <c r="BZ948" t="s">
        <v>257</v>
      </c>
      <c r="CA948">
        <v>0</v>
      </c>
      <c r="CB948">
        <v>0</v>
      </c>
      <c r="CC948" t="s">
        <v>1033</v>
      </c>
      <c r="CD948">
        <v>0</v>
      </c>
      <c r="CE948">
        <v>0</v>
      </c>
      <c r="CF948">
        <v>0</v>
      </c>
      <c r="CG948">
        <v>0</v>
      </c>
      <c r="CH948">
        <v>0</v>
      </c>
      <c r="CI948" t="s">
        <v>983</v>
      </c>
      <c r="CJ948" t="s">
        <v>972</v>
      </c>
      <c r="CK948" t="s">
        <v>986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 t="s">
        <v>987</v>
      </c>
      <c r="CV948">
        <v>400008953</v>
      </c>
      <c r="CW948" t="s">
        <v>987</v>
      </c>
      <c r="CX948" t="s">
        <v>6390</v>
      </c>
      <c r="CY948" t="s">
        <v>989</v>
      </c>
    </row>
    <row r="949" spans="1:103" hidden="1" x14ac:dyDescent="0.25">
      <c r="A949">
        <v>410000954</v>
      </c>
      <c r="B949" t="s">
        <v>6391</v>
      </c>
      <c r="C949" t="s">
        <v>6392</v>
      </c>
      <c r="D949">
        <v>401100000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1</v>
      </c>
      <c r="X949">
        <v>1</v>
      </c>
      <c r="Y949" t="s">
        <v>972</v>
      </c>
      <c r="Z949" t="s">
        <v>4834</v>
      </c>
      <c r="AA949" t="s">
        <v>6393</v>
      </c>
      <c r="AB949" t="s">
        <v>975</v>
      </c>
      <c r="AC949">
        <v>1060</v>
      </c>
      <c r="AD949" t="s">
        <v>3708</v>
      </c>
      <c r="AE949">
        <v>3225541200</v>
      </c>
      <c r="AF949" t="s">
        <v>979</v>
      </c>
      <c r="AG949" t="s">
        <v>977</v>
      </c>
      <c r="AH949">
        <v>885117476</v>
      </c>
      <c r="AI949" t="s">
        <v>6394</v>
      </c>
      <c r="AJ949" t="s">
        <v>5844</v>
      </c>
      <c r="AK949" t="s">
        <v>978</v>
      </c>
      <c r="AL949" t="s">
        <v>978</v>
      </c>
      <c r="AM949" t="s">
        <v>979</v>
      </c>
      <c r="AN949">
        <v>0</v>
      </c>
      <c r="AO949" t="s">
        <v>257</v>
      </c>
      <c r="AP949">
        <v>0</v>
      </c>
      <c r="AQ949">
        <v>1</v>
      </c>
      <c r="AR949">
        <v>43</v>
      </c>
      <c r="AS949">
        <v>1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1</v>
      </c>
      <c r="AZ949" t="s">
        <v>257</v>
      </c>
      <c r="BA949" t="s">
        <v>980</v>
      </c>
      <c r="BB949" t="s">
        <v>981</v>
      </c>
      <c r="BC949" t="s">
        <v>257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 t="s">
        <v>998</v>
      </c>
      <c r="BK949" t="s">
        <v>981</v>
      </c>
      <c r="BL949" t="s">
        <v>6391</v>
      </c>
      <c r="BM949">
        <v>20240109</v>
      </c>
      <c r="BN949">
        <v>20240109</v>
      </c>
      <c r="BO949">
        <v>0</v>
      </c>
      <c r="BP949" t="s">
        <v>257</v>
      </c>
      <c r="BQ949" t="s">
        <v>983</v>
      </c>
      <c r="BR949" t="s">
        <v>978</v>
      </c>
      <c r="BS949" t="s">
        <v>979</v>
      </c>
      <c r="BT949">
        <v>0</v>
      </c>
      <c r="BU949">
        <v>0</v>
      </c>
      <c r="BV949" t="s">
        <v>984</v>
      </c>
      <c r="BW949" t="s">
        <v>257</v>
      </c>
      <c r="BX949">
        <v>0</v>
      </c>
      <c r="BY949" t="s">
        <v>980</v>
      </c>
      <c r="BZ949" t="s">
        <v>257</v>
      </c>
      <c r="CA949">
        <v>0</v>
      </c>
      <c r="CB949">
        <v>0</v>
      </c>
      <c r="CC949" t="s">
        <v>1901</v>
      </c>
      <c r="CD949">
        <v>0</v>
      </c>
      <c r="CE949">
        <v>0</v>
      </c>
      <c r="CF949">
        <v>0</v>
      </c>
      <c r="CG949">
        <v>0</v>
      </c>
      <c r="CH949">
        <v>0</v>
      </c>
      <c r="CI949" t="s">
        <v>983</v>
      </c>
      <c r="CJ949" t="s">
        <v>972</v>
      </c>
      <c r="CK949" t="s">
        <v>986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 t="s">
        <v>987</v>
      </c>
      <c r="CV949">
        <v>400008954</v>
      </c>
      <c r="CW949" t="s">
        <v>987</v>
      </c>
      <c r="CX949" t="s">
        <v>6395</v>
      </c>
      <c r="CY949" t="s">
        <v>989</v>
      </c>
    </row>
    <row r="950" spans="1:103" hidden="1" x14ac:dyDescent="0.25">
      <c r="A950">
        <v>410000955</v>
      </c>
      <c r="B950" t="s">
        <v>6396</v>
      </c>
      <c r="C950" t="s">
        <v>6397</v>
      </c>
      <c r="D950">
        <v>401100000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</v>
      </c>
      <c r="X950">
        <v>1</v>
      </c>
      <c r="Y950" t="s">
        <v>972</v>
      </c>
      <c r="Z950" t="s">
        <v>987</v>
      </c>
      <c r="AA950" t="s">
        <v>6398</v>
      </c>
      <c r="AB950" t="s">
        <v>975</v>
      </c>
      <c r="AC950">
        <v>4000</v>
      </c>
      <c r="AD950" t="s">
        <v>1019</v>
      </c>
      <c r="AE950" t="s">
        <v>979</v>
      </c>
      <c r="AF950" t="s">
        <v>979</v>
      </c>
      <c r="AG950" t="s">
        <v>977</v>
      </c>
      <c r="AH950">
        <v>846080322</v>
      </c>
      <c r="AI950" t="s">
        <v>5583</v>
      </c>
      <c r="AJ950" t="s">
        <v>978</v>
      </c>
      <c r="AK950" t="s">
        <v>978</v>
      </c>
      <c r="AL950" t="s">
        <v>978</v>
      </c>
      <c r="AM950" t="s">
        <v>979</v>
      </c>
      <c r="AN950">
        <v>0</v>
      </c>
      <c r="AO950" t="s">
        <v>257</v>
      </c>
      <c r="AP950">
        <v>0</v>
      </c>
      <c r="AQ950">
        <v>1</v>
      </c>
      <c r="AR950">
        <v>43</v>
      </c>
      <c r="AS950">
        <v>1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1</v>
      </c>
      <c r="AZ950" t="s">
        <v>257</v>
      </c>
      <c r="BA950" t="s">
        <v>980</v>
      </c>
      <c r="BB950" t="s">
        <v>981</v>
      </c>
      <c r="BC950" t="s">
        <v>257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 t="s">
        <v>998</v>
      </c>
      <c r="BK950" t="s">
        <v>981</v>
      </c>
      <c r="BL950" t="s">
        <v>6396</v>
      </c>
      <c r="BM950">
        <v>20240112</v>
      </c>
      <c r="BN950">
        <v>20240115</v>
      </c>
      <c r="BO950">
        <v>0</v>
      </c>
      <c r="BP950" t="s">
        <v>257</v>
      </c>
      <c r="BQ950" t="s">
        <v>983</v>
      </c>
      <c r="BR950" t="s">
        <v>978</v>
      </c>
      <c r="BS950">
        <v>32486995806</v>
      </c>
      <c r="BT950">
        <v>0</v>
      </c>
      <c r="BU950">
        <v>0</v>
      </c>
      <c r="BV950" t="s">
        <v>984</v>
      </c>
      <c r="BW950" t="s">
        <v>257</v>
      </c>
      <c r="BX950">
        <v>0</v>
      </c>
      <c r="BY950" t="s">
        <v>980</v>
      </c>
      <c r="BZ950" t="s">
        <v>257</v>
      </c>
      <c r="CA950">
        <v>0</v>
      </c>
      <c r="CB950">
        <v>0</v>
      </c>
      <c r="CC950" t="s">
        <v>1371</v>
      </c>
      <c r="CD950">
        <v>0</v>
      </c>
      <c r="CE950">
        <v>0</v>
      </c>
      <c r="CF950">
        <v>0</v>
      </c>
      <c r="CG950">
        <v>0</v>
      </c>
      <c r="CH950">
        <v>0</v>
      </c>
      <c r="CI950" t="s">
        <v>983</v>
      </c>
      <c r="CJ950" t="s">
        <v>972</v>
      </c>
      <c r="CK950" t="s">
        <v>986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 t="s">
        <v>987</v>
      </c>
      <c r="CV950">
        <v>400008955</v>
      </c>
      <c r="CW950" t="s">
        <v>987</v>
      </c>
      <c r="CX950" t="s">
        <v>6399</v>
      </c>
      <c r="CY950" t="s">
        <v>989</v>
      </c>
    </row>
    <row r="951" spans="1:103" x14ac:dyDescent="0.25">
      <c r="A951">
        <v>410000956</v>
      </c>
      <c r="B951" t="s">
        <v>6400</v>
      </c>
      <c r="C951" t="s">
        <v>6401</v>
      </c>
      <c r="D951">
        <v>401100000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1</v>
      </c>
      <c r="X951">
        <v>1</v>
      </c>
      <c r="Y951" t="s">
        <v>972</v>
      </c>
      <c r="Z951" t="s">
        <v>987</v>
      </c>
      <c r="AA951" t="s">
        <v>6402</v>
      </c>
      <c r="AB951" t="s">
        <v>975</v>
      </c>
      <c r="AC951">
        <v>4081</v>
      </c>
      <c r="AD951" t="s">
        <v>1730</v>
      </c>
      <c r="AE951">
        <v>324371311</v>
      </c>
      <c r="AF951" t="s">
        <v>979</v>
      </c>
      <c r="AG951" t="s">
        <v>977</v>
      </c>
      <c r="AH951">
        <v>793977959</v>
      </c>
      <c r="AI951">
        <v>46731</v>
      </c>
      <c r="AJ951" t="s">
        <v>978</v>
      </c>
      <c r="AK951" t="s">
        <v>978</v>
      </c>
      <c r="AL951" t="s">
        <v>978</v>
      </c>
      <c r="AM951" t="s">
        <v>979</v>
      </c>
      <c r="AN951">
        <v>0</v>
      </c>
      <c r="AO951" t="s">
        <v>257</v>
      </c>
      <c r="AP951">
        <v>0</v>
      </c>
      <c r="AQ951">
        <v>1</v>
      </c>
      <c r="AR951">
        <v>43</v>
      </c>
      <c r="AS951">
        <v>1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1</v>
      </c>
      <c r="AZ951" t="s">
        <v>257</v>
      </c>
      <c r="BA951" t="s">
        <v>980</v>
      </c>
      <c r="BB951" t="s">
        <v>981</v>
      </c>
      <c r="BC951" t="s">
        <v>257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 t="s">
        <v>998</v>
      </c>
      <c r="BK951" t="s">
        <v>981</v>
      </c>
      <c r="BL951" t="s">
        <v>6400</v>
      </c>
      <c r="BM951">
        <v>20240117</v>
      </c>
      <c r="BN951">
        <v>20251124</v>
      </c>
      <c r="BO951">
        <v>0</v>
      </c>
      <c r="BP951" t="s">
        <v>257</v>
      </c>
      <c r="BQ951" t="s">
        <v>983</v>
      </c>
      <c r="BR951" t="s">
        <v>978</v>
      </c>
      <c r="BS951" t="s">
        <v>979</v>
      </c>
      <c r="BT951">
        <v>0</v>
      </c>
      <c r="BU951">
        <v>0</v>
      </c>
      <c r="BV951" t="s">
        <v>984</v>
      </c>
      <c r="BW951" t="s">
        <v>257</v>
      </c>
      <c r="BX951">
        <v>0</v>
      </c>
      <c r="BY951" t="s">
        <v>980</v>
      </c>
      <c r="BZ951" t="s">
        <v>257</v>
      </c>
      <c r="CA951">
        <v>0</v>
      </c>
      <c r="CB951">
        <v>0</v>
      </c>
      <c r="CC951" t="s">
        <v>1088</v>
      </c>
      <c r="CD951">
        <v>0</v>
      </c>
      <c r="CE951">
        <v>0</v>
      </c>
      <c r="CF951">
        <v>0</v>
      </c>
      <c r="CG951">
        <v>0</v>
      </c>
      <c r="CH951">
        <v>0</v>
      </c>
      <c r="CI951" t="s">
        <v>983</v>
      </c>
      <c r="CJ951" t="s">
        <v>972</v>
      </c>
      <c r="CK951" t="s">
        <v>986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 t="s">
        <v>987</v>
      </c>
      <c r="CV951">
        <v>400008956</v>
      </c>
      <c r="CW951" t="s">
        <v>987</v>
      </c>
      <c r="CX951" t="s">
        <v>7626</v>
      </c>
      <c r="CY951" t="s">
        <v>989</v>
      </c>
    </row>
    <row r="952" spans="1:103" hidden="1" x14ac:dyDescent="0.25">
      <c r="A952">
        <v>410000957</v>
      </c>
      <c r="B952" t="s">
        <v>7197</v>
      </c>
      <c r="C952" t="s">
        <v>6403</v>
      </c>
      <c r="D952">
        <v>401100000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</v>
      </c>
      <c r="X952">
        <v>1</v>
      </c>
      <c r="Y952" t="s">
        <v>972</v>
      </c>
      <c r="Z952" t="s">
        <v>987</v>
      </c>
      <c r="AA952" t="s">
        <v>7198</v>
      </c>
      <c r="AB952" t="s">
        <v>975</v>
      </c>
      <c r="AC952">
        <v>4140</v>
      </c>
      <c r="AD952" t="s">
        <v>3265</v>
      </c>
      <c r="AE952">
        <v>3243804700</v>
      </c>
      <c r="AF952" t="s">
        <v>979</v>
      </c>
      <c r="AG952" t="s">
        <v>977</v>
      </c>
      <c r="AH952">
        <v>804524928</v>
      </c>
      <c r="AI952" t="s">
        <v>5498</v>
      </c>
      <c r="AJ952" t="s">
        <v>978</v>
      </c>
      <c r="AK952" t="s">
        <v>978</v>
      </c>
      <c r="AL952" t="s">
        <v>978</v>
      </c>
      <c r="AM952" t="s">
        <v>979</v>
      </c>
      <c r="AN952">
        <v>0</v>
      </c>
      <c r="AO952" t="s">
        <v>257</v>
      </c>
      <c r="AP952">
        <v>0</v>
      </c>
      <c r="AQ952">
        <v>1</v>
      </c>
      <c r="AR952">
        <v>43</v>
      </c>
      <c r="AS952">
        <v>1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1</v>
      </c>
      <c r="AZ952" t="s">
        <v>257</v>
      </c>
      <c r="BA952" t="s">
        <v>980</v>
      </c>
      <c r="BB952" t="s">
        <v>981</v>
      </c>
      <c r="BC952" t="s">
        <v>257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 t="s">
        <v>998</v>
      </c>
      <c r="BK952" t="s">
        <v>981</v>
      </c>
      <c r="BL952" t="s">
        <v>7197</v>
      </c>
      <c r="BM952">
        <v>20240122</v>
      </c>
      <c r="BN952">
        <v>20250707</v>
      </c>
      <c r="BO952">
        <v>0</v>
      </c>
      <c r="BP952" t="s">
        <v>257</v>
      </c>
      <c r="BQ952" t="s">
        <v>983</v>
      </c>
      <c r="BR952" t="s">
        <v>978</v>
      </c>
      <c r="BS952" t="s">
        <v>979</v>
      </c>
      <c r="BT952">
        <v>0</v>
      </c>
      <c r="BU952">
        <v>0</v>
      </c>
      <c r="BV952" t="s">
        <v>984</v>
      </c>
      <c r="BW952" t="s">
        <v>257</v>
      </c>
      <c r="BX952">
        <v>0</v>
      </c>
      <c r="BY952" t="s">
        <v>980</v>
      </c>
      <c r="BZ952" t="s">
        <v>257</v>
      </c>
      <c r="CA952">
        <v>0</v>
      </c>
      <c r="CB952">
        <v>0</v>
      </c>
      <c r="CC952" t="s">
        <v>1317</v>
      </c>
      <c r="CD952">
        <v>0</v>
      </c>
      <c r="CE952">
        <v>0</v>
      </c>
      <c r="CF952">
        <v>0</v>
      </c>
      <c r="CG952">
        <v>0</v>
      </c>
      <c r="CH952">
        <v>0</v>
      </c>
      <c r="CI952" t="s">
        <v>983</v>
      </c>
      <c r="CJ952" t="s">
        <v>972</v>
      </c>
      <c r="CK952" t="s">
        <v>986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 t="s">
        <v>987</v>
      </c>
      <c r="CV952">
        <v>400008957</v>
      </c>
      <c r="CW952" t="s">
        <v>987</v>
      </c>
      <c r="CX952" t="s">
        <v>7223</v>
      </c>
      <c r="CY952" t="s">
        <v>989</v>
      </c>
    </row>
    <row r="953" spans="1:103" hidden="1" x14ac:dyDescent="0.25">
      <c r="A953">
        <v>410000958</v>
      </c>
      <c r="B953" t="s">
        <v>6404</v>
      </c>
      <c r="C953" t="s">
        <v>6405</v>
      </c>
      <c r="D953">
        <v>401100000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1</v>
      </c>
      <c r="X953">
        <v>1</v>
      </c>
      <c r="Y953" t="s">
        <v>972</v>
      </c>
      <c r="Z953" t="s">
        <v>987</v>
      </c>
      <c r="AA953" t="s">
        <v>6406</v>
      </c>
      <c r="AB953" t="s">
        <v>975</v>
      </c>
      <c r="AC953">
        <v>1652</v>
      </c>
      <c r="AD953" t="s">
        <v>6407</v>
      </c>
      <c r="AE953" t="s">
        <v>979</v>
      </c>
      <c r="AF953" t="s">
        <v>979</v>
      </c>
      <c r="AG953" t="s">
        <v>6408</v>
      </c>
      <c r="AH953">
        <v>1005050553</v>
      </c>
      <c r="AI953" t="s">
        <v>977</v>
      </c>
      <c r="AJ953" t="s">
        <v>5167</v>
      </c>
      <c r="AK953" t="s">
        <v>978</v>
      </c>
      <c r="AL953" t="s">
        <v>978</v>
      </c>
      <c r="AM953" t="s">
        <v>979</v>
      </c>
      <c r="AN953">
        <v>0</v>
      </c>
      <c r="AO953" t="s">
        <v>257</v>
      </c>
      <c r="AP953">
        <v>0</v>
      </c>
      <c r="AQ953">
        <v>1</v>
      </c>
      <c r="AR953">
        <v>69</v>
      </c>
      <c r="AS953">
        <v>1</v>
      </c>
      <c r="AT953">
        <v>0</v>
      </c>
      <c r="AU953">
        <v>1</v>
      </c>
      <c r="AV953">
        <v>0</v>
      </c>
      <c r="AW953">
        <v>0</v>
      </c>
      <c r="AX953">
        <v>0</v>
      </c>
      <c r="AY953">
        <v>1</v>
      </c>
      <c r="AZ953" t="s">
        <v>257</v>
      </c>
      <c r="BA953" t="s">
        <v>980</v>
      </c>
      <c r="BB953" t="s">
        <v>981</v>
      </c>
      <c r="BC953" t="s">
        <v>257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 t="s">
        <v>998</v>
      </c>
      <c r="BK953" t="s">
        <v>981</v>
      </c>
      <c r="BL953" t="s">
        <v>6404</v>
      </c>
      <c r="BM953">
        <v>20240130</v>
      </c>
      <c r="BN953">
        <v>20240910</v>
      </c>
      <c r="BO953">
        <v>0</v>
      </c>
      <c r="BP953" t="s">
        <v>257</v>
      </c>
      <c r="BQ953" t="s">
        <v>983</v>
      </c>
      <c r="BR953" t="s">
        <v>978</v>
      </c>
      <c r="BS953">
        <v>32471921539</v>
      </c>
      <c r="BT953">
        <v>0</v>
      </c>
      <c r="BU953">
        <v>0</v>
      </c>
      <c r="BV953" t="s">
        <v>984</v>
      </c>
      <c r="BW953" t="s">
        <v>257</v>
      </c>
      <c r="BX953">
        <v>0</v>
      </c>
      <c r="BY953" t="s">
        <v>980</v>
      </c>
      <c r="BZ953" t="s">
        <v>257</v>
      </c>
      <c r="CA953">
        <v>0</v>
      </c>
      <c r="CB953">
        <v>0</v>
      </c>
      <c r="CC953" t="s">
        <v>1901</v>
      </c>
      <c r="CD953">
        <v>0</v>
      </c>
      <c r="CE953">
        <v>0</v>
      </c>
      <c r="CF953">
        <v>0</v>
      </c>
      <c r="CG953">
        <v>0</v>
      </c>
      <c r="CH953">
        <v>0</v>
      </c>
      <c r="CI953" t="s">
        <v>983</v>
      </c>
      <c r="CJ953" t="s">
        <v>972</v>
      </c>
      <c r="CK953" t="s">
        <v>986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 t="s">
        <v>987</v>
      </c>
      <c r="CV953">
        <v>400008958</v>
      </c>
      <c r="CW953" t="s">
        <v>987</v>
      </c>
      <c r="CX953" t="s">
        <v>6409</v>
      </c>
      <c r="CY953" t="s">
        <v>989</v>
      </c>
    </row>
    <row r="954" spans="1:103" hidden="1" x14ac:dyDescent="0.25">
      <c r="A954">
        <v>410000959</v>
      </c>
      <c r="B954" t="s">
        <v>6410</v>
      </c>
      <c r="C954" t="s">
        <v>6411</v>
      </c>
      <c r="D954">
        <v>401100000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3</v>
      </c>
      <c r="W954">
        <v>1</v>
      </c>
      <c r="X954">
        <v>1</v>
      </c>
      <c r="Y954" t="s">
        <v>972</v>
      </c>
      <c r="Z954" t="s">
        <v>6412</v>
      </c>
      <c r="AA954" t="s">
        <v>6413</v>
      </c>
      <c r="AB954" t="s">
        <v>975</v>
      </c>
      <c r="AC954">
        <v>7170</v>
      </c>
      <c r="AD954" t="s">
        <v>6414</v>
      </c>
      <c r="AE954">
        <v>32473365790</v>
      </c>
      <c r="AF954" t="s">
        <v>979</v>
      </c>
      <c r="AG954" t="s">
        <v>977</v>
      </c>
      <c r="AH954">
        <v>421242195</v>
      </c>
      <c r="AI954">
        <v>85314</v>
      </c>
      <c r="AJ954" t="s">
        <v>978</v>
      </c>
      <c r="AK954" t="s">
        <v>978</v>
      </c>
      <c r="AL954" t="s">
        <v>978</v>
      </c>
      <c r="AM954" t="s">
        <v>979</v>
      </c>
      <c r="AN954">
        <v>0</v>
      </c>
      <c r="AO954" t="s">
        <v>257</v>
      </c>
      <c r="AP954">
        <v>0</v>
      </c>
      <c r="AQ954">
        <v>1</v>
      </c>
      <c r="AR954">
        <v>43</v>
      </c>
      <c r="AS954">
        <v>1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1</v>
      </c>
      <c r="AZ954" t="s">
        <v>257</v>
      </c>
      <c r="BA954" t="s">
        <v>980</v>
      </c>
      <c r="BB954" t="s">
        <v>981</v>
      </c>
      <c r="BC954" t="s">
        <v>257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 t="s">
        <v>998</v>
      </c>
      <c r="BK954" t="s">
        <v>981</v>
      </c>
      <c r="BL954" t="s">
        <v>6410</v>
      </c>
      <c r="BM954">
        <v>20240206</v>
      </c>
      <c r="BN954">
        <v>20240206</v>
      </c>
      <c r="BO954">
        <v>0</v>
      </c>
      <c r="BP954" t="s">
        <v>257</v>
      </c>
      <c r="BQ954" t="s">
        <v>983</v>
      </c>
      <c r="BR954" t="s">
        <v>978</v>
      </c>
      <c r="BS954" t="s">
        <v>979</v>
      </c>
      <c r="BT954">
        <v>0</v>
      </c>
      <c r="BU954">
        <v>0</v>
      </c>
      <c r="BV954" t="s">
        <v>984</v>
      </c>
      <c r="BW954" t="s">
        <v>257</v>
      </c>
      <c r="BX954">
        <v>0</v>
      </c>
      <c r="BY954" t="s">
        <v>980</v>
      </c>
      <c r="BZ954" t="s">
        <v>257</v>
      </c>
      <c r="CA954">
        <v>0</v>
      </c>
      <c r="CB954">
        <v>0</v>
      </c>
      <c r="CC954" t="s">
        <v>1033</v>
      </c>
      <c r="CD954">
        <v>0</v>
      </c>
      <c r="CE954">
        <v>0</v>
      </c>
      <c r="CF954">
        <v>0</v>
      </c>
      <c r="CG954">
        <v>0</v>
      </c>
      <c r="CH954">
        <v>0</v>
      </c>
      <c r="CI954" t="s">
        <v>983</v>
      </c>
      <c r="CJ954" t="s">
        <v>972</v>
      </c>
      <c r="CK954" t="s">
        <v>986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 t="s">
        <v>987</v>
      </c>
      <c r="CV954">
        <v>400008959</v>
      </c>
      <c r="CW954" t="s">
        <v>987</v>
      </c>
      <c r="CX954" t="s">
        <v>6415</v>
      </c>
      <c r="CY954" t="s">
        <v>989</v>
      </c>
    </row>
    <row r="955" spans="1:103" hidden="1" x14ac:dyDescent="0.25">
      <c r="A955">
        <v>410000960</v>
      </c>
      <c r="B955" t="s">
        <v>4061</v>
      </c>
      <c r="C955" t="s">
        <v>978</v>
      </c>
      <c r="D955">
        <v>401100000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4</v>
      </c>
      <c r="W955">
        <v>1</v>
      </c>
      <c r="X955">
        <v>1</v>
      </c>
      <c r="Y955" t="s">
        <v>972</v>
      </c>
      <c r="Z955" t="s">
        <v>987</v>
      </c>
      <c r="AA955" t="s">
        <v>4063</v>
      </c>
      <c r="AB955" t="s">
        <v>975</v>
      </c>
      <c r="AC955">
        <v>4000</v>
      </c>
      <c r="AD955" t="s">
        <v>1019</v>
      </c>
      <c r="AE955">
        <v>3242521840</v>
      </c>
      <c r="AF955" t="s">
        <v>979</v>
      </c>
      <c r="AG955" t="s">
        <v>977</v>
      </c>
      <c r="AH955" t="s">
        <v>977</v>
      </c>
      <c r="AI955" t="s">
        <v>977</v>
      </c>
      <c r="AJ955" t="s">
        <v>978</v>
      </c>
      <c r="AK955" t="s">
        <v>978</v>
      </c>
      <c r="AL955" t="s">
        <v>978</v>
      </c>
      <c r="AM955" t="s">
        <v>979</v>
      </c>
      <c r="AN955">
        <v>0</v>
      </c>
      <c r="AO955" t="s">
        <v>257</v>
      </c>
      <c r="AP955">
        <v>0</v>
      </c>
      <c r="AQ955">
        <v>1</v>
      </c>
      <c r="AR955">
        <v>69</v>
      </c>
      <c r="AS955">
        <v>1</v>
      </c>
      <c r="AT955">
        <v>0</v>
      </c>
      <c r="AU955">
        <v>1</v>
      </c>
      <c r="AV955">
        <v>0</v>
      </c>
      <c r="AW955">
        <v>0</v>
      </c>
      <c r="AX955">
        <v>0</v>
      </c>
      <c r="AY955">
        <v>1</v>
      </c>
      <c r="AZ955" t="s">
        <v>257</v>
      </c>
      <c r="BA955" t="s">
        <v>257</v>
      </c>
      <c r="BB955" t="s">
        <v>981</v>
      </c>
      <c r="BC955" t="s">
        <v>257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 t="s">
        <v>998</v>
      </c>
      <c r="BK955" t="s">
        <v>981</v>
      </c>
      <c r="BL955" t="s">
        <v>4061</v>
      </c>
      <c r="BM955">
        <v>20240208</v>
      </c>
      <c r="BN955">
        <v>20250402</v>
      </c>
      <c r="BO955">
        <v>0</v>
      </c>
      <c r="BP955" t="s">
        <v>257</v>
      </c>
      <c r="BQ955" t="s">
        <v>983</v>
      </c>
      <c r="BR955" t="s">
        <v>978</v>
      </c>
      <c r="BS955">
        <v>32478993428</v>
      </c>
      <c r="BT955">
        <v>0</v>
      </c>
      <c r="BU955">
        <v>0</v>
      </c>
      <c r="BV955" t="s">
        <v>984</v>
      </c>
      <c r="BW955" t="s">
        <v>257</v>
      </c>
      <c r="BX955">
        <v>0</v>
      </c>
      <c r="BY955" t="s">
        <v>980</v>
      </c>
      <c r="BZ955" t="s">
        <v>257</v>
      </c>
      <c r="CA955">
        <v>0</v>
      </c>
      <c r="CB955">
        <v>0</v>
      </c>
      <c r="CC955" t="s">
        <v>2322</v>
      </c>
      <c r="CD955">
        <v>0</v>
      </c>
      <c r="CE955">
        <v>0</v>
      </c>
      <c r="CF955">
        <v>0</v>
      </c>
      <c r="CG955">
        <v>0</v>
      </c>
      <c r="CH955">
        <v>0</v>
      </c>
      <c r="CI955" t="s">
        <v>983</v>
      </c>
      <c r="CJ955" t="s">
        <v>972</v>
      </c>
      <c r="CK955" t="s">
        <v>986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 t="s">
        <v>987</v>
      </c>
      <c r="CV955">
        <v>400008960</v>
      </c>
      <c r="CW955" t="s">
        <v>987</v>
      </c>
      <c r="CX955" t="s">
        <v>4064</v>
      </c>
      <c r="CY955" t="s">
        <v>989</v>
      </c>
    </row>
    <row r="956" spans="1:103" hidden="1" x14ac:dyDescent="0.25">
      <c r="A956">
        <v>410000961</v>
      </c>
      <c r="B956" t="s">
        <v>6416</v>
      </c>
      <c r="C956" t="s">
        <v>6417</v>
      </c>
      <c r="D956">
        <v>401100000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1</v>
      </c>
      <c r="X956">
        <v>1</v>
      </c>
      <c r="Y956" t="s">
        <v>972</v>
      </c>
      <c r="Z956" t="s">
        <v>6418</v>
      </c>
      <c r="AA956" t="s">
        <v>6419</v>
      </c>
      <c r="AB956" t="s">
        <v>975</v>
      </c>
      <c r="AC956">
        <v>6150</v>
      </c>
      <c r="AD956" t="s">
        <v>6420</v>
      </c>
      <c r="AE956">
        <v>3271549044</v>
      </c>
      <c r="AF956" t="s">
        <v>979</v>
      </c>
      <c r="AG956" t="s">
        <v>977</v>
      </c>
      <c r="AH956">
        <v>465077485</v>
      </c>
      <c r="AI956">
        <v>88101</v>
      </c>
      <c r="AJ956" t="s">
        <v>978</v>
      </c>
      <c r="AK956" t="s">
        <v>978</v>
      </c>
      <c r="AL956" t="s">
        <v>978</v>
      </c>
      <c r="AM956" t="s">
        <v>979</v>
      </c>
      <c r="AN956">
        <v>0</v>
      </c>
      <c r="AO956" t="s">
        <v>257</v>
      </c>
      <c r="AP956">
        <v>0</v>
      </c>
      <c r="AQ956">
        <v>1</v>
      </c>
      <c r="AR956">
        <v>43</v>
      </c>
      <c r="AS956">
        <v>1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1</v>
      </c>
      <c r="AZ956" t="s">
        <v>257</v>
      </c>
      <c r="BA956" t="s">
        <v>980</v>
      </c>
      <c r="BB956" t="s">
        <v>981</v>
      </c>
      <c r="BC956" t="s">
        <v>257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 t="s">
        <v>998</v>
      </c>
      <c r="BK956" t="s">
        <v>981</v>
      </c>
      <c r="BL956" t="s">
        <v>6416</v>
      </c>
      <c r="BM956">
        <v>20240209</v>
      </c>
      <c r="BN956">
        <v>20240212</v>
      </c>
      <c r="BO956">
        <v>0</v>
      </c>
      <c r="BP956" t="s">
        <v>257</v>
      </c>
      <c r="BQ956" t="s">
        <v>983</v>
      </c>
      <c r="BR956" t="s">
        <v>978</v>
      </c>
      <c r="BS956" t="s">
        <v>979</v>
      </c>
      <c r="BT956">
        <v>0</v>
      </c>
      <c r="BU956">
        <v>0</v>
      </c>
      <c r="BV956" t="s">
        <v>984</v>
      </c>
      <c r="BW956" t="s">
        <v>257</v>
      </c>
      <c r="BX956">
        <v>0</v>
      </c>
      <c r="BY956" t="s">
        <v>980</v>
      </c>
      <c r="BZ956" t="s">
        <v>257</v>
      </c>
      <c r="CA956">
        <v>0</v>
      </c>
      <c r="CB956">
        <v>0</v>
      </c>
      <c r="CC956" t="s">
        <v>1033</v>
      </c>
      <c r="CD956">
        <v>0</v>
      </c>
      <c r="CE956">
        <v>0</v>
      </c>
      <c r="CF956">
        <v>0</v>
      </c>
      <c r="CG956">
        <v>0</v>
      </c>
      <c r="CH956">
        <v>0</v>
      </c>
      <c r="CI956" t="s">
        <v>983</v>
      </c>
      <c r="CJ956" t="s">
        <v>972</v>
      </c>
      <c r="CK956" t="s">
        <v>986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 t="s">
        <v>987</v>
      </c>
      <c r="CV956">
        <v>400008961</v>
      </c>
      <c r="CW956" t="s">
        <v>987</v>
      </c>
      <c r="CX956" t="s">
        <v>6421</v>
      </c>
      <c r="CY956" t="s">
        <v>989</v>
      </c>
    </row>
    <row r="957" spans="1:103" hidden="1" x14ac:dyDescent="0.25">
      <c r="A957">
        <v>410000962</v>
      </c>
      <c r="B957" t="s">
        <v>264</v>
      </c>
      <c r="C957" t="s">
        <v>6422</v>
      </c>
      <c r="D957">
        <v>401100000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1</v>
      </c>
      <c r="Y957" t="s">
        <v>972</v>
      </c>
      <c r="Z957" t="s">
        <v>987</v>
      </c>
      <c r="AA957" t="s">
        <v>6423</v>
      </c>
      <c r="AB957" t="s">
        <v>975</v>
      </c>
      <c r="AC957">
        <v>4608</v>
      </c>
      <c r="AD957" t="s">
        <v>2903</v>
      </c>
      <c r="AE957" t="s">
        <v>979</v>
      </c>
      <c r="AF957" t="s">
        <v>979</v>
      </c>
      <c r="AG957" t="s">
        <v>6424</v>
      </c>
      <c r="AH957" t="s">
        <v>977</v>
      </c>
      <c r="AI957" t="s">
        <v>977</v>
      </c>
      <c r="AJ957" t="s">
        <v>6425</v>
      </c>
      <c r="AK957" t="s">
        <v>978</v>
      </c>
      <c r="AL957" t="s">
        <v>978</v>
      </c>
      <c r="AM957" t="s">
        <v>979</v>
      </c>
      <c r="AN957">
        <v>0</v>
      </c>
      <c r="AO957" t="s">
        <v>257</v>
      </c>
      <c r="AP957">
        <v>0</v>
      </c>
      <c r="AQ957">
        <v>1</v>
      </c>
      <c r="AR957">
        <v>43</v>
      </c>
      <c r="AS957">
        <v>1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1</v>
      </c>
      <c r="AZ957" t="s">
        <v>257</v>
      </c>
      <c r="BA957" t="s">
        <v>980</v>
      </c>
      <c r="BB957" t="s">
        <v>981</v>
      </c>
      <c r="BC957" t="s">
        <v>257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 t="s">
        <v>998</v>
      </c>
      <c r="BK957" t="s">
        <v>981</v>
      </c>
      <c r="BL957" t="s">
        <v>264</v>
      </c>
      <c r="BM957">
        <v>20240215</v>
      </c>
      <c r="BN957">
        <v>0</v>
      </c>
      <c r="BO957">
        <v>0</v>
      </c>
      <c r="BP957" t="s">
        <v>257</v>
      </c>
      <c r="BQ957" t="s">
        <v>983</v>
      </c>
      <c r="BR957" t="s">
        <v>978</v>
      </c>
      <c r="BS957">
        <v>32472522218</v>
      </c>
      <c r="BT957">
        <v>0</v>
      </c>
      <c r="BU957">
        <v>0</v>
      </c>
      <c r="BV957" t="s">
        <v>984</v>
      </c>
      <c r="BW957" t="s">
        <v>257</v>
      </c>
      <c r="BX957">
        <v>0</v>
      </c>
      <c r="BY957" t="s">
        <v>980</v>
      </c>
      <c r="BZ957" t="s">
        <v>257</v>
      </c>
      <c r="CA957">
        <v>0</v>
      </c>
      <c r="CB957">
        <v>0</v>
      </c>
      <c r="CC957" t="s">
        <v>1901</v>
      </c>
      <c r="CD957">
        <v>0</v>
      </c>
      <c r="CE957">
        <v>0</v>
      </c>
      <c r="CF957">
        <v>0</v>
      </c>
      <c r="CG957">
        <v>0</v>
      </c>
      <c r="CH957">
        <v>0</v>
      </c>
      <c r="CI957" t="s">
        <v>983</v>
      </c>
      <c r="CJ957" t="s">
        <v>972</v>
      </c>
      <c r="CK957" t="s">
        <v>986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 t="s">
        <v>987</v>
      </c>
      <c r="CV957">
        <v>400008962</v>
      </c>
      <c r="CW957" t="s">
        <v>987</v>
      </c>
      <c r="CX957" t="s">
        <v>6426</v>
      </c>
      <c r="CY957" t="s">
        <v>989</v>
      </c>
    </row>
    <row r="958" spans="1:103" hidden="1" x14ac:dyDescent="0.25">
      <c r="A958">
        <v>410000963</v>
      </c>
      <c r="B958" t="s">
        <v>6427</v>
      </c>
      <c r="C958" t="s">
        <v>6428</v>
      </c>
      <c r="D958">
        <v>401100000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</v>
      </c>
      <c r="X958">
        <v>1</v>
      </c>
      <c r="Y958" t="s">
        <v>972</v>
      </c>
      <c r="Z958" t="s">
        <v>987</v>
      </c>
      <c r="AA958" t="s">
        <v>6429</v>
      </c>
      <c r="AB958" t="s">
        <v>975</v>
      </c>
      <c r="AC958">
        <v>4920</v>
      </c>
      <c r="AD958" t="s">
        <v>6068</v>
      </c>
      <c r="AE958" t="s">
        <v>979</v>
      </c>
      <c r="AF958" t="s">
        <v>979</v>
      </c>
      <c r="AG958" t="s">
        <v>977</v>
      </c>
      <c r="AH958" t="s">
        <v>977</v>
      </c>
      <c r="AI958" t="s">
        <v>977</v>
      </c>
      <c r="AJ958" t="s">
        <v>978</v>
      </c>
      <c r="AK958" t="s">
        <v>978</v>
      </c>
      <c r="AL958" t="s">
        <v>978</v>
      </c>
      <c r="AM958" t="s">
        <v>979</v>
      </c>
      <c r="AN958">
        <v>0</v>
      </c>
      <c r="AO958" t="s">
        <v>257</v>
      </c>
      <c r="AP958">
        <v>0</v>
      </c>
      <c r="AQ958">
        <v>1</v>
      </c>
      <c r="AR958">
        <v>43</v>
      </c>
      <c r="AS958">
        <v>1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1</v>
      </c>
      <c r="AZ958" t="s">
        <v>257</v>
      </c>
      <c r="BA958" t="s">
        <v>980</v>
      </c>
      <c r="BB958" t="s">
        <v>981</v>
      </c>
      <c r="BC958" t="s">
        <v>257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 t="s">
        <v>998</v>
      </c>
      <c r="BK958" t="s">
        <v>981</v>
      </c>
      <c r="BL958" t="s">
        <v>6427</v>
      </c>
      <c r="BM958">
        <v>20240215</v>
      </c>
      <c r="BN958">
        <v>20240314</v>
      </c>
      <c r="BO958">
        <v>0</v>
      </c>
      <c r="BP958" t="s">
        <v>257</v>
      </c>
      <c r="BQ958" t="s">
        <v>983</v>
      </c>
      <c r="BR958" t="s">
        <v>978</v>
      </c>
      <c r="BS958">
        <v>32478170196</v>
      </c>
      <c r="BT958">
        <v>0</v>
      </c>
      <c r="BU958">
        <v>0</v>
      </c>
      <c r="BV958" t="s">
        <v>984</v>
      </c>
      <c r="BW958" t="s">
        <v>257</v>
      </c>
      <c r="BX958">
        <v>0</v>
      </c>
      <c r="BY958" t="s">
        <v>980</v>
      </c>
      <c r="BZ958" t="s">
        <v>257</v>
      </c>
      <c r="CA958">
        <v>0</v>
      </c>
      <c r="CB958">
        <v>0</v>
      </c>
      <c r="CC958" t="s">
        <v>3632</v>
      </c>
      <c r="CD958">
        <v>0</v>
      </c>
      <c r="CE958">
        <v>0</v>
      </c>
      <c r="CF958">
        <v>0</v>
      </c>
      <c r="CG958">
        <v>0</v>
      </c>
      <c r="CH958">
        <v>0</v>
      </c>
      <c r="CI958" t="s">
        <v>983</v>
      </c>
      <c r="CJ958" t="s">
        <v>972</v>
      </c>
      <c r="CK958" t="s">
        <v>986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 t="s">
        <v>987</v>
      </c>
      <c r="CV958">
        <v>400010323</v>
      </c>
      <c r="CW958" t="s">
        <v>987</v>
      </c>
      <c r="CX958" t="s">
        <v>6430</v>
      </c>
      <c r="CY958" t="s">
        <v>989</v>
      </c>
    </row>
    <row r="959" spans="1:103" hidden="1" x14ac:dyDescent="0.25">
      <c r="A959">
        <v>410000964</v>
      </c>
      <c r="B959" t="s">
        <v>6431</v>
      </c>
      <c r="C959" t="s">
        <v>6432</v>
      </c>
      <c r="D959">
        <v>401100000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1</v>
      </c>
      <c r="X959">
        <v>1</v>
      </c>
      <c r="Y959" t="s">
        <v>972</v>
      </c>
      <c r="Z959" t="s">
        <v>987</v>
      </c>
      <c r="AA959" t="s">
        <v>6433</v>
      </c>
      <c r="AB959" t="s">
        <v>1626</v>
      </c>
      <c r="AC959">
        <v>8522</v>
      </c>
      <c r="AD959" t="s">
        <v>6434</v>
      </c>
      <c r="AE959" t="s">
        <v>979</v>
      </c>
      <c r="AF959" t="s">
        <v>979</v>
      </c>
      <c r="AG959" t="s">
        <v>977</v>
      </c>
      <c r="AH959" t="s">
        <v>977</v>
      </c>
      <c r="AI959" t="s">
        <v>977</v>
      </c>
      <c r="AJ959" t="s">
        <v>6435</v>
      </c>
      <c r="AK959" t="s">
        <v>978</v>
      </c>
      <c r="AL959" t="s">
        <v>978</v>
      </c>
      <c r="AM959" t="s">
        <v>979</v>
      </c>
      <c r="AN959">
        <v>0</v>
      </c>
      <c r="AO959" t="s">
        <v>257</v>
      </c>
      <c r="AP959">
        <v>0</v>
      </c>
      <c r="AQ959">
        <v>1</v>
      </c>
      <c r="AR959">
        <v>43</v>
      </c>
      <c r="AS959">
        <v>1</v>
      </c>
      <c r="AT959">
        <v>0</v>
      </c>
      <c r="AU959">
        <v>1</v>
      </c>
      <c r="AV959">
        <v>0</v>
      </c>
      <c r="AW959">
        <v>0</v>
      </c>
      <c r="AX959">
        <v>0</v>
      </c>
      <c r="AY959">
        <v>1</v>
      </c>
      <c r="AZ959" t="s">
        <v>257</v>
      </c>
      <c r="BA959" t="s">
        <v>980</v>
      </c>
      <c r="BB959" t="s">
        <v>981</v>
      </c>
      <c r="BC959" t="s">
        <v>257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 t="s">
        <v>998</v>
      </c>
      <c r="BK959" t="s">
        <v>981</v>
      </c>
      <c r="BL959" t="s">
        <v>6431</v>
      </c>
      <c r="BM959">
        <v>20240215</v>
      </c>
      <c r="BN959">
        <v>20240314</v>
      </c>
      <c r="BO959">
        <v>0</v>
      </c>
      <c r="BP959" t="s">
        <v>257</v>
      </c>
      <c r="BQ959" t="s">
        <v>983</v>
      </c>
      <c r="BR959" t="s">
        <v>978</v>
      </c>
      <c r="BS959">
        <v>352661298268</v>
      </c>
      <c r="BT959">
        <v>0</v>
      </c>
      <c r="BU959">
        <v>0</v>
      </c>
      <c r="BV959" t="s">
        <v>984</v>
      </c>
      <c r="BW959" t="s">
        <v>257</v>
      </c>
      <c r="BX959">
        <v>0</v>
      </c>
      <c r="BY959" t="s">
        <v>980</v>
      </c>
      <c r="BZ959" t="s">
        <v>257</v>
      </c>
      <c r="CA959">
        <v>0</v>
      </c>
      <c r="CB959">
        <v>0</v>
      </c>
      <c r="CC959" t="s">
        <v>1901</v>
      </c>
      <c r="CD959">
        <v>0</v>
      </c>
      <c r="CE959">
        <v>0</v>
      </c>
      <c r="CF959">
        <v>0</v>
      </c>
      <c r="CG959">
        <v>0</v>
      </c>
      <c r="CH959">
        <v>0</v>
      </c>
      <c r="CI959" t="s">
        <v>983</v>
      </c>
      <c r="CJ959" t="s">
        <v>972</v>
      </c>
      <c r="CK959" t="s">
        <v>986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 t="s">
        <v>987</v>
      </c>
      <c r="CV959">
        <v>400010324</v>
      </c>
      <c r="CW959" t="s">
        <v>987</v>
      </c>
      <c r="CX959" t="s">
        <v>6436</v>
      </c>
      <c r="CY959" t="s">
        <v>989</v>
      </c>
    </row>
    <row r="960" spans="1:103" hidden="1" x14ac:dyDescent="0.25">
      <c r="A960">
        <v>410000965</v>
      </c>
      <c r="B960" t="s">
        <v>6437</v>
      </c>
      <c r="C960" t="s">
        <v>6438</v>
      </c>
      <c r="D960">
        <v>401100000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1</v>
      </c>
      <c r="X960">
        <v>1</v>
      </c>
      <c r="Y960" t="s">
        <v>972</v>
      </c>
      <c r="Z960" t="s">
        <v>987</v>
      </c>
      <c r="AA960" t="s">
        <v>5587</v>
      </c>
      <c r="AB960" t="s">
        <v>975</v>
      </c>
      <c r="AC960">
        <v>4000</v>
      </c>
      <c r="AD960" t="s">
        <v>1019</v>
      </c>
      <c r="AE960">
        <v>324254145</v>
      </c>
      <c r="AF960" t="s">
        <v>979</v>
      </c>
      <c r="AG960" t="s">
        <v>977</v>
      </c>
      <c r="AH960" t="s">
        <v>977</v>
      </c>
      <c r="AI960" t="s">
        <v>977</v>
      </c>
      <c r="AJ960" t="s">
        <v>978</v>
      </c>
      <c r="AK960" t="s">
        <v>978</v>
      </c>
      <c r="AL960" t="s">
        <v>978</v>
      </c>
      <c r="AM960" t="s">
        <v>979</v>
      </c>
      <c r="AN960">
        <v>0</v>
      </c>
      <c r="AO960" t="s">
        <v>257</v>
      </c>
      <c r="AP960">
        <v>0</v>
      </c>
      <c r="AQ960">
        <v>20</v>
      </c>
      <c r="AR960">
        <v>43</v>
      </c>
      <c r="AS960">
        <v>1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1</v>
      </c>
      <c r="AZ960" t="s">
        <v>257</v>
      </c>
      <c r="BA960" t="s">
        <v>980</v>
      </c>
      <c r="BB960" t="s">
        <v>981</v>
      </c>
      <c r="BC960" t="s">
        <v>257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 t="s">
        <v>1285</v>
      </c>
      <c r="BK960" t="s">
        <v>981</v>
      </c>
      <c r="BL960" t="s">
        <v>6437</v>
      </c>
      <c r="BM960">
        <v>20240216</v>
      </c>
      <c r="BN960">
        <v>20240314</v>
      </c>
      <c r="BO960">
        <v>0</v>
      </c>
      <c r="BP960" t="s">
        <v>257</v>
      </c>
      <c r="BQ960" t="s">
        <v>983</v>
      </c>
      <c r="BR960" t="s">
        <v>978</v>
      </c>
      <c r="BS960" t="s">
        <v>979</v>
      </c>
      <c r="BT960">
        <v>0</v>
      </c>
      <c r="BU960">
        <v>0</v>
      </c>
      <c r="BV960" t="s">
        <v>984</v>
      </c>
      <c r="BW960" t="s">
        <v>257</v>
      </c>
      <c r="BX960">
        <v>0</v>
      </c>
      <c r="BY960" t="s">
        <v>980</v>
      </c>
      <c r="BZ960" t="s">
        <v>257</v>
      </c>
      <c r="CA960">
        <v>0</v>
      </c>
      <c r="CB960">
        <v>0</v>
      </c>
      <c r="CC960" t="s">
        <v>1391</v>
      </c>
      <c r="CD960">
        <v>0</v>
      </c>
      <c r="CE960">
        <v>0</v>
      </c>
      <c r="CF960">
        <v>0</v>
      </c>
      <c r="CG960">
        <v>0</v>
      </c>
      <c r="CH960">
        <v>0</v>
      </c>
      <c r="CI960" t="s">
        <v>983</v>
      </c>
      <c r="CJ960" t="s">
        <v>972</v>
      </c>
      <c r="CK960" t="s">
        <v>986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 t="s">
        <v>987</v>
      </c>
      <c r="CV960">
        <v>400010325</v>
      </c>
      <c r="CW960" t="s">
        <v>987</v>
      </c>
      <c r="CX960" t="s">
        <v>5589</v>
      </c>
      <c r="CY960" t="s">
        <v>989</v>
      </c>
    </row>
    <row r="961" spans="1:103" hidden="1" x14ac:dyDescent="0.25">
      <c r="A961">
        <v>410000966</v>
      </c>
      <c r="B961" t="s">
        <v>6439</v>
      </c>
      <c r="C961" t="s">
        <v>6440</v>
      </c>
      <c r="D961">
        <v>401100000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1</v>
      </c>
      <c r="X961">
        <v>1</v>
      </c>
      <c r="Y961" t="s">
        <v>972</v>
      </c>
      <c r="Z961" t="s">
        <v>987</v>
      </c>
      <c r="AA961" t="s">
        <v>6441</v>
      </c>
      <c r="AB961" t="s">
        <v>975</v>
      </c>
      <c r="AC961">
        <v>1300</v>
      </c>
      <c r="AD961" t="s">
        <v>2390</v>
      </c>
      <c r="AE961" t="s">
        <v>979</v>
      </c>
      <c r="AF961" t="s">
        <v>979</v>
      </c>
      <c r="AG961" t="s">
        <v>977</v>
      </c>
      <c r="AH961" t="s">
        <v>977</v>
      </c>
      <c r="AI961" t="s">
        <v>977</v>
      </c>
      <c r="AJ961" t="s">
        <v>6442</v>
      </c>
      <c r="AK961" t="s">
        <v>978</v>
      </c>
      <c r="AL961" t="s">
        <v>978</v>
      </c>
      <c r="AM961" t="s">
        <v>979</v>
      </c>
      <c r="AN961">
        <v>0</v>
      </c>
      <c r="AO961" t="s">
        <v>980</v>
      </c>
      <c r="AP961">
        <v>30</v>
      </c>
      <c r="AQ961">
        <v>1</v>
      </c>
      <c r="AR961">
        <v>43</v>
      </c>
      <c r="AS961">
        <v>1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1</v>
      </c>
      <c r="AZ961" t="s">
        <v>257</v>
      </c>
      <c r="BA961" t="s">
        <v>980</v>
      </c>
      <c r="BB961" t="s">
        <v>981</v>
      </c>
      <c r="BC961" t="s">
        <v>257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 t="s">
        <v>998</v>
      </c>
      <c r="BK961" t="s">
        <v>981</v>
      </c>
      <c r="BL961" t="s">
        <v>6439</v>
      </c>
      <c r="BM961">
        <v>20240216</v>
      </c>
      <c r="BN961">
        <v>20241119</v>
      </c>
      <c r="BO961">
        <v>0</v>
      </c>
      <c r="BP961" t="s">
        <v>257</v>
      </c>
      <c r="BQ961" t="s">
        <v>983</v>
      </c>
      <c r="BR961" t="s">
        <v>978</v>
      </c>
      <c r="BS961">
        <v>32499600483</v>
      </c>
      <c r="BT961">
        <v>0</v>
      </c>
      <c r="BU961">
        <v>0</v>
      </c>
      <c r="BV961" t="s">
        <v>984</v>
      </c>
      <c r="BW961" t="s">
        <v>257</v>
      </c>
      <c r="BX961">
        <v>0</v>
      </c>
      <c r="BY961" t="s">
        <v>980</v>
      </c>
      <c r="BZ961" t="s">
        <v>257</v>
      </c>
      <c r="CA961">
        <v>0</v>
      </c>
      <c r="CB961">
        <v>0</v>
      </c>
      <c r="CC961" t="s">
        <v>1901</v>
      </c>
      <c r="CD961">
        <v>0</v>
      </c>
      <c r="CE961">
        <v>0</v>
      </c>
      <c r="CF961">
        <v>0</v>
      </c>
      <c r="CG961">
        <v>0</v>
      </c>
      <c r="CH961">
        <v>0</v>
      </c>
      <c r="CI961" t="s">
        <v>983</v>
      </c>
      <c r="CJ961" t="s">
        <v>972</v>
      </c>
      <c r="CK961" t="s">
        <v>986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 t="s">
        <v>987</v>
      </c>
      <c r="CV961">
        <v>400010326</v>
      </c>
      <c r="CW961" t="s">
        <v>987</v>
      </c>
      <c r="CX961" t="s">
        <v>6443</v>
      </c>
      <c r="CY961" t="s">
        <v>989</v>
      </c>
    </row>
    <row r="962" spans="1:103" hidden="1" x14ac:dyDescent="0.25">
      <c r="A962">
        <v>410000967</v>
      </c>
      <c r="B962" t="s">
        <v>6444</v>
      </c>
      <c r="C962" t="s">
        <v>978</v>
      </c>
      <c r="D962">
        <v>401100000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4</v>
      </c>
      <c r="W962">
        <v>1</v>
      </c>
      <c r="X962">
        <v>1</v>
      </c>
      <c r="Y962" t="s">
        <v>972</v>
      </c>
      <c r="Z962" t="s">
        <v>987</v>
      </c>
      <c r="AA962" t="s">
        <v>6445</v>
      </c>
      <c r="AB962" t="s">
        <v>975</v>
      </c>
      <c r="AC962">
        <v>1750</v>
      </c>
      <c r="AD962" t="s">
        <v>6446</v>
      </c>
      <c r="AE962">
        <v>3225342999</v>
      </c>
      <c r="AF962" t="s">
        <v>979</v>
      </c>
      <c r="AG962" t="s">
        <v>977</v>
      </c>
      <c r="AH962" t="s">
        <v>977</v>
      </c>
      <c r="AI962" t="s">
        <v>977</v>
      </c>
      <c r="AJ962" t="s">
        <v>6447</v>
      </c>
      <c r="AK962" t="s">
        <v>978</v>
      </c>
      <c r="AL962" t="s">
        <v>978</v>
      </c>
      <c r="AM962" t="s">
        <v>979</v>
      </c>
      <c r="AN962">
        <v>0</v>
      </c>
      <c r="AO962" t="s">
        <v>257</v>
      </c>
      <c r="AP962">
        <v>0</v>
      </c>
      <c r="AQ962">
        <v>1</v>
      </c>
      <c r="AR962">
        <v>43</v>
      </c>
      <c r="AS962">
        <v>1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1</v>
      </c>
      <c r="AZ962" t="s">
        <v>257</v>
      </c>
      <c r="BA962" t="s">
        <v>980</v>
      </c>
      <c r="BB962" t="s">
        <v>981</v>
      </c>
      <c r="BC962" t="s">
        <v>257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 t="s">
        <v>998</v>
      </c>
      <c r="BK962" t="s">
        <v>981</v>
      </c>
      <c r="BL962" t="s">
        <v>6444</v>
      </c>
      <c r="BM962">
        <v>20240221</v>
      </c>
      <c r="BN962">
        <v>20240314</v>
      </c>
      <c r="BO962">
        <v>0</v>
      </c>
      <c r="BP962" t="s">
        <v>257</v>
      </c>
      <c r="BQ962" t="s">
        <v>983</v>
      </c>
      <c r="BR962" t="s">
        <v>978</v>
      </c>
      <c r="BS962">
        <v>32496278771</v>
      </c>
      <c r="BT962">
        <v>0</v>
      </c>
      <c r="BU962">
        <v>0</v>
      </c>
      <c r="BV962" t="s">
        <v>984</v>
      </c>
      <c r="BW962" t="s">
        <v>257</v>
      </c>
      <c r="BX962">
        <v>0</v>
      </c>
      <c r="BY962" t="s">
        <v>980</v>
      </c>
      <c r="BZ962" t="s">
        <v>257</v>
      </c>
      <c r="CA962">
        <v>0</v>
      </c>
      <c r="CB962">
        <v>0</v>
      </c>
      <c r="CC962" t="s">
        <v>1901</v>
      </c>
      <c r="CD962">
        <v>0</v>
      </c>
      <c r="CE962">
        <v>0</v>
      </c>
      <c r="CF962">
        <v>0</v>
      </c>
      <c r="CG962">
        <v>0</v>
      </c>
      <c r="CH962">
        <v>0</v>
      </c>
      <c r="CI962" t="s">
        <v>983</v>
      </c>
      <c r="CJ962" t="s">
        <v>972</v>
      </c>
      <c r="CK962" t="s">
        <v>986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 t="s">
        <v>987</v>
      </c>
      <c r="CV962">
        <v>400010327</v>
      </c>
      <c r="CW962" t="s">
        <v>987</v>
      </c>
      <c r="CX962" t="s">
        <v>6448</v>
      </c>
      <c r="CY962" t="s">
        <v>989</v>
      </c>
    </row>
    <row r="963" spans="1:103" hidden="1" x14ac:dyDescent="0.25">
      <c r="A963">
        <v>410000968</v>
      </c>
      <c r="B963" t="s">
        <v>6449</v>
      </c>
      <c r="C963" t="s">
        <v>6450</v>
      </c>
      <c r="D963">
        <v>401100000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1</v>
      </c>
      <c r="Y963" t="s">
        <v>972</v>
      </c>
      <c r="Z963" t="s">
        <v>5329</v>
      </c>
      <c r="AA963" t="s">
        <v>6451</v>
      </c>
      <c r="AB963" t="s">
        <v>975</v>
      </c>
      <c r="AC963">
        <v>5100</v>
      </c>
      <c r="AD963" t="s">
        <v>1789</v>
      </c>
      <c r="AE963">
        <v>3281721884</v>
      </c>
      <c r="AF963" t="s">
        <v>979</v>
      </c>
      <c r="AG963" t="s">
        <v>977</v>
      </c>
      <c r="AH963">
        <v>861434135</v>
      </c>
      <c r="AI963">
        <v>85592</v>
      </c>
      <c r="AJ963" t="s">
        <v>6057</v>
      </c>
      <c r="AK963" t="s">
        <v>978</v>
      </c>
      <c r="AL963" t="s">
        <v>978</v>
      </c>
      <c r="AM963" t="s">
        <v>979</v>
      </c>
      <c r="AN963">
        <v>0</v>
      </c>
      <c r="AO963" t="s">
        <v>257</v>
      </c>
      <c r="AP963">
        <v>0</v>
      </c>
      <c r="AQ963">
        <v>1</v>
      </c>
      <c r="AR963">
        <v>43</v>
      </c>
      <c r="AS963">
        <v>1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1</v>
      </c>
      <c r="AZ963" t="s">
        <v>257</v>
      </c>
      <c r="BA963" t="s">
        <v>980</v>
      </c>
      <c r="BB963" t="s">
        <v>981</v>
      </c>
      <c r="BC963" t="s">
        <v>257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 t="s">
        <v>998</v>
      </c>
      <c r="BK963" t="s">
        <v>981</v>
      </c>
      <c r="BL963" t="s">
        <v>6449</v>
      </c>
      <c r="BM963">
        <v>20240223</v>
      </c>
      <c r="BN963">
        <v>20240625</v>
      </c>
      <c r="BO963">
        <v>0</v>
      </c>
      <c r="BP963" t="s">
        <v>257</v>
      </c>
      <c r="BQ963" t="s">
        <v>983</v>
      </c>
      <c r="BR963" t="s">
        <v>978</v>
      </c>
      <c r="BS963" t="s">
        <v>979</v>
      </c>
      <c r="BT963">
        <v>0</v>
      </c>
      <c r="BU963">
        <v>0</v>
      </c>
      <c r="BV963" t="s">
        <v>984</v>
      </c>
      <c r="BW963" t="s">
        <v>257</v>
      </c>
      <c r="BX963">
        <v>0</v>
      </c>
      <c r="BY963" t="s">
        <v>980</v>
      </c>
      <c r="BZ963" t="s">
        <v>257</v>
      </c>
      <c r="CA963">
        <v>0</v>
      </c>
      <c r="CB963">
        <v>0</v>
      </c>
      <c r="CC963" t="s">
        <v>1901</v>
      </c>
      <c r="CD963">
        <v>0</v>
      </c>
      <c r="CE963">
        <v>0</v>
      </c>
      <c r="CF963">
        <v>0</v>
      </c>
      <c r="CG963">
        <v>0</v>
      </c>
      <c r="CH963">
        <v>0</v>
      </c>
      <c r="CI963" t="s">
        <v>983</v>
      </c>
      <c r="CJ963" t="s">
        <v>972</v>
      </c>
      <c r="CK963" t="s">
        <v>986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 t="s">
        <v>987</v>
      </c>
      <c r="CV963">
        <v>400010334</v>
      </c>
      <c r="CW963" t="s">
        <v>987</v>
      </c>
      <c r="CX963" t="s">
        <v>6452</v>
      </c>
      <c r="CY963" t="s">
        <v>989</v>
      </c>
    </row>
    <row r="964" spans="1:103" hidden="1" x14ac:dyDescent="0.25">
      <c r="A964">
        <v>410000969</v>
      </c>
      <c r="B964" t="s">
        <v>6453</v>
      </c>
      <c r="C964" t="s">
        <v>6454</v>
      </c>
      <c r="D964">
        <v>401100000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1</v>
      </c>
      <c r="Y964" t="s">
        <v>972</v>
      </c>
      <c r="Z964" t="s">
        <v>987</v>
      </c>
      <c r="AA964" t="s">
        <v>6455</v>
      </c>
      <c r="AB964" t="s">
        <v>975</v>
      </c>
      <c r="AC964">
        <v>4040</v>
      </c>
      <c r="AD964" t="s">
        <v>976</v>
      </c>
      <c r="AE964">
        <v>3242249595</v>
      </c>
      <c r="AF964" t="s">
        <v>979</v>
      </c>
      <c r="AG964" t="s">
        <v>977</v>
      </c>
      <c r="AH964">
        <v>555721017</v>
      </c>
      <c r="AI964">
        <v>62020</v>
      </c>
      <c r="AJ964" t="s">
        <v>978</v>
      </c>
      <c r="AK964" t="s">
        <v>978</v>
      </c>
      <c r="AL964" t="s">
        <v>978</v>
      </c>
      <c r="AM964" t="s">
        <v>979</v>
      </c>
      <c r="AN964">
        <v>0</v>
      </c>
      <c r="AO964" t="s">
        <v>257</v>
      </c>
      <c r="AP964">
        <v>0</v>
      </c>
      <c r="AQ964">
        <v>1</v>
      </c>
      <c r="AR964">
        <v>43</v>
      </c>
      <c r="AS964">
        <v>1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1</v>
      </c>
      <c r="AZ964" t="s">
        <v>257</v>
      </c>
      <c r="BA964" t="s">
        <v>980</v>
      </c>
      <c r="BB964" t="s">
        <v>981</v>
      </c>
      <c r="BC964" t="s">
        <v>257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 t="s">
        <v>998</v>
      </c>
      <c r="BK964" t="s">
        <v>981</v>
      </c>
      <c r="BL964" t="s">
        <v>6453</v>
      </c>
      <c r="BM964">
        <v>20240223</v>
      </c>
      <c r="BN964">
        <v>20240625</v>
      </c>
      <c r="BO964">
        <v>0</v>
      </c>
      <c r="BP964" t="s">
        <v>257</v>
      </c>
      <c r="BQ964" t="s">
        <v>983</v>
      </c>
      <c r="BR964" t="s">
        <v>978</v>
      </c>
      <c r="BS964" t="s">
        <v>979</v>
      </c>
      <c r="BT964">
        <v>0</v>
      </c>
      <c r="BU964">
        <v>0</v>
      </c>
      <c r="BV964" t="s">
        <v>984</v>
      </c>
      <c r="BW964" t="s">
        <v>257</v>
      </c>
      <c r="BX964">
        <v>0</v>
      </c>
      <c r="BY964" t="s">
        <v>980</v>
      </c>
      <c r="BZ964" t="s">
        <v>257</v>
      </c>
      <c r="CA964">
        <v>0</v>
      </c>
      <c r="CB964">
        <v>0</v>
      </c>
      <c r="CC964" t="s">
        <v>1507</v>
      </c>
      <c r="CD964">
        <v>0</v>
      </c>
      <c r="CE964">
        <v>0</v>
      </c>
      <c r="CF964">
        <v>0</v>
      </c>
      <c r="CG964">
        <v>0</v>
      </c>
      <c r="CH964">
        <v>0</v>
      </c>
      <c r="CI964" t="s">
        <v>983</v>
      </c>
      <c r="CJ964" t="s">
        <v>972</v>
      </c>
      <c r="CK964" t="s">
        <v>986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 t="s">
        <v>987</v>
      </c>
      <c r="CV964">
        <v>400010328</v>
      </c>
      <c r="CW964" t="s">
        <v>987</v>
      </c>
      <c r="CX964" t="s">
        <v>6456</v>
      </c>
      <c r="CY964" t="s">
        <v>989</v>
      </c>
    </row>
    <row r="965" spans="1:103" hidden="1" x14ac:dyDescent="0.25">
      <c r="A965">
        <v>410000970</v>
      </c>
      <c r="B965" t="s">
        <v>6457</v>
      </c>
      <c r="C965" t="s">
        <v>6458</v>
      </c>
      <c r="D965">
        <v>401100000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1</v>
      </c>
      <c r="X965">
        <v>1</v>
      </c>
      <c r="Y965" t="s">
        <v>972</v>
      </c>
      <c r="Z965" t="s">
        <v>987</v>
      </c>
      <c r="AA965" t="s">
        <v>6459</v>
      </c>
      <c r="AB965" t="s">
        <v>975</v>
      </c>
      <c r="AC965">
        <v>4000</v>
      </c>
      <c r="AD965" t="s">
        <v>1019</v>
      </c>
      <c r="AE965">
        <v>32470381225</v>
      </c>
      <c r="AF965" t="s">
        <v>979</v>
      </c>
      <c r="AG965" t="s">
        <v>977</v>
      </c>
      <c r="AH965">
        <v>785784033</v>
      </c>
      <c r="AI965" t="s">
        <v>977</v>
      </c>
      <c r="AJ965" t="s">
        <v>978</v>
      </c>
      <c r="AK965" t="s">
        <v>978</v>
      </c>
      <c r="AL965" t="s">
        <v>978</v>
      </c>
      <c r="AM965" t="s">
        <v>979</v>
      </c>
      <c r="AN965">
        <v>0</v>
      </c>
      <c r="AO965" t="s">
        <v>257</v>
      </c>
      <c r="AP965">
        <v>0</v>
      </c>
      <c r="AQ965">
        <v>1</v>
      </c>
      <c r="AR965">
        <v>43</v>
      </c>
      <c r="AS965">
        <v>1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1</v>
      </c>
      <c r="AZ965" t="s">
        <v>257</v>
      </c>
      <c r="BA965" t="s">
        <v>980</v>
      </c>
      <c r="BB965" t="s">
        <v>981</v>
      </c>
      <c r="BC965" t="s">
        <v>257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 t="s">
        <v>998</v>
      </c>
      <c r="BK965" t="s">
        <v>981</v>
      </c>
      <c r="BL965" t="s">
        <v>6457</v>
      </c>
      <c r="BM965">
        <v>20240228</v>
      </c>
      <c r="BN965">
        <v>20240408</v>
      </c>
      <c r="BO965">
        <v>0</v>
      </c>
      <c r="BP965" t="s">
        <v>257</v>
      </c>
      <c r="BQ965" t="s">
        <v>983</v>
      </c>
      <c r="BR965" t="s">
        <v>978</v>
      </c>
      <c r="BS965" t="s">
        <v>979</v>
      </c>
      <c r="BT965">
        <v>0</v>
      </c>
      <c r="BU965">
        <v>0</v>
      </c>
      <c r="BV965" t="s">
        <v>984</v>
      </c>
      <c r="BW965" t="s">
        <v>257</v>
      </c>
      <c r="BX965">
        <v>0</v>
      </c>
      <c r="BY965" t="s">
        <v>980</v>
      </c>
      <c r="BZ965" t="s">
        <v>257</v>
      </c>
      <c r="CA965">
        <v>0</v>
      </c>
      <c r="CB965">
        <v>0</v>
      </c>
      <c r="CC965" t="s">
        <v>1371</v>
      </c>
      <c r="CD965">
        <v>0</v>
      </c>
      <c r="CE965">
        <v>0</v>
      </c>
      <c r="CF965">
        <v>0</v>
      </c>
      <c r="CG965">
        <v>0</v>
      </c>
      <c r="CH965">
        <v>0</v>
      </c>
      <c r="CI965" t="s">
        <v>983</v>
      </c>
      <c r="CJ965" t="s">
        <v>972</v>
      </c>
      <c r="CK965" t="s">
        <v>986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 t="s">
        <v>987</v>
      </c>
      <c r="CV965">
        <v>400010329</v>
      </c>
      <c r="CW965" t="s">
        <v>987</v>
      </c>
      <c r="CX965" t="s">
        <v>6460</v>
      </c>
      <c r="CY965" t="s">
        <v>989</v>
      </c>
    </row>
    <row r="966" spans="1:103" hidden="1" x14ac:dyDescent="0.25">
      <c r="A966">
        <v>410000971</v>
      </c>
      <c r="B966" t="s">
        <v>6461</v>
      </c>
      <c r="C966" t="s">
        <v>6462</v>
      </c>
      <c r="D966">
        <v>401100000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4</v>
      </c>
      <c r="W966">
        <v>1</v>
      </c>
      <c r="X966">
        <v>1</v>
      </c>
      <c r="Y966" t="s">
        <v>972</v>
      </c>
      <c r="Z966" t="s">
        <v>987</v>
      </c>
      <c r="AA966" t="s">
        <v>6463</v>
      </c>
      <c r="AB966" t="s">
        <v>975</v>
      </c>
      <c r="AC966">
        <v>1030</v>
      </c>
      <c r="AD966" t="s">
        <v>2275</v>
      </c>
      <c r="AE966" t="s">
        <v>979</v>
      </c>
      <c r="AF966" t="s">
        <v>979</v>
      </c>
      <c r="AG966" t="s">
        <v>6464</v>
      </c>
      <c r="AH966">
        <v>768740341</v>
      </c>
      <c r="AI966">
        <v>90032</v>
      </c>
      <c r="AJ966" t="s">
        <v>4619</v>
      </c>
      <c r="AK966" t="s">
        <v>978</v>
      </c>
      <c r="AL966" t="s">
        <v>978</v>
      </c>
      <c r="AM966" t="s">
        <v>979</v>
      </c>
      <c r="AN966">
        <v>0</v>
      </c>
      <c r="AO966" t="s">
        <v>257</v>
      </c>
      <c r="AP966">
        <v>0</v>
      </c>
      <c r="AQ966">
        <v>1</v>
      </c>
      <c r="AR966">
        <v>69</v>
      </c>
      <c r="AS966">
        <v>1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1</v>
      </c>
      <c r="AZ966" t="s">
        <v>257</v>
      </c>
      <c r="BA966" t="s">
        <v>980</v>
      </c>
      <c r="BB966" t="s">
        <v>981</v>
      </c>
      <c r="BC966" t="s">
        <v>257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 t="s">
        <v>998</v>
      </c>
      <c r="BK966" t="s">
        <v>981</v>
      </c>
      <c r="BL966" t="s">
        <v>6461</v>
      </c>
      <c r="BM966">
        <v>20240301</v>
      </c>
      <c r="BN966">
        <v>20240910</v>
      </c>
      <c r="BO966">
        <v>0</v>
      </c>
      <c r="BP966" t="s">
        <v>257</v>
      </c>
      <c r="BQ966" t="s">
        <v>983</v>
      </c>
      <c r="BR966" t="s">
        <v>978</v>
      </c>
      <c r="BS966">
        <v>32497540666</v>
      </c>
      <c r="BT966">
        <v>0</v>
      </c>
      <c r="BU966">
        <v>0</v>
      </c>
      <c r="BV966" t="s">
        <v>984</v>
      </c>
      <c r="BW966" t="s">
        <v>257</v>
      </c>
      <c r="BX966">
        <v>0</v>
      </c>
      <c r="BY966" t="s">
        <v>980</v>
      </c>
      <c r="BZ966" t="s">
        <v>257</v>
      </c>
      <c r="CA966">
        <v>0</v>
      </c>
      <c r="CB966">
        <v>0</v>
      </c>
      <c r="CC966" t="s">
        <v>1901</v>
      </c>
      <c r="CD966">
        <v>0</v>
      </c>
      <c r="CE966">
        <v>0</v>
      </c>
      <c r="CF966">
        <v>0</v>
      </c>
      <c r="CG966">
        <v>0</v>
      </c>
      <c r="CH966">
        <v>0</v>
      </c>
      <c r="CI966" t="s">
        <v>983</v>
      </c>
      <c r="CJ966" t="s">
        <v>972</v>
      </c>
      <c r="CK966" t="s">
        <v>986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 t="s">
        <v>987</v>
      </c>
      <c r="CV966">
        <v>400010330</v>
      </c>
      <c r="CW966" t="s">
        <v>987</v>
      </c>
      <c r="CX966" t="s">
        <v>6465</v>
      </c>
      <c r="CY966" t="s">
        <v>989</v>
      </c>
    </row>
    <row r="967" spans="1:103" hidden="1" x14ac:dyDescent="0.25">
      <c r="A967">
        <v>410000972</v>
      </c>
      <c r="B967" t="s">
        <v>6466</v>
      </c>
      <c r="C967" t="s">
        <v>6467</v>
      </c>
      <c r="D967">
        <v>401100000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</v>
      </c>
      <c r="W967">
        <v>1</v>
      </c>
      <c r="X967">
        <v>1</v>
      </c>
      <c r="Y967" t="s">
        <v>972</v>
      </c>
      <c r="Z967" t="s">
        <v>987</v>
      </c>
      <c r="AA967" t="s">
        <v>6468</v>
      </c>
      <c r="AB967" t="s">
        <v>1626</v>
      </c>
      <c r="AC967">
        <v>2210</v>
      </c>
      <c r="AD967" t="s">
        <v>6388</v>
      </c>
      <c r="AE967" t="s">
        <v>979</v>
      </c>
      <c r="AF967" t="s">
        <v>979</v>
      </c>
      <c r="AG967" t="s">
        <v>977</v>
      </c>
      <c r="AH967" t="s">
        <v>6469</v>
      </c>
      <c r="AI967">
        <v>69200</v>
      </c>
      <c r="AJ967" t="s">
        <v>6470</v>
      </c>
      <c r="AK967" t="s">
        <v>978</v>
      </c>
      <c r="AL967" t="s">
        <v>978</v>
      </c>
      <c r="AM967" t="s">
        <v>979</v>
      </c>
      <c r="AN967">
        <v>0</v>
      </c>
      <c r="AO967" t="s">
        <v>257</v>
      </c>
      <c r="AP967">
        <v>0</v>
      </c>
      <c r="AQ967">
        <v>1</v>
      </c>
      <c r="AR967">
        <v>43</v>
      </c>
      <c r="AS967">
        <v>1</v>
      </c>
      <c r="AT967">
        <v>0</v>
      </c>
      <c r="AU967">
        <v>1</v>
      </c>
      <c r="AV967">
        <v>0</v>
      </c>
      <c r="AW967">
        <v>0</v>
      </c>
      <c r="AX967">
        <v>0</v>
      </c>
      <c r="AY967">
        <v>1</v>
      </c>
      <c r="AZ967" t="s">
        <v>257</v>
      </c>
      <c r="BA967" t="s">
        <v>980</v>
      </c>
      <c r="BB967" t="s">
        <v>981</v>
      </c>
      <c r="BC967" t="s">
        <v>257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 t="s">
        <v>998</v>
      </c>
      <c r="BK967" t="s">
        <v>981</v>
      </c>
      <c r="BL967" t="s">
        <v>6466</v>
      </c>
      <c r="BM967">
        <v>20240304</v>
      </c>
      <c r="BN967">
        <v>20240625</v>
      </c>
      <c r="BO967">
        <v>0</v>
      </c>
      <c r="BP967" t="s">
        <v>257</v>
      </c>
      <c r="BQ967" t="s">
        <v>983</v>
      </c>
      <c r="BR967" t="s">
        <v>978</v>
      </c>
      <c r="BS967">
        <v>352661258230</v>
      </c>
      <c r="BT967">
        <v>0</v>
      </c>
      <c r="BU967">
        <v>0</v>
      </c>
      <c r="BV967" t="s">
        <v>984</v>
      </c>
      <c r="BW967" t="s">
        <v>257</v>
      </c>
      <c r="BX967">
        <v>0</v>
      </c>
      <c r="BY967" t="s">
        <v>980</v>
      </c>
      <c r="BZ967" t="s">
        <v>257</v>
      </c>
      <c r="CA967">
        <v>0</v>
      </c>
      <c r="CB967">
        <v>0</v>
      </c>
      <c r="CC967" t="s">
        <v>1901</v>
      </c>
      <c r="CD967">
        <v>0</v>
      </c>
      <c r="CE967">
        <v>0</v>
      </c>
      <c r="CF967">
        <v>0</v>
      </c>
      <c r="CG967">
        <v>0</v>
      </c>
      <c r="CH967">
        <v>0</v>
      </c>
      <c r="CI967" t="s">
        <v>983</v>
      </c>
      <c r="CJ967" t="s">
        <v>972</v>
      </c>
      <c r="CK967" t="s">
        <v>986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 t="s">
        <v>987</v>
      </c>
      <c r="CV967">
        <v>400010331</v>
      </c>
      <c r="CW967" t="s">
        <v>987</v>
      </c>
      <c r="CX967" t="s">
        <v>6471</v>
      </c>
      <c r="CY967" t="s">
        <v>989</v>
      </c>
    </row>
    <row r="968" spans="1:103" hidden="1" x14ac:dyDescent="0.25">
      <c r="A968">
        <v>410000973</v>
      </c>
      <c r="B968" t="s">
        <v>6472</v>
      </c>
      <c r="C968" t="s">
        <v>6473</v>
      </c>
      <c r="D968">
        <v>401100000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1</v>
      </c>
      <c r="X968">
        <v>1</v>
      </c>
      <c r="Y968" t="s">
        <v>972</v>
      </c>
      <c r="Z968" t="s">
        <v>987</v>
      </c>
      <c r="AA968" t="s">
        <v>6474</v>
      </c>
      <c r="AB968" t="s">
        <v>975</v>
      </c>
      <c r="AC968">
        <v>4600</v>
      </c>
      <c r="AD968" t="s">
        <v>1813</v>
      </c>
      <c r="AE968">
        <v>3243796208</v>
      </c>
      <c r="AF968" t="s">
        <v>979</v>
      </c>
      <c r="AG968" t="s">
        <v>977</v>
      </c>
      <c r="AH968">
        <v>536238764</v>
      </c>
      <c r="AI968">
        <v>45202</v>
      </c>
      <c r="AJ968" t="s">
        <v>6475</v>
      </c>
      <c r="AK968" t="s">
        <v>6476</v>
      </c>
      <c r="AL968" t="s">
        <v>978</v>
      </c>
      <c r="AM968" t="s">
        <v>979</v>
      </c>
      <c r="AN968">
        <v>0</v>
      </c>
      <c r="AO968" t="s">
        <v>257</v>
      </c>
      <c r="AP968">
        <v>0</v>
      </c>
      <c r="AQ968">
        <v>1</v>
      </c>
      <c r="AR968">
        <v>43</v>
      </c>
      <c r="AS968">
        <v>1</v>
      </c>
      <c r="AT968">
        <v>0</v>
      </c>
      <c r="AU968">
        <v>1</v>
      </c>
      <c r="AV968">
        <v>0</v>
      </c>
      <c r="AW968">
        <v>0</v>
      </c>
      <c r="AX968">
        <v>0</v>
      </c>
      <c r="AY968">
        <v>1</v>
      </c>
      <c r="AZ968" t="s">
        <v>257</v>
      </c>
      <c r="BA968" t="s">
        <v>980</v>
      </c>
      <c r="BB968" t="s">
        <v>981</v>
      </c>
      <c r="BC968" t="s">
        <v>257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 t="s">
        <v>998</v>
      </c>
      <c r="BK968" t="s">
        <v>981</v>
      </c>
      <c r="BL968" t="s">
        <v>6472</v>
      </c>
      <c r="BM968">
        <v>20240307</v>
      </c>
      <c r="BN968">
        <v>20240408</v>
      </c>
      <c r="BO968">
        <v>0</v>
      </c>
      <c r="BP968" t="s">
        <v>257</v>
      </c>
      <c r="BQ968" t="s">
        <v>983</v>
      </c>
      <c r="BR968" t="s">
        <v>978</v>
      </c>
      <c r="BS968" t="s">
        <v>979</v>
      </c>
      <c r="BT968">
        <v>0</v>
      </c>
      <c r="BU968">
        <v>0</v>
      </c>
      <c r="BV968" t="s">
        <v>984</v>
      </c>
      <c r="BW968" t="s">
        <v>257</v>
      </c>
      <c r="BX968">
        <v>0</v>
      </c>
      <c r="BY968" t="s">
        <v>980</v>
      </c>
      <c r="BZ968" t="s">
        <v>257</v>
      </c>
      <c r="CA968">
        <v>0</v>
      </c>
      <c r="CB968">
        <v>0</v>
      </c>
      <c r="CC968" t="s">
        <v>1371</v>
      </c>
      <c r="CD968">
        <v>0</v>
      </c>
      <c r="CE968">
        <v>0</v>
      </c>
      <c r="CF968">
        <v>0</v>
      </c>
      <c r="CG968">
        <v>0</v>
      </c>
      <c r="CH968">
        <v>0</v>
      </c>
      <c r="CI968" t="s">
        <v>983</v>
      </c>
      <c r="CJ968" t="s">
        <v>972</v>
      </c>
      <c r="CK968" t="s">
        <v>986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 t="s">
        <v>987</v>
      </c>
      <c r="CV968">
        <v>400010332</v>
      </c>
      <c r="CW968" t="s">
        <v>987</v>
      </c>
      <c r="CX968" t="s">
        <v>6383</v>
      </c>
      <c r="CY968" t="s">
        <v>989</v>
      </c>
    </row>
    <row r="969" spans="1:103" hidden="1" x14ac:dyDescent="0.25">
      <c r="A969">
        <v>410000974</v>
      </c>
      <c r="B969" t="s">
        <v>6477</v>
      </c>
      <c r="C969" t="s">
        <v>6478</v>
      </c>
      <c r="D969">
        <v>401100000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</v>
      </c>
      <c r="W969">
        <v>1</v>
      </c>
      <c r="X969">
        <v>1</v>
      </c>
      <c r="Y969" t="s">
        <v>972</v>
      </c>
      <c r="Z969" t="s">
        <v>987</v>
      </c>
      <c r="AA969" t="s">
        <v>6479</v>
      </c>
      <c r="AB969" t="s">
        <v>1626</v>
      </c>
      <c r="AC969">
        <v>8211</v>
      </c>
      <c r="AD969" t="s">
        <v>6480</v>
      </c>
      <c r="AE969" t="s">
        <v>979</v>
      </c>
      <c r="AF969" t="s">
        <v>979</v>
      </c>
      <c r="AG969" t="s">
        <v>977</v>
      </c>
      <c r="AH969" t="s">
        <v>977</v>
      </c>
      <c r="AI969" t="s">
        <v>977</v>
      </c>
      <c r="AJ969" t="s">
        <v>6481</v>
      </c>
      <c r="AK969" t="s">
        <v>978</v>
      </c>
      <c r="AL969" t="s">
        <v>978</v>
      </c>
      <c r="AM969" t="s">
        <v>979</v>
      </c>
      <c r="AN969">
        <v>0</v>
      </c>
      <c r="AO969" t="s">
        <v>257</v>
      </c>
      <c r="AP969">
        <v>0</v>
      </c>
      <c r="AQ969">
        <v>1</v>
      </c>
      <c r="AR969">
        <v>43</v>
      </c>
      <c r="AS969">
        <v>1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1</v>
      </c>
      <c r="AZ969" t="s">
        <v>257</v>
      </c>
      <c r="BA969" t="s">
        <v>980</v>
      </c>
      <c r="BB969" t="s">
        <v>981</v>
      </c>
      <c r="BC969" t="s">
        <v>257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 t="s">
        <v>998</v>
      </c>
      <c r="BK969" t="s">
        <v>981</v>
      </c>
      <c r="BL969" t="s">
        <v>6477</v>
      </c>
      <c r="BM969">
        <v>20240308</v>
      </c>
      <c r="BN969">
        <v>20240408</v>
      </c>
      <c r="BO969">
        <v>0</v>
      </c>
      <c r="BP969" t="s">
        <v>257</v>
      </c>
      <c r="BQ969" t="s">
        <v>983</v>
      </c>
      <c r="BR969" t="s">
        <v>978</v>
      </c>
      <c r="BS969">
        <v>352691700780</v>
      </c>
      <c r="BT969">
        <v>0</v>
      </c>
      <c r="BU969">
        <v>0</v>
      </c>
      <c r="BV969" t="s">
        <v>984</v>
      </c>
      <c r="BW969" t="s">
        <v>257</v>
      </c>
      <c r="BX969">
        <v>0</v>
      </c>
      <c r="BY969" t="s">
        <v>980</v>
      </c>
      <c r="BZ969" t="s">
        <v>257</v>
      </c>
      <c r="CA969">
        <v>0</v>
      </c>
      <c r="CB969">
        <v>0</v>
      </c>
      <c r="CC969" t="s">
        <v>1901</v>
      </c>
      <c r="CD969">
        <v>0</v>
      </c>
      <c r="CE969">
        <v>0</v>
      </c>
      <c r="CF969">
        <v>0</v>
      </c>
      <c r="CG969">
        <v>0</v>
      </c>
      <c r="CH969">
        <v>0</v>
      </c>
      <c r="CI969" t="s">
        <v>983</v>
      </c>
      <c r="CJ969" t="s">
        <v>972</v>
      </c>
      <c r="CK969" t="s">
        <v>986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 t="s">
        <v>987</v>
      </c>
      <c r="CV969">
        <v>400010333</v>
      </c>
      <c r="CW969" t="s">
        <v>987</v>
      </c>
      <c r="CX969" t="s">
        <v>6482</v>
      </c>
      <c r="CY969" t="s">
        <v>989</v>
      </c>
    </row>
    <row r="970" spans="1:103" hidden="1" x14ac:dyDescent="0.25">
      <c r="A970">
        <v>410000975</v>
      </c>
      <c r="B970" t="s">
        <v>6483</v>
      </c>
      <c r="C970" t="s">
        <v>6484</v>
      </c>
      <c r="D970">
        <v>401100000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1</v>
      </c>
      <c r="X970">
        <v>1</v>
      </c>
      <c r="Y970" t="s">
        <v>972</v>
      </c>
      <c r="Z970" t="s">
        <v>4834</v>
      </c>
      <c r="AA970" t="s">
        <v>6485</v>
      </c>
      <c r="AB970" t="s">
        <v>975</v>
      </c>
      <c r="AC970">
        <v>4920</v>
      </c>
      <c r="AD970" t="s">
        <v>6068</v>
      </c>
      <c r="AE970" t="s">
        <v>979</v>
      </c>
      <c r="AF970" t="s">
        <v>979</v>
      </c>
      <c r="AG970" t="s">
        <v>6486</v>
      </c>
      <c r="AH970">
        <v>637771931</v>
      </c>
      <c r="AI970">
        <v>91030</v>
      </c>
      <c r="AJ970" t="s">
        <v>6487</v>
      </c>
      <c r="AK970" t="s">
        <v>6488</v>
      </c>
      <c r="AL970" t="s">
        <v>978</v>
      </c>
      <c r="AM970" t="s">
        <v>979</v>
      </c>
      <c r="AN970">
        <v>0</v>
      </c>
      <c r="AO970" t="s">
        <v>257</v>
      </c>
      <c r="AP970">
        <v>0</v>
      </c>
      <c r="AQ970">
        <v>1</v>
      </c>
      <c r="AR970">
        <v>69</v>
      </c>
      <c r="AS970">
        <v>1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1</v>
      </c>
      <c r="AZ970" t="s">
        <v>257</v>
      </c>
      <c r="BA970" t="s">
        <v>980</v>
      </c>
      <c r="BB970" t="s">
        <v>981</v>
      </c>
      <c r="BC970" t="s">
        <v>257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 t="s">
        <v>998</v>
      </c>
      <c r="BK970" t="s">
        <v>981</v>
      </c>
      <c r="BL970" t="s">
        <v>6483</v>
      </c>
      <c r="BM970">
        <v>20240319</v>
      </c>
      <c r="BN970">
        <v>20240910</v>
      </c>
      <c r="BO970">
        <v>0</v>
      </c>
      <c r="BP970" t="s">
        <v>257</v>
      </c>
      <c r="BQ970" t="s">
        <v>983</v>
      </c>
      <c r="BR970" t="s">
        <v>978</v>
      </c>
      <c r="BS970">
        <v>32478062023</v>
      </c>
      <c r="BT970">
        <v>0</v>
      </c>
      <c r="BU970">
        <v>0</v>
      </c>
      <c r="BV970" t="s">
        <v>984</v>
      </c>
      <c r="BW970" t="s">
        <v>257</v>
      </c>
      <c r="BX970">
        <v>0</v>
      </c>
      <c r="BY970" t="s">
        <v>980</v>
      </c>
      <c r="BZ970" t="s">
        <v>257</v>
      </c>
      <c r="CA970">
        <v>0</v>
      </c>
      <c r="CB970">
        <v>0</v>
      </c>
      <c r="CC970" t="s">
        <v>5421</v>
      </c>
      <c r="CD970">
        <v>0</v>
      </c>
      <c r="CE970">
        <v>0</v>
      </c>
      <c r="CF970">
        <v>0</v>
      </c>
      <c r="CG970">
        <v>0</v>
      </c>
      <c r="CH970">
        <v>0</v>
      </c>
      <c r="CI970" t="s">
        <v>983</v>
      </c>
      <c r="CJ970" t="s">
        <v>972</v>
      </c>
      <c r="CK970" t="s">
        <v>986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 t="s">
        <v>987</v>
      </c>
      <c r="CV970">
        <v>400010338</v>
      </c>
      <c r="CW970" t="s">
        <v>987</v>
      </c>
      <c r="CX970" t="s">
        <v>6489</v>
      </c>
      <c r="CY970" t="s">
        <v>989</v>
      </c>
    </row>
    <row r="971" spans="1:103" hidden="1" x14ac:dyDescent="0.25">
      <c r="A971">
        <v>410000976</v>
      </c>
      <c r="B971" t="s">
        <v>6490</v>
      </c>
      <c r="C971" t="s">
        <v>6491</v>
      </c>
      <c r="D971">
        <v>401100000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1</v>
      </c>
      <c r="Y971" t="s">
        <v>972</v>
      </c>
      <c r="Z971" t="s">
        <v>987</v>
      </c>
      <c r="AA971" t="s">
        <v>6492</v>
      </c>
      <c r="AB971" t="s">
        <v>975</v>
      </c>
      <c r="AC971">
        <v>4910</v>
      </c>
      <c r="AD971" t="s">
        <v>1189</v>
      </c>
      <c r="AE971" t="s">
        <v>979</v>
      </c>
      <c r="AF971" t="s">
        <v>979</v>
      </c>
      <c r="AG971" t="s">
        <v>977</v>
      </c>
      <c r="AH971">
        <v>67435429</v>
      </c>
      <c r="AI971">
        <v>43341</v>
      </c>
      <c r="AJ971" t="s">
        <v>978</v>
      </c>
      <c r="AK971" t="s">
        <v>978</v>
      </c>
      <c r="AL971" t="s">
        <v>978</v>
      </c>
      <c r="AM971" t="s">
        <v>979</v>
      </c>
      <c r="AN971">
        <v>0</v>
      </c>
      <c r="AO971" t="s">
        <v>257</v>
      </c>
      <c r="AP971">
        <v>0</v>
      </c>
      <c r="AQ971">
        <v>1</v>
      </c>
      <c r="AR971">
        <v>43</v>
      </c>
      <c r="AS971">
        <v>1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1</v>
      </c>
      <c r="AZ971" t="s">
        <v>257</v>
      </c>
      <c r="BA971" t="s">
        <v>980</v>
      </c>
      <c r="BB971" t="s">
        <v>981</v>
      </c>
      <c r="BC971" t="s">
        <v>257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 t="s">
        <v>998</v>
      </c>
      <c r="BK971" t="s">
        <v>981</v>
      </c>
      <c r="BL971" t="s">
        <v>6490</v>
      </c>
      <c r="BM971">
        <v>20240321</v>
      </c>
      <c r="BN971">
        <v>20240408</v>
      </c>
      <c r="BO971">
        <v>0</v>
      </c>
      <c r="BP971" t="s">
        <v>257</v>
      </c>
      <c r="BQ971" t="s">
        <v>983</v>
      </c>
      <c r="BR971" t="s">
        <v>978</v>
      </c>
      <c r="BS971">
        <v>32478543484</v>
      </c>
      <c r="BT971">
        <v>0</v>
      </c>
      <c r="BU971">
        <v>0</v>
      </c>
      <c r="BV971" t="s">
        <v>984</v>
      </c>
      <c r="BW971" t="s">
        <v>257</v>
      </c>
      <c r="BX971">
        <v>0</v>
      </c>
      <c r="BY971" t="s">
        <v>980</v>
      </c>
      <c r="BZ971" t="s">
        <v>257</v>
      </c>
      <c r="CA971">
        <v>0</v>
      </c>
      <c r="CB971">
        <v>0</v>
      </c>
      <c r="CC971" t="s">
        <v>2366</v>
      </c>
      <c r="CD971">
        <v>0</v>
      </c>
      <c r="CE971">
        <v>0</v>
      </c>
      <c r="CF971">
        <v>0</v>
      </c>
      <c r="CG971">
        <v>0</v>
      </c>
      <c r="CH971">
        <v>0</v>
      </c>
      <c r="CI971" t="s">
        <v>983</v>
      </c>
      <c r="CJ971" t="s">
        <v>972</v>
      </c>
      <c r="CK971" t="s">
        <v>986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 t="s">
        <v>987</v>
      </c>
      <c r="CV971">
        <v>400010339</v>
      </c>
      <c r="CW971" t="s">
        <v>987</v>
      </c>
      <c r="CX971" t="s">
        <v>6493</v>
      </c>
      <c r="CY971" t="s">
        <v>989</v>
      </c>
    </row>
    <row r="972" spans="1:103" hidden="1" x14ac:dyDescent="0.25">
      <c r="A972">
        <v>410000977</v>
      </c>
      <c r="B972" t="s">
        <v>6494</v>
      </c>
      <c r="C972" t="s">
        <v>6495</v>
      </c>
      <c r="D972">
        <v>401100000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</v>
      </c>
      <c r="X972">
        <v>1</v>
      </c>
      <c r="Y972" t="s">
        <v>972</v>
      </c>
      <c r="Z972" t="s">
        <v>987</v>
      </c>
      <c r="AA972" t="s">
        <v>6496</v>
      </c>
      <c r="AB972" t="s">
        <v>975</v>
      </c>
      <c r="AC972">
        <v>1050</v>
      </c>
      <c r="AD972" t="s">
        <v>2200</v>
      </c>
      <c r="AE972" t="s">
        <v>979</v>
      </c>
      <c r="AF972" t="s">
        <v>979</v>
      </c>
      <c r="AG972" t="s">
        <v>977</v>
      </c>
      <c r="AH972">
        <v>804798303</v>
      </c>
      <c r="AI972">
        <v>86220</v>
      </c>
      <c r="AJ972" t="s">
        <v>5499</v>
      </c>
      <c r="AK972" t="s">
        <v>978</v>
      </c>
      <c r="AL972" t="s">
        <v>978</v>
      </c>
      <c r="AM972" t="s">
        <v>979</v>
      </c>
      <c r="AN972">
        <v>0</v>
      </c>
      <c r="AO972" t="s">
        <v>257</v>
      </c>
      <c r="AP972">
        <v>0</v>
      </c>
      <c r="AQ972">
        <v>1</v>
      </c>
      <c r="AR972">
        <v>43</v>
      </c>
      <c r="AS972">
        <v>1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1</v>
      </c>
      <c r="AZ972" t="s">
        <v>257</v>
      </c>
      <c r="BA972" t="s">
        <v>980</v>
      </c>
      <c r="BB972" t="s">
        <v>981</v>
      </c>
      <c r="BC972" t="s">
        <v>257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 t="s">
        <v>998</v>
      </c>
      <c r="BK972" t="s">
        <v>981</v>
      </c>
      <c r="BL972" t="s">
        <v>6494</v>
      </c>
      <c r="BM972">
        <v>20240322</v>
      </c>
      <c r="BN972">
        <v>20240408</v>
      </c>
      <c r="BO972">
        <v>0</v>
      </c>
      <c r="BP972" t="s">
        <v>257</v>
      </c>
      <c r="BQ972" t="s">
        <v>983</v>
      </c>
      <c r="BR972" t="s">
        <v>978</v>
      </c>
      <c r="BS972">
        <v>32496278771</v>
      </c>
      <c r="BT972">
        <v>0</v>
      </c>
      <c r="BU972">
        <v>0</v>
      </c>
      <c r="BV972" t="s">
        <v>984</v>
      </c>
      <c r="BW972" t="s">
        <v>257</v>
      </c>
      <c r="BX972">
        <v>0</v>
      </c>
      <c r="BY972" t="s">
        <v>980</v>
      </c>
      <c r="BZ972" t="s">
        <v>257</v>
      </c>
      <c r="CA972">
        <v>0</v>
      </c>
      <c r="CB972">
        <v>0</v>
      </c>
      <c r="CC972" t="s">
        <v>1901</v>
      </c>
      <c r="CD972">
        <v>0</v>
      </c>
      <c r="CE972">
        <v>0</v>
      </c>
      <c r="CF972">
        <v>0</v>
      </c>
      <c r="CG972">
        <v>0</v>
      </c>
      <c r="CH972">
        <v>0</v>
      </c>
      <c r="CI972" t="s">
        <v>983</v>
      </c>
      <c r="CJ972" t="s">
        <v>972</v>
      </c>
      <c r="CK972" t="s">
        <v>986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 t="s">
        <v>987</v>
      </c>
      <c r="CV972">
        <v>400010340</v>
      </c>
      <c r="CW972" t="s">
        <v>987</v>
      </c>
      <c r="CX972" t="s">
        <v>6448</v>
      </c>
      <c r="CY972" t="s">
        <v>989</v>
      </c>
    </row>
    <row r="973" spans="1:103" hidden="1" x14ac:dyDescent="0.25">
      <c r="A973">
        <v>410000978</v>
      </c>
      <c r="B973" t="s">
        <v>6497</v>
      </c>
      <c r="C973" t="s">
        <v>6498</v>
      </c>
      <c r="D973">
        <v>401100000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1</v>
      </c>
      <c r="Y973" t="s">
        <v>972</v>
      </c>
      <c r="Z973" t="s">
        <v>987</v>
      </c>
      <c r="AA973" t="s">
        <v>6499</v>
      </c>
      <c r="AB973" t="s">
        <v>975</v>
      </c>
      <c r="AC973">
        <v>4608</v>
      </c>
      <c r="AD973" t="s">
        <v>1217</v>
      </c>
      <c r="AE973">
        <v>3285313336</v>
      </c>
      <c r="AF973" t="s">
        <v>979</v>
      </c>
      <c r="AG973" t="s">
        <v>977</v>
      </c>
      <c r="AH973">
        <v>431115906</v>
      </c>
      <c r="AI973">
        <v>47730</v>
      </c>
      <c r="AJ973" t="s">
        <v>6425</v>
      </c>
      <c r="AK973" t="s">
        <v>978</v>
      </c>
      <c r="AL973" t="s">
        <v>978</v>
      </c>
      <c r="AM973" t="s">
        <v>979</v>
      </c>
      <c r="AN973">
        <v>0</v>
      </c>
      <c r="AO973" t="s">
        <v>257</v>
      </c>
      <c r="AP973">
        <v>0</v>
      </c>
      <c r="AQ973">
        <v>1</v>
      </c>
      <c r="AR973">
        <v>43</v>
      </c>
      <c r="AS973">
        <v>1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1</v>
      </c>
      <c r="AZ973" t="s">
        <v>257</v>
      </c>
      <c r="BA973" t="s">
        <v>980</v>
      </c>
      <c r="BB973" t="s">
        <v>981</v>
      </c>
      <c r="BC973" t="s">
        <v>257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 t="s">
        <v>998</v>
      </c>
      <c r="BK973" t="s">
        <v>981</v>
      </c>
      <c r="BL973" t="s">
        <v>6497</v>
      </c>
      <c r="BM973">
        <v>20240322</v>
      </c>
      <c r="BN973">
        <v>20240408</v>
      </c>
      <c r="BO973">
        <v>0</v>
      </c>
      <c r="BP973" t="s">
        <v>257</v>
      </c>
      <c r="BQ973" t="s">
        <v>983</v>
      </c>
      <c r="BR973" t="s">
        <v>978</v>
      </c>
      <c r="BS973" t="s">
        <v>979</v>
      </c>
      <c r="BT973">
        <v>0</v>
      </c>
      <c r="BU973">
        <v>0</v>
      </c>
      <c r="BV973" t="s">
        <v>984</v>
      </c>
      <c r="BW973" t="s">
        <v>257</v>
      </c>
      <c r="BX973">
        <v>0</v>
      </c>
      <c r="BY973" t="s">
        <v>980</v>
      </c>
      <c r="BZ973" t="s">
        <v>257</v>
      </c>
      <c r="CA973">
        <v>0</v>
      </c>
      <c r="CB973">
        <v>0</v>
      </c>
      <c r="CC973" t="s">
        <v>1901</v>
      </c>
      <c r="CD973">
        <v>0</v>
      </c>
      <c r="CE973">
        <v>0</v>
      </c>
      <c r="CF973">
        <v>0</v>
      </c>
      <c r="CG973">
        <v>0</v>
      </c>
      <c r="CH973">
        <v>0</v>
      </c>
      <c r="CI973" t="s">
        <v>983</v>
      </c>
      <c r="CJ973" t="s">
        <v>972</v>
      </c>
      <c r="CK973" t="s">
        <v>986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 t="s">
        <v>987</v>
      </c>
      <c r="CV973">
        <v>400010341</v>
      </c>
      <c r="CW973" t="s">
        <v>987</v>
      </c>
      <c r="CX973" t="s">
        <v>6500</v>
      </c>
      <c r="CY973" t="s">
        <v>989</v>
      </c>
    </row>
    <row r="974" spans="1:103" hidden="1" x14ac:dyDescent="0.25">
      <c r="A974">
        <v>410000979</v>
      </c>
      <c r="B974" t="s">
        <v>6501</v>
      </c>
      <c r="C974" t="s">
        <v>6502</v>
      </c>
      <c r="D974">
        <v>401100000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1</v>
      </c>
      <c r="X974">
        <v>1</v>
      </c>
      <c r="Y974" t="s">
        <v>972</v>
      </c>
      <c r="Z974" t="s">
        <v>987</v>
      </c>
      <c r="AA974" t="s">
        <v>6503</v>
      </c>
      <c r="AB974" t="s">
        <v>975</v>
      </c>
      <c r="AC974">
        <v>4460</v>
      </c>
      <c r="AD974" t="s">
        <v>6504</v>
      </c>
      <c r="AE974" t="s">
        <v>979</v>
      </c>
      <c r="AF974" t="s">
        <v>979</v>
      </c>
      <c r="AG974" t="s">
        <v>977</v>
      </c>
      <c r="AH974">
        <v>477693824</v>
      </c>
      <c r="AI974">
        <v>43110</v>
      </c>
      <c r="AJ974" t="s">
        <v>978</v>
      </c>
      <c r="AK974" t="s">
        <v>978</v>
      </c>
      <c r="AL974" t="s">
        <v>978</v>
      </c>
      <c r="AM974" t="s">
        <v>979</v>
      </c>
      <c r="AN974">
        <v>0</v>
      </c>
      <c r="AO974" t="s">
        <v>257</v>
      </c>
      <c r="AP974">
        <v>0</v>
      </c>
      <c r="AQ974">
        <v>1</v>
      </c>
      <c r="AR974">
        <v>43</v>
      </c>
      <c r="AS974">
        <v>1</v>
      </c>
      <c r="AT974">
        <v>0</v>
      </c>
      <c r="AU974">
        <v>1</v>
      </c>
      <c r="AV974">
        <v>0</v>
      </c>
      <c r="AW974">
        <v>0</v>
      </c>
      <c r="AX974">
        <v>0</v>
      </c>
      <c r="AY974">
        <v>1</v>
      </c>
      <c r="AZ974" t="s">
        <v>257</v>
      </c>
      <c r="BA974" t="s">
        <v>257</v>
      </c>
      <c r="BB974" t="s">
        <v>981</v>
      </c>
      <c r="BC974" t="s">
        <v>257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 t="s">
        <v>998</v>
      </c>
      <c r="BK974" t="s">
        <v>981</v>
      </c>
      <c r="BL974" t="s">
        <v>6501</v>
      </c>
      <c r="BM974">
        <v>20240408</v>
      </c>
      <c r="BN974">
        <v>20240408</v>
      </c>
      <c r="BO974">
        <v>0</v>
      </c>
      <c r="BP974" t="s">
        <v>257</v>
      </c>
      <c r="BQ974" t="s">
        <v>983</v>
      </c>
      <c r="BR974" t="s">
        <v>978</v>
      </c>
      <c r="BS974">
        <v>32495834750</v>
      </c>
      <c r="BT974">
        <v>0</v>
      </c>
      <c r="BU974">
        <v>0</v>
      </c>
      <c r="BV974" t="s">
        <v>984</v>
      </c>
      <c r="BW974" t="s">
        <v>257</v>
      </c>
      <c r="BX974">
        <v>0</v>
      </c>
      <c r="BY974" t="s">
        <v>980</v>
      </c>
      <c r="BZ974" t="s">
        <v>257</v>
      </c>
      <c r="CA974">
        <v>0</v>
      </c>
      <c r="CB974">
        <v>0</v>
      </c>
      <c r="CC974" t="s">
        <v>1220</v>
      </c>
      <c r="CD974">
        <v>0</v>
      </c>
      <c r="CE974">
        <v>0</v>
      </c>
      <c r="CF974">
        <v>0</v>
      </c>
      <c r="CG974">
        <v>0</v>
      </c>
      <c r="CH974">
        <v>0</v>
      </c>
      <c r="CI974" t="s">
        <v>983</v>
      </c>
      <c r="CJ974" t="s">
        <v>972</v>
      </c>
      <c r="CK974" t="s">
        <v>986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 t="s">
        <v>987</v>
      </c>
      <c r="CV974">
        <v>400010364</v>
      </c>
      <c r="CW974" t="s">
        <v>987</v>
      </c>
      <c r="CX974" t="s">
        <v>6505</v>
      </c>
      <c r="CY974" t="s">
        <v>989</v>
      </c>
    </row>
    <row r="975" spans="1:103" hidden="1" x14ac:dyDescent="0.25">
      <c r="A975">
        <v>410000980</v>
      </c>
      <c r="B975" t="s">
        <v>6506</v>
      </c>
      <c r="C975" t="s">
        <v>6507</v>
      </c>
      <c r="D975">
        <v>401100000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1</v>
      </c>
      <c r="Y975" t="s">
        <v>972</v>
      </c>
      <c r="Z975" t="s">
        <v>987</v>
      </c>
      <c r="AA975" t="s">
        <v>6508</v>
      </c>
      <c r="AB975" t="s">
        <v>975</v>
      </c>
      <c r="AC975">
        <v>1180</v>
      </c>
      <c r="AD975" t="s">
        <v>4014</v>
      </c>
      <c r="AE975">
        <v>3225355540</v>
      </c>
      <c r="AF975" t="s">
        <v>979</v>
      </c>
      <c r="AG975" t="s">
        <v>977</v>
      </c>
      <c r="AH975">
        <v>476914059</v>
      </c>
      <c r="AI975">
        <v>86210</v>
      </c>
      <c r="AJ975" t="s">
        <v>6509</v>
      </c>
      <c r="AK975" t="s">
        <v>978</v>
      </c>
      <c r="AL975" t="s">
        <v>978</v>
      </c>
      <c r="AM975" t="s">
        <v>979</v>
      </c>
      <c r="AN975">
        <v>0</v>
      </c>
      <c r="AO975" t="s">
        <v>257</v>
      </c>
      <c r="AP975">
        <v>0</v>
      </c>
      <c r="AQ975">
        <v>1</v>
      </c>
      <c r="AR975">
        <v>43</v>
      </c>
      <c r="AS975">
        <v>1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1</v>
      </c>
      <c r="AZ975" t="s">
        <v>257</v>
      </c>
      <c r="BA975" t="s">
        <v>980</v>
      </c>
      <c r="BB975" t="s">
        <v>981</v>
      </c>
      <c r="BC975" t="s">
        <v>257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 t="s">
        <v>998</v>
      </c>
      <c r="BK975" t="s">
        <v>981</v>
      </c>
      <c r="BL975" t="s">
        <v>6506</v>
      </c>
      <c r="BM975">
        <v>20240409</v>
      </c>
      <c r="BN975">
        <v>20240411</v>
      </c>
      <c r="BO975">
        <v>0</v>
      </c>
      <c r="BP975" t="s">
        <v>257</v>
      </c>
      <c r="BQ975" t="s">
        <v>983</v>
      </c>
      <c r="BR975" t="s">
        <v>978</v>
      </c>
      <c r="BS975" t="s">
        <v>979</v>
      </c>
      <c r="BT975">
        <v>0</v>
      </c>
      <c r="BU975">
        <v>0</v>
      </c>
      <c r="BV975" t="s">
        <v>984</v>
      </c>
      <c r="BW975" t="s">
        <v>257</v>
      </c>
      <c r="BX975">
        <v>0</v>
      </c>
      <c r="BY975" t="s">
        <v>980</v>
      </c>
      <c r="BZ975" t="s">
        <v>257</v>
      </c>
      <c r="CA975">
        <v>0</v>
      </c>
      <c r="CB975">
        <v>0</v>
      </c>
      <c r="CC975" t="s">
        <v>1901</v>
      </c>
      <c r="CD975">
        <v>0</v>
      </c>
      <c r="CE975">
        <v>0</v>
      </c>
      <c r="CF975">
        <v>0</v>
      </c>
      <c r="CG975">
        <v>0</v>
      </c>
      <c r="CH975">
        <v>0</v>
      </c>
      <c r="CI975" t="s">
        <v>983</v>
      </c>
      <c r="CJ975" t="s">
        <v>972</v>
      </c>
      <c r="CK975" t="s">
        <v>986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 t="s">
        <v>987</v>
      </c>
      <c r="CV975">
        <v>400010366</v>
      </c>
      <c r="CW975" t="s">
        <v>987</v>
      </c>
      <c r="CX975" t="s">
        <v>6510</v>
      </c>
      <c r="CY975" t="s">
        <v>989</v>
      </c>
    </row>
    <row r="976" spans="1:103" ht="15.75" hidden="1" customHeight="1" x14ac:dyDescent="0.25">
      <c r="A976">
        <v>410000981</v>
      </c>
      <c r="B976" t="s">
        <v>6511</v>
      </c>
      <c r="C976" t="s">
        <v>6512</v>
      </c>
      <c r="D976">
        <v>401100000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1</v>
      </c>
      <c r="X976">
        <v>1</v>
      </c>
      <c r="Y976" t="s">
        <v>972</v>
      </c>
      <c r="Z976" t="s">
        <v>6513</v>
      </c>
      <c r="AA976" t="s">
        <v>6514</v>
      </c>
      <c r="AB976" t="s">
        <v>975</v>
      </c>
      <c r="AC976">
        <v>4537</v>
      </c>
      <c r="AD976" t="s">
        <v>3069</v>
      </c>
      <c r="AE976" t="s">
        <v>979</v>
      </c>
      <c r="AF976" t="s">
        <v>979</v>
      </c>
      <c r="AG976" t="s">
        <v>977</v>
      </c>
      <c r="AH976">
        <v>446471402</v>
      </c>
      <c r="AI976">
        <v>69201</v>
      </c>
      <c r="AJ976" t="s">
        <v>978</v>
      </c>
      <c r="AK976" t="s">
        <v>978</v>
      </c>
      <c r="AL976" t="s">
        <v>978</v>
      </c>
      <c r="AM976" t="s">
        <v>979</v>
      </c>
      <c r="AN976">
        <v>0</v>
      </c>
      <c r="AO976" t="s">
        <v>257</v>
      </c>
      <c r="AP976">
        <v>0</v>
      </c>
      <c r="AQ976">
        <v>1</v>
      </c>
      <c r="AR976">
        <v>43</v>
      </c>
      <c r="AS976">
        <v>1</v>
      </c>
      <c r="AT976">
        <v>0</v>
      </c>
      <c r="AU976">
        <v>1</v>
      </c>
      <c r="AV976">
        <v>0</v>
      </c>
      <c r="AW976">
        <v>0</v>
      </c>
      <c r="AX976">
        <v>0</v>
      </c>
      <c r="AY976">
        <v>1</v>
      </c>
      <c r="AZ976" t="s">
        <v>257</v>
      </c>
      <c r="BA976" t="s">
        <v>980</v>
      </c>
      <c r="BB976" t="s">
        <v>981</v>
      </c>
      <c r="BC976" t="s">
        <v>257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 t="s">
        <v>998</v>
      </c>
      <c r="BK976" t="s">
        <v>981</v>
      </c>
      <c r="BL976" t="s">
        <v>6511</v>
      </c>
      <c r="BM976">
        <v>20240415</v>
      </c>
      <c r="BN976">
        <v>20240416</v>
      </c>
      <c r="BO976">
        <v>0</v>
      </c>
      <c r="BP976" t="s">
        <v>257</v>
      </c>
      <c r="BQ976" t="s">
        <v>983</v>
      </c>
      <c r="BR976" t="s">
        <v>978</v>
      </c>
      <c r="BS976">
        <v>32476676916</v>
      </c>
      <c r="BT976">
        <v>0</v>
      </c>
      <c r="BU976">
        <v>0</v>
      </c>
      <c r="BV976" t="s">
        <v>984</v>
      </c>
      <c r="BW976" t="s">
        <v>257</v>
      </c>
      <c r="BX976">
        <v>0</v>
      </c>
      <c r="BY976" t="s">
        <v>980</v>
      </c>
      <c r="BZ976" t="s">
        <v>257</v>
      </c>
      <c r="CA976">
        <v>0</v>
      </c>
      <c r="CB976">
        <v>0</v>
      </c>
      <c r="CC976" t="s">
        <v>3687</v>
      </c>
      <c r="CD976">
        <v>0</v>
      </c>
      <c r="CE976">
        <v>0</v>
      </c>
      <c r="CF976">
        <v>0</v>
      </c>
      <c r="CG976">
        <v>0</v>
      </c>
      <c r="CH976">
        <v>0</v>
      </c>
      <c r="CI976" t="s">
        <v>983</v>
      </c>
      <c r="CJ976" t="s">
        <v>972</v>
      </c>
      <c r="CK976" t="s">
        <v>986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 t="s">
        <v>987</v>
      </c>
      <c r="CV976">
        <v>400010377</v>
      </c>
      <c r="CW976" t="s">
        <v>987</v>
      </c>
      <c r="CX976" t="s">
        <v>6515</v>
      </c>
      <c r="CY976" t="s">
        <v>989</v>
      </c>
    </row>
    <row r="977" spans="1:103" hidden="1" x14ac:dyDescent="0.25">
      <c r="A977">
        <v>410000982</v>
      </c>
      <c r="B977" t="s">
        <v>6516</v>
      </c>
      <c r="C977" t="s">
        <v>6517</v>
      </c>
      <c r="D977">
        <v>401100000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1</v>
      </c>
      <c r="Y977" t="s">
        <v>972</v>
      </c>
      <c r="Z977" t="s">
        <v>987</v>
      </c>
      <c r="AA977" t="s">
        <v>6518</v>
      </c>
      <c r="AB977" t="s">
        <v>975</v>
      </c>
      <c r="AC977">
        <v>1000</v>
      </c>
      <c r="AD977" t="s">
        <v>1066</v>
      </c>
      <c r="AE977">
        <v>3226260269</v>
      </c>
      <c r="AF977" t="s">
        <v>979</v>
      </c>
      <c r="AG977" t="s">
        <v>977</v>
      </c>
      <c r="AH977">
        <v>439360807</v>
      </c>
      <c r="AI977">
        <v>68201</v>
      </c>
      <c r="AJ977" t="s">
        <v>5499</v>
      </c>
      <c r="AK977" t="s">
        <v>978</v>
      </c>
      <c r="AL977" t="s">
        <v>978</v>
      </c>
      <c r="AM977" t="s">
        <v>979</v>
      </c>
      <c r="AN977">
        <v>0</v>
      </c>
      <c r="AO977" t="s">
        <v>257</v>
      </c>
      <c r="AP977">
        <v>0</v>
      </c>
      <c r="AQ977">
        <v>1</v>
      </c>
      <c r="AR977">
        <v>43</v>
      </c>
      <c r="AS977">
        <v>1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1</v>
      </c>
      <c r="AZ977" t="s">
        <v>257</v>
      </c>
      <c r="BA977" t="s">
        <v>980</v>
      </c>
      <c r="BB977" t="s">
        <v>981</v>
      </c>
      <c r="BC977" t="s">
        <v>257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 t="s">
        <v>998</v>
      </c>
      <c r="BK977" t="s">
        <v>981</v>
      </c>
      <c r="BL977" t="s">
        <v>6516</v>
      </c>
      <c r="BM977">
        <v>20240415</v>
      </c>
      <c r="BN977">
        <v>20240416</v>
      </c>
      <c r="BO977">
        <v>0</v>
      </c>
      <c r="BP977" t="s">
        <v>257</v>
      </c>
      <c r="BQ977" t="s">
        <v>983</v>
      </c>
      <c r="BR977" t="s">
        <v>978</v>
      </c>
      <c r="BS977" t="s">
        <v>979</v>
      </c>
      <c r="BT977">
        <v>0</v>
      </c>
      <c r="BU977">
        <v>0</v>
      </c>
      <c r="BV977" t="s">
        <v>984</v>
      </c>
      <c r="BW977" t="s">
        <v>257</v>
      </c>
      <c r="BX977">
        <v>0</v>
      </c>
      <c r="BY977" t="s">
        <v>980</v>
      </c>
      <c r="BZ977" t="s">
        <v>257</v>
      </c>
      <c r="CA977">
        <v>0</v>
      </c>
      <c r="CB977">
        <v>0</v>
      </c>
      <c r="CC977" t="s">
        <v>1901</v>
      </c>
      <c r="CD977">
        <v>0</v>
      </c>
      <c r="CE977">
        <v>0</v>
      </c>
      <c r="CF977">
        <v>0</v>
      </c>
      <c r="CG977">
        <v>0</v>
      </c>
      <c r="CH977">
        <v>0</v>
      </c>
      <c r="CI977" t="s">
        <v>983</v>
      </c>
      <c r="CJ977" t="s">
        <v>972</v>
      </c>
      <c r="CK977" t="s">
        <v>986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 t="s">
        <v>987</v>
      </c>
      <c r="CV977">
        <v>400010376</v>
      </c>
      <c r="CW977" t="s">
        <v>987</v>
      </c>
      <c r="CX977" t="s">
        <v>6519</v>
      </c>
      <c r="CY977" t="s">
        <v>989</v>
      </c>
    </row>
    <row r="978" spans="1:103" hidden="1" x14ac:dyDescent="0.25">
      <c r="A978">
        <v>410000983</v>
      </c>
      <c r="B978" t="s">
        <v>6520</v>
      </c>
      <c r="C978" t="s">
        <v>6521</v>
      </c>
      <c r="D978">
        <v>401100000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1</v>
      </c>
      <c r="X978">
        <v>1</v>
      </c>
      <c r="Y978" t="s">
        <v>972</v>
      </c>
      <c r="Z978" t="s">
        <v>6522</v>
      </c>
      <c r="AA978" t="s">
        <v>6523</v>
      </c>
      <c r="AB978" t="s">
        <v>975</v>
      </c>
      <c r="AC978">
        <v>4000</v>
      </c>
      <c r="AD978" t="s">
        <v>1019</v>
      </c>
      <c r="AE978">
        <v>3242527028</v>
      </c>
      <c r="AF978" t="s">
        <v>979</v>
      </c>
      <c r="AG978" t="s">
        <v>977</v>
      </c>
      <c r="AH978">
        <v>684837123</v>
      </c>
      <c r="AI978">
        <v>69202</v>
      </c>
      <c r="AJ978" t="s">
        <v>978</v>
      </c>
      <c r="AK978" t="s">
        <v>978</v>
      </c>
      <c r="AL978" t="s">
        <v>978</v>
      </c>
      <c r="AM978" t="s">
        <v>979</v>
      </c>
      <c r="AN978">
        <v>0</v>
      </c>
      <c r="AO978" t="s">
        <v>257</v>
      </c>
      <c r="AP978">
        <v>0</v>
      </c>
      <c r="AQ978">
        <v>1</v>
      </c>
      <c r="AR978">
        <v>43</v>
      </c>
      <c r="AS978">
        <v>1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1</v>
      </c>
      <c r="AZ978" t="s">
        <v>257</v>
      </c>
      <c r="BA978" t="s">
        <v>980</v>
      </c>
      <c r="BB978" t="s">
        <v>981</v>
      </c>
      <c r="BC978" t="s">
        <v>257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 t="s">
        <v>998</v>
      </c>
      <c r="BK978" t="s">
        <v>981</v>
      </c>
      <c r="BL978" t="s">
        <v>6520</v>
      </c>
      <c r="BM978">
        <v>20240416</v>
      </c>
      <c r="BN978">
        <v>20240416</v>
      </c>
      <c r="BO978">
        <v>0</v>
      </c>
      <c r="BP978" t="s">
        <v>257</v>
      </c>
      <c r="BQ978" t="s">
        <v>983</v>
      </c>
      <c r="BR978" t="s">
        <v>978</v>
      </c>
      <c r="BS978" t="s">
        <v>979</v>
      </c>
      <c r="BT978">
        <v>0</v>
      </c>
      <c r="BU978">
        <v>0</v>
      </c>
      <c r="BV978" t="s">
        <v>984</v>
      </c>
      <c r="BW978" t="s">
        <v>257</v>
      </c>
      <c r="BX978">
        <v>0</v>
      </c>
      <c r="BY978" t="s">
        <v>980</v>
      </c>
      <c r="BZ978" t="s">
        <v>257</v>
      </c>
      <c r="CA978">
        <v>0</v>
      </c>
      <c r="CB978">
        <v>0</v>
      </c>
      <c r="CC978" t="s">
        <v>1080</v>
      </c>
      <c r="CD978">
        <v>0</v>
      </c>
      <c r="CE978">
        <v>0</v>
      </c>
      <c r="CF978">
        <v>0</v>
      </c>
      <c r="CG978">
        <v>0</v>
      </c>
      <c r="CH978">
        <v>0</v>
      </c>
      <c r="CI978" t="s">
        <v>983</v>
      </c>
      <c r="CJ978" t="s">
        <v>972</v>
      </c>
      <c r="CK978" t="s">
        <v>986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 t="s">
        <v>987</v>
      </c>
      <c r="CV978">
        <v>400010375</v>
      </c>
      <c r="CW978" t="s">
        <v>987</v>
      </c>
      <c r="CX978" t="s">
        <v>6524</v>
      </c>
      <c r="CY978" t="s">
        <v>989</v>
      </c>
    </row>
    <row r="979" spans="1:103" hidden="1" x14ac:dyDescent="0.25">
      <c r="A979">
        <v>410000984</v>
      </c>
      <c r="B979" t="s">
        <v>6525</v>
      </c>
      <c r="C979" t="s">
        <v>6526</v>
      </c>
      <c r="D979">
        <v>401100000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</v>
      </c>
      <c r="W979">
        <v>1</v>
      </c>
      <c r="X979">
        <v>1</v>
      </c>
      <c r="Y979" t="s">
        <v>972</v>
      </c>
      <c r="Z979" t="s">
        <v>987</v>
      </c>
      <c r="AA979" t="s">
        <v>6527</v>
      </c>
      <c r="AB979" t="s">
        <v>1626</v>
      </c>
      <c r="AC979">
        <v>1616</v>
      </c>
      <c r="AD979" t="s">
        <v>6388</v>
      </c>
      <c r="AE979" t="s">
        <v>979</v>
      </c>
      <c r="AF979" t="s">
        <v>979</v>
      </c>
      <c r="AG979" t="s">
        <v>977</v>
      </c>
      <c r="AH979" t="s">
        <v>6528</v>
      </c>
      <c r="AI979">
        <v>64990</v>
      </c>
      <c r="AJ979" t="s">
        <v>6529</v>
      </c>
      <c r="AK979" t="s">
        <v>978</v>
      </c>
      <c r="AL979" t="s">
        <v>978</v>
      </c>
      <c r="AM979" t="s">
        <v>979</v>
      </c>
      <c r="AN979">
        <v>0</v>
      </c>
      <c r="AO979" t="s">
        <v>257</v>
      </c>
      <c r="AP979">
        <v>0</v>
      </c>
      <c r="AQ979">
        <v>27</v>
      </c>
      <c r="AR979">
        <v>43</v>
      </c>
      <c r="AS979">
        <v>1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1</v>
      </c>
      <c r="AZ979" t="s">
        <v>257</v>
      </c>
      <c r="BA979" t="s">
        <v>980</v>
      </c>
      <c r="BB979" t="s">
        <v>981</v>
      </c>
      <c r="BC979" t="s">
        <v>257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 t="s">
        <v>998</v>
      </c>
      <c r="BK979" t="s">
        <v>981</v>
      </c>
      <c r="BL979" t="s">
        <v>6525</v>
      </c>
      <c r="BM979">
        <v>20240416</v>
      </c>
      <c r="BN979">
        <v>20240417</v>
      </c>
      <c r="BO979">
        <v>0</v>
      </c>
      <c r="BP979" t="s">
        <v>257</v>
      </c>
      <c r="BQ979" t="s">
        <v>983</v>
      </c>
      <c r="BR979" t="s">
        <v>978</v>
      </c>
      <c r="BS979">
        <v>352691250185</v>
      </c>
      <c r="BT979">
        <v>0</v>
      </c>
      <c r="BU979">
        <v>0</v>
      </c>
      <c r="BV979" t="s">
        <v>984</v>
      </c>
      <c r="BW979" t="s">
        <v>257</v>
      </c>
      <c r="BX979">
        <v>0</v>
      </c>
      <c r="BY979" t="s">
        <v>980</v>
      </c>
      <c r="BZ979" t="s">
        <v>257</v>
      </c>
      <c r="CA979">
        <v>0</v>
      </c>
      <c r="CB979">
        <v>0</v>
      </c>
      <c r="CC979" t="s">
        <v>1901</v>
      </c>
      <c r="CD979">
        <v>0</v>
      </c>
      <c r="CE979">
        <v>0</v>
      </c>
      <c r="CF979">
        <v>0</v>
      </c>
      <c r="CG979">
        <v>0</v>
      </c>
      <c r="CH979">
        <v>0</v>
      </c>
      <c r="CI979" t="s">
        <v>983</v>
      </c>
      <c r="CJ979" t="s">
        <v>972</v>
      </c>
      <c r="CK979" t="s">
        <v>986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 t="s">
        <v>987</v>
      </c>
      <c r="CV979">
        <v>400010379</v>
      </c>
      <c r="CW979" t="s">
        <v>987</v>
      </c>
      <c r="CX979" t="s">
        <v>6530</v>
      </c>
      <c r="CY979" t="s">
        <v>989</v>
      </c>
    </row>
    <row r="980" spans="1:103" hidden="1" x14ac:dyDescent="0.25">
      <c r="A980">
        <v>410000985</v>
      </c>
      <c r="B980" t="s">
        <v>6531</v>
      </c>
      <c r="C980" t="s">
        <v>6532</v>
      </c>
      <c r="D980">
        <v>401100000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1</v>
      </c>
      <c r="X980">
        <v>1</v>
      </c>
      <c r="Y980" t="s">
        <v>972</v>
      </c>
      <c r="Z980" t="s">
        <v>987</v>
      </c>
      <c r="AA980" t="s">
        <v>6533</v>
      </c>
      <c r="AB980" t="s">
        <v>975</v>
      </c>
      <c r="AC980">
        <v>4020</v>
      </c>
      <c r="AD980" t="s">
        <v>1019</v>
      </c>
      <c r="AE980" t="s">
        <v>979</v>
      </c>
      <c r="AF980" t="s">
        <v>979</v>
      </c>
      <c r="AG980" t="s">
        <v>977</v>
      </c>
      <c r="AH980">
        <v>543950561</v>
      </c>
      <c r="AI980">
        <v>1110</v>
      </c>
      <c r="AJ980" t="s">
        <v>978</v>
      </c>
      <c r="AK980" t="s">
        <v>978</v>
      </c>
      <c r="AL980" t="s">
        <v>978</v>
      </c>
      <c r="AM980" t="s">
        <v>979</v>
      </c>
      <c r="AN980">
        <v>0</v>
      </c>
      <c r="AO980" t="s">
        <v>257</v>
      </c>
      <c r="AP980">
        <v>0</v>
      </c>
      <c r="AQ980">
        <v>1</v>
      </c>
      <c r="AR980">
        <v>43</v>
      </c>
      <c r="AS980">
        <v>1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1</v>
      </c>
      <c r="AZ980" t="s">
        <v>257</v>
      </c>
      <c r="BA980" t="s">
        <v>980</v>
      </c>
      <c r="BB980" t="s">
        <v>981</v>
      </c>
      <c r="BC980" t="s">
        <v>257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 t="s">
        <v>998</v>
      </c>
      <c r="BK980" t="s">
        <v>981</v>
      </c>
      <c r="BL980" t="s">
        <v>6531</v>
      </c>
      <c r="BM980">
        <v>20240424</v>
      </c>
      <c r="BN980">
        <v>20240425</v>
      </c>
      <c r="BO980">
        <v>0</v>
      </c>
      <c r="BP980" t="s">
        <v>257</v>
      </c>
      <c r="BQ980" t="s">
        <v>983</v>
      </c>
      <c r="BR980" t="s">
        <v>978</v>
      </c>
      <c r="BS980">
        <v>32495590029</v>
      </c>
      <c r="BT980">
        <v>0</v>
      </c>
      <c r="BU980">
        <v>0</v>
      </c>
      <c r="BV980" t="s">
        <v>984</v>
      </c>
      <c r="BW980" t="s">
        <v>257</v>
      </c>
      <c r="BX980">
        <v>0</v>
      </c>
      <c r="BY980" t="s">
        <v>980</v>
      </c>
      <c r="BZ980" t="s">
        <v>257</v>
      </c>
      <c r="CA980">
        <v>0</v>
      </c>
      <c r="CB980">
        <v>0</v>
      </c>
      <c r="CC980" t="s">
        <v>1391</v>
      </c>
      <c r="CD980">
        <v>0</v>
      </c>
      <c r="CE980">
        <v>0</v>
      </c>
      <c r="CF980">
        <v>0</v>
      </c>
      <c r="CG980">
        <v>0</v>
      </c>
      <c r="CH980">
        <v>0</v>
      </c>
      <c r="CI980" t="s">
        <v>983</v>
      </c>
      <c r="CJ980" t="s">
        <v>972</v>
      </c>
      <c r="CK980" t="s">
        <v>986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 t="s">
        <v>987</v>
      </c>
      <c r="CV980">
        <v>400010391</v>
      </c>
      <c r="CW980" t="s">
        <v>987</v>
      </c>
      <c r="CX980" t="s">
        <v>6534</v>
      </c>
      <c r="CY980" t="s">
        <v>989</v>
      </c>
    </row>
    <row r="981" spans="1:103" hidden="1" x14ac:dyDescent="0.25">
      <c r="A981">
        <v>410000986</v>
      </c>
      <c r="B981" t="s">
        <v>6535</v>
      </c>
      <c r="C981" t="s">
        <v>6536</v>
      </c>
      <c r="D981">
        <v>401100000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1</v>
      </c>
      <c r="X981">
        <v>1</v>
      </c>
      <c r="Y981" t="s">
        <v>972</v>
      </c>
      <c r="Z981" t="s">
        <v>4834</v>
      </c>
      <c r="AA981" t="s">
        <v>6537</v>
      </c>
      <c r="AB981" t="s">
        <v>975</v>
      </c>
      <c r="AC981">
        <v>7090</v>
      </c>
      <c r="AD981" t="s">
        <v>3047</v>
      </c>
      <c r="AE981" t="s">
        <v>979</v>
      </c>
      <c r="AF981" t="s">
        <v>979</v>
      </c>
      <c r="AG981" t="s">
        <v>977</v>
      </c>
      <c r="AH981">
        <v>473469965</v>
      </c>
      <c r="AI981">
        <v>69201</v>
      </c>
      <c r="AJ981" t="s">
        <v>6538</v>
      </c>
      <c r="AK981" t="s">
        <v>978</v>
      </c>
      <c r="AL981" t="s">
        <v>978</v>
      </c>
      <c r="AM981" t="s">
        <v>979</v>
      </c>
      <c r="AN981">
        <v>0</v>
      </c>
      <c r="AO981" t="s">
        <v>257</v>
      </c>
      <c r="AP981">
        <v>0</v>
      </c>
      <c r="AQ981">
        <v>1</v>
      </c>
      <c r="AR981">
        <v>43</v>
      </c>
      <c r="AS981">
        <v>1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1</v>
      </c>
      <c r="AZ981" t="s">
        <v>257</v>
      </c>
      <c r="BA981" t="s">
        <v>980</v>
      </c>
      <c r="BB981" t="s">
        <v>981</v>
      </c>
      <c r="BC981" t="s">
        <v>257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 t="s">
        <v>998</v>
      </c>
      <c r="BK981" t="s">
        <v>981</v>
      </c>
      <c r="BL981" t="s">
        <v>6535</v>
      </c>
      <c r="BM981">
        <v>20240502</v>
      </c>
      <c r="BN981">
        <v>20240502</v>
      </c>
      <c r="BO981">
        <v>0</v>
      </c>
      <c r="BP981" t="s">
        <v>257</v>
      </c>
      <c r="BQ981" t="s">
        <v>983</v>
      </c>
      <c r="BR981" t="s">
        <v>978</v>
      </c>
      <c r="BS981">
        <v>32477777495</v>
      </c>
      <c r="BT981">
        <v>0</v>
      </c>
      <c r="BU981">
        <v>0</v>
      </c>
      <c r="BV981" t="s">
        <v>984</v>
      </c>
      <c r="BW981" t="s">
        <v>257</v>
      </c>
      <c r="BX981">
        <v>0</v>
      </c>
      <c r="BY981" t="s">
        <v>980</v>
      </c>
      <c r="BZ981" t="s">
        <v>257</v>
      </c>
      <c r="CA981">
        <v>0</v>
      </c>
      <c r="CB981">
        <v>0</v>
      </c>
      <c r="CC981" t="s">
        <v>1901</v>
      </c>
      <c r="CD981">
        <v>0</v>
      </c>
      <c r="CE981">
        <v>0</v>
      </c>
      <c r="CF981">
        <v>0</v>
      </c>
      <c r="CG981">
        <v>0</v>
      </c>
      <c r="CH981">
        <v>0</v>
      </c>
      <c r="CI981" t="s">
        <v>983</v>
      </c>
      <c r="CJ981" t="s">
        <v>972</v>
      </c>
      <c r="CK981" t="s">
        <v>986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 t="s">
        <v>987</v>
      </c>
      <c r="CV981">
        <v>400010401</v>
      </c>
      <c r="CW981" t="s">
        <v>987</v>
      </c>
      <c r="CX981" t="s">
        <v>6539</v>
      </c>
      <c r="CY981" t="s">
        <v>989</v>
      </c>
    </row>
    <row r="982" spans="1:103" hidden="1" x14ac:dyDescent="0.25">
      <c r="A982">
        <v>410000987</v>
      </c>
      <c r="B982" t="s">
        <v>6540</v>
      </c>
      <c r="C982" t="s">
        <v>6541</v>
      </c>
      <c r="D982">
        <v>401100000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1</v>
      </c>
      <c r="X982">
        <v>1</v>
      </c>
      <c r="Y982" t="s">
        <v>972</v>
      </c>
      <c r="Z982" t="s">
        <v>987</v>
      </c>
      <c r="AA982" t="s">
        <v>6542</v>
      </c>
      <c r="AB982" t="s">
        <v>975</v>
      </c>
      <c r="AC982">
        <v>1150</v>
      </c>
      <c r="AD982" t="s">
        <v>1006</v>
      </c>
      <c r="AE982">
        <v>3223357310</v>
      </c>
      <c r="AF982" t="s">
        <v>979</v>
      </c>
      <c r="AG982" t="s">
        <v>977</v>
      </c>
      <c r="AH982" t="s">
        <v>977</v>
      </c>
      <c r="AI982" t="s">
        <v>977</v>
      </c>
      <c r="AJ982" t="s">
        <v>5722</v>
      </c>
      <c r="AK982" t="s">
        <v>978</v>
      </c>
      <c r="AL982" t="s">
        <v>978</v>
      </c>
      <c r="AM982" t="s">
        <v>979</v>
      </c>
      <c r="AN982">
        <v>0</v>
      </c>
      <c r="AO982" t="s">
        <v>257</v>
      </c>
      <c r="AP982">
        <v>0</v>
      </c>
      <c r="AQ982">
        <v>1</v>
      </c>
      <c r="AR982">
        <v>43</v>
      </c>
      <c r="AS982">
        <v>1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1</v>
      </c>
      <c r="AZ982" t="s">
        <v>257</v>
      </c>
      <c r="BA982" t="s">
        <v>980</v>
      </c>
      <c r="BB982" t="s">
        <v>981</v>
      </c>
      <c r="BC982" t="s">
        <v>257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 t="s">
        <v>998</v>
      </c>
      <c r="BK982" t="s">
        <v>981</v>
      </c>
      <c r="BL982" t="s">
        <v>6540</v>
      </c>
      <c r="BM982">
        <v>20240503</v>
      </c>
      <c r="BN982">
        <v>0</v>
      </c>
      <c r="BO982">
        <v>0</v>
      </c>
      <c r="BP982" t="s">
        <v>257</v>
      </c>
      <c r="BQ982" t="s">
        <v>983</v>
      </c>
      <c r="BR982" t="s">
        <v>978</v>
      </c>
      <c r="BS982" t="s">
        <v>979</v>
      </c>
      <c r="BT982">
        <v>0</v>
      </c>
      <c r="BU982">
        <v>0</v>
      </c>
      <c r="BV982" t="s">
        <v>984</v>
      </c>
      <c r="BW982" t="s">
        <v>257</v>
      </c>
      <c r="BX982">
        <v>0</v>
      </c>
      <c r="BY982" t="s">
        <v>980</v>
      </c>
      <c r="BZ982" t="s">
        <v>257</v>
      </c>
      <c r="CA982">
        <v>0</v>
      </c>
      <c r="CB982">
        <v>0</v>
      </c>
      <c r="CC982" t="s">
        <v>1901</v>
      </c>
      <c r="CD982">
        <v>0</v>
      </c>
      <c r="CE982">
        <v>0</v>
      </c>
      <c r="CF982">
        <v>0</v>
      </c>
      <c r="CG982">
        <v>0</v>
      </c>
      <c r="CH982">
        <v>0</v>
      </c>
      <c r="CI982" t="s">
        <v>983</v>
      </c>
      <c r="CJ982" t="s">
        <v>972</v>
      </c>
      <c r="CK982" t="s">
        <v>986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 t="s">
        <v>987</v>
      </c>
      <c r="CV982">
        <v>400010403</v>
      </c>
      <c r="CW982" t="s">
        <v>987</v>
      </c>
      <c r="CX982" t="s">
        <v>6543</v>
      </c>
      <c r="CY982" t="s">
        <v>989</v>
      </c>
    </row>
    <row r="983" spans="1:103" hidden="1" x14ac:dyDescent="0.25">
      <c r="A983">
        <v>410000988</v>
      </c>
      <c r="B983" t="s">
        <v>6544</v>
      </c>
      <c r="C983" t="s">
        <v>6545</v>
      </c>
      <c r="D983">
        <v>401100000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1</v>
      </c>
      <c r="Y983" t="s">
        <v>972</v>
      </c>
      <c r="Z983" t="s">
        <v>987</v>
      </c>
      <c r="AA983" t="s">
        <v>6546</v>
      </c>
      <c r="AB983" t="s">
        <v>975</v>
      </c>
      <c r="AC983">
        <v>6830</v>
      </c>
      <c r="AD983" t="s">
        <v>6547</v>
      </c>
      <c r="AE983" t="s">
        <v>979</v>
      </c>
      <c r="AF983" t="s">
        <v>979</v>
      </c>
      <c r="AG983" t="s">
        <v>977</v>
      </c>
      <c r="AH983" t="s">
        <v>977</v>
      </c>
      <c r="AI983" t="s">
        <v>977</v>
      </c>
      <c r="AJ983" t="s">
        <v>6548</v>
      </c>
      <c r="AK983" t="s">
        <v>978</v>
      </c>
      <c r="AL983" t="s">
        <v>978</v>
      </c>
      <c r="AM983" t="s">
        <v>979</v>
      </c>
      <c r="AN983">
        <v>0</v>
      </c>
      <c r="AO983" t="s">
        <v>257</v>
      </c>
      <c r="AP983">
        <v>0</v>
      </c>
      <c r="AQ983">
        <v>1</v>
      </c>
      <c r="AR983">
        <v>69</v>
      </c>
      <c r="AS983">
        <v>1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1</v>
      </c>
      <c r="AZ983" t="s">
        <v>257</v>
      </c>
      <c r="BA983" t="s">
        <v>980</v>
      </c>
      <c r="BB983" t="s">
        <v>981</v>
      </c>
      <c r="BC983" t="s">
        <v>257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 t="s">
        <v>998</v>
      </c>
      <c r="BK983" t="s">
        <v>981</v>
      </c>
      <c r="BL983" t="s">
        <v>6544</v>
      </c>
      <c r="BM983">
        <v>20240507</v>
      </c>
      <c r="BN983">
        <v>20240508</v>
      </c>
      <c r="BO983">
        <v>0</v>
      </c>
      <c r="BP983" t="s">
        <v>257</v>
      </c>
      <c r="BQ983" t="s">
        <v>983</v>
      </c>
      <c r="BR983" t="s">
        <v>978</v>
      </c>
      <c r="BS983">
        <v>32492938507</v>
      </c>
      <c r="BT983">
        <v>0</v>
      </c>
      <c r="BU983">
        <v>0</v>
      </c>
      <c r="BV983" t="s">
        <v>984</v>
      </c>
      <c r="BW983" t="s">
        <v>257</v>
      </c>
      <c r="BX983">
        <v>0</v>
      </c>
      <c r="BY983" t="s">
        <v>980</v>
      </c>
      <c r="BZ983" t="s">
        <v>257</v>
      </c>
      <c r="CA983">
        <v>0</v>
      </c>
      <c r="CB983">
        <v>0</v>
      </c>
      <c r="CC983" t="s">
        <v>1901</v>
      </c>
      <c r="CD983">
        <v>0</v>
      </c>
      <c r="CE983">
        <v>0</v>
      </c>
      <c r="CF983">
        <v>0</v>
      </c>
      <c r="CG983">
        <v>0</v>
      </c>
      <c r="CH983">
        <v>0</v>
      </c>
      <c r="CI983" t="s">
        <v>983</v>
      </c>
      <c r="CJ983" t="s">
        <v>972</v>
      </c>
      <c r="CK983" t="s">
        <v>986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 t="s">
        <v>987</v>
      </c>
      <c r="CV983">
        <v>400010409</v>
      </c>
      <c r="CW983" t="s">
        <v>987</v>
      </c>
      <c r="CX983" t="s">
        <v>6549</v>
      </c>
      <c r="CY983" t="s">
        <v>989</v>
      </c>
    </row>
    <row r="984" spans="1:103" hidden="1" x14ac:dyDescent="0.25">
      <c r="A984">
        <v>410000989</v>
      </c>
      <c r="B984" t="s">
        <v>6550</v>
      </c>
      <c r="C984" t="s">
        <v>6551</v>
      </c>
      <c r="D984">
        <v>401100000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1</v>
      </c>
      <c r="X984">
        <v>1</v>
      </c>
      <c r="Y984" t="s">
        <v>972</v>
      </c>
      <c r="Z984" t="s">
        <v>6552</v>
      </c>
      <c r="AA984" t="s">
        <v>6553</v>
      </c>
      <c r="AB984" t="s">
        <v>975</v>
      </c>
      <c r="AC984">
        <v>1000</v>
      </c>
      <c r="AD984" t="s">
        <v>1066</v>
      </c>
      <c r="AE984" t="s">
        <v>6554</v>
      </c>
      <c r="AF984" t="s">
        <v>979</v>
      </c>
      <c r="AG984" t="s">
        <v>977</v>
      </c>
      <c r="AH984">
        <v>451659417</v>
      </c>
      <c r="AI984">
        <v>59120</v>
      </c>
      <c r="AJ984" t="s">
        <v>6555</v>
      </c>
      <c r="AK984" t="s">
        <v>978</v>
      </c>
      <c r="AL984" t="s">
        <v>978</v>
      </c>
      <c r="AM984" t="s">
        <v>979</v>
      </c>
      <c r="AN984">
        <v>0</v>
      </c>
      <c r="AO984" t="s">
        <v>257</v>
      </c>
      <c r="AP984">
        <v>0</v>
      </c>
      <c r="AQ984">
        <v>1</v>
      </c>
      <c r="AR984">
        <v>43</v>
      </c>
      <c r="AS984">
        <v>1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1</v>
      </c>
      <c r="AZ984" t="s">
        <v>257</v>
      </c>
      <c r="BA984" t="s">
        <v>980</v>
      </c>
      <c r="BB984" t="s">
        <v>981</v>
      </c>
      <c r="BC984" t="s">
        <v>257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 t="s">
        <v>998</v>
      </c>
      <c r="BK984" t="s">
        <v>981</v>
      </c>
      <c r="BL984" t="s">
        <v>6550</v>
      </c>
      <c r="BM984">
        <v>20240515</v>
      </c>
      <c r="BN984">
        <v>20240611</v>
      </c>
      <c r="BO984">
        <v>0</v>
      </c>
      <c r="BP984" t="s">
        <v>257</v>
      </c>
      <c r="BQ984" t="s">
        <v>983</v>
      </c>
      <c r="BR984" t="s">
        <v>978</v>
      </c>
      <c r="BS984" t="s">
        <v>979</v>
      </c>
      <c r="BT984">
        <v>0</v>
      </c>
      <c r="BU984">
        <v>0</v>
      </c>
      <c r="BV984" t="s">
        <v>984</v>
      </c>
      <c r="BW984" t="s">
        <v>257</v>
      </c>
      <c r="BX984">
        <v>0</v>
      </c>
      <c r="BY984" t="s">
        <v>980</v>
      </c>
      <c r="BZ984" t="s">
        <v>257</v>
      </c>
      <c r="CA984">
        <v>0</v>
      </c>
      <c r="CB984">
        <v>0</v>
      </c>
      <c r="CC984" t="s">
        <v>1901</v>
      </c>
      <c r="CD984">
        <v>0</v>
      </c>
      <c r="CE984">
        <v>0</v>
      </c>
      <c r="CF984">
        <v>0</v>
      </c>
      <c r="CG984">
        <v>0</v>
      </c>
      <c r="CH984">
        <v>0</v>
      </c>
      <c r="CI984" t="s">
        <v>983</v>
      </c>
      <c r="CJ984" t="s">
        <v>972</v>
      </c>
      <c r="CK984" t="s">
        <v>986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 t="s">
        <v>987</v>
      </c>
      <c r="CV984">
        <v>400010417</v>
      </c>
      <c r="CW984" t="s">
        <v>987</v>
      </c>
      <c r="CX984" t="s">
        <v>6556</v>
      </c>
      <c r="CY984" t="s">
        <v>989</v>
      </c>
    </row>
    <row r="985" spans="1:103" hidden="1" x14ac:dyDescent="0.25">
      <c r="A985">
        <v>410000990</v>
      </c>
      <c r="B985" t="s">
        <v>6557</v>
      </c>
      <c r="C985" t="s">
        <v>6558</v>
      </c>
      <c r="D985">
        <v>401100000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1</v>
      </c>
      <c r="X985">
        <v>1</v>
      </c>
      <c r="Y985" t="s">
        <v>972</v>
      </c>
      <c r="Z985" t="s">
        <v>987</v>
      </c>
      <c r="AA985" t="s">
        <v>6559</v>
      </c>
      <c r="AB985" t="s">
        <v>975</v>
      </c>
      <c r="AC985">
        <v>6980</v>
      </c>
      <c r="AD985" t="s">
        <v>6560</v>
      </c>
      <c r="AE985" t="s">
        <v>979</v>
      </c>
      <c r="AF985" t="s">
        <v>979</v>
      </c>
      <c r="AG985" t="s">
        <v>6561</v>
      </c>
      <c r="AH985" t="s">
        <v>977</v>
      </c>
      <c r="AI985" t="s">
        <v>977</v>
      </c>
      <c r="AJ985" t="s">
        <v>6562</v>
      </c>
      <c r="AK985" t="s">
        <v>978</v>
      </c>
      <c r="AL985" t="s">
        <v>978</v>
      </c>
      <c r="AM985" t="s">
        <v>979</v>
      </c>
      <c r="AN985">
        <v>0</v>
      </c>
      <c r="AO985" t="s">
        <v>257</v>
      </c>
      <c r="AP985">
        <v>0</v>
      </c>
      <c r="AQ985">
        <v>1</v>
      </c>
      <c r="AR985">
        <v>69</v>
      </c>
      <c r="AS985">
        <v>1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1</v>
      </c>
      <c r="AZ985" t="s">
        <v>257</v>
      </c>
      <c r="BA985" t="s">
        <v>980</v>
      </c>
      <c r="BB985" t="s">
        <v>981</v>
      </c>
      <c r="BC985" t="s">
        <v>257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 t="s">
        <v>998</v>
      </c>
      <c r="BK985" t="s">
        <v>981</v>
      </c>
      <c r="BL985" t="s">
        <v>6557</v>
      </c>
      <c r="BM985">
        <v>20240521</v>
      </c>
      <c r="BN985">
        <v>20240521</v>
      </c>
      <c r="BO985">
        <v>0</v>
      </c>
      <c r="BP985" t="s">
        <v>257</v>
      </c>
      <c r="BQ985" t="s">
        <v>983</v>
      </c>
      <c r="BR985" t="s">
        <v>978</v>
      </c>
      <c r="BS985">
        <v>32494866652</v>
      </c>
      <c r="BT985">
        <v>0</v>
      </c>
      <c r="BU985">
        <v>0</v>
      </c>
      <c r="BV985" t="s">
        <v>984</v>
      </c>
      <c r="BW985" t="s">
        <v>257</v>
      </c>
      <c r="BX985">
        <v>0</v>
      </c>
      <c r="BY985" t="s">
        <v>980</v>
      </c>
      <c r="BZ985" t="s">
        <v>257</v>
      </c>
      <c r="CA985">
        <v>0</v>
      </c>
      <c r="CB985">
        <v>0</v>
      </c>
      <c r="CC985" t="s">
        <v>1901</v>
      </c>
      <c r="CD985">
        <v>0</v>
      </c>
      <c r="CE985">
        <v>0</v>
      </c>
      <c r="CF985">
        <v>0</v>
      </c>
      <c r="CG985">
        <v>0</v>
      </c>
      <c r="CH985">
        <v>0</v>
      </c>
      <c r="CI985" t="s">
        <v>983</v>
      </c>
      <c r="CJ985" t="s">
        <v>972</v>
      </c>
      <c r="CK985" t="s">
        <v>986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 t="s">
        <v>987</v>
      </c>
      <c r="CV985">
        <v>400010429</v>
      </c>
      <c r="CW985" t="s">
        <v>987</v>
      </c>
      <c r="CX985" t="s">
        <v>6563</v>
      </c>
      <c r="CY985" t="s">
        <v>989</v>
      </c>
    </row>
    <row r="986" spans="1:103" hidden="1" x14ac:dyDescent="0.25">
      <c r="A986">
        <v>410000991</v>
      </c>
      <c r="B986" t="s">
        <v>6951</v>
      </c>
      <c r="C986" t="s">
        <v>6564</v>
      </c>
      <c r="D986">
        <v>401100000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</v>
      </c>
      <c r="W986">
        <v>1</v>
      </c>
      <c r="X986">
        <v>1</v>
      </c>
      <c r="Y986" t="s">
        <v>972</v>
      </c>
      <c r="Z986" t="s">
        <v>3982</v>
      </c>
      <c r="AA986" t="s">
        <v>6565</v>
      </c>
      <c r="AB986" t="s">
        <v>1626</v>
      </c>
      <c r="AC986">
        <v>1433</v>
      </c>
      <c r="AD986" t="s">
        <v>6388</v>
      </c>
      <c r="AE986" t="s">
        <v>979</v>
      </c>
      <c r="AF986" t="s">
        <v>979</v>
      </c>
      <c r="AG986" t="s">
        <v>977</v>
      </c>
      <c r="AH986" t="s">
        <v>6566</v>
      </c>
      <c r="AI986">
        <v>64202</v>
      </c>
      <c r="AJ986" t="s">
        <v>6481</v>
      </c>
      <c r="AK986" t="s">
        <v>978</v>
      </c>
      <c r="AL986" t="s">
        <v>978</v>
      </c>
      <c r="AM986" t="s">
        <v>979</v>
      </c>
      <c r="AN986">
        <v>0</v>
      </c>
      <c r="AO986" t="s">
        <v>257</v>
      </c>
      <c r="AP986">
        <v>0</v>
      </c>
      <c r="AQ986">
        <v>27</v>
      </c>
      <c r="AR986">
        <v>43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1</v>
      </c>
      <c r="AZ986" t="s">
        <v>257</v>
      </c>
      <c r="BA986" t="s">
        <v>980</v>
      </c>
      <c r="BB986" t="s">
        <v>981</v>
      </c>
      <c r="BC986" t="s">
        <v>257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 t="s">
        <v>998</v>
      </c>
      <c r="BK986" t="s">
        <v>981</v>
      </c>
      <c r="BL986" t="s">
        <v>6951</v>
      </c>
      <c r="BM986">
        <v>20240529</v>
      </c>
      <c r="BN986">
        <v>20250306</v>
      </c>
      <c r="BO986">
        <v>0</v>
      </c>
      <c r="BP986" t="s">
        <v>257</v>
      </c>
      <c r="BQ986" t="s">
        <v>983</v>
      </c>
      <c r="BR986" t="s">
        <v>978</v>
      </c>
      <c r="BS986">
        <v>352661736736</v>
      </c>
      <c r="BT986">
        <v>0</v>
      </c>
      <c r="BU986">
        <v>0</v>
      </c>
      <c r="BV986" t="s">
        <v>984</v>
      </c>
      <c r="BW986" t="s">
        <v>257</v>
      </c>
      <c r="BX986">
        <v>0</v>
      </c>
      <c r="BY986" t="s">
        <v>980</v>
      </c>
      <c r="BZ986" t="s">
        <v>257</v>
      </c>
      <c r="CA986">
        <v>0</v>
      </c>
      <c r="CB986">
        <v>0</v>
      </c>
      <c r="CC986" t="s">
        <v>1901</v>
      </c>
      <c r="CD986">
        <v>0</v>
      </c>
      <c r="CE986">
        <v>0</v>
      </c>
      <c r="CF986">
        <v>0</v>
      </c>
      <c r="CG986">
        <v>0</v>
      </c>
      <c r="CH986">
        <v>0</v>
      </c>
      <c r="CI986" t="s">
        <v>983</v>
      </c>
      <c r="CJ986" t="s">
        <v>972</v>
      </c>
      <c r="CK986" t="s">
        <v>986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 t="s">
        <v>987</v>
      </c>
      <c r="CV986">
        <v>400010443</v>
      </c>
      <c r="CW986" t="s">
        <v>987</v>
      </c>
      <c r="CX986" t="s">
        <v>6567</v>
      </c>
      <c r="CY986" t="s">
        <v>989</v>
      </c>
    </row>
    <row r="987" spans="1:103" hidden="1" x14ac:dyDescent="0.25">
      <c r="A987">
        <v>410000992</v>
      </c>
      <c r="B987" t="s">
        <v>6568</v>
      </c>
      <c r="C987" t="s">
        <v>6569</v>
      </c>
      <c r="D987">
        <v>401100000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1</v>
      </c>
      <c r="X987">
        <v>1</v>
      </c>
      <c r="Y987" t="s">
        <v>972</v>
      </c>
      <c r="Z987" t="s">
        <v>987</v>
      </c>
      <c r="AA987" t="s">
        <v>6570</v>
      </c>
      <c r="AB987" t="s">
        <v>975</v>
      </c>
      <c r="AC987">
        <v>4140</v>
      </c>
      <c r="AD987" t="s">
        <v>2353</v>
      </c>
      <c r="AE987">
        <v>3242527041</v>
      </c>
      <c r="AF987" t="s">
        <v>979</v>
      </c>
      <c r="AG987" t="s">
        <v>977</v>
      </c>
      <c r="AH987">
        <v>897455777</v>
      </c>
      <c r="AI987">
        <v>70220</v>
      </c>
      <c r="AJ987" t="s">
        <v>978</v>
      </c>
      <c r="AK987" t="s">
        <v>978</v>
      </c>
      <c r="AL987" t="s">
        <v>978</v>
      </c>
      <c r="AM987" t="s">
        <v>979</v>
      </c>
      <c r="AN987">
        <v>0</v>
      </c>
      <c r="AO987" t="s">
        <v>257</v>
      </c>
      <c r="AP987">
        <v>0</v>
      </c>
      <c r="AQ987">
        <v>1</v>
      </c>
      <c r="AR987">
        <v>69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1</v>
      </c>
      <c r="AZ987" t="s">
        <v>257</v>
      </c>
      <c r="BA987" t="s">
        <v>980</v>
      </c>
      <c r="BB987" t="s">
        <v>981</v>
      </c>
      <c r="BC987" t="s">
        <v>257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 t="s">
        <v>998</v>
      </c>
      <c r="BK987" t="s">
        <v>981</v>
      </c>
      <c r="BL987" t="s">
        <v>6568</v>
      </c>
      <c r="BM987">
        <v>20240530</v>
      </c>
      <c r="BN987">
        <v>20240910</v>
      </c>
      <c r="BO987">
        <v>0</v>
      </c>
      <c r="BP987" t="s">
        <v>257</v>
      </c>
      <c r="BQ987" t="s">
        <v>983</v>
      </c>
      <c r="BR987" t="s">
        <v>978</v>
      </c>
      <c r="BS987" t="s">
        <v>979</v>
      </c>
      <c r="BT987">
        <v>0</v>
      </c>
      <c r="BU987">
        <v>0</v>
      </c>
      <c r="BV987" t="s">
        <v>984</v>
      </c>
      <c r="BW987" t="s">
        <v>257</v>
      </c>
      <c r="BX987">
        <v>0</v>
      </c>
      <c r="BY987" t="s">
        <v>980</v>
      </c>
      <c r="BZ987" t="s">
        <v>257</v>
      </c>
      <c r="CA987">
        <v>0</v>
      </c>
      <c r="CB987">
        <v>0</v>
      </c>
      <c r="CC987" t="s">
        <v>1304</v>
      </c>
      <c r="CD987">
        <v>0</v>
      </c>
      <c r="CE987">
        <v>0</v>
      </c>
      <c r="CF987">
        <v>0</v>
      </c>
      <c r="CG987">
        <v>0</v>
      </c>
      <c r="CH987">
        <v>0</v>
      </c>
      <c r="CI987" t="s">
        <v>983</v>
      </c>
      <c r="CJ987" t="s">
        <v>972</v>
      </c>
      <c r="CK987" t="s">
        <v>986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 t="s">
        <v>987</v>
      </c>
      <c r="CV987">
        <v>400010446</v>
      </c>
      <c r="CW987" t="s">
        <v>987</v>
      </c>
      <c r="CX987" t="s">
        <v>6571</v>
      </c>
      <c r="CY987" t="s">
        <v>989</v>
      </c>
    </row>
    <row r="988" spans="1:103" hidden="1" x14ac:dyDescent="0.25">
      <c r="A988">
        <v>410000993</v>
      </c>
      <c r="B988" t="s">
        <v>6572</v>
      </c>
      <c r="C988" t="s">
        <v>6573</v>
      </c>
      <c r="D988">
        <v>401100000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1</v>
      </c>
      <c r="X988">
        <v>1</v>
      </c>
      <c r="Y988" t="s">
        <v>972</v>
      </c>
      <c r="Z988" t="s">
        <v>987</v>
      </c>
      <c r="AA988" t="s">
        <v>6574</v>
      </c>
      <c r="AB988" t="s">
        <v>975</v>
      </c>
      <c r="AC988">
        <v>4000</v>
      </c>
      <c r="AD988" t="s">
        <v>1019</v>
      </c>
      <c r="AE988" t="s">
        <v>979</v>
      </c>
      <c r="AF988" t="s">
        <v>979</v>
      </c>
      <c r="AG988" t="s">
        <v>977</v>
      </c>
      <c r="AH988">
        <v>726663325</v>
      </c>
      <c r="AI988">
        <v>47711</v>
      </c>
      <c r="AJ988" t="s">
        <v>978</v>
      </c>
      <c r="AK988" t="s">
        <v>978</v>
      </c>
      <c r="AL988" t="s">
        <v>978</v>
      </c>
      <c r="AM988" t="s">
        <v>979</v>
      </c>
      <c r="AN988">
        <v>0</v>
      </c>
      <c r="AO988" t="s">
        <v>257</v>
      </c>
      <c r="AP988">
        <v>0</v>
      </c>
      <c r="AQ988">
        <v>1</v>
      </c>
      <c r="AR988">
        <v>69</v>
      </c>
      <c r="AS988">
        <v>1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1</v>
      </c>
      <c r="AZ988" t="s">
        <v>257</v>
      </c>
      <c r="BA988" t="s">
        <v>980</v>
      </c>
      <c r="BB988" t="s">
        <v>981</v>
      </c>
      <c r="BC988" t="s">
        <v>257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 t="s">
        <v>998</v>
      </c>
      <c r="BK988" t="s">
        <v>981</v>
      </c>
      <c r="BL988" t="s">
        <v>6572</v>
      </c>
      <c r="BM988">
        <v>20240531</v>
      </c>
      <c r="BN988">
        <v>20240531</v>
      </c>
      <c r="BO988">
        <v>0</v>
      </c>
      <c r="BP988" t="s">
        <v>257</v>
      </c>
      <c r="BQ988" t="s">
        <v>983</v>
      </c>
      <c r="BR988" t="s">
        <v>978</v>
      </c>
      <c r="BS988">
        <v>32479202755</v>
      </c>
      <c r="BT988">
        <v>0</v>
      </c>
      <c r="BU988">
        <v>0</v>
      </c>
      <c r="BV988" t="s">
        <v>984</v>
      </c>
      <c r="BW988" t="s">
        <v>257</v>
      </c>
      <c r="BX988">
        <v>0</v>
      </c>
      <c r="BY988" t="s">
        <v>980</v>
      </c>
      <c r="BZ988" t="s">
        <v>257</v>
      </c>
      <c r="CA988">
        <v>0</v>
      </c>
      <c r="CB988">
        <v>0</v>
      </c>
      <c r="CC988" t="s">
        <v>1572</v>
      </c>
      <c r="CD988">
        <v>0</v>
      </c>
      <c r="CE988">
        <v>0</v>
      </c>
      <c r="CF988">
        <v>0</v>
      </c>
      <c r="CG988">
        <v>0</v>
      </c>
      <c r="CH988">
        <v>0</v>
      </c>
      <c r="CI988" t="s">
        <v>983</v>
      </c>
      <c r="CJ988" t="s">
        <v>972</v>
      </c>
      <c r="CK988" t="s">
        <v>986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 t="s">
        <v>987</v>
      </c>
      <c r="CV988">
        <v>400010448</v>
      </c>
      <c r="CW988" t="s">
        <v>987</v>
      </c>
      <c r="CX988" t="s">
        <v>6575</v>
      </c>
      <c r="CY988" t="s">
        <v>989</v>
      </c>
    </row>
    <row r="989" spans="1:103" hidden="1" x14ac:dyDescent="0.25">
      <c r="A989">
        <v>410000994</v>
      </c>
      <c r="B989" t="s">
        <v>6576</v>
      </c>
      <c r="C989" t="s">
        <v>6577</v>
      </c>
      <c r="D989">
        <v>401100000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1</v>
      </c>
      <c r="Y989" t="s">
        <v>972</v>
      </c>
      <c r="Z989" t="s">
        <v>987</v>
      </c>
      <c r="AA989" t="s">
        <v>6578</v>
      </c>
      <c r="AB989" t="s">
        <v>975</v>
      </c>
      <c r="AC989">
        <v>1170</v>
      </c>
      <c r="AD989" t="s">
        <v>4821</v>
      </c>
      <c r="AE989" t="s">
        <v>979</v>
      </c>
      <c r="AF989" t="s">
        <v>979</v>
      </c>
      <c r="AG989" t="s">
        <v>977</v>
      </c>
      <c r="AH989">
        <v>803418534</v>
      </c>
      <c r="AI989">
        <v>69201</v>
      </c>
      <c r="AJ989" t="s">
        <v>5844</v>
      </c>
      <c r="AK989" t="s">
        <v>978</v>
      </c>
      <c r="AL989" t="s">
        <v>978</v>
      </c>
      <c r="AM989" t="s">
        <v>979</v>
      </c>
      <c r="AN989">
        <v>0</v>
      </c>
      <c r="AO989" t="s">
        <v>257</v>
      </c>
      <c r="AP989">
        <v>0</v>
      </c>
      <c r="AQ989">
        <v>1</v>
      </c>
      <c r="AR989">
        <v>69</v>
      </c>
      <c r="AS989">
        <v>1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1</v>
      </c>
      <c r="AZ989" t="s">
        <v>257</v>
      </c>
      <c r="BA989" t="s">
        <v>980</v>
      </c>
      <c r="BB989" t="s">
        <v>981</v>
      </c>
      <c r="BC989" t="s">
        <v>257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 t="s">
        <v>998</v>
      </c>
      <c r="BK989" t="s">
        <v>981</v>
      </c>
      <c r="BL989" t="s">
        <v>6576</v>
      </c>
      <c r="BM989">
        <v>20240603</v>
      </c>
      <c r="BN989">
        <v>20240603</v>
      </c>
      <c r="BO989">
        <v>0</v>
      </c>
      <c r="BP989" t="s">
        <v>257</v>
      </c>
      <c r="BQ989" t="s">
        <v>983</v>
      </c>
      <c r="BR989" t="s">
        <v>978</v>
      </c>
      <c r="BS989" t="s">
        <v>979</v>
      </c>
      <c r="BT989">
        <v>0</v>
      </c>
      <c r="BU989">
        <v>0</v>
      </c>
      <c r="BV989" t="s">
        <v>984</v>
      </c>
      <c r="BW989" t="s">
        <v>257</v>
      </c>
      <c r="BX989">
        <v>0</v>
      </c>
      <c r="BY989" t="s">
        <v>980</v>
      </c>
      <c r="BZ989" t="s">
        <v>257</v>
      </c>
      <c r="CA989">
        <v>0</v>
      </c>
      <c r="CB989">
        <v>0</v>
      </c>
      <c r="CC989" t="s">
        <v>1901</v>
      </c>
      <c r="CD989">
        <v>0</v>
      </c>
      <c r="CE989">
        <v>0</v>
      </c>
      <c r="CF989">
        <v>0</v>
      </c>
      <c r="CG989">
        <v>0</v>
      </c>
      <c r="CH989">
        <v>0</v>
      </c>
      <c r="CI989" t="s">
        <v>983</v>
      </c>
      <c r="CJ989" t="s">
        <v>972</v>
      </c>
      <c r="CK989" t="s">
        <v>986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 t="s">
        <v>987</v>
      </c>
      <c r="CV989">
        <v>400010450</v>
      </c>
      <c r="CW989" t="s">
        <v>987</v>
      </c>
      <c r="CX989" t="s">
        <v>6579</v>
      </c>
      <c r="CY989" t="s">
        <v>989</v>
      </c>
    </row>
    <row r="990" spans="1:103" hidden="1" x14ac:dyDescent="0.25">
      <c r="A990">
        <v>410000995</v>
      </c>
      <c r="B990" t="s">
        <v>6580</v>
      </c>
      <c r="C990" t="s">
        <v>6581</v>
      </c>
      <c r="D990">
        <v>401100000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1</v>
      </c>
      <c r="X990">
        <v>1</v>
      </c>
      <c r="Y990" t="s">
        <v>972</v>
      </c>
      <c r="Z990" t="s">
        <v>4834</v>
      </c>
      <c r="AA990" t="s">
        <v>6533</v>
      </c>
      <c r="AB990" t="s">
        <v>975</v>
      </c>
      <c r="AC990">
        <v>4020</v>
      </c>
      <c r="AD990" t="s">
        <v>1019</v>
      </c>
      <c r="AE990" t="s">
        <v>979</v>
      </c>
      <c r="AF990" t="s">
        <v>979</v>
      </c>
      <c r="AG990" t="s">
        <v>977</v>
      </c>
      <c r="AH990" t="s">
        <v>977</v>
      </c>
      <c r="AI990" t="s">
        <v>977</v>
      </c>
      <c r="AJ990" t="s">
        <v>978</v>
      </c>
      <c r="AK990" t="s">
        <v>978</v>
      </c>
      <c r="AL990" t="s">
        <v>978</v>
      </c>
      <c r="AM990" t="s">
        <v>979</v>
      </c>
      <c r="AN990">
        <v>0</v>
      </c>
      <c r="AO990" t="s">
        <v>257</v>
      </c>
      <c r="AP990">
        <v>0</v>
      </c>
      <c r="AQ990">
        <v>1</v>
      </c>
      <c r="AR990">
        <v>69</v>
      </c>
      <c r="AS990">
        <v>1</v>
      </c>
      <c r="AT990">
        <v>0</v>
      </c>
      <c r="AU990">
        <v>1</v>
      </c>
      <c r="AV990">
        <v>0</v>
      </c>
      <c r="AW990">
        <v>0</v>
      </c>
      <c r="AX990">
        <v>0</v>
      </c>
      <c r="AY990">
        <v>1</v>
      </c>
      <c r="AZ990" t="s">
        <v>257</v>
      </c>
      <c r="BA990" t="s">
        <v>980</v>
      </c>
      <c r="BB990" t="s">
        <v>981</v>
      </c>
      <c r="BC990" t="s">
        <v>257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 t="s">
        <v>998</v>
      </c>
      <c r="BK990" t="s">
        <v>981</v>
      </c>
      <c r="BL990" t="s">
        <v>6580</v>
      </c>
      <c r="BM990">
        <v>20240607</v>
      </c>
      <c r="BN990">
        <v>20240607</v>
      </c>
      <c r="BO990">
        <v>0</v>
      </c>
      <c r="BP990" t="s">
        <v>257</v>
      </c>
      <c r="BQ990" t="s">
        <v>983</v>
      </c>
      <c r="BR990" t="s">
        <v>978</v>
      </c>
      <c r="BS990">
        <v>32495590029</v>
      </c>
      <c r="BT990">
        <v>0</v>
      </c>
      <c r="BU990">
        <v>0</v>
      </c>
      <c r="BV990" t="s">
        <v>984</v>
      </c>
      <c r="BW990" t="s">
        <v>257</v>
      </c>
      <c r="BX990">
        <v>0</v>
      </c>
      <c r="BY990" t="s">
        <v>980</v>
      </c>
      <c r="BZ990" t="s">
        <v>257</v>
      </c>
      <c r="CA990">
        <v>0</v>
      </c>
      <c r="CB990">
        <v>0</v>
      </c>
      <c r="CC990" t="s">
        <v>1207</v>
      </c>
      <c r="CD990">
        <v>0</v>
      </c>
      <c r="CE990">
        <v>0</v>
      </c>
      <c r="CF990">
        <v>0</v>
      </c>
      <c r="CG990">
        <v>0</v>
      </c>
      <c r="CH990">
        <v>0</v>
      </c>
      <c r="CI990" t="s">
        <v>983</v>
      </c>
      <c r="CJ990" t="s">
        <v>972</v>
      </c>
      <c r="CK990" t="s">
        <v>986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 t="s">
        <v>987</v>
      </c>
      <c r="CV990">
        <v>400010475</v>
      </c>
      <c r="CW990" t="s">
        <v>987</v>
      </c>
      <c r="CX990" t="s">
        <v>6534</v>
      </c>
      <c r="CY990" t="s">
        <v>989</v>
      </c>
    </row>
    <row r="991" spans="1:103" hidden="1" x14ac:dyDescent="0.25">
      <c r="A991">
        <v>410000996</v>
      </c>
      <c r="B991" t="s">
        <v>6582</v>
      </c>
      <c r="C991" t="s">
        <v>6583</v>
      </c>
      <c r="D991">
        <v>401100000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1</v>
      </c>
      <c r="X991">
        <v>1</v>
      </c>
      <c r="Y991" t="s">
        <v>972</v>
      </c>
      <c r="Z991" t="s">
        <v>987</v>
      </c>
      <c r="AA991" t="s">
        <v>6584</v>
      </c>
      <c r="AB991" t="s">
        <v>975</v>
      </c>
      <c r="AC991">
        <v>6120</v>
      </c>
      <c r="AD991" t="s">
        <v>6585</v>
      </c>
      <c r="AE991" t="s">
        <v>979</v>
      </c>
      <c r="AF991" t="s">
        <v>979</v>
      </c>
      <c r="AG991" t="s">
        <v>977</v>
      </c>
      <c r="AH991">
        <v>422120145</v>
      </c>
      <c r="AI991">
        <v>43320</v>
      </c>
      <c r="AJ991" t="s">
        <v>6586</v>
      </c>
      <c r="AK991" t="s">
        <v>978</v>
      </c>
      <c r="AL991" t="s">
        <v>978</v>
      </c>
      <c r="AM991" t="s">
        <v>979</v>
      </c>
      <c r="AN991">
        <v>0</v>
      </c>
      <c r="AO991" t="s">
        <v>257</v>
      </c>
      <c r="AP991">
        <v>0</v>
      </c>
      <c r="AQ991">
        <v>1</v>
      </c>
      <c r="AR991">
        <v>43</v>
      </c>
      <c r="AS991">
        <v>1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1</v>
      </c>
      <c r="AZ991" t="s">
        <v>257</v>
      </c>
      <c r="BA991" t="s">
        <v>980</v>
      </c>
      <c r="BB991" t="s">
        <v>981</v>
      </c>
      <c r="BC991" t="s">
        <v>257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 t="s">
        <v>998</v>
      </c>
      <c r="BK991" t="s">
        <v>981</v>
      </c>
      <c r="BL991" t="s">
        <v>6582</v>
      </c>
      <c r="BM991">
        <v>20240611</v>
      </c>
      <c r="BN991">
        <v>20240611</v>
      </c>
      <c r="BO991">
        <v>0</v>
      </c>
      <c r="BP991" t="s">
        <v>257</v>
      </c>
      <c r="BQ991" t="s">
        <v>983</v>
      </c>
      <c r="BR991" t="s">
        <v>978</v>
      </c>
      <c r="BS991">
        <v>32496561437</v>
      </c>
      <c r="BT991">
        <v>0</v>
      </c>
      <c r="BU991">
        <v>0</v>
      </c>
      <c r="BV991" t="s">
        <v>984</v>
      </c>
      <c r="BW991" t="s">
        <v>257</v>
      </c>
      <c r="BX991">
        <v>0</v>
      </c>
      <c r="BY991" t="s">
        <v>980</v>
      </c>
      <c r="BZ991" t="s">
        <v>257</v>
      </c>
      <c r="CA991">
        <v>0</v>
      </c>
      <c r="CB991">
        <v>0</v>
      </c>
      <c r="CC991" t="s">
        <v>1901</v>
      </c>
      <c r="CD991">
        <v>0</v>
      </c>
      <c r="CE991">
        <v>0</v>
      </c>
      <c r="CF991">
        <v>0</v>
      </c>
      <c r="CG991">
        <v>0</v>
      </c>
      <c r="CH991">
        <v>0</v>
      </c>
      <c r="CI991" t="s">
        <v>983</v>
      </c>
      <c r="CJ991" t="s">
        <v>972</v>
      </c>
      <c r="CK991" t="s">
        <v>986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 t="s">
        <v>987</v>
      </c>
      <c r="CV991">
        <v>400010481</v>
      </c>
      <c r="CW991" t="s">
        <v>987</v>
      </c>
      <c r="CX991" t="s">
        <v>6587</v>
      </c>
      <c r="CY991" t="s">
        <v>989</v>
      </c>
    </row>
    <row r="992" spans="1:103" hidden="1" x14ac:dyDescent="0.25">
      <c r="A992">
        <v>410000998</v>
      </c>
      <c r="B992" t="s">
        <v>6588</v>
      </c>
      <c r="C992" t="s">
        <v>6589</v>
      </c>
      <c r="D992">
        <v>401100000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1</v>
      </c>
      <c r="X992">
        <v>1</v>
      </c>
      <c r="Y992" t="s">
        <v>972</v>
      </c>
      <c r="Z992" t="s">
        <v>987</v>
      </c>
      <c r="AA992" t="s">
        <v>6033</v>
      </c>
      <c r="AB992" t="s">
        <v>975</v>
      </c>
      <c r="AC992">
        <v>4020</v>
      </c>
      <c r="AD992" t="s">
        <v>1019</v>
      </c>
      <c r="AE992">
        <v>3242536643</v>
      </c>
      <c r="AF992">
        <v>3242280827</v>
      </c>
      <c r="AG992" t="s">
        <v>977</v>
      </c>
      <c r="AH992" t="s">
        <v>977</v>
      </c>
      <c r="AI992" t="s">
        <v>977</v>
      </c>
      <c r="AJ992" t="s">
        <v>978</v>
      </c>
      <c r="AK992" t="s">
        <v>978</v>
      </c>
      <c r="AL992" t="s">
        <v>978</v>
      </c>
      <c r="AM992" t="s">
        <v>979</v>
      </c>
      <c r="AN992">
        <v>0</v>
      </c>
      <c r="AO992" t="s">
        <v>257</v>
      </c>
      <c r="AP992">
        <v>0</v>
      </c>
      <c r="AQ992">
        <v>20</v>
      </c>
      <c r="AR992">
        <v>43</v>
      </c>
      <c r="AS992">
        <v>1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1</v>
      </c>
      <c r="AZ992" t="s">
        <v>257</v>
      </c>
      <c r="BA992" t="s">
        <v>980</v>
      </c>
      <c r="BB992" t="s">
        <v>981</v>
      </c>
      <c r="BC992" t="s">
        <v>257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 t="s">
        <v>1285</v>
      </c>
      <c r="BK992" t="s">
        <v>981</v>
      </c>
      <c r="BL992" t="s">
        <v>6588</v>
      </c>
      <c r="BM992">
        <v>20240715</v>
      </c>
      <c r="BN992">
        <v>20240715</v>
      </c>
      <c r="BO992">
        <v>0</v>
      </c>
      <c r="BP992" t="s">
        <v>257</v>
      </c>
      <c r="BQ992" t="s">
        <v>983</v>
      </c>
      <c r="BR992" t="s">
        <v>978</v>
      </c>
      <c r="BS992" t="s">
        <v>979</v>
      </c>
      <c r="BT992">
        <v>0</v>
      </c>
      <c r="BU992">
        <v>0</v>
      </c>
      <c r="BV992" t="s">
        <v>984</v>
      </c>
      <c r="BW992" t="s">
        <v>257</v>
      </c>
      <c r="BX992">
        <v>0</v>
      </c>
      <c r="BY992" t="s">
        <v>980</v>
      </c>
      <c r="BZ992" t="s">
        <v>257</v>
      </c>
      <c r="CA992">
        <v>0</v>
      </c>
      <c r="CB992">
        <v>0</v>
      </c>
      <c r="CC992" t="s">
        <v>1848</v>
      </c>
      <c r="CD992">
        <v>0</v>
      </c>
      <c r="CE992">
        <v>0</v>
      </c>
      <c r="CF992">
        <v>0</v>
      </c>
      <c r="CG992">
        <v>0</v>
      </c>
      <c r="CH992">
        <v>0</v>
      </c>
      <c r="CI992" t="s">
        <v>983</v>
      </c>
      <c r="CJ992" t="s">
        <v>972</v>
      </c>
      <c r="CK992" t="s">
        <v>986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 t="s">
        <v>987</v>
      </c>
      <c r="CV992">
        <v>400010558</v>
      </c>
      <c r="CW992" t="s">
        <v>987</v>
      </c>
      <c r="CX992" t="s">
        <v>6590</v>
      </c>
      <c r="CY992" t="s">
        <v>989</v>
      </c>
    </row>
    <row r="993" spans="1:103" hidden="1" x14ac:dyDescent="0.25">
      <c r="A993">
        <v>410000999</v>
      </c>
      <c r="B993" t="s">
        <v>6591</v>
      </c>
      <c r="C993" t="s">
        <v>6592</v>
      </c>
      <c r="D993">
        <v>401100000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1</v>
      </c>
      <c r="X993">
        <v>1</v>
      </c>
      <c r="Y993" t="s">
        <v>972</v>
      </c>
      <c r="Z993" t="s">
        <v>987</v>
      </c>
      <c r="AA993" t="s">
        <v>6593</v>
      </c>
      <c r="AB993" t="s">
        <v>975</v>
      </c>
      <c r="AC993">
        <v>4983</v>
      </c>
      <c r="AD993" t="s">
        <v>4760</v>
      </c>
      <c r="AE993">
        <v>3280684662</v>
      </c>
      <c r="AF993" t="s">
        <v>979</v>
      </c>
      <c r="AG993" t="s">
        <v>977</v>
      </c>
      <c r="AH993">
        <v>890199781</v>
      </c>
      <c r="AI993" t="s">
        <v>977</v>
      </c>
      <c r="AJ993" t="s">
        <v>6146</v>
      </c>
      <c r="AK993" t="s">
        <v>978</v>
      </c>
      <c r="AL993" t="s">
        <v>978</v>
      </c>
      <c r="AM993" t="s">
        <v>979</v>
      </c>
      <c r="AN993">
        <v>0</v>
      </c>
      <c r="AO993" t="s">
        <v>257</v>
      </c>
      <c r="AP993">
        <v>0</v>
      </c>
      <c r="AQ993">
        <v>1</v>
      </c>
      <c r="AR993">
        <v>69</v>
      </c>
      <c r="AS993">
        <v>1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1</v>
      </c>
      <c r="AZ993" t="s">
        <v>257</v>
      </c>
      <c r="BA993" t="s">
        <v>980</v>
      </c>
      <c r="BB993" t="s">
        <v>981</v>
      </c>
      <c r="BC993" t="s">
        <v>257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 t="s">
        <v>998</v>
      </c>
      <c r="BK993" t="s">
        <v>981</v>
      </c>
      <c r="BL993" t="s">
        <v>6591</v>
      </c>
      <c r="BM993">
        <v>20240716</v>
      </c>
      <c r="BN993">
        <v>20240717</v>
      </c>
      <c r="BO993">
        <v>0</v>
      </c>
      <c r="BP993" t="s">
        <v>257</v>
      </c>
      <c r="BQ993" t="s">
        <v>983</v>
      </c>
      <c r="BR993" t="s">
        <v>978</v>
      </c>
      <c r="BS993" t="s">
        <v>979</v>
      </c>
      <c r="BT993">
        <v>0</v>
      </c>
      <c r="BU993">
        <v>0</v>
      </c>
      <c r="BV993" t="s">
        <v>984</v>
      </c>
      <c r="BW993" t="s">
        <v>257</v>
      </c>
      <c r="BX993">
        <v>0</v>
      </c>
      <c r="BY993" t="s">
        <v>980</v>
      </c>
      <c r="BZ993" t="s">
        <v>257</v>
      </c>
      <c r="CA993">
        <v>0</v>
      </c>
      <c r="CB993">
        <v>0</v>
      </c>
      <c r="CC993" t="s">
        <v>1901</v>
      </c>
      <c r="CD993">
        <v>0</v>
      </c>
      <c r="CE993">
        <v>0</v>
      </c>
      <c r="CF993">
        <v>0</v>
      </c>
      <c r="CG993">
        <v>0</v>
      </c>
      <c r="CH993">
        <v>0</v>
      </c>
      <c r="CI993" t="s">
        <v>983</v>
      </c>
      <c r="CJ993" t="s">
        <v>972</v>
      </c>
      <c r="CK993" t="s">
        <v>986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 t="s">
        <v>987</v>
      </c>
      <c r="CV993">
        <v>400010561</v>
      </c>
      <c r="CW993" t="s">
        <v>987</v>
      </c>
      <c r="CX993" t="s">
        <v>6594</v>
      </c>
      <c r="CY993" t="s">
        <v>989</v>
      </c>
    </row>
    <row r="994" spans="1:103" hidden="1" x14ac:dyDescent="0.25">
      <c r="A994">
        <v>410001000</v>
      </c>
      <c r="B994" t="s">
        <v>6595</v>
      </c>
      <c r="C994" t="s">
        <v>6596</v>
      </c>
      <c r="D994">
        <v>401100000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1</v>
      </c>
      <c r="X994">
        <v>1</v>
      </c>
      <c r="Y994" t="s">
        <v>972</v>
      </c>
      <c r="Z994" t="s">
        <v>987</v>
      </c>
      <c r="AA994" t="s">
        <v>6597</v>
      </c>
      <c r="AB994" t="s">
        <v>975</v>
      </c>
      <c r="AC994">
        <v>6534</v>
      </c>
      <c r="AD994" t="s">
        <v>6598</v>
      </c>
      <c r="AE994">
        <v>3271560457</v>
      </c>
      <c r="AF994" t="s">
        <v>979</v>
      </c>
      <c r="AG994" t="s">
        <v>977</v>
      </c>
      <c r="AH994">
        <v>641823165</v>
      </c>
      <c r="AI994">
        <v>69202</v>
      </c>
      <c r="AJ994" t="s">
        <v>6599</v>
      </c>
      <c r="AK994" t="s">
        <v>978</v>
      </c>
      <c r="AL994" t="s">
        <v>978</v>
      </c>
      <c r="AM994" t="s">
        <v>979</v>
      </c>
      <c r="AN994">
        <v>0</v>
      </c>
      <c r="AO994" t="s">
        <v>257</v>
      </c>
      <c r="AP994">
        <v>0</v>
      </c>
      <c r="AQ994">
        <v>1</v>
      </c>
      <c r="AR994">
        <v>43</v>
      </c>
      <c r="AS994">
        <v>1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1</v>
      </c>
      <c r="AZ994" t="s">
        <v>257</v>
      </c>
      <c r="BA994" t="s">
        <v>980</v>
      </c>
      <c r="BB994" t="s">
        <v>981</v>
      </c>
      <c r="BC994" t="s">
        <v>257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 t="s">
        <v>998</v>
      </c>
      <c r="BK994" t="s">
        <v>981</v>
      </c>
      <c r="BL994" t="s">
        <v>6595</v>
      </c>
      <c r="BM994">
        <v>20240724</v>
      </c>
      <c r="BN994">
        <v>20240724</v>
      </c>
      <c r="BO994">
        <v>0</v>
      </c>
      <c r="BP994" t="s">
        <v>257</v>
      </c>
      <c r="BQ994" t="s">
        <v>983</v>
      </c>
      <c r="BR994" t="s">
        <v>978</v>
      </c>
      <c r="BS994" t="s">
        <v>979</v>
      </c>
      <c r="BT994">
        <v>0</v>
      </c>
      <c r="BU994">
        <v>0</v>
      </c>
      <c r="BV994" t="s">
        <v>984</v>
      </c>
      <c r="BW994" t="s">
        <v>257</v>
      </c>
      <c r="BX994">
        <v>0</v>
      </c>
      <c r="BY994" t="s">
        <v>980</v>
      </c>
      <c r="BZ994" t="s">
        <v>257</v>
      </c>
      <c r="CA994">
        <v>0</v>
      </c>
      <c r="CB994">
        <v>0</v>
      </c>
      <c r="CC994" t="s">
        <v>1901</v>
      </c>
      <c r="CD994">
        <v>0</v>
      </c>
      <c r="CE994">
        <v>0</v>
      </c>
      <c r="CF994">
        <v>0</v>
      </c>
      <c r="CG994">
        <v>0</v>
      </c>
      <c r="CH994">
        <v>0</v>
      </c>
      <c r="CI994" t="s">
        <v>983</v>
      </c>
      <c r="CJ994" t="s">
        <v>972</v>
      </c>
      <c r="CK994" t="s">
        <v>986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 t="s">
        <v>987</v>
      </c>
      <c r="CV994">
        <v>400010571</v>
      </c>
      <c r="CW994" t="s">
        <v>987</v>
      </c>
      <c r="CX994" t="s">
        <v>6600</v>
      </c>
      <c r="CY994" t="s">
        <v>989</v>
      </c>
    </row>
    <row r="995" spans="1:103" hidden="1" x14ac:dyDescent="0.25">
      <c r="A995">
        <v>410001001</v>
      </c>
      <c r="B995" t="s">
        <v>6601</v>
      </c>
      <c r="C995" t="s">
        <v>6602</v>
      </c>
      <c r="D995">
        <v>401100000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1</v>
      </c>
      <c r="X995">
        <v>1</v>
      </c>
      <c r="Y995" t="s">
        <v>972</v>
      </c>
      <c r="Z995" t="s">
        <v>6603</v>
      </c>
      <c r="AA995" t="s">
        <v>6604</v>
      </c>
      <c r="AB995" t="s">
        <v>1626</v>
      </c>
      <c r="AC995">
        <v>1610</v>
      </c>
      <c r="AD995" t="s">
        <v>6388</v>
      </c>
      <c r="AE995">
        <v>352261861</v>
      </c>
      <c r="AF995" t="s">
        <v>979</v>
      </c>
      <c r="AG995" t="s">
        <v>977</v>
      </c>
      <c r="AH995" t="s">
        <v>6605</v>
      </c>
      <c r="AI995">
        <v>64990</v>
      </c>
      <c r="AJ995" t="s">
        <v>6606</v>
      </c>
      <c r="AK995" t="s">
        <v>978</v>
      </c>
      <c r="AL995" t="s">
        <v>978</v>
      </c>
      <c r="AM995" t="s">
        <v>979</v>
      </c>
      <c r="AN995">
        <v>0</v>
      </c>
      <c r="AO995" t="s">
        <v>257</v>
      </c>
      <c r="AP995">
        <v>0</v>
      </c>
      <c r="AQ995">
        <v>1</v>
      </c>
      <c r="AR995">
        <v>43</v>
      </c>
      <c r="AS995">
        <v>1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1</v>
      </c>
      <c r="AZ995" t="s">
        <v>257</v>
      </c>
      <c r="BA995" t="s">
        <v>980</v>
      </c>
      <c r="BB995" t="s">
        <v>981</v>
      </c>
      <c r="BC995" t="s">
        <v>257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 t="s">
        <v>998</v>
      </c>
      <c r="BK995" t="s">
        <v>981</v>
      </c>
      <c r="BL995" t="s">
        <v>6601</v>
      </c>
      <c r="BM995">
        <v>20240726</v>
      </c>
      <c r="BN995">
        <v>20240728</v>
      </c>
      <c r="BO995">
        <v>0</v>
      </c>
      <c r="BP995" t="s">
        <v>257</v>
      </c>
      <c r="BQ995" t="s">
        <v>983</v>
      </c>
      <c r="BR995" t="s">
        <v>978</v>
      </c>
      <c r="BS995" t="s">
        <v>979</v>
      </c>
      <c r="BT995">
        <v>0</v>
      </c>
      <c r="BU995">
        <v>0</v>
      </c>
      <c r="BV995" t="s">
        <v>984</v>
      </c>
      <c r="BW995" t="s">
        <v>257</v>
      </c>
      <c r="BX995">
        <v>0</v>
      </c>
      <c r="BY995" t="s">
        <v>980</v>
      </c>
      <c r="BZ995" t="s">
        <v>257</v>
      </c>
      <c r="CA995">
        <v>0</v>
      </c>
      <c r="CB995">
        <v>0</v>
      </c>
      <c r="CC995" t="s">
        <v>1901</v>
      </c>
      <c r="CD995">
        <v>0</v>
      </c>
      <c r="CE995">
        <v>0</v>
      </c>
      <c r="CF995">
        <v>0</v>
      </c>
      <c r="CG995">
        <v>0</v>
      </c>
      <c r="CH995">
        <v>0</v>
      </c>
      <c r="CI995" t="s">
        <v>983</v>
      </c>
      <c r="CJ995" t="s">
        <v>972</v>
      </c>
      <c r="CK995" t="s">
        <v>986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 t="s">
        <v>987</v>
      </c>
      <c r="CV995">
        <v>400010574</v>
      </c>
      <c r="CW995" t="s">
        <v>987</v>
      </c>
      <c r="CX995" t="s">
        <v>6607</v>
      </c>
      <c r="CY995" t="s">
        <v>989</v>
      </c>
    </row>
    <row r="996" spans="1:103" hidden="1" x14ac:dyDescent="0.25">
      <c r="A996">
        <v>410001002</v>
      </c>
      <c r="B996" t="s">
        <v>6608</v>
      </c>
      <c r="C996" t="s">
        <v>6609</v>
      </c>
      <c r="D996">
        <v>401100000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1</v>
      </c>
      <c r="X996">
        <v>1</v>
      </c>
      <c r="Y996" t="s">
        <v>972</v>
      </c>
      <c r="Z996" t="s">
        <v>987</v>
      </c>
      <c r="AA996" t="s">
        <v>6610</v>
      </c>
      <c r="AB996" t="s">
        <v>975</v>
      </c>
      <c r="AC996">
        <v>1150</v>
      </c>
      <c r="AD996" t="s">
        <v>1006</v>
      </c>
      <c r="AE996">
        <v>3227771881</v>
      </c>
      <c r="AF996" t="s">
        <v>979</v>
      </c>
      <c r="AG996" t="s">
        <v>977</v>
      </c>
      <c r="AH996" t="s">
        <v>977</v>
      </c>
      <c r="AI996" t="s">
        <v>977</v>
      </c>
      <c r="AJ996" t="s">
        <v>6442</v>
      </c>
      <c r="AK996" t="s">
        <v>978</v>
      </c>
      <c r="AL996" t="s">
        <v>978</v>
      </c>
      <c r="AM996" t="s">
        <v>979</v>
      </c>
      <c r="AN996">
        <v>0</v>
      </c>
      <c r="AO996" t="s">
        <v>257</v>
      </c>
      <c r="AP996">
        <v>0</v>
      </c>
      <c r="AQ996">
        <v>1</v>
      </c>
      <c r="AR996">
        <v>69</v>
      </c>
      <c r="AS996">
        <v>1</v>
      </c>
      <c r="AT996">
        <v>0</v>
      </c>
      <c r="AU996">
        <v>1</v>
      </c>
      <c r="AV996">
        <v>0</v>
      </c>
      <c r="AW996">
        <v>0</v>
      </c>
      <c r="AX996">
        <v>0</v>
      </c>
      <c r="AY996">
        <v>1</v>
      </c>
      <c r="AZ996" t="s">
        <v>257</v>
      </c>
      <c r="BA996" t="s">
        <v>980</v>
      </c>
      <c r="BB996" t="s">
        <v>981</v>
      </c>
      <c r="BC996" t="s">
        <v>257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 t="s">
        <v>998</v>
      </c>
      <c r="BK996" t="s">
        <v>981</v>
      </c>
      <c r="BL996" t="s">
        <v>6608</v>
      </c>
      <c r="BM996">
        <v>20240808</v>
      </c>
      <c r="BN996">
        <v>20240808</v>
      </c>
      <c r="BO996">
        <v>0</v>
      </c>
      <c r="BP996" t="s">
        <v>257</v>
      </c>
      <c r="BQ996" t="s">
        <v>983</v>
      </c>
      <c r="BR996" t="s">
        <v>978</v>
      </c>
      <c r="BS996" t="s">
        <v>979</v>
      </c>
      <c r="BT996">
        <v>0</v>
      </c>
      <c r="BU996">
        <v>0</v>
      </c>
      <c r="BV996" t="s">
        <v>984</v>
      </c>
      <c r="BW996" t="s">
        <v>257</v>
      </c>
      <c r="BX996">
        <v>0</v>
      </c>
      <c r="BY996" t="s">
        <v>980</v>
      </c>
      <c r="BZ996" t="s">
        <v>257</v>
      </c>
      <c r="CA996">
        <v>0</v>
      </c>
      <c r="CB996">
        <v>0</v>
      </c>
      <c r="CC996" t="s">
        <v>1901</v>
      </c>
      <c r="CD996">
        <v>0</v>
      </c>
      <c r="CE996">
        <v>0</v>
      </c>
      <c r="CF996">
        <v>0</v>
      </c>
      <c r="CG996">
        <v>0</v>
      </c>
      <c r="CH996">
        <v>0</v>
      </c>
      <c r="CI996" t="s">
        <v>983</v>
      </c>
      <c r="CJ996" t="s">
        <v>972</v>
      </c>
      <c r="CK996" t="s">
        <v>986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 t="s">
        <v>987</v>
      </c>
      <c r="CV996">
        <v>400010588</v>
      </c>
      <c r="CW996" t="s">
        <v>987</v>
      </c>
      <c r="CX996" t="s">
        <v>6611</v>
      </c>
      <c r="CY996" t="s">
        <v>989</v>
      </c>
    </row>
    <row r="997" spans="1:103" hidden="1" x14ac:dyDescent="0.25">
      <c r="A997">
        <v>410001003</v>
      </c>
      <c r="B997" t="s">
        <v>6612</v>
      </c>
      <c r="C997" t="s">
        <v>6613</v>
      </c>
      <c r="D997">
        <v>401100000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1</v>
      </c>
      <c r="X997">
        <v>1</v>
      </c>
      <c r="Y997" t="s">
        <v>972</v>
      </c>
      <c r="Z997" t="s">
        <v>4834</v>
      </c>
      <c r="AA997" t="s">
        <v>6614</v>
      </c>
      <c r="AB997" t="s">
        <v>975</v>
      </c>
      <c r="AC997">
        <v>4570</v>
      </c>
      <c r="AD997" t="s">
        <v>5037</v>
      </c>
      <c r="AE997">
        <v>32498186817</v>
      </c>
      <c r="AF997" t="s">
        <v>979</v>
      </c>
      <c r="AG997" t="s">
        <v>977</v>
      </c>
      <c r="AH997" t="s">
        <v>977</v>
      </c>
      <c r="AI997" t="s">
        <v>977</v>
      </c>
      <c r="AJ997" t="s">
        <v>978</v>
      </c>
      <c r="AK997" t="s">
        <v>978</v>
      </c>
      <c r="AL997" t="s">
        <v>978</v>
      </c>
      <c r="AM997" t="s">
        <v>979</v>
      </c>
      <c r="AN997">
        <v>0</v>
      </c>
      <c r="AO997" t="s">
        <v>257</v>
      </c>
      <c r="AP997">
        <v>0</v>
      </c>
      <c r="AQ997">
        <v>1</v>
      </c>
      <c r="AR997">
        <v>43</v>
      </c>
      <c r="AS997">
        <v>1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1</v>
      </c>
      <c r="AZ997" t="s">
        <v>257</v>
      </c>
      <c r="BA997" t="s">
        <v>980</v>
      </c>
      <c r="BB997" t="s">
        <v>981</v>
      </c>
      <c r="BC997" t="s">
        <v>257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 t="s">
        <v>998</v>
      </c>
      <c r="BK997" t="s">
        <v>981</v>
      </c>
      <c r="BL997" t="s">
        <v>6612</v>
      </c>
      <c r="BM997">
        <v>20240823</v>
      </c>
      <c r="BN997">
        <v>0</v>
      </c>
      <c r="BO997">
        <v>0</v>
      </c>
      <c r="BP997" t="s">
        <v>257</v>
      </c>
      <c r="BQ997" t="s">
        <v>983</v>
      </c>
      <c r="BR997" t="s">
        <v>978</v>
      </c>
      <c r="BS997" t="s">
        <v>979</v>
      </c>
      <c r="BT997">
        <v>0</v>
      </c>
      <c r="BU997">
        <v>0</v>
      </c>
      <c r="BV997" t="s">
        <v>984</v>
      </c>
      <c r="BW997" t="s">
        <v>257</v>
      </c>
      <c r="BX997">
        <v>0</v>
      </c>
      <c r="BY997" t="s">
        <v>980</v>
      </c>
      <c r="BZ997" t="s">
        <v>257</v>
      </c>
      <c r="CA997">
        <v>0</v>
      </c>
      <c r="CB997">
        <v>0</v>
      </c>
      <c r="CC997" t="s">
        <v>6615</v>
      </c>
      <c r="CD997">
        <v>0</v>
      </c>
      <c r="CE997">
        <v>0</v>
      </c>
      <c r="CF997">
        <v>0</v>
      </c>
      <c r="CG997">
        <v>0</v>
      </c>
      <c r="CH997">
        <v>0</v>
      </c>
      <c r="CI997" t="s">
        <v>983</v>
      </c>
      <c r="CJ997" t="s">
        <v>972</v>
      </c>
      <c r="CK997" t="s">
        <v>986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 t="s">
        <v>987</v>
      </c>
      <c r="CV997">
        <v>400010598</v>
      </c>
      <c r="CW997" t="s">
        <v>987</v>
      </c>
      <c r="CX997" t="s">
        <v>6616</v>
      </c>
      <c r="CY997" t="s">
        <v>989</v>
      </c>
    </row>
    <row r="998" spans="1:103" hidden="1" x14ac:dyDescent="0.25">
      <c r="A998">
        <v>410001004</v>
      </c>
      <c r="B998" t="s">
        <v>6617</v>
      </c>
      <c r="C998" t="s">
        <v>6618</v>
      </c>
      <c r="D998">
        <v>401100000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1</v>
      </c>
      <c r="X998">
        <v>1</v>
      </c>
      <c r="Y998" t="s">
        <v>972</v>
      </c>
      <c r="Z998" t="s">
        <v>987</v>
      </c>
      <c r="AA998" t="s">
        <v>6619</v>
      </c>
      <c r="AB998" t="s">
        <v>975</v>
      </c>
      <c r="AC998">
        <v>1400</v>
      </c>
      <c r="AD998" t="s">
        <v>3855</v>
      </c>
      <c r="AE998">
        <v>3267217251</v>
      </c>
      <c r="AF998" t="s">
        <v>979</v>
      </c>
      <c r="AG998" t="s">
        <v>977</v>
      </c>
      <c r="AH998" t="s">
        <v>977</v>
      </c>
      <c r="AI998" t="s">
        <v>977</v>
      </c>
      <c r="AJ998" t="s">
        <v>6509</v>
      </c>
      <c r="AK998" t="s">
        <v>978</v>
      </c>
      <c r="AL998" t="s">
        <v>978</v>
      </c>
      <c r="AM998" t="s">
        <v>979</v>
      </c>
      <c r="AN998">
        <v>0</v>
      </c>
      <c r="AO998" t="s">
        <v>257</v>
      </c>
      <c r="AP998">
        <v>0</v>
      </c>
      <c r="AQ998">
        <v>1</v>
      </c>
      <c r="AR998">
        <v>69</v>
      </c>
      <c r="AS998">
        <v>1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1</v>
      </c>
      <c r="AZ998" t="s">
        <v>257</v>
      </c>
      <c r="BA998" t="s">
        <v>980</v>
      </c>
      <c r="BB998" t="s">
        <v>981</v>
      </c>
      <c r="BC998" t="s">
        <v>257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 t="s">
        <v>998</v>
      </c>
      <c r="BK998" t="s">
        <v>981</v>
      </c>
      <c r="BL998" t="s">
        <v>6617</v>
      </c>
      <c r="BM998">
        <v>20240829</v>
      </c>
      <c r="BN998">
        <v>20240829</v>
      </c>
      <c r="BO998">
        <v>0</v>
      </c>
      <c r="BP998" t="s">
        <v>257</v>
      </c>
      <c r="BQ998" t="s">
        <v>983</v>
      </c>
      <c r="BR998" t="s">
        <v>978</v>
      </c>
      <c r="BS998" t="s">
        <v>979</v>
      </c>
      <c r="BT998">
        <v>0</v>
      </c>
      <c r="BU998">
        <v>0</v>
      </c>
      <c r="BV998" t="s">
        <v>984</v>
      </c>
      <c r="BW998" t="s">
        <v>257</v>
      </c>
      <c r="BX998">
        <v>0</v>
      </c>
      <c r="BY998" t="s">
        <v>980</v>
      </c>
      <c r="BZ998" t="s">
        <v>257</v>
      </c>
      <c r="CA998">
        <v>0</v>
      </c>
      <c r="CB998">
        <v>0</v>
      </c>
      <c r="CC998" t="s">
        <v>1901</v>
      </c>
      <c r="CD998">
        <v>0</v>
      </c>
      <c r="CE998">
        <v>0</v>
      </c>
      <c r="CF998">
        <v>0</v>
      </c>
      <c r="CG998">
        <v>0</v>
      </c>
      <c r="CH998">
        <v>0</v>
      </c>
      <c r="CI998" t="s">
        <v>983</v>
      </c>
      <c r="CJ998" t="s">
        <v>972</v>
      </c>
      <c r="CK998" t="s">
        <v>986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 t="s">
        <v>987</v>
      </c>
      <c r="CV998">
        <v>400010606</v>
      </c>
      <c r="CW998" t="s">
        <v>987</v>
      </c>
      <c r="CX998" t="s">
        <v>6620</v>
      </c>
      <c r="CY998" t="s">
        <v>989</v>
      </c>
    </row>
    <row r="999" spans="1:103" hidden="1" x14ac:dyDescent="0.25">
      <c r="A999">
        <v>410001005</v>
      </c>
      <c r="B999" t="s">
        <v>6621</v>
      </c>
      <c r="C999" t="s">
        <v>6622</v>
      </c>
      <c r="D999">
        <v>401100000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1</v>
      </c>
      <c r="X999">
        <v>1</v>
      </c>
      <c r="Y999" t="s">
        <v>972</v>
      </c>
      <c r="Z999" t="s">
        <v>987</v>
      </c>
      <c r="AA999" t="s">
        <v>6623</v>
      </c>
      <c r="AB999" t="s">
        <v>1626</v>
      </c>
      <c r="AC999">
        <v>8070</v>
      </c>
      <c r="AD999" t="s">
        <v>6624</v>
      </c>
      <c r="AE999" t="s">
        <v>979</v>
      </c>
      <c r="AF999" t="s">
        <v>979</v>
      </c>
      <c r="AG999" t="s">
        <v>977</v>
      </c>
      <c r="AH999" t="s">
        <v>6625</v>
      </c>
      <c r="AI999" t="s">
        <v>977</v>
      </c>
      <c r="AJ999" t="s">
        <v>6481</v>
      </c>
      <c r="AK999" t="s">
        <v>978</v>
      </c>
      <c r="AL999" t="s">
        <v>978</v>
      </c>
      <c r="AM999" t="s">
        <v>979</v>
      </c>
      <c r="AN999">
        <v>0</v>
      </c>
      <c r="AO999" t="s">
        <v>257</v>
      </c>
      <c r="AP999">
        <v>0</v>
      </c>
      <c r="AQ999">
        <v>1</v>
      </c>
      <c r="AR999">
        <v>43</v>
      </c>
      <c r="AS999">
        <v>1</v>
      </c>
      <c r="AT999">
        <v>0</v>
      </c>
      <c r="AU999">
        <v>1</v>
      </c>
      <c r="AV999">
        <v>0</v>
      </c>
      <c r="AW999">
        <v>0</v>
      </c>
      <c r="AX999">
        <v>0</v>
      </c>
      <c r="AY999">
        <v>1</v>
      </c>
      <c r="AZ999" t="s">
        <v>257</v>
      </c>
      <c r="BA999" t="s">
        <v>980</v>
      </c>
      <c r="BB999" t="s">
        <v>981</v>
      </c>
      <c r="BC999" t="s">
        <v>257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 t="s">
        <v>998</v>
      </c>
      <c r="BK999" t="s">
        <v>981</v>
      </c>
      <c r="BL999" t="s">
        <v>6626</v>
      </c>
      <c r="BM999">
        <v>20240830</v>
      </c>
      <c r="BN999">
        <v>20240902</v>
      </c>
      <c r="BO999">
        <v>0</v>
      </c>
      <c r="BP999" t="s">
        <v>257</v>
      </c>
      <c r="BQ999" t="s">
        <v>983</v>
      </c>
      <c r="BR999" t="s">
        <v>978</v>
      </c>
      <c r="BS999">
        <v>352691118310</v>
      </c>
      <c r="BT999">
        <v>0</v>
      </c>
      <c r="BU999">
        <v>0</v>
      </c>
      <c r="BV999" t="s">
        <v>984</v>
      </c>
      <c r="BW999" t="s">
        <v>257</v>
      </c>
      <c r="BX999">
        <v>0</v>
      </c>
      <c r="BY999" t="s">
        <v>980</v>
      </c>
      <c r="BZ999" t="s">
        <v>257</v>
      </c>
      <c r="CA999">
        <v>0</v>
      </c>
      <c r="CB999">
        <v>0</v>
      </c>
      <c r="CC999" t="s">
        <v>1901</v>
      </c>
      <c r="CD999">
        <v>0</v>
      </c>
      <c r="CE999">
        <v>0</v>
      </c>
      <c r="CF999">
        <v>0</v>
      </c>
      <c r="CG999">
        <v>0</v>
      </c>
      <c r="CH999">
        <v>0</v>
      </c>
      <c r="CI999" t="s">
        <v>983</v>
      </c>
      <c r="CJ999" t="s">
        <v>972</v>
      </c>
      <c r="CK999" t="s">
        <v>986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 t="s">
        <v>987</v>
      </c>
      <c r="CV999">
        <v>400010607</v>
      </c>
      <c r="CW999" t="s">
        <v>987</v>
      </c>
      <c r="CX999" t="s">
        <v>6627</v>
      </c>
      <c r="CY999" t="s">
        <v>989</v>
      </c>
    </row>
    <row r="1000" spans="1:103" hidden="1" x14ac:dyDescent="0.25">
      <c r="A1000">
        <v>410001006</v>
      </c>
      <c r="B1000" t="s">
        <v>6628</v>
      </c>
      <c r="C1000" t="s">
        <v>6629</v>
      </c>
      <c r="D1000">
        <v>401100000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4</v>
      </c>
      <c r="W1000">
        <v>1</v>
      </c>
      <c r="X1000">
        <v>1</v>
      </c>
      <c r="Y1000" t="s">
        <v>972</v>
      </c>
      <c r="Z1000" t="s">
        <v>987</v>
      </c>
      <c r="AA1000" t="s">
        <v>6630</v>
      </c>
      <c r="AB1000" t="s">
        <v>975</v>
      </c>
      <c r="AC1000">
        <v>4460</v>
      </c>
      <c r="AD1000" t="s">
        <v>1946</v>
      </c>
      <c r="AE1000">
        <v>32491312102</v>
      </c>
      <c r="AF1000" t="s">
        <v>979</v>
      </c>
      <c r="AG1000" t="s">
        <v>977</v>
      </c>
      <c r="AH1000" t="s">
        <v>977</v>
      </c>
      <c r="AI1000" t="s">
        <v>977</v>
      </c>
      <c r="AJ1000" t="s">
        <v>978</v>
      </c>
      <c r="AK1000" t="s">
        <v>978</v>
      </c>
      <c r="AL1000" t="s">
        <v>978</v>
      </c>
      <c r="AM1000" t="s">
        <v>979</v>
      </c>
      <c r="AN1000">
        <v>0</v>
      </c>
      <c r="AO1000" t="s">
        <v>257</v>
      </c>
      <c r="AP1000">
        <v>0</v>
      </c>
      <c r="AQ1000">
        <v>1</v>
      </c>
      <c r="AR1000">
        <v>69</v>
      </c>
      <c r="AS1000">
        <v>1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1</v>
      </c>
      <c r="AZ1000" t="s">
        <v>257</v>
      </c>
      <c r="BA1000" t="s">
        <v>980</v>
      </c>
      <c r="BB1000" t="s">
        <v>981</v>
      </c>
      <c r="BC1000" t="s">
        <v>257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 t="s">
        <v>998</v>
      </c>
      <c r="BK1000" t="s">
        <v>981</v>
      </c>
      <c r="BL1000" t="s">
        <v>6628</v>
      </c>
      <c r="BM1000">
        <v>20240905</v>
      </c>
      <c r="BN1000">
        <v>20240906</v>
      </c>
      <c r="BO1000">
        <v>0</v>
      </c>
      <c r="BP1000" t="s">
        <v>257</v>
      </c>
      <c r="BQ1000" t="s">
        <v>983</v>
      </c>
      <c r="BR1000" t="s">
        <v>978</v>
      </c>
      <c r="BS1000" t="s">
        <v>979</v>
      </c>
      <c r="BT1000">
        <v>0</v>
      </c>
      <c r="BU1000">
        <v>0</v>
      </c>
      <c r="BV1000" t="s">
        <v>984</v>
      </c>
      <c r="BW1000" t="s">
        <v>257</v>
      </c>
      <c r="BX1000">
        <v>0</v>
      </c>
      <c r="BY1000" t="s">
        <v>980</v>
      </c>
      <c r="BZ1000" t="s">
        <v>257</v>
      </c>
      <c r="CA1000">
        <v>0</v>
      </c>
      <c r="CB1000">
        <v>0</v>
      </c>
      <c r="CC1000" t="s">
        <v>1391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 t="s">
        <v>983</v>
      </c>
      <c r="CJ1000" t="s">
        <v>972</v>
      </c>
      <c r="CK1000" t="s">
        <v>986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 t="s">
        <v>987</v>
      </c>
      <c r="CV1000">
        <v>400010623</v>
      </c>
      <c r="CW1000" t="s">
        <v>987</v>
      </c>
      <c r="CX1000" t="s">
        <v>6631</v>
      </c>
      <c r="CY1000" t="s">
        <v>989</v>
      </c>
    </row>
    <row r="1001" spans="1:103" hidden="1" x14ac:dyDescent="0.25">
      <c r="A1001">
        <v>410001007</v>
      </c>
      <c r="B1001" t="s">
        <v>6632</v>
      </c>
      <c r="C1001" t="s">
        <v>6633</v>
      </c>
      <c r="D1001">
        <v>401100000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1</v>
      </c>
      <c r="Y1001" t="s">
        <v>972</v>
      </c>
      <c r="Z1001" t="s">
        <v>6634</v>
      </c>
      <c r="AA1001" t="s">
        <v>6635</v>
      </c>
      <c r="AB1001" t="s">
        <v>975</v>
      </c>
      <c r="AC1001">
        <v>4683</v>
      </c>
      <c r="AD1001" t="s">
        <v>1891</v>
      </c>
      <c r="AE1001">
        <v>3228959004</v>
      </c>
      <c r="AF1001" t="s">
        <v>979</v>
      </c>
      <c r="AG1001" t="s">
        <v>977</v>
      </c>
      <c r="AH1001" t="s">
        <v>977</v>
      </c>
      <c r="AI1001" t="s">
        <v>977</v>
      </c>
      <c r="AJ1001" t="s">
        <v>978</v>
      </c>
      <c r="AK1001" t="s">
        <v>978</v>
      </c>
      <c r="AL1001" t="s">
        <v>978</v>
      </c>
      <c r="AM1001" t="s">
        <v>979</v>
      </c>
      <c r="AN1001">
        <v>0</v>
      </c>
      <c r="AO1001" t="s">
        <v>257</v>
      </c>
      <c r="AP1001">
        <v>0</v>
      </c>
      <c r="AQ1001">
        <v>1</v>
      </c>
      <c r="AR1001">
        <v>43</v>
      </c>
      <c r="AS1001">
        <v>1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1</v>
      </c>
      <c r="AZ1001" t="s">
        <v>257</v>
      </c>
      <c r="BA1001" t="s">
        <v>980</v>
      </c>
      <c r="BB1001" t="s">
        <v>981</v>
      </c>
      <c r="BC1001" t="s">
        <v>257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 t="s">
        <v>998</v>
      </c>
      <c r="BK1001" t="s">
        <v>981</v>
      </c>
      <c r="BL1001" t="s">
        <v>6632</v>
      </c>
      <c r="BM1001">
        <v>20240906</v>
      </c>
      <c r="BN1001">
        <v>20240906</v>
      </c>
      <c r="BO1001">
        <v>0</v>
      </c>
      <c r="BP1001" t="s">
        <v>257</v>
      </c>
      <c r="BQ1001" t="s">
        <v>983</v>
      </c>
      <c r="BR1001" t="s">
        <v>978</v>
      </c>
      <c r="BS1001" t="s">
        <v>979</v>
      </c>
      <c r="BT1001">
        <v>0</v>
      </c>
      <c r="BU1001">
        <v>0</v>
      </c>
      <c r="BV1001" t="s">
        <v>984</v>
      </c>
      <c r="BW1001" t="s">
        <v>257</v>
      </c>
      <c r="BX1001">
        <v>0</v>
      </c>
      <c r="BY1001" t="s">
        <v>980</v>
      </c>
      <c r="BZ1001" t="s">
        <v>257</v>
      </c>
      <c r="CA1001">
        <v>0</v>
      </c>
      <c r="CB1001">
        <v>0</v>
      </c>
      <c r="CC1001" t="s">
        <v>2322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 t="s">
        <v>983</v>
      </c>
      <c r="CJ1001" t="s">
        <v>972</v>
      </c>
      <c r="CK1001" t="s">
        <v>986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 t="s">
        <v>987</v>
      </c>
      <c r="CV1001">
        <v>400010624</v>
      </c>
      <c r="CW1001" t="s">
        <v>987</v>
      </c>
      <c r="CX1001" t="s">
        <v>6636</v>
      </c>
      <c r="CY1001" t="s">
        <v>989</v>
      </c>
    </row>
    <row r="1002" spans="1:103" hidden="1" x14ac:dyDescent="0.25">
      <c r="A1002">
        <v>410001008</v>
      </c>
      <c r="B1002" t="s">
        <v>6637</v>
      </c>
      <c r="C1002" t="s">
        <v>6638</v>
      </c>
      <c r="D1002">
        <v>401100000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1</v>
      </c>
      <c r="X1002">
        <v>1</v>
      </c>
      <c r="Y1002" t="s">
        <v>972</v>
      </c>
      <c r="Z1002" t="s">
        <v>987</v>
      </c>
      <c r="AA1002" t="s">
        <v>6639</v>
      </c>
      <c r="AB1002" t="s">
        <v>975</v>
      </c>
      <c r="AC1002">
        <v>5590</v>
      </c>
      <c r="AD1002" t="s">
        <v>6640</v>
      </c>
      <c r="AE1002" t="s">
        <v>979</v>
      </c>
      <c r="AF1002" t="s">
        <v>979</v>
      </c>
      <c r="AG1002" t="s">
        <v>6641</v>
      </c>
      <c r="AH1002" t="s">
        <v>977</v>
      </c>
      <c r="AI1002" t="s">
        <v>977</v>
      </c>
      <c r="AJ1002" t="s">
        <v>7321</v>
      </c>
      <c r="AK1002" t="s">
        <v>978</v>
      </c>
      <c r="AL1002" t="s">
        <v>978</v>
      </c>
      <c r="AM1002" t="s">
        <v>979</v>
      </c>
      <c r="AN1002">
        <v>0</v>
      </c>
      <c r="AO1002" t="s">
        <v>257</v>
      </c>
      <c r="AP1002">
        <v>0</v>
      </c>
      <c r="AQ1002">
        <v>1</v>
      </c>
      <c r="AR1002">
        <v>69</v>
      </c>
      <c r="AS1002">
        <v>1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1</v>
      </c>
      <c r="AZ1002" t="s">
        <v>257</v>
      </c>
      <c r="BA1002" t="s">
        <v>980</v>
      </c>
      <c r="BB1002" t="s">
        <v>981</v>
      </c>
      <c r="BC1002" t="s">
        <v>257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 t="s">
        <v>998</v>
      </c>
      <c r="BK1002" t="s">
        <v>981</v>
      </c>
      <c r="BL1002" t="s">
        <v>6637</v>
      </c>
      <c r="BM1002">
        <v>20240912</v>
      </c>
      <c r="BN1002">
        <v>20250911</v>
      </c>
      <c r="BO1002">
        <v>0</v>
      </c>
      <c r="BP1002" t="s">
        <v>257</v>
      </c>
      <c r="BQ1002" t="s">
        <v>983</v>
      </c>
      <c r="BR1002" t="s">
        <v>978</v>
      </c>
      <c r="BS1002">
        <v>32485681704</v>
      </c>
      <c r="BT1002">
        <v>0</v>
      </c>
      <c r="BU1002">
        <v>0</v>
      </c>
      <c r="BV1002" t="s">
        <v>984</v>
      </c>
      <c r="BW1002" t="s">
        <v>257</v>
      </c>
      <c r="BX1002">
        <v>0</v>
      </c>
      <c r="BY1002" t="s">
        <v>980</v>
      </c>
      <c r="BZ1002" t="s">
        <v>257</v>
      </c>
      <c r="CA1002">
        <v>0</v>
      </c>
      <c r="CB1002">
        <v>0</v>
      </c>
      <c r="CC1002" t="s">
        <v>1901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 t="s">
        <v>983</v>
      </c>
      <c r="CJ1002" t="s">
        <v>972</v>
      </c>
      <c r="CK1002" t="s">
        <v>986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 t="s">
        <v>987</v>
      </c>
      <c r="CV1002">
        <v>400010639</v>
      </c>
      <c r="CW1002" t="s">
        <v>987</v>
      </c>
      <c r="CX1002" t="s">
        <v>6642</v>
      </c>
      <c r="CY1002" t="s">
        <v>989</v>
      </c>
    </row>
    <row r="1003" spans="1:103" hidden="1" x14ac:dyDescent="0.25">
      <c r="A1003">
        <v>410001009</v>
      </c>
      <c r="B1003" t="s">
        <v>6643</v>
      </c>
      <c r="C1003" t="s">
        <v>6644</v>
      </c>
      <c r="D1003">
        <v>401100000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</v>
      </c>
      <c r="W1003">
        <v>1</v>
      </c>
      <c r="X1003">
        <v>1</v>
      </c>
      <c r="Y1003" t="s">
        <v>972</v>
      </c>
      <c r="Z1003" t="s">
        <v>987</v>
      </c>
      <c r="AA1003" t="s">
        <v>6645</v>
      </c>
      <c r="AB1003" t="s">
        <v>1626</v>
      </c>
      <c r="AC1003">
        <v>8805</v>
      </c>
      <c r="AD1003" t="s">
        <v>6646</v>
      </c>
      <c r="AE1003" t="s">
        <v>979</v>
      </c>
      <c r="AF1003" t="s">
        <v>979</v>
      </c>
      <c r="AG1003" t="s">
        <v>6647</v>
      </c>
      <c r="AH1003" t="s">
        <v>977</v>
      </c>
      <c r="AI1003" t="s">
        <v>977</v>
      </c>
      <c r="AJ1003" t="s">
        <v>5514</v>
      </c>
      <c r="AK1003" t="s">
        <v>978</v>
      </c>
      <c r="AL1003" t="s">
        <v>978</v>
      </c>
      <c r="AM1003" t="s">
        <v>979</v>
      </c>
      <c r="AN1003">
        <v>0</v>
      </c>
      <c r="AO1003" t="s">
        <v>257</v>
      </c>
      <c r="AP1003">
        <v>0</v>
      </c>
      <c r="AQ1003">
        <v>1</v>
      </c>
      <c r="AR1003">
        <v>43</v>
      </c>
      <c r="AS1003">
        <v>1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1</v>
      </c>
      <c r="AZ1003" t="s">
        <v>257</v>
      </c>
      <c r="BA1003" t="s">
        <v>980</v>
      </c>
      <c r="BB1003" t="s">
        <v>981</v>
      </c>
      <c r="BC1003" t="s">
        <v>257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 t="s">
        <v>998</v>
      </c>
      <c r="BK1003" t="s">
        <v>981</v>
      </c>
      <c r="BL1003" t="s">
        <v>6643</v>
      </c>
      <c r="BM1003">
        <v>20240913</v>
      </c>
      <c r="BN1003">
        <v>20240913</v>
      </c>
      <c r="BO1003">
        <v>0</v>
      </c>
      <c r="BP1003" t="s">
        <v>257</v>
      </c>
      <c r="BQ1003" t="s">
        <v>983</v>
      </c>
      <c r="BR1003" t="s">
        <v>978</v>
      </c>
      <c r="BS1003">
        <v>32495826124</v>
      </c>
      <c r="BT1003">
        <v>0</v>
      </c>
      <c r="BU1003">
        <v>0</v>
      </c>
      <c r="BV1003" t="s">
        <v>984</v>
      </c>
      <c r="BW1003" t="s">
        <v>257</v>
      </c>
      <c r="BX1003">
        <v>0</v>
      </c>
      <c r="BY1003" t="s">
        <v>980</v>
      </c>
      <c r="BZ1003" t="s">
        <v>257</v>
      </c>
      <c r="CA1003">
        <v>0</v>
      </c>
      <c r="CB1003">
        <v>0</v>
      </c>
      <c r="CC1003" t="s">
        <v>1901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 t="s">
        <v>983</v>
      </c>
      <c r="CJ1003" t="s">
        <v>972</v>
      </c>
      <c r="CK1003" t="s">
        <v>986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 t="s">
        <v>987</v>
      </c>
      <c r="CV1003">
        <v>400010643</v>
      </c>
      <c r="CW1003" t="s">
        <v>987</v>
      </c>
      <c r="CX1003" t="s">
        <v>6648</v>
      </c>
      <c r="CY1003" t="s">
        <v>989</v>
      </c>
    </row>
    <row r="1004" spans="1:103" hidden="1" x14ac:dyDescent="0.25">
      <c r="A1004">
        <v>410001010</v>
      </c>
      <c r="B1004" t="s">
        <v>6649</v>
      </c>
      <c r="C1004" t="s">
        <v>6650</v>
      </c>
      <c r="D1004">
        <v>401100000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1</v>
      </c>
      <c r="Y1004" t="s">
        <v>972</v>
      </c>
      <c r="Z1004" t="s">
        <v>6651</v>
      </c>
      <c r="AA1004" t="s">
        <v>6652</v>
      </c>
      <c r="AB1004" t="s">
        <v>975</v>
      </c>
      <c r="AC1004">
        <v>6800</v>
      </c>
      <c r="AD1004" t="s">
        <v>2412</v>
      </c>
      <c r="AE1004" t="s">
        <v>6653</v>
      </c>
      <c r="AF1004" t="s">
        <v>979</v>
      </c>
      <c r="AG1004" t="s">
        <v>977</v>
      </c>
      <c r="AH1004" t="s">
        <v>977</v>
      </c>
      <c r="AI1004" t="s">
        <v>977</v>
      </c>
      <c r="AJ1004" t="s">
        <v>6654</v>
      </c>
      <c r="AK1004" t="s">
        <v>978</v>
      </c>
      <c r="AL1004" t="s">
        <v>978</v>
      </c>
      <c r="AM1004" t="s">
        <v>979</v>
      </c>
      <c r="AN1004">
        <v>0</v>
      </c>
      <c r="AO1004" t="s">
        <v>257</v>
      </c>
      <c r="AP1004">
        <v>0</v>
      </c>
      <c r="AQ1004">
        <v>1</v>
      </c>
      <c r="AR1004">
        <v>69</v>
      </c>
      <c r="AS1004">
        <v>1</v>
      </c>
      <c r="AT1004">
        <v>0</v>
      </c>
      <c r="AU1004">
        <v>1</v>
      </c>
      <c r="AV1004">
        <v>0</v>
      </c>
      <c r="AW1004">
        <v>0</v>
      </c>
      <c r="AX1004">
        <v>0</v>
      </c>
      <c r="AY1004">
        <v>1</v>
      </c>
      <c r="AZ1004" t="s">
        <v>257</v>
      </c>
      <c r="BA1004" t="s">
        <v>980</v>
      </c>
      <c r="BB1004" t="s">
        <v>981</v>
      </c>
      <c r="BC1004" t="s">
        <v>257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 t="s">
        <v>998</v>
      </c>
      <c r="BK1004" t="s">
        <v>981</v>
      </c>
      <c r="BL1004" t="s">
        <v>6649</v>
      </c>
      <c r="BM1004">
        <v>20240913</v>
      </c>
      <c r="BN1004">
        <v>20240924</v>
      </c>
      <c r="BO1004">
        <v>0</v>
      </c>
      <c r="BP1004" t="s">
        <v>257</v>
      </c>
      <c r="BQ1004" t="s">
        <v>983</v>
      </c>
      <c r="BR1004" t="s">
        <v>978</v>
      </c>
      <c r="BS1004" t="s">
        <v>979</v>
      </c>
      <c r="BT1004">
        <v>0</v>
      </c>
      <c r="BU1004">
        <v>0</v>
      </c>
      <c r="BV1004" t="s">
        <v>984</v>
      </c>
      <c r="BW1004" t="s">
        <v>257</v>
      </c>
      <c r="BX1004">
        <v>0</v>
      </c>
      <c r="BY1004" t="s">
        <v>980</v>
      </c>
      <c r="BZ1004" t="s">
        <v>257</v>
      </c>
      <c r="CA1004">
        <v>0</v>
      </c>
      <c r="CB1004">
        <v>0</v>
      </c>
      <c r="CC1004" t="s">
        <v>1901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 t="s">
        <v>983</v>
      </c>
      <c r="CJ1004" t="s">
        <v>972</v>
      </c>
      <c r="CK1004" t="s">
        <v>986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 t="s">
        <v>987</v>
      </c>
      <c r="CV1004">
        <v>400010645</v>
      </c>
      <c r="CW1004" t="s">
        <v>987</v>
      </c>
      <c r="CX1004" t="s">
        <v>6655</v>
      </c>
      <c r="CY1004" t="s">
        <v>989</v>
      </c>
    </row>
    <row r="1005" spans="1:103" hidden="1" x14ac:dyDescent="0.25">
      <c r="A1005">
        <v>410001011</v>
      </c>
      <c r="B1005" t="s">
        <v>6656</v>
      </c>
      <c r="C1005" t="s">
        <v>978</v>
      </c>
      <c r="D1005">
        <v>401100000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4</v>
      </c>
      <c r="W1005">
        <v>1</v>
      </c>
      <c r="X1005">
        <v>1</v>
      </c>
      <c r="Y1005" t="s">
        <v>6657</v>
      </c>
      <c r="Z1005" t="s">
        <v>987</v>
      </c>
      <c r="AA1005" t="s">
        <v>6658</v>
      </c>
      <c r="AB1005" t="s">
        <v>975</v>
      </c>
      <c r="AC1005">
        <v>4830</v>
      </c>
      <c r="AD1005" t="s">
        <v>6659</v>
      </c>
      <c r="AE1005" t="s">
        <v>979</v>
      </c>
      <c r="AF1005" t="s">
        <v>979</v>
      </c>
      <c r="AG1005" t="s">
        <v>977</v>
      </c>
      <c r="AH1005" t="s">
        <v>977</v>
      </c>
      <c r="AI1005" t="s">
        <v>977</v>
      </c>
      <c r="AJ1005" t="s">
        <v>978</v>
      </c>
      <c r="AK1005" t="s">
        <v>978</v>
      </c>
      <c r="AL1005" t="s">
        <v>978</v>
      </c>
      <c r="AM1005" t="s">
        <v>979</v>
      </c>
      <c r="AN1005">
        <v>0</v>
      </c>
      <c r="AO1005" t="s">
        <v>257</v>
      </c>
      <c r="AP1005">
        <v>0</v>
      </c>
      <c r="AQ1005">
        <v>1</v>
      </c>
      <c r="AR1005">
        <v>0</v>
      </c>
      <c r="AS1005">
        <v>1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1</v>
      </c>
      <c r="AZ1005" t="s">
        <v>257</v>
      </c>
      <c r="BA1005" t="s">
        <v>257</v>
      </c>
      <c r="BB1005" t="s">
        <v>981</v>
      </c>
      <c r="BC1005" t="s">
        <v>257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 t="s">
        <v>998</v>
      </c>
      <c r="BK1005" t="s">
        <v>981</v>
      </c>
      <c r="BL1005" t="s">
        <v>6656</v>
      </c>
      <c r="BM1005">
        <v>20240916</v>
      </c>
      <c r="BN1005">
        <v>20250402</v>
      </c>
      <c r="BO1005">
        <v>0</v>
      </c>
      <c r="BP1005" t="s">
        <v>257</v>
      </c>
      <c r="BQ1005" t="s">
        <v>983</v>
      </c>
      <c r="BR1005" t="s">
        <v>978</v>
      </c>
      <c r="BS1005" t="s">
        <v>979</v>
      </c>
      <c r="BT1005">
        <v>0</v>
      </c>
      <c r="BU1005">
        <v>0</v>
      </c>
      <c r="BV1005" t="s">
        <v>2341</v>
      </c>
      <c r="BW1005" t="s">
        <v>257</v>
      </c>
      <c r="BX1005">
        <v>0</v>
      </c>
      <c r="BY1005" t="s">
        <v>980</v>
      </c>
      <c r="BZ1005" t="s">
        <v>257</v>
      </c>
      <c r="CA1005">
        <v>0</v>
      </c>
      <c r="CB1005">
        <v>0</v>
      </c>
      <c r="CC1005" t="s">
        <v>985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 t="s">
        <v>983</v>
      </c>
      <c r="CJ1005" t="s">
        <v>972</v>
      </c>
      <c r="CK1005" t="s">
        <v>986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 t="s">
        <v>987</v>
      </c>
      <c r="CV1005">
        <v>400011011</v>
      </c>
      <c r="CW1005" t="s">
        <v>987</v>
      </c>
      <c r="CX1005" t="s">
        <v>1081</v>
      </c>
      <c r="CY1005" t="s">
        <v>989</v>
      </c>
    </row>
    <row r="1006" spans="1:103" hidden="1" x14ac:dyDescent="0.25">
      <c r="A1006">
        <v>410001012</v>
      </c>
      <c r="B1006" t="s">
        <v>6660</v>
      </c>
      <c r="C1006" t="s">
        <v>978</v>
      </c>
      <c r="D1006">
        <v>401100000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4</v>
      </c>
      <c r="W1006">
        <v>1</v>
      </c>
      <c r="X1006">
        <v>1</v>
      </c>
      <c r="Y1006" t="s">
        <v>972</v>
      </c>
      <c r="Z1006" t="s">
        <v>987</v>
      </c>
      <c r="AA1006" t="s">
        <v>6661</v>
      </c>
      <c r="AB1006" t="s">
        <v>975</v>
      </c>
      <c r="AC1006">
        <v>4400</v>
      </c>
      <c r="AD1006" t="s">
        <v>6662</v>
      </c>
      <c r="AE1006">
        <v>32495101707</v>
      </c>
      <c r="AF1006" t="s">
        <v>979</v>
      </c>
      <c r="AG1006" t="s">
        <v>977</v>
      </c>
      <c r="AH1006" t="s">
        <v>977</v>
      </c>
      <c r="AI1006" t="s">
        <v>977</v>
      </c>
      <c r="AJ1006" t="s">
        <v>978</v>
      </c>
      <c r="AK1006" t="s">
        <v>978</v>
      </c>
      <c r="AL1006" t="s">
        <v>978</v>
      </c>
      <c r="AM1006" t="s">
        <v>979</v>
      </c>
      <c r="AN1006">
        <v>0</v>
      </c>
      <c r="AO1006" t="s">
        <v>257</v>
      </c>
      <c r="AP1006">
        <v>0</v>
      </c>
      <c r="AQ1006">
        <v>1</v>
      </c>
      <c r="AR1006">
        <v>43</v>
      </c>
      <c r="AS1006">
        <v>1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1</v>
      </c>
      <c r="AZ1006" t="s">
        <v>257</v>
      </c>
      <c r="BA1006" t="s">
        <v>980</v>
      </c>
      <c r="BB1006" t="s">
        <v>981</v>
      </c>
      <c r="BC1006" t="s">
        <v>257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 t="s">
        <v>998</v>
      </c>
      <c r="BK1006" t="s">
        <v>981</v>
      </c>
      <c r="BL1006" t="s">
        <v>6660</v>
      </c>
      <c r="BM1006">
        <v>20240917</v>
      </c>
      <c r="BN1006">
        <v>20240919</v>
      </c>
      <c r="BO1006">
        <v>0</v>
      </c>
      <c r="BP1006" t="s">
        <v>257</v>
      </c>
      <c r="BQ1006" t="s">
        <v>983</v>
      </c>
      <c r="BR1006" t="s">
        <v>978</v>
      </c>
      <c r="BS1006" t="s">
        <v>979</v>
      </c>
      <c r="BT1006">
        <v>0</v>
      </c>
      <c r="BU1006">
        <v>0</v>
      </c>
      <c r="BV1006" t="s">
        <v>984</v>
      </c>
      <c r="BW1006" t="s">
        <v>257</v>
      </c>
      <c r="BX1006">
        <v>0</v>
      </c>
      <c r="BY1006" t="s">
        <v>980</v>
      </c>
      <c r="BZ1006" t="s">
        <v>257</v>
      </c>
      <c r="CA1006">
        <v>0</v>
      </c>
      <c r="CB1006">
        <v>0</v>
      </c>
      <c r="CC1006" t="s">
        <v>1491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 t="s">
        <v>983</v>
      </c>
      <c r="CJ1006" t="s">
        <v>972</v>
      </c>
      <c r="CK1006" t="s">
        <v>986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 t="s">
        <v>987</v>
      </c>
      <c r="CV1006">
        <v>400010647</v>
      </c>
      <c r="CW1006" t="s">
        <v>987</v>
      </c>
      <c r="CX1006" t="s">
        <v>4726</v>
      </c>
      <c r="CY1006" t="s">
        <v>989</v>
      </c>
    </row>
    <row r="1007" spans="1:103" hidden="1" x14ac:dyDescent="0.25">
      <c r="A1007">
        <v>410001013</v>
      </c>
      <c r="B1007" t="s">
        <v>6663</v>
      </c>
      <c r="C1007" t="s">
        <v>6664</v>
      </c>
      <c r="D1007">
        <v>401100000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1</v>
      </c>
      <c r="X1007">
        <v>1</v>
      </c>
      <c r="Y1007" t="s">
        <v>972</v>
      </c>
      <c r="Z1007" t="s">
        <v>987</v>
      </c>
      <c r="AA1007" t="s">
        <v>6665</v>
      </c>
      <c r="AB1007" t="s">
        <v>975</v>
      </c>
      <c r="AC1007">
        <v>5170</v>
      </c>
      <c r="AD1007" t="s">
        <v>6666</v>
      </c>
      <c r="AE1007">
        <v>32473127277</v>
      </c>
      <c r="AF1007" t="s">
        <v>979</v>
      </c>
      <c r="AG1007" t="s">
        <v>977</v>
      </c>
      <c r="AH1007">
        <v>711880030</v>
      </c>
      <c r="AI1007">
        <v>70220</v>
      </c>
      <c r="AJ1007" t="s">
        <v>7322</v>
      </c>
      <c r="AK1007" t="s">
        <v>978</v>
      </c>
      <c r="AL1007" t="s">
        <v>978</v>
      </c>
      <c r="AM1007" t="s">
        <v>979</v>
      </c>
      <c r="AN1007">
        <v>0</v>
      </c>
      <c r="AO1007" t="s">
        <v>257</v>
      </c>
      <c r="AP1007">
        <v>0</v>
      </c>
      <c r="AQ1007">
        <v>1</v>
      </c>
      <c r="AR1007">
        <v>69</v>
      </c>
      <c r="AS1007">
        <v>1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1</v>
      </c>
      <c r="AZ1007" t="s">
        <v>257</v>
      </c>
      <c r="BA1007" t="s">
        <v>980</v>
      </c>
      <c r="BB1007" t="s">
        <v>981</v>
      </c>
      <c r="BC1007" t="s">
        <v>257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 t="s">
        <v>998</v>
      </c>
      <c r="BK1007" t="s">
        <v>981</v>
      </c>
      <c r="BL1007" t="s">
        <v>6663</v>
      </c>
      <c r="BM1007">
        <v>20240923</v>
      </c>
      <c r="BN1007">
        <v>20250911</v>
      </c>
      <c r="BO1007">
        <v>0</v>
      </c>
      <c r="BP1007" t="s">
        <v>257</v>
      </c>
      <c r="BQ1007" t="s">
        <v>983</v>
      </c>
      <c r="BR1007" t="s">
        <v>978</v>
      </c>
      <c r="BS1007" t="s">
        <v>979</v>
      </c>
      <c r="BT1007">
        <v>0</v>
      </c>
      <c r="BU1007">
        <v>0</v>
      </c>
      <c r="BV1007" t="s">
        <v>984</v>
      </c>
      <c r="BW1007" t="s">
        <v>257</v>
      </c>
      <c r="BX1007">
        <v>0</v>
      </c>
      <c r="BY1007" t="s">
        <v>980</v>
      </c>
      <c r="BZ1007" t="s">
        <v>257</v>
      </c>
      <c r="CA1007">
        <v>0</v>
      </c>
      <c r="CB1007">
        <v>0</v>
      </c>
      <c r="CC1007" t="s">
        <v>1901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 t="s">
        <v>983</v>
      </c>
      <c r="CJ1007" t="s">
        <v>972</v>
      </c>
      <c r="CK1007" t="s">
        <v>986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 t="s">
        <v>987</v>
      </c>
      <c r="CV1007">
        <v>400010659</v>
      </c>
      <c r="CW1007" t="s">
        <v>987</v>
      </c>
      <c r="CX1007" t="s">
        <v>6667</v>
      </c>
      <c r="CY1007" t="s">
        <v>989</v>
      </c>
    </row>
    <row r="1008" spans="1:103" hidden="1" x14ac:dyDescent="0.25">
      <c r="A1008">
        <v>410001014</v>
      </c>
      <c r="B1008" t="s">
        <v>6668</v>
      </c>
      <c r="C1008" t="s">
        <v>6669</v>
      </c>
      <c r="D1008">
        <v>401100000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1</v>
      </c>
      <c r="X1008">
        <v>1</v>
      </c>
      <c r="Y1008" t="s">
        <v>972</v>
      </c>
      <c r="Z1008" t="s">
        <v>987</v>
      </c>
      <c r="AA1008" t="s">
        <v>6670</v>
      </c>
      <c r="AB1008" t="s">
        <v>975</v>
      </c>
      <c r="AC1008">
        <v>1785</v>
      </c>
      <c r="AD1008" t="s">
        <v>6671</v>
      </c>
      <c r="AE1008">
        <v>32486153052</v>
      </c>
      <c r="AF1008" t="s">
        <v>979</v>
      </c>
      <c r="AG1008" t="s">
        <v>977</v>
      </c>
      <c r="AH1008">
        <v>720164226</v>
      </c>
      <c r="AI1008">
        <v>1130</v>
      </c>
      <c r="AJ1008" t="s">
        <v>6654</v>
      </c>
      <c r="AK1008" t="s">
        <v>978</v>
      </c>
      <c r="AL1008" t="s">
        <v>978</v>
      </c>
      <c r="AM1008" t="s">
        <v>979</v>
      </c>
      <c r="AN1008">
        <v>0</v>
      </c>
      <c r="AO1008" t="s">
        <v>257</v>
      </c>
      <c r="AP1008">
        <v>0</v>
      </c>
      <c r="AQ1008">
        <v>1</v>
      </c>
      <c r="AR1008">
        <v>43</v>
      </c>
      <c r="AS1008">
        <v>1</v>
      </c>
      <c r="AT1008">
        <v>0</v>
      </c>
      <c r="AU1008">
        <v>1</v>
      </c>
      <c r="AV1008">
        <v>0</v>
      </c>
      <c r="AW1008">
        <v>0</v>
      </c>
      <c r="AX1008">
        <v>0</v>
      </c>
      <c r="AY1008">
        <v>1</v>
      </c>
      <c r="AZ1008" t="s">
        <v>257</v>
      </c>
      <c r="BA1008" t="s">
        <v>257</v>
      </c>
      <c r="BB1008" t="s">
        <v>981</v>
      </c>
      <c r="BC1008" t="s">
        <v>257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 t="s">
        <v>998</v>
      </c>
      <c r="BK1008" t="s">
        <v>981</v>
      </c>
      <c r="BL1008" t="s">
        <v>6668</v>
      </c>
      <c r="BM1008">
        <v>20240926</v>
      </c>
      <c r="BN1008">
        <v>20241009</v>
      </c>
      <c r="BO1008">
        <v>0</v>
      </c>
      <c r="BP1008" t="s">
        <v>257</v>
      </c>
      <c r="BQ1008" t="s">
        <v>983</v>
      </c>
      <c r="BR1008" t="s">
        <v>978</v>
      </c>
      <c r="BS1008" t="s">
        <v>979</v>
      </c>
      <c r="BT1008">
        <v>0</v>
      </c>
      <c r="BU1008">
        <v>0</v>
      </c>
      <c r="BV1008" t="s">
        <v>984</v>
      </c>
      <c r="BW1008" t="s">
        <v>257</v>
      </c>
      <c r="BX1008">
        <v>0</v>
      </c>
      <c r="BY1008" t="s">
        <v>980</v>
      </c>
      <c r="BZ1008" t="s">
        <v>257</v>
      </c>
      <c r="CA1008">
        <v>0</v>
      </c>
      <c r="CB1008">
        <v>0</v>
      </c>
      <c r="CC1008" t="s">
        <v>1901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 t="s">
        <v>983</v>
      </c>
      <c r="CJ1008" t="s">
        <v>972</v>
      </c>
      <c r="CK1008" t="s">
        <v>986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 t="s">
        <v>987</v>
      </c>
      <c r="CV1008">
        <v>400010667</v>
      </c>
      <c r="CW1008" t="s">
        <v>987</v>
      </c>
      <c r="CX1008" t="s">
        <v>6672</v>
      </c>
      <c r="CY1008" t="s">
        <v>989</v>
      </c>
    </row>
    <row r="1009" spans="1:103" hidden="1" x14ac:dyDescent="0.25">
      <c r="A1009">
        <v>410001015</v>
      </c>
      <c r="B1009" t="s">
        <v>6673</v>
      </c>
      <c r="C1009" t="s">
        <v>6674</v>
      </c>
      <c r="D1009">
        <v>401100000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1</v>
      </c>
      <c r="X1009">
        <v>1</v>
      </c>
      <c r="Y1009" t="s">
        <v>972</v>
      </c>
      <c r="Z1009" t="s">
        <v>987</v>
      </c>
      <c r="AA1009" t="s">
        <v>6675</v>
      </c>
      <c r="AB1009" t="s">
        <v>975</v>
      </c>
      <c r="AC1009">
        <v>4032</v>
      </c>
      <c r="AD1009" t="s">
        <v>1019</v>
      </c>
      <c r="AE1009">
        <v>32478905420</v>
      </c>
      <c r="AF1009" t="s">
        <v>979</v>
      </c>
      <c r="AG1009" t="s">
        <v>977</v>
      </c>
      <c r="AH1009">
        <v>789588512</v>
      </c>
      <c r="AI1009" t="s">
        <v>977</v>
      </c>
      <c r="AJ1009" t="s">
        <v>978</v>
      </c>
      <c r="AK1009" t="s">
        <v>978</v>
      </c>
      <c r="AL1009" t="s">
        <v>978</v>
      </c>
      <c r="AM1009" t="s">
        <v>979</v>
      </c>
      <c r="AN1009">
        <v>0</v>
      </c>
      <c r="AO1009" t="s">
        <v>257</v>
      </c>
      <c r="AP1009">
        <v>0</v>
      </c>
      <c r="AQ1009">
        <v>1</v>
      </c>
      <c r="AR1009">
        <v>69</v>
      </c>
      <c r="AS1009">
        <v>1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1</v>
      </c>
      <c r="AZ1009" t="s">
        <v>257</v>
      </c>
      <c r="BA1009" t="s">
        <v>257</v>
      </c>
      <c r="BB1009" t="s">
        <v>981</v>
      </c>
      <c r="BC1009" t="s">
        <v>257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 t="s">
        <v>998</v>
      </c>
      <c r="BK1009" t="s">
        <v>981</v>
      </c>
      <c r="BL1009" t="s">
        <v>6673</v>
      </c>
      <c r="BM1009">
        <v>20240926</v>
      </c>
      <c r="BN1009">
        <v>20240926</v>
      </c>
      <c r="BO1009">
        <v>0</v>
      </c>
      <c r="BP1009" t="s">
        <v>257</v>
      </c>
      <c r="BQ1009" t="s">
        <v>983</v>
      </c>
      <c r="BR1009" t="s">
        <v>978</v>
      </c>
      <c r="BS1009" t="s">
        <v>979</v>
      </c>
      <c r="BT1009">
        <v>0</v>
      </c>
      <c r="BU1009">
        <v>0</v>
      </c>
      <c r="BV1009" t="s">
        <v>984</v>
      </c>
      <c r="BW1009" t="s">
        <v>257</v>
      </c>
      <c r="BX1009">
        <v>0</v>
      </c>
      <c r="BY1009" t="s">
        <v>980</v>
      </c>
      <c r="BZ1009" t="s">
        <v>257</v>
      </c>
      <c r="CA1009">
        <v>0</v>
      </c>
      <c r="CB1009">
        <v>0</v>
      </c>
      <c r="CC1009" t="s">
        <v>1152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 t="s">
        <v>983</v>
      </c>
      <c r="CJ1009" t="s">
        <v>972</v>
      </c>
      <c r="CK1009" t="s">
        <v>986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 t="s">
        <v>987</v>
      </c>
      <c r="CV1009">
        <v>400010669</v>
      </c>
      <c r="CW1009" t="s">
        <v>987</v>
      </c>
      <c r="CX1009" t="s">
        <v>6676</v>
      </c>
      <c r="CY1009" t="s">
        <v>989</v>
      </c>
    </row>
    <row r="1010" spans="1:103" hidden="1" x14ac:dyDescent="0.25">
      <c r="A1010">
        <v>410001016</v>
      </c>
      <c r="B1010" t="s">
        <v>6677</v>
      </c>
      <c r="C1010" t="s">
        <v>6678</v>
      </c>
      <c r="D1010">
        <v>401100000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1</v>
      </c>
      <c r="X1010">
        <v>1</v>
      </c>
      <c r="Y1010" t="s">
        <v>972</v>
      </c>
      <c r="Z1010" t="s">
        <v>6679</v>
      </c>
      <c r="AA1010" t="s">
        <v>6680</v>
      </c>
      <c r="AB1010" t="s">
        <v>975</v>
      </c>
      <c r="AC1010">
        <v>4651</v>
      </c>
      <c r="AD1010" t="s">
        <v>1204</v>
      </c>
      <c r="AE1010">
        <v>32497763730</v>
      </c>
      <c r="AF1010" t="s">
        <v>979</v>
      </c>
      <c r="AG1010" t="s">
        <v>977</v>
      </c>
      <c r="AH1010" t="s">
        <v>977</v>
      </c>
      <c r="AI1010" t="s">
        <v>977</v>
      </c>
      <c r="AJ1010" t="s">
        <v>978</v>
      </c>
      <c r="AK1010" t="s">
        <v>978</v>
      </c>
      <c r="AL1010" t="s">
        <v>978</v>
      </c>
      <c r="AM1010" t="s">
        <v>979</v>
      </c>
      <c r="AN1010">
        <v>0</v>
      </c>
      <c r="AO1010" t="s">
        <v>257</v>
      </c>
      <c r="AP1010">
        <v>0</v>
      </c>
      <c r="AQ1010">
        <v>1</v>
      </c>
      <c r="AR1010">
        <v>69</v>
      </c>
      <c r="AS1010">
        <v>1</v>
      </c>
      <c r="AT1010">
        <v>0</v>
      </c>
      <c r="AU1010">
        <v>1</v>
      </c>
      <c r="AV1010">
        <v>0</v>
      </c>
      <c r="AW1010">
        <v>0</v>
      </c>
      <c r="AX1010">
        <v>0</v>
      </c>
      <c r="AY1010">
        <v>1</v>
      </c>
      <c r="AZ1010" t="s">
        <v>257</v>
      </c>
      <c r="BA1010" t="s">
        <v>980</v>
      </c>
      <c r="BB1010" t="s">
        <v>981</v>
      </c>
      <c r="BC1010" t="s">
        <v>257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 t="s">
        <v>998</v>
      </c>
      <c r="BK1010" t="s">
        <v>981</v>
      </c>
      <c r="BL1010" t="s">
        <v>6681</v>
      </c>
      <c r="BM1010">
        <v>20240926</v>
      </c>
      <c r="BN1010">
        <v>20240926</v>
      </c>
      <c r="BO1010">
        <v>0</v>
      </c>
      <c r="BP1010" t="s">
        <v>257</v>
      </c>
      <c r="BQ1010" t="s">
        <v>983</v>
      </c>
      <c r="BR1010" t="s">
        <v>978</v>
      </c>
      <c r="BS1010" t="s">
        <v>979</v>
      </c>
      <c r="BT1010">
        <v>0</v>
      </c>
      <c r="BU1010">
        <v>0</v>
      </c>
      <c r="BV1010" t="s">
        <v>984</v>
      </c>
      <c r="BW1010" t="s">
        <v>257</v>
      </c>
      <c r="BX1010">
        <v>0</v>
      </c>
      <c r="BY1010" t="s">
        <v>980</v>
      </c>
      <c r="BZ1010" t="s">
        <v>257</v>
      </c>
      <c r="CA1010">
        <v>0</v>
      </c>
      <c r="CB1010">
        <v>0</v>
      </c>
      <c r="CC1010" t="s">
        <v>1499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 t="s">
        <v>983</v>
      </c>
      <c r="CJ1010" t="s">
        <v>972</v>
      </c>
      <c r="CK1010" t="s">
        <v>986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 t="s">
        <v>987</v>
      </c>
      <c r="CV1010">
        <v>400010670</v>
      </c>
      <c r="CW1010" t="s">
        <v>987</v>
      </c>
      <c r="CX1010" t="s">
        <v>6682</v>
      </c>
      <c r="CY1010" t="s">
        <v>989</v>
      </c>
    </row>
    <row r="1011" spans="1:103" hidden="1" x14ac:dyDescent="0.25">
      <c r="A1011">
        <v>410001017</v>
      </c>
      <c r="B1011" t="s">
        <v>6683</v>
      </c>
      <c r="C1011" t="s">
        <v>6684</v>
      </c>
      <c r="D1011">
        <v>401100000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3</v>
      </c>
      <c r="W1011">
        <v>1</v>
      </c>
      <c r="X1011">
        <v>1</v>
      </c>
      <c r="Y1011" t="s">
        <v>972</v>
      </c>
      <c r="Z1011" t="s">
        <v>987</v>
      </c>
      <c r="AA1011" t="s">
        <v>6685</v>
      </c>
      <c r="AB1011" t="s">
        <v>1626</v>
      </c>
      <c r="AC1011">
        <v>8010</v>
      </c>
      <c r="AD1011" t="s">
        <v>6686</v>
      </c>
      <c r="AE1011" t="s">
        <v>979</v>
      </c>
      <c r="AF1011" t="s">
        <v>979</v>
      </c>
      <c r="AG1011" t="s">
        <v>977</v>
      </c>
      <c r="AH1011" t="s">
        <v>977</v>
      </c>
      <c r="AI1011" t="s">
        <v>977</v>
      </c>
      <c r="AJ1011" t="s">
        <v>978</v>
      </c>
      <c r="AK1011" t="s">
        <v>978</v>
      </c>
      <c r="AL1011" t="s">
        <v>978</v>
      </c>
      <c r="AM1011" t="s">
        <v>979</v>
      </c>
      <c r="AN1011">
        <v>0</v>
      </c>
      <c r="AO1011" t="s">
        <v>257</v>
      </c>
      <c r="AP1011">
        <v>0</v>
      </c>
      <c r="AQ1011">
        <v>1</v>
      </c>
      <c r="AR1011">
        <v>43</v>
      </c>
      <c r="AS1011">
        <v>1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1</v>
      </c>
      <c r="AZ1011" t="s">
        <v>257</v>
      </c>
      <c r="BA1011" t="s">
        <v>257</v>
      </c>
      <c r="BB1011" t="s">
        <v>981</v>
      </c>
      <c r="BC1011" t="s">
        <v>257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 t="s">
        <v>6687</v>
      </c>
      <c r="BK1011" t="s">
        <v>981</v>
      </c>
      <c r="BL1011" t="s">
        <v>6683</v>
      </c>
      <c r="BM1011">
        <v>20240930</v>
      </c>
      <c r="BN1011">
        <v>20250402</v>
      </c>
      <c r="BO1011">
        <v>0</v>
      </c>
      <c r="BP1011" t="s">
        <v>257</v>
      </c>
      <c r="BQ1011" t="s">
        <v>983</v>
      </c>
      <c r="BR1011" t="s">
        <v>978</v>
      </c>
      <c r="BS1011" t="s">
        <v>979</v>
      </c>
      <c r="BT1011">
        <v>0</v>
      </c>
      <c r="BU1011">
        <v>0</v>
      </c>
      <c r="BV1011" t="s">
        <v>984</v>
      </c>
      <c r="BW1011" t="s">
        <v>257</v>
      </c>
      <c r="BX1011">
        <v>0</v>
      </c>
      <c r="BY1011" t="s">
        <v>980</v>
      </c>
      <c r="BZ1011" t="s">
        <v>257</v>
      </c>
      <c r="CA1011">
        <v>0</v>
      </c>
      <c r="CB1011">
        <v>0</v>
      </c>
      <c r="CC1011" t="s">
        <v>985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 t="s">
        <v>983</v>
      </c>
      <c r="CJ1011" t="s">
        <v>972</v>
      </c>
      <c r="CK1011" t="s">
        <v>986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 t="s">
        <v>987</v>
      </c>
      <c r="CV1011">
        <v>400010739</v>
      </c>
      <c r="CW1011" t="s">
        <v>987</v>
      </c>
      <c r="CX1011" t="s">
        <v>6688</v>
      </c>
      <c r="CY1011" t="s">
        <v>989</v>
      </c>
    </row>
    <row r="1012" spans="1:103" hidden="1" x14ac:dyDescent="0.25">
      <c r="A1012">
        <v>410001018</v>
      </c>
      <c r="B1012" t="s">
        <v>6689</v>
      </c>
      <c r="C1012" t="s">
        <v>6690</v>
      </c>
      <c r="D1012">
        <v>401100000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1</v>
      </c>
      <c r="X1012">
        <v>1</v>
      </c>
      <c r="Y1012" t="s">
        <v>972</v>
      </c>
      <c r="Z1012" t="s">
        <v>987</v>
      </c>
      <c r="AA1012" t="s">
        <v>6691</v>
      </c>
      <c r="AB1012" t="s">
        <v>975</v>
      </c>
      <c r="AC1012">
        <v>4557</v>
      </c>
      <c r="AD1012" t="s">
        <v>2731</v>
      </c>
      <c r="AE1012">
        <v>3285240885</v>
      </c>
      <c r="AF1012" t="s">
        <v>979</v>
      </c>
      <c r="AG1012" t="s">
        <v>977</v>
      </c>
      <c r="AH1012">
        <v>682938693</v>
      </c>
      <c r="AI1012">
        <v>38110</v>
      </c>
      <c r="AJ1012" t="s">
        <v>978</v>
      </c>
      <c r="AK1012" t="s">
        <v>978</v>
      </c>
      <c r="AL1012" t="s">
        <v>978</v>
      </c>
      <c r="AM1012" t="s">
        <v>979</v>
      </c>
      <c r="AN1012">
        <v>0</v>
      </c>
      <c r="AO1012" t="s">
        <v>257</v>
      </c>
      <c r="AP1012">
        <v>0</v>
      </c>
      <c r="AQ1012">
        <v>1</v>
      </c>
      <c r="AR1012">
        <v>69</v>
      </c>
      <c r="AS1012">
        <v>1</v>
      </c>
      <c r="AT1012">
        <v>0</v>
      </c>
      <c r="AU1012">
        <v>1</v>
      </c>
      <c r="AV1012">
        <v>0</v>
      </c>
      <c r="AW1012">
        <v>0</v>
      </c>
      <c r="AX1012">
        <v>0</v>
      </c>
      <c r="AY1012">
        <v>1</v>
      </c>
      <c r="AZ1012" t="s">
        <v>257</v>
      </c>
      <c r="BA1012" t="s">
        <v>980</v>
      </c>
      <c r="BB1012" t="s">
        <v>981</v>
      </c>
      <c r="BC1012" t="s">
        <v>257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 t="s">
        <v>998</v>
      </c>
      <c r="BK1012" t="s">
        <v>981</v>
      </c>
      <c r="BL1012" t="s">
        <v>6689</v>
      </c>
      <c r="BM1012">
        <v>20241014</v>
      </c>
      <c r="BN1012">
        <v>20241015</v>
      </c>
      <c r="BO1012">
        <v>0</v>
      </c>
      <c r="BP1012" t="s">
        <v>257</v>
      </c>
      <c r="BQ1012" t="s">
        <v>983</v>
      </c>
      <c r="BR1012" t="s">
        <v>978</v>
      </c>
      <c r="BS1012" t="s">
        <v>979</v>
      </c>
      <c r="BT1012">
        <v>0</v>
      </c>
      <c r="BU1012">
        <v>0</v>
      </c>
      <c r="BV1012" t="s">
        <v>984</v>
      </c>
      <c r="BW1012" t="s">
        <v>257</v>
      </c>
      <c r="BX1012">
        <v>0</v>
      </c>
      <c r="BY1012" t="s">
        <v>980</v>
      </c>
      <c r="BZ1012" t="s">
        <v>257</v>
      </c>
      <c r="CA1012">
        <v>0</v>
      </c>
      <c r="CB1012">
        <v>0</v>
      </c>
      <c r="CC1012" t="s">
        <v>2456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 t="s">
        <v>983</v>
      </c>
      <c r="CJ1012" t="s">
        <v>972</v>
      </c>
      <c r="CK1012" t="s">
        <v>986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 t="s">
        <v>987</v>
      </c>
      <c r="CV1012">
        <v>400010703</v>
      </c>
      <c r="CW1012" t="s">
        <v>987</v>
      </c>
      <c r="CX1012" t="s">
        <v>6692</v>
      </c>
      <c r="CY1012" t="s">
        <v>989</v>
      </c>
    </row>
    <row r="1013" spans="1:103" hidden="1" x14ac:dyDescent="0.25">
      <c r="A1013">
        <v>410001019</v>
      </c>
      <c r="B1013" t="s">
        <v>6693</v>
      </c>
      <c r="C1013" t="s">
        <v>6694</v>
      </c>
      <c r="D1013">
        <v>401100000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1</v>
      </c>
      <c r="X1013">
        <v>1</v>
      </c>
      <c r="Y1013" t="s">
        <v>972</v>
      </c>
      <c r="Z1013" t="s">
        <v>987</v>
      </c>
      <c r="AA1013" t="s">
        <v>6695</v>
      </c>
      <c r="AB1013" t="s">
        <v>975</v>
      </c>
      <c r="AC1013">
        <v>4032</v>
      </c>
      <c r="AD1013" t="s">
        <v>4038</v>
      </c>
      <c r="AE1013">
        <v>3243671510</v>
      </c>
      <c r="AF1013" t="s">
        <v>979</v>
      </c>
      <c r="AG1013" t="s">
        <v>977</v>
      </c>
      <c r="AH1013">
        <v>789588512</v>
      </c>
      <c r="AI1013" t="s">
        <v>977</v>
      </c>
      <c r="AJ1013" t="s">
        <v>978</v>
      </c>
      <c r="AK1013" t="s">
        <v>978</v>
      </c>
      <c r="AL1013" t="s">
        <v>978</v>
      </c>
      <c r="AM1013" t="s">
        <v>979</v>
      </c>
      <c r="AN1013">
        <v>0</v>
      </c>
      <c r="AO1013" t="s">
        <v>257</v>
      </c>
      <c r="AP1013">
        <v>0</v>
      </c>
      <c r="AQ1013">
        <v>1</v>
      </c>
      <c r="AR1013">
        <v>69</v>
      </c>
      <c r="AS1013">
        <v>1</v>
      </c>
      <c r="AT1013">
        <v>0</v>
      </c>
      <c r="AU1013">
        <v>1</v>
      </c>
      <c r="AV1013">
        <v>0</v>
      </c>
      <c r="AW1013">
        <v>0</v>
      </c>
      <c r="AX1013">
        <v>0</v>
      </c>
      <c r="AY1013">
        <v>1</v>
      </c>
      <c r="AZ1013" t="s">
        <v>257</v>
      </c>
      <c r="BA1013" t="s">
        <v>980</v>
      </c>
      <c r="BB1013" t="s">
        <v>981</v>
      </c>
      <c r="BC1013" t="s">
        <v>257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 t="s">
        <v>998</v>
      </c>
      <c r="BK1013" t="s">
        <v>981</v>
      </c>
      <c r="BL1013" t="s">
        <v>6693</v>
      </c>
      <c r="BM1013">
        <v>20241014</v>
      </c>
      <c r="BN1013">
        <v>20241015</v>
      </c>
      <c r="BO1013">
        <v>0</v>
      </c>
      <c r="BP1013" t="s">
        <v>257</v>
      </c>
      <c r="BQ1013" t="s">
        <v>983</v>
      </c>
      <c r="BR1013" t="s">
        <v>978</v>
      </c>
      <c r="BS1013" t="s">
        <v>979</v>
      </c>
      <c r="BT1013">
        <v>0</v>
      </c>
      <c r="BU1013">
        <v>0</v>
      </c>
      <c r="BV1013" t="s">
        <v>984</v>
      </c>
      <c r="BW1013" t="s">
        <v>257</v>
      </c>
      <c r="BX1013">
        <v>0</v>
      </c>
      <c r="BY1013" t="s">
        <v>980</v>
      </c>
      <c r="BZ1013" t="s">
        <v>257</v>
      </c>
      <c r="CA1013">
        <v>0</v>
      </c>
      <c r="CB1013">
        <v>0</v>
      </c>
      <c r="CC1013" t="s">
        <v>1499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 t="s">
        <v>983</v>
      </c>
      <c r="CJ1013" t="s">
        <v>972</v>
      </c>
      <c r="CK1013" t="s">
        <v>986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 t="s">
        <v>987</v>
      </c>
      <c r="CV1013">
        <v>400010704</v>
      </c>
      <c r="CW1013" t="s">
        <v>987</v>
      </c>
      <c r="CX1013" t="s">
        <v>6676</v>
      </c>
      <c r="CY1013" t="s">
        <v>989</v>
      </c>
    </row>
    <row r="1014" spans="1:103" hidden="1" x14ac:dyDescent="0.25">
      <c r="A1014">
        <v>410001020</v>
      </c>
      <c r="B1014" t="s">
        <v>6696</v>
      </c>
      <c r="C1014" t="s">
        <v>6697</v>
      </c>
      <c r="D1014">
        <v>401100000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1</v>
      </c>
      <c r="X1014">
        <v>1</v>
      </c>
      <c r="Y1014" t="s">
        <v>972</v>
      </c>
      <c r="Z1014" t="s">
        <v>987</v>
      </c>
      <c r="AA1014" t="s">
        <v>6698</v>
      </c>
      <c r="AB1014" t="s">
        <v>975</v>
      </c>
      <c r="AC1014">
        <v>1000</v>
      </c>
      <c r="AD1014" t="s">
        <v>1066</v>
      </c>
      <c r="AE1014" t="s">
        <v>979</v>
      </c>
      <c r="AF1014" t="s">
        <v>979</v>
      </c>
      <c r="AG1014" t="s">
        <v>977</v>
      </c>
      <c r="AH1014">
        <v>732518165</v>
      </c>
      <c r="AI1014">
        <v>69202</v>
      </c>
      <c r="AJ1014" t="s">
        <v>5844</v>
      </c>
      <c r="AK1014" t="s">
        <v>978</v>
      </c>
      <c r="AL1014" t="s">
        <v>978</v>
      </c>
      <c r="AM1014" t="s">
        <v>979</v>
      </c>
      <c r="AN1014">
        <v>0</v>
      </c>
      <c r="AO1014" t="s">
        <v>257</v>
      </c>
      <c r="AP1014">
        <v>0</v>
      </c>
      <c r="AQ1014">
        <v>1</v>
      </c>
      <c r="AR1014">
        <v>69</v>
      </c>
      <c r="AS1014">
        <v>1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1</v>
      </c>
      <c r="AZ1014" t="s">
        <v>257</v>
      </c>
      <c r="BA1014" t="s">
        <v>980</v>
      </c>
      <c r="BB1014" t="s">
        <v>981</v>
      </c>
      <c r="BC1014" t="s">
        <v>257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 t="s">
        <v>998</v>
      </c>
      <c r="BK1014" t="s">
        <v>981</v>
      </c>
      <c r="BL1014" t="s">
        <v>6696</v>
      </c>
      <c r="BM1014">
        <v>20241014</v>
      </c>
      <c r="BN1014">
        <v>20241015</v>
      </c>
      <c r="BO1014">
        <v>0</v>
      </c>
      <c r="BP1014" t="s">
        <v>257</v>
      </c>
      <c r="BQ1014" t="s">
        <v>983</v>
      </c>
      <c r="BR1014" t="s">
        <v>978</v>
      </c>
      <c r="BS1014">
        <v>32470110812</v>
      </c>
      <c r="BT1014">
        <v>0</v>
      </c>
      <c r="BU1014">
        <v>0</v>
      </c>
      <c r="BV1014" t="s">
        <v>984</v>
      </c>
      <c r="BW1014" t="s">
        <v>257</v>
      </c>
      <c r="BX1014">
        <v>0</v>
      </c>
      <c r="BY1014" t="s">
        <v>980</v>
      </c>
      <c r="BZ1014" t="s">
        <v>257</v>
      </c>
      <c r="CA1014">
        <v>0</v>
      </c>
      <c r="CB1014">
        <v>0</v>
      </c>
      <c r="CC1014" t="s">
        <v>1901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 t="s">
        <v>983</v>
      </c>
      <c r="CJ1014" t="s">
        <v>972</v>
      </c>
      <c r="CK1014" t="s">
        <v>986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 t="s">
        <v>987</v>
      </c>
      <c r="CV1014">
        <v>400010705</v>
      </c>
      <c r="CW1014" t="s">
        <v>987</v>
      </c>
      <c r="CX1014" t="s">
        <v>6699</v>
      </c>
      <c r="CY1014" t="s">
        <v>989</v>
      </c>
    </row>
    <row r="1015" spans="1:103" hidden="1" x14ac:dyDescent="0.25">
      <c r="A1015">
        <v>410001021</v>
      </c>
      <c r="B1015" t="s">
        <v>6700</v>
      </c>
      <c r="C1015" t="s">
        <v>6701</v>
      </c>
      <c r="D1015">
        <v>401100000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</v>
      </c>
      <c r="W1015">
        <v>1</v>
      </c>
      <c r="X1015">
        <v>1</v>
      </c>
      <c r="Y1015" t="s">
        <v>972</v>
      </c>
      <c r="Z1015" t="s">
        <v>987</v>
      </c>
      <c r="AA1015" t="s">
        <v>6702</v>
      </c>
      <c r="AB1015" t="s">
        <v>1626</v>
      </c>
      <c r="AC1015">
        <v>2226</v>
      </c>
      <c r="AD1015" t="s">
        <v>6388</v>
      </c>
      <c r="AE1015">
        <v>35226186967</v>
      </c>
      <c r="AF1015" t="s">
        <v>979</v>
      </c>
      <c r="AG1015" t="s">
        <v>977</v>
      </c>
      <c r="AH1015" t="s">
        <v>977</v>
      </c>
      <c r="AI1015" t="s">
        <v>977</v>
      </c>
      <c r="AJ1015" t="s">
        <v>6481</v>
      </c>
      <c r="AK1015" t="s">
        <v>6815</v>
      </c>
      <c r="AL1015" t="s">
        <v>6816</v>
      </c>
      <c r="AM1015" t="s">
        <v>979</v>
      </c>
      <c r="AN1015">
        <v>0</v>
      </c>
      <c r="AO1015" t="s">
        <v>257</v>
      </c>
      <c r="AP1015">
        <v>0</v>
      </c>
      <c r="AQ1015">
        <v>27</v>
      </c>
      <c r="AR1015">
        <v>43</v>
      </c>
      <c r="AS1015">
        <v>1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1</v>
      </c>
      <c r="AZ1015" t="s">
        <v>257</v>
      </c>
      <c r="BA1015" t="s">
        <v>980</v>
      </c>
      <c r="BB1015" t="s">
        <v>981</v>
      </c>
      <c r="BC1015" t="s">
        <v>257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 t="s">
        <v>998</v>
      </c>
      <c r="BK1015" t="s">
        <v>981</v>
      </c>
      <c r="BL1015" t="s">
        <v>6700</v>
      </c>
      <c r="BM1015">
        <v>20241014</v>
      </c>
      <c r="BN1015">
        <v>20251209</v>
      </c>
      <c r="BO1015">
        <v>0</v>
      </c>
      <c r="BP1015" t="s">
        <v>257</v>
      </c>
      <c r="BQ1015" t="s">
        <v>983</v>
      </c>
      <c r="BR1015" t="s">
        <v>978</v>
      </c>
      <c r="BS1015" t="s">
        <v>979</v>
      </c>
      <c r="BT1015">
        <v>0</v>
      </c>
      <c r="BU1015">
        <v>0</v>
      </c>
      <c r="BV1015" t="s">
        <v>984</v>
      </c>
      <c r="BW1015" t="s">
        <v>257</v>
      </c>
      <c r="BX1015">
        <v>0</v>
      </c>
      <c r="BY1015" t="s">
        <v>980</v>
      </c>
      <c r="BZ1015" t="s">
        <v>257</v>
      </c>
      <c r="CA1015">
        <v>0</v>
      </c>
      <c r="CB1015">
        <v>0</v>
      </c>
      <c r="CC1015" t="s">
        <v>1901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 t="s">
        <v>983</v>
      </c>
      <c r="CJ1015" t="s">
        <v>972</v>
      </c>
      <c r="CK1015" t="s">
        <v>986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 t="s">
        <v>987</v>
      </c>
      <c r="CV1015">
        <v>400010706</v>
      </c>
      <c r="CW1015" t="s">
        <v>987</v>
      </c>
      <c r="CX1015" t="s">
        <v>7674</v>
      </c>
      <c r="CY1015" t="s">
        <v>989</v>
      </c>
    </row>
    <row r="1016" spans="1:103" hidden="1" x14ac:dyDescent="0.25">
      <c r="A1016">
        <v>410001022</v>
      </c>
      <c r="B1016" t="s">
        <v>6703</v>
      </c>
      <c r="C1016" t="s">
        <v>6704</v>
      </c>
      <c r="D1016">
        <v>401100000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1</v>
      </c>
      <c r="X1016">
        <v>1</v>
      </c>
      <c r="Y1016" t="s">
        <v>972</v>
      </c>
      <c r="Z1016" t="s">
        <v>987</v>
      </c>
      <c r="AA1016" t="s">
        <v>6705</v>
      </c>
      <c r="AB1016" t="s">
        <v>975</v>
      </c>
      <c r="AC1016">
        <v>4121</v>
      </c>
      <c r="AD1016" t="s">
        <v>3151</v>
      </c>
      <c r="AE1016">
        <v>3242595094</v>
      </c>
      <c r="AF1016" t="s">
        <v>979</v>
      </c>
      <c r="AG1016" t="s">
        <v>977</v>
      </c>
      <c r="AH1016">
        <v>800949586</v>
      </c>
      <c r="AI1016">
        <v>69201</v>
      </c>
      <c r="AJ1016" t="s">
        <v>978</v>
      </c>
      <c r="AK1016" t="s">
        <v>978</v>
      </c>
      <c r="AL1016" t="s">
        <v>978</v>
      </c>
      <c r="AM1016" t="s">
        <v>979</v>
      </c>
      <c r="AN1016">
        <v>0</v>
      </c>
      <c r="AO1016" t="s">
        <v>257</v>
      </c>
      <c r="AP1016">
        <v>0</v>
      </c>
      <c r="AQ1016">
        <v>1</v>
      </c>
      <c r="AR1016">
        <v>43</v>
      </c>
      <c r="AS1016">
        <v>1</v>
      </c>
      <c r="AT1016">
        <v>0</v>
      </c>
      <c r="AU1016">
        <v>1</v>
      </c>
      <c r="AV1016">
        <v>0</v>
      </c>
      <c r="AW1016">
        <v>0</v>
      </c>
      <c r="AX1016">
        <v>0</v>
      </c>
      <c r="AY1016">
        <v>1</v>
      </c>
      <c r="AZ1016" t="s">
        <v>257</v>
      </c>
      <c r="BA1016" t="s">
        <v>980</v>
      </c>
      <c r="BB1016" t="s">
        <v>981</v>
      </c>
      <c r="BC1016" t="s">
        <v>257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 t="s">
        <v>998</v>
      </c>
      <c r="BK1016" t="s">
        <v>981</v>
      </c>
      <c r="BL1016" t="s">
        <v>6703</v>
      </c>
      <c r="BM1016">
        <v>20241014</v>
      </c>
      <c r="BN1016">
        <v>20241015</v>
      </c>
      <c r="BO1016">
        <v>0</v>
      </c>
      <c r="BP1016" t="s">
        <v>257</v>
      </c>
      <c r="BQ1016" t="s">
        <v>983</v>
      </c>
      <c r="BR1016" t="s">
        <v>978</v>
      </c>
      <c r="BS1016" t="s">
        <v>979</v>
      </c>
      <c r="BT1016">
        <v>0</v>
      </c>
      <c r="BU1016">
        <v>0</v>
      </c>
      <c r="BV1016" t="s">
        <v>984</v>
      </c>
      <c r="BW1016" t="s">
        <v>257</v>
      </c>
      <c r="BX1016">
        <v>0</v>
      </c>
      <c r="BY1016" t="s">
        <v>980</v>
      </c>
      <c r="BZ1016" t="s">
        <v>257</v>
      </c>
      <c r="CA1016">
        <v>0</v>
      </c>
      <c r="CB1016">
        <v>0</v>
      </c>
      <c r="CC1016" t="s">
        <v>1916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 t="s">
        <v>983</v>
      </c>
      <c r="CJ1016" t="s">
        <v>972</v>
      </c>
      <c r="CK1016" t="s">
        <v>986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 t="s">
        <v>987</v>
      </c>
      <c r="CV1016">
        <v>400010707</v>
      </c>
      <c r="CW1016" t="s">
        <v>987</v>
      </c>
      <c r="CX1016" t="s">
        <v>6706</v>
      </c>
      <c r="CY1016" t="s">
        <v>989</v>
      </c>
    </row>
    <row r="1017" spans="1:103" hidden="1" x14ac:dyDescent="0.25">
      <c r="A1017">
        <v>410001023</v>
      </c>
      <c r="B1017" t="s">
        <v>6707</v>
      </c>
      <c r="C1017" t="s">
        <v>6708</v>
      </c>
      <c r="D1017">
        <v>401100000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1</v>
      </c>
      <c r="X1017">
        <v>1</v>
      </c>
      <c r="Y1017" t="s">
        <v>972</v>
      </c>
      <c r="Z1017" t="s">
        <v>987</v>
      </c>
      <c r="AA1017" t="s">
        <v>6709</v>
      </c>
      <c r="AB1017" t="s">
        <v>975</v>
      </c>
      <c r="AC1017">
        <v>6032</v>
      </c>
      <c r="AD1017" t="s">
        <v>1048</v>
      </c>
      <c r="AE1017">
        <v>473760190</v>
      </c>
      <c r="AF1017" t="s">
        <v>979</v>
      </c>
      <c r="AG1017" t="s">
        <v>977</v>
      </c>
      <c r="AH1017" t="s">
        <v>977</v>
      </c>
      <c r="AI1017" t="s">
        <v>977</v>
      </c>
      <c r="AJ1017" t="s">
        <v>7323</v>
      </c>
      <c r="AK1017" t="s">
        <v>978</v>
      </c>
      <c r="AL1017" t="s">
        <v>978</v>
      </c>
      <c r="AM1017" t="s">
        <v>979</v>
      </c>
      <c r="AN1017">
        <v>0</v>
      </c>
      <c r="AO1017" t="s">
        <v>257</v>
      </c>
      <c r="AP1017">
        <v>0</v>
      </c>
      <c r="AQ1017">
        <v>1</v>
      </c>
      <c r="AR1017">
        <v>43</v>
      </c>
      <c r="AS1017">
        <v>1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1</v>
      </c>
      <c r="AZ1017" t="s">
        <v>257</v>
      </c>
      <c r="BA1017" t="s">
        <v>257</v>
      </c>
      <c r="BB1017" t="s">
        <v>981</v>
      </c>
      <c r="BC1017" t="s">
        <v>257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 t="s">
        <v>998</v>
      </c>
      <c r="BK1017" t="s">
        <v>981</v>
      </c>
      <c r="BL1017" t="s">
        <v>6707</v>
      </c>
      <c r="BM1017">
        <v>20241014</v>
      </c>
      <c r="BN1017">
        <v>20250911</v>
      </c>
      <c r="BO1017">
        <v>0</v>
      </c>
      <c r="BP1017" t="s">
        <v>257</v>
      </c>
      <c r="BQ1017" t="s">
        <v>983</v>
      </c>
      <c r="BR1017" t="s">
        <v>978</v>
      </c>
      <c r="BS1017" t="s">
        <v>979</v>
      </c>
      <c r="BT1017">
        <v>0</v>
      </c>
      <c r="BU1017">
        <v>0</v>
      </c>
      <c r="BV1017" t="s">
        <v>984</v>
      </c>
      <c r="BW1017" t="s">
        <v>257</v>
      </c>
      <c r="BX1017">
        <v>0</v>
      </c>
      <c r="BY1017" t="s">
        <v>980</v>
      </c>
      <c r="BZ1017" t="s">
        <v>257</v>
      </c>
      <c r="CA1017">
        <v>0</v>
      </c>
      <c r="CB1017">
        <v>0</v>
      </c>
      <c r="CC1017" t="s">
        <v>1901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 t="s">
        <v>983</v>
      </c>
      <c r="CJ1017" t="s">
        <v>972</v>
      </c>
      <c r="CK1017" t="s">
        <v>986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 t="s">
        <v>987</v>
      </c>
      <c r="CV1017">
        <v>400010708</v>
      </c>
      <c r="CW1017" t="s">
        <v>987</v>
      </c>
      <c r="CX1017" t="s">
        <v>6710</v>
      </c>
      <c r="CY1017" t="s">
        <v>989</v>
      </c>
    </row>
    <row r="1018" spans="1:103" hidden="1" x14ac:dyDescent="0.25">
      <c r="A1018">
        <v>410001024</v>
      </c>
      <c r="B1018" t="s">
        <v>6711</v>
      </c>
      <c r="C1018" t="s">
        <v>6712</v>
      </c>
      <c r="D1018">
        <v>401100000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1</v>
      </c>
      <c r="X1018">
        <v>1</v>
      </c>
      <c r="Y1018" t="s">
        <v>972</v>
      </c>
      <c r="Z1018" t="s">
        <v>987</v>
      </c>
      <c r="AA1018" t="s">
        <v>6713</v>
      </c>
      <c r="AB1018" t="s">
        <v>975</v>
      </c>
      <c r="AC1018">
        <v>5640</v>
      </c>
      <c r="AD1018" t="s">
        <v>6714</v>
      </c>
      <c r="AE1018">
        <v>32479702259</v>
      </c>
      <c r="AF1018" t="s">
        <v>979</v>
      </c>
      <c r="AG1018" t="s">
        <v>977</v>
      </c>
      <c r="AH1018">
        <v>776430362</v>
      </c>
      <c r="AI1018">
        <v>71111</v>
      </c>
      <c r="AJ1018" t="s">
        <v>6442</v>
      </c>
      <c r="AK1018" t="s">
        <v>978</v>
      </c>
      <c r="AL1018" t="s">
        <v>978</v>
      </c>
      <c r="AM1018" t="s">
        <v>979</v>
      </c>
      <c r="AN1018">
        <v>0</v>
      </c>
      <c r="AO1018" t="s">
        <v>257</v>
      </c>
      <c r="AP1018">
        <v>0</v>
      </c>
      <c r="AQ1018">
        <v>1</v>
      </c>
      <c r="AR1018">
        <v>69</v>
      </c>
      <c r="AS1018">
        <v>1</v>
      </c>
      <c r="AT1018">
        <v>0</v>
      </c>
      <c r="AU1018">
        <v>1</v>
      </c>
      <c r="AV1018">
        <v>0</v>
      </c>
      <c r="AW1018">
        <v>0</v>
      </c>
      <c r="AX1018">
        <v>0</v>
      </c>
      <c r="AY1018">
        <v>1</v>
      </c>
      <c r="AZ1018" t="s">
        <v>257</v>
      </c>
      <c r="BA1018" t="s">
        <v>980</v>
      </c>
      <c r="BB1018" t="s">
        <v>981</v>
      </c>
      <c r="BC1018" t="s">
        <v>257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 t="s">
        <v>998</v>
      </c>
      <c r="BK1018" t="s">
        <v>981</v>
      </c>
      <c r="BL1018" t="s">
        <v>6711</v>
      </c>
      <c r="BM1018">
        <v>20241015</v>
      </c>
      <c r="BN1018">
        <v>20241015</v>
      </c>
      <c r="BO1018">
        <v>0</v>
      </c>
      <c r="BP1018" t="s">
        <v>257</v>
      </c>
      <c r="BQ1018" t="s">
        <v>983</v>
      </c>
      <c r="BR1018" t="s">
        <v>978</v>
      </c>
      <c r="BS1018">
        <v>32479702259</v>
      </c>
      <c r="BT1018">
        <v>0</v>
      </c>
      <c r="BU1018">
        <v>0</v>
      </c>
      <c r="BV1018" t="s">
        <v>984</v>
      </c>
      <c r="BW1018" t="s">
        <v>257</v>
      </c>
      <c r="BX1018">
        <v>0</v>
      </c>
      <c r="BY1018" t="s">
        <v>980</v>
      </c>
      <c r="BZ1018" t="s">
        <v>257</v>
      </c>
      <c r="CA1018">
        <v>0</v>
      </c>
      <c r="CB1018">
        <v>0</v>
      </c>
      <c r="CC1018" t="s">
        <v>1901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 t="s">
        <v>983</v>
      </c>
      <c r="CJ1018" t="s">
        <v>972</v>
      </c>
      <c r="CK1018" t="s">
        <v>986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 t="s">
        <v>987</v>
      </c>
      <c r="CV1018">
        <v>400010709</v>
      </c>
      <c r="CW1018" t="s">
        <v>987</v>
      </c>
      <c r="CX1018" t="s">
        <v>6715</v>
      </c>
      <c r="CY1018" t="s">
        <v>989</v>
      </c>
    </row>
    <row r="1019" spans="1:103" hidden="1" x14ac:dyDescent="0.25">
      <c r="A1019">
        <v>410001025</v>
      </c>
      <c r="B1019" t="s">
        <v>6716</v>
      </c>
      <c r="C1019" t="s">
        <v>6717</v>
      </c>
      <c r="D1019">
        <v>401100000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1</v>
      </c>
      <c r="X1019">
        <v>1</v>
      </c>
      <c r="Y1019" t="s">
        <v>972</v>
      </c>
      <c r="Z1019" t="s">
        <v>6718</v>
      </c>
      <c r="AA1019" t="s">
        <v>6719</v>
      </c>
      <c r="AB1019" t="s">
        <v>975</v>
      </c>
      <c r="AC1019">
        <v>4602</v>
      </c>
      <c r="AD1019" t="s">
        <v>1813</v>
      </c>
      <c r="AE1019">
        <v>3243700255</v>
      </c>
      <c r="AF1019" t="s">
        <v>979</v>
      </c>
      <c r="AG1019" t="s">
        <v>6720</v>
      </c>
      <c r="AH1019">
        <v>833173877</v>
      </c>
      <c r="AI1019">
        <v>66220</v>
      </c>
      <c r="AJ1019" t="s">
        <v>978</v>
      </c>
      <c r="AK1019" t="s">
        <v>978</v>
      </c>
      <c r="AL1019" t="s">
        <v>978</v>
      </c>
      <c r="AM1019" t="s">
        <v>979</v>
      </c>
      <c r="AN1019">
        <v>0</v>
      </c>
      <c r="AO1019" t="s">
        <v>257</v>
      </c>
      <c r="AP1019">
        <v>0</v>
      </c>
      <c r="AQ1019">
        <v>1</v>
      </c>
      <c r="AR1019">
        <v>69</v>
      </c>
      <c r="AS1019">
        <v>1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1</v>
      </c>
      <c r="AZ1019" t="s">
        <v>257</v>
      </c>
      <c r="BA1019" t="s">
        <v>257</v>
      </c>
      <c r="BB1019" t="s">
        <v>981</v>
      </c>
      <c r="BC1019" t="s">
        <v>257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 t="s">
        <v>998</v>
      </c>
      <c r="BK1019" t="s">
        <v>981</v>
      </c>
      <c r="BL1019" t="s">
        <v>6716</v>
      </c>
      <c r="BM1019">
        <v>20241016</v>
      </c>
      <c r="BN1019">
        <v>20241017</v>
      </c>
      <c r="BO1019">
        <v>0</v>
      </c>
      <c r="BP1019" t="s">
        <v>257</v>
      </c>
      <c r="BQ1019" t="s">
        <v>983</v>
      </c>
      <c r="BR1019" t="s">
        <v>978</v>
      </c>
      <c r="BS1019" t="s">
        <v>979</v>
      </c>
      <c r="BT1019">
        <v>0</v>
      </c>
      <c r="BU1019">
        <v>0</v>
      </c>
      <c r="BV1019" t="s">
        <v>984</v>
      </c>
      <c r="BW1019" t="s">
        <v>257</v>
      </c>
      <c r="BX1019">
        <v>0</v>
      </c>
      <c r="BY1019" t="s">
        <v>980</v>
      </c>
      <c r="BZ1019" t="s">
        <v>257</v>
      </c>
      <c r="CA1019">
        <v>0</v>
      </c>
      <c r="CB1019">
        <v>0</v>
      </c>
      <c r="CC1019" t="s">
        <v>2000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 t="s">
        <v>983</v>
      </c>
      <c r="CJ1019" t="s">
        <v>972</v>
      </c>
      <c r="CK1019" t="s">
        <v>986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 t="s">
        <v>987</v>
      </c>
      <c r="CV1019">
        <v>400010712</v>
      </c>
      <c r="CW1019" t="s">
        <v>987</v>
      </c>
      <c r="CX1019" t="s">
        <v>6721</v>
      </c>
      <c r="CY1019" t="s">
        <v>989</v>
      </c>
    </row>
    <row r="1020" spans="1:103" hidden="1" x14ac:dyDescent="0.25">
      <c r="A1020">
        <v>410001026</v>
      </c>
      <c r="B1020" t="s">
        <v>6722</v>
      </c>
      <c r="C1020" t="s">
        <v>6723</v>
      </c>
      <c r="D1020">
        <v>401100000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1</v>
      </c>
      <c r="X1020">
        <v>1</v>
      </c>
      <c r="Y1020" t="s">
        <v>972</v>
      </c>
      <c r="Z1020" t="s">
        <v>6724</v>
      </c>
      <c r="AA1020" t="s">
        <v>6725</v>
      </c>
      <c r="AB1020" t="s">
        <v>975</v>
      </c>
      <c r="AC1020">
        <v>1210</v>
      </c>
      <c r="AD1020" t="s">
        <v>6726</v>
      </c>
      <c r="AE1020">
        <v>3223182260</v>
      </c>
      <c r="AF1020" t="s">
        <v>979</v>
      </c>
      <c r="AG1020" t="s">
        <v>977</v>
      </c>
      <c r="AH1020">
        <v>545936784</v>
      </c>
      <c r="AI1020">
        <v>68321</v>
      </c>
      <c r="AJ1020" t="s">
        <v>5844</v>
      </c>
      <c r="AK1020" t="s">
        <v>978</v>
      </c>
      <c r="AL1020" t="s">
        <v>978</v>
      </c>
      <c r="AM1020" t="s">
        <v>979</v>
      </c>
      <c r="AN1020">
        <v>0</v>
      </c>
      <c r="AO1020" t="s">
        <v>257</v>
      </c>
      <c r="AP1020">
        <v>0</v>
      </c>
      <c r="AQ1020">
        <v>1</v>
      </c>
      <c r="AR1020">
        <v>43</v>
      </c>
      <c r="AS1020">
        <v>1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1</v>
      </c>
      <c r="AZ1020" t="s">
        <v>257</v>
      </c>
      <c r="BA1020" t="s">
        <v>980</v>
      </c>
      <c r="BB1020" t="s">
        <v>981</v>
      </c>
      <c r="BC1020" t="s">
        <v>257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 t="s">
        <v>998</v>
      </c>
      <c r="BK1020" t="s">
        <v>981</v>
      </c>
      <c r="BL1020" t="s">
        <v>6722</v>
      </c>
      <c r="BM1020">
        <v>20241017</v>
      </c>
      <c r="BN1020">
        <v>20241021</v>
      </c>
      <c r="BO1020">
        <v>0</v>
      </c>
      <c r="BP1020" t="s">
        <v>257</v>
      </c>
      <c r="BQ1020" t="s">
        <v>983</v>
      </c>
      <c r="BR1020" t="s">
        <v>978</v>
      </c>
      <c r="BS1020" t="s">
        <v>979</v>
      </c>
      <c r="BT1020">
        <v>0</v>
      </c>
      <c r="BU1020">
        <v>0</v>
      </c>
      <c r="BV1020" t="s">
        <v>984</v>
      </c>
      <c r="BW1020" t="s">
        <v>257</v>
      </c>
      <c r="BX1020">
        <v>0</v>
      </c>
      <c r="BY1020" t="s">
        <v>980</v>
      </c>
      <c r="BZ1020" t="s">
        <v>257</v>
      </c>
      <c r="CA1020">
        <v>0</v>
      </c>
      <c r="CB1020">
        <v>0</v>
      </c>
      <c r="CC1020" t="s">
        <v>1901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 t="s">
        <v>983</v>
      </c>
      <c r="CJ1020" t="s">
        <v>972</v>
      </c>
      <c r="CK1020" t="s">
        <v>986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 t="s">
        <v>987</v>
      </c>
      <c r="CV1020">
        <v>400010715</v>
      </c>
      <c r="CW1020" t="s">
        <v>987</v>
      </c>
      <c r="CX1020" t="s">
        <v>6727</v>
      </c>
      <c r="CY1020" t="s">
        <v>989</v>
      </c>
    </row>
    <row r="1021" spans="1:103" hidden="1" x14ac:dyDescent="0.25">
      <c r="A1021">
        <v>410001027</v>
      </c>
      <c r="B1021" t="s">
        <v>6728</v>
      </c>
      <c r="C1021" t="s">
        <v>6729</v>
      </c>
      <c r="D1021">
        <v>401100000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1</v>
      </c>
      <c r="Y1021" t="s">
        <v>972</v>
      </c>
      <c r="Z1021" t="s">
        <v>6730</v>
      </c>
      <c r="AA1021" t="s">
        <v>6731</v>
      </c>
      <c r="AB1021" t="s">
        <v>975</v>
      </c>
      <c r="AC1021">
        <v>4821</v>
      </c>
      <c r="AD1021" t="s">
        <v>1591</v>
      </c>
      <c r="AE1021">
        <v>3287661747</v>
      </c>
      <c r="AF1021" t="s">
        <v>979</v>
      </c>
      <c r="AG1021" t="s">
        <v>977</v>
      </c>
      <c r="AH1021">
        <v>778003940</v>
      </c>
      <c r="AI1021">
        <v>66220</v>
      </c>
      <c r="AJ1021" t="s">
        <v>6732</v>
      </c>
      <c r="AK1021" t="s">
        <v>978</v>
      </c>
      <c r="AL1021" t="s">
        <v>978</v>
      </c>
      <c r="AM1021" t="s">
        <v>979</v>
      </c>
      <c r="AN1021">
        <v>0</v>
      </c>
      <c r="AO1021" t="s">
        <v>257</v>
      </c>
      <c r="AP1021">
        <v>0</v>
      </c>
      <c r="AQ1021">
        <v>1</v>
      </c>
      <c r="AR1021">
        <v>43</v>
      </c>
      <c r="AS1021">
        <v>1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1</v>
      </c>
      <c r="AZ1021" t="s">
        <v>257</v>
      </c>
      <c r="BA1021" t="s">
        <v>980</v>
      </c>
      <c r="BB1021" t="s">
        <v>981</v>
      </c>
      <c r="BC1021" t="s">
        <v>257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 t="s">
        <v>998</v>
      </c>
      <c r="BK1021" t="s">
        <v>981</v>
      </c>
      <c r="BL1021" t="s">
        <v>6728</v>
      </c>
      <c r="BM1021">
        <v>20241017</v>
      </c>
      <c r="BN1021">
        <v>20241021</v>
      </c>
      <c r="BO1021">
        <v>0</v>
      </c>
      <c r="BP1021" t="s">
        <v>257</v>
      </c>
      <c r="BQ1021" t="s">
        <v>983</v>
      </c>
      <c r="BR1021" t="s">
        <v>978</v>
      </c>
      <c r="BS1021" t="s">
        <v>979</v>
      </c>
      <c r="BT1021">
        <v>0</v>
      </c>
      <c r="BU1021">
        <v>0</v>
      </c>
      <c r="BV1021" t="s">
        <v>984</v>
      </c>
      <c r="BW1021" t="s">
        <v>257</v>
      </c>
      <c r="BX1021">
        <v>0</v>
      </c>
      <c r="BY1021" t="s">
        <v>980</v>
      </c>
      <c r="BZ1021" t="s">
        <v>257</v>
      </c>
      <c r="CA1021">
        <v>0</v>
      </c>
      <c r="CB1021">
        <v>0</v>
      </c>
      <c r="CC1021" t="s">
        <v>1901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 t="s">
        <v>983</v>
      </c>
      <c r="CJ1021" t="s">
        <v>972</v>
      </c>
      <c r="CK1021" t="s">
        <v>986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 t="s">
        <v>987</v>
      </c>
      <c r="CV1021">
        <v>400010718</v>
      </c>
      <c r="CW1021" t="s">
        <v>987</v>
      </c>
      <c r="CX1021" t="s">
        <v>6733</v>
      </c>
      <c r="CY1021" t="s">
        <v>989</v>
      </c>
    </row>
    <row r="1022" spans="1:103" hidden="1" x14ac:dyDescent="0.25">
      <c r="A1022">
        <v>410001028</v>
      </c>
      <c r="B1022" t="s">
        <v>6734</v>
      </c>
      <c r="C1022" t="s">
        <v>2627</v>
      </c>
      <c r="D1022">
        <v>401100000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</v>
      </c>
      <c r="W1022">
        <v>1</v>
      </c>
      <c r="X1022">
        <v>1</v>
      </c>
      <c r="Y1022" t="s">
        <v>972</v>
      </c>
      <c r="Z1022" t="s">
        <v>987</v>
      </c>
      <c r="AA1022" t="s">
        <v>6735</v>
      </c>
      <c r="AB1022" t="s">
        <v>1351</v>
      </c>
      <c r="AC1022">
        <v>30250</v>
      </c>
      <c r="AD1022" t="s">
        <v>6737</v>
      </c>
      <c r="AE1022" t="s">
        <v>979</v>
      </c>
      <c r="AF1022" t="s">
        <v>979</v>
      </c>
      <c r="AG1022" t="s">
        <v>977</v>
      </c>
      <c r="AH1022" t="s">
        <v>977</v>
      </c>
      <c r="AI1022" t="s">
        <v>977</v>
      </c>
      <c r="AJ1022" t="s">
        <v>978</v>
      </c>
      <c r="AK1022" t="s">
        <v>978</v>
      </c>
      <c r="AL1022" t="s">
        <v>978</v>
      </c>
      <c r="AM1022" t="s">
        <v>979</v>
      </c>
      <c r="AN1022">
        <v>0</v>
      </c>
      <c r="AO1022" t="s">
        <v>257</v>
      </c>
      <c r="AP1022">
        <v>0</v>
      </c>
      <c r="AQ1022">
        <v>1</v>
      </c>
      <c r="AR1022">
        <v>0</v>
      </c>
      <c r="AS1022">
        <v>1</v>
      </c>
      <c r="AT1022">
        <v>0</v>
      </c>
      <c r="AU1022">
        <v>1</v>
      </c>
      <c r="AV1022">
        <v>0</v>
      </c>
      <c r="AW1022">
        <v>0</v>
      </c>
      <c r="AX1022">
        <v>0</v>
      </c>
      <c r="AY1022">
        <v>1</v>
      </c>
      <c r="AZ1022" t="s">
        <v>257</v>
      </c>
      <c r="BA1022" t="s">
        <v>257</v>
      </c>
      <c r="BB1022" t="s">
        <v>981</v>
      </c>
      <c r="BC1022" t="s">
        <v>257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 t="s">
        <v>998</v>
      </c>
      <c r="BK1022" t="s">
        <v>981</v>
      </c>
      <c r="BL1022" t="s">
        <v>6734</v>
      </c>
      <c r="BM1022">
        <v>20241022</v>
      </c>
      <c r="BN1022">
        <v>20250402</v>
      </c>
      <c r="BO1022">
        <v>0</v>
      </c>
      <c r="BP1022" t="s">
        <v>257</v>
      </c>
      <c r="BQ1022" t="s">
        <v>983</v>
      </c>
      <c r="BR1022" t="s">
        <v>978</v>
      </c>
      <c r="BS1022" t="s">
        <v>979</v>
      </c>
      <c r="BT1022">
        <v>0</v>
      </c>
      <c r="BU1022">
        <v>0</v>
      </c>
      <c r="BV1022" t="s">
        <v>2341</v>
      </c>
      <c r="BW1022" t="s">
        <v>257</v>
      </c>
      <c r="BX1022">
        <v>0</v>
      </c>
      <c r="BY1022" t="s">
        <v>980</v>
      </c>
      <c r="BZ1022" t="s">
        <v>257</v>
      </c>
      <c r="CA1022">
        <v>0</v>
      </c>
      <c r="CB1022">
        <v>0</v>
      </c>
      <c r="CC1022" t="s">
        <v>985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 t="s">
        <v>983</v>
      </c>
      <c r="CJ1022" t="s">
        <v>972</v>
      </c>
      <c r="CK1022" t="s">
        <v>986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 t="s">
        <v>987</v>
      </c>
      <c r="CV1022">
        <v>400011028</v>
      </c>
      <c r="CW1022" t="s">
        <v>987</v>
      </c>
      <c r="CX1022" t="s">
        <v>1081</v>
      </c>
      <c r="CY1022" t="s">
        <v>989</v>
      </c>
    </row>
    <row r="1023" spans="1:103" hidden="1" x14ac:dyDescent="0.25">
      <c r="A1023">
        <v>410001029</v>
      </c>
      <c r="B1023" t="s">
        <v>6738</v>
      </c>
      <c r="C1023" t="s">
        <v>6739</v>
      </c>
      <c r="D1023">
        <v>401100000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1</v>
      </c>
      <c r="X1023">
        <v>1</v>
      </c>
      <c r="Y1023" t="s">
        <v>972</v>
      </c>
      <c r="Z1023" t="s">
        <v>987</v>
      </c>
      <c r="AA1023" t="s">
        <v>6740</v>
      </c>
      <c r="AB1023" t="s">
        <v>975</v>
      </c>
      <c r="AC1023">
        <v>4300</v>
      </c>
      <c r="AD1023" t="s">
        <v>1170</v>
      </c>
      <c r="AE1023" t="s">
        <v>979</v>
      </c>
      <c r="AF1023" t="s">
        <v>979</v>
      </c>
      <c r="AG1023" t="s">
        <v>977</v>
      </c>
      <c r="AH1023">
        <v>800952160</v>
      </c>
      <c r="AI1023">
        <v>69201</v>
      </c>
      <c r="AJ1023" t="s">
        <v>6741</v>
      </c>
      <c r="AK1023" t="s">
        <v>978</v>
      </c>
      <c r="AL1023" t="s">
        <v>978</v>
      </c>
      <c r="AM1023" t="s">
        <v>979</v>
      </c>
      <c r="AN1023">
        <v>0</v>
      </c>
      <c r="AO1023" t="s">
        <v>257</v>
      </c>
      <c r="AP1023">
        <v>0</v>
      </c>
      <c r="AQ1023">
        <v>1</v>
      </c>
      <c r="AR1023">
        <v>43</v>
      </c>
      <c r="AS1023">
        <v>1</v>
      </c>
      <c r="AT1023">
        <v>0</v>
      </c>
      <c r="AU1023">
        <v>1</v>
      </c>
      <c r="AV1023">
        <v>0</v>
      </c>
      <c r="AW1023">
        <v>0</v>
      </c>
      <c r="AX1023">
        <v>0</v>
      </c>
      <c r="AY1023">
        <v>1</v>
      </c>
      <c r="AZ1023" t="s">
        <v>257</v>
      </c>
      <c r="BA1023" t="s">
        <v>980</v>
      </c>
      <c r="BB1023" t="s">
        <v>981</v>
      </c>
      <c r="BC1023" t="s">
        <v>257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 t="s">
        <v>998</v>
      </c>
      <c r="BK1023" t="s">
        <v>981</v>
      </c>
      <c r="BL1023" t="s">
        <v>6738</v>
      </c>
      <c r="BM1023">
        <v>20241025</v>
      </c>
      <c r="BN1023">
        <v>20241025</v>
      </c>
      <c r="BO1023">
        <v>0</v>
      </c>
      <c r="BP1023" t="s">
        <v>257</v>
      </c>
      <c r="BQ1023" t="s">
        <v>983</v>
      </c>
      <c r="BR1023" t="s">
        <v>978</v>
      </c>
      <c r="BS1023">
        <v>32473615587</v>
      </c>
      <c r="BT1023">
        <v>0</v>
      </c>
      <c r="BU1023">
        <v>0</v>
      </c>
      <c r="BV1023" t="s">
        <v>984</v>
      </c>
      <c r="BW1023" t="s">
        <v>257</v>
      </c>
      <c r="BX1023">
        <v>0</v>
      </c>
      <c r="BY1023" t="s">
        <v>980</v>
      </c>
      <c r="BZ1023" t="s">
        <v>257</v>
      </c>
      <c r="CA1023">
        <v>0</v>
      </c>
      <c r="CB1023">
        <v>0</v>
      </c>
      <c r="CC1023" t="s">
        <v>985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 t="s">
        <v>983</v>
      </c>
      <c r="CJ1023" t="s">
        <v>972</v>
      </c>
      <c r="CK1023" t="s">
        <v>986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 t="s">
        <v>987</v>
      </c>
      <c r="CV1023">
        <v>400010732</v>
      </c>
      <c r="CW1023" t="s">
        <v>987</v>
      </c>
      <c r="CX1023" t="s">
        <v>6742</v>
      </c>
      <c r="CY1023" t="s">
        <v>989</v>
      </c>
    </row>
    <row r="1024" spans="1:103" hidden="1" x14ac:dyDescent="0.25">
      <c r="A1024">
        <v>410001030</v>
      </c>
      <c r="B1024" t="s">
        <v>6743</v>
      </c>
      <c r="C1024" t="s">
        <v>6744</v>
      </c>
      <c r="D1024">
        <v>401100000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  <c r="X1024">
        <v>1</v>
      </c>
      <c r="Y1024" t="s">
        <v>972</v>
      </c>
      <c r="Z1024" t="s">
        <v>987</v>
      </c>
      <c r="AA1024" t="s">
        <v>6745</v>
      </c>
      <c r="AB1024" t="s">
        <v>975</v>
      </c>
      <c r="AC1024">
        <v>5101</v>
      </c>
      <c r="AD1024" t="s">
        <v>1789</v>
      </c>
      <c r="AE1024" t="s">
        <v>979</v>
      </c>
      <c r="AF1024" t="s">
        <v>979</v>
      </c>
      <c r="AG1024" t="s">
        <v>977</v>
      </c>
      <c r="AH1024">
        <v>1010246090</v>
      </c>
      <c r="AI1024">
        <v>69202</v>
      </c>
      <c r="AJ1024" t="s">
        <v>6057</v>
      </c>
      <c r="AK1024" t="s">
        <v>978</v>
      </c>
      <c r="AL1024" t="s">
        <v>978</v>
      </c>
      <c r="AM1024" t="s">
        <v>979</v>
      </c>
      <c r="AN1024">
        <v>0</v>
      </c>
      <c r="AO1024" t="s">
        <v>257</v>
      </c>
      <c r="AP1024">
        <v>0</v>
      </c>
      <c r="AQ1024">
        <v>1</v>
      </c>
      <c r="AR1024">
        <v>43</v>
      </c>
      <c r="AS1024">
        <v>1</v>
      </c>
      <c r="AT1024">
        <v>0</v>
      </c>
      <c r="AU1024">
        <v>1</v>
      </c>
      <c r="AV1024">
        <v>0</v>
      </c>
      <c r="AW1024">
        <v>0</v>
      </c>
      <c r="AX1024">
        <v>0</v>
      </c>
      <c r="AY1024">
        <v>1</v>
      </c>
      <c r="AZ1024" t="s">
        <v>257</v>
      </c>
      <c r="BA1024" t="s">
        <v>980</v>
      </c>
      <c r="BB1024" t="s">
        <v>981</v>
      </c>
      <c r="BC1024" t="s">
        <v>257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 t="s">
        <v>998</v>
      </c>
      <c r="BK1024" t="s">
        <v>981</v>
      </c>
      <c r="BL1024" t="s">
        <v>6743</v>
      </c>
      <c r="BM1024">
        <v>20241028</v>
      </c>
      <c r="BN1024">
        <v>20241029</v>
      </c>
      <c r="BO1024">
        <v>0</v>
      </c>
      <c r="BP1024" t="s">
        <v>257</v>
      </c>
      <c r="BQ1024" t="s">
        <v>983</v>
      </c>
      <c r="BR1024" t="s">
        <v>978</v>
      </c>
      <c r="BS1024">
        <v>32475331182</v>
      </c>
      <c r="BT1024">
        <v>0</v>
      </c>
      <c r="BU1024">
        <v>0</v>
      </c>
      <c r="BV1024" t="s">
        <v>984</v>
      </c>
      <c r="BW1024" t="s">
        <v>257</v>
      </c>
      <c r="BX1024">
        <v>0</v>
      </c>
      <c r="BY1024" t="s">
        <v>980</v>
      </c>
      <c r="BZ1024" t="s">
        <v>257</v>
      </c>
      <c r="CA1024">
        <v>0</v>
      </c>
      <c r="CB1024">
        <v>0</v>
      </c>
      <c r="CC1024" t="s">
        <v>1901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 t="s">
        <v>983</v>
      </c>
      <c r="CJ1024" t="s">
        <v>972</v>
      </c>
      <c r="CK1024" t="s">
        <v>986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 t="s">
        <v>987</v>
      </c>
      <c r="CV1024">
        <v>400010733</v>
      </c>
      <c r="CW1024" t="s">
        <v>987</v>
      </c>
      <c r="CX1024" t="s">
        <v>6746</v>
      </c>
      <c r="CY1024" t="s">
        <v>989</v>
      </c>
    </row>
    <row r="1025" spans="1:103" hidden="1" x14ac:dyDescent="0.25">
      <c r="A1025">
        <v>410001031</v>
      </c>
      <c r="B1025" t="s">
        <v>6747</v>
      </c>
      <c r="C1025" t="s">
        <v>6748</v>
      </c>
      <c r="D1025">
        <v>401100000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1</v>
      </c>
      <c r="X1025">
        <v>1</v>
      </c>
      <c r="Y1025" t="s">
        <v>972</v>
      </c>
      <c r="Z1025" t="s">
        <v>987</v>
      </c>
      <c r="AA1025" t="s">
        <v>6749</v>
      </c>
      <c r="AB1025" t="s">
        <v>975</v>
      </c>
      <c r="AC1025">
        <v>4800</v>
      </c>
      <c r="AD1025" t="s">
        <v>1124</v>
      </c>
      <c r="AE1025" t="s">
        <v>979</v>
      </c>
      <c r="AF1025" t="s">
        <v>979</v>
      </c>
      <c r="AG1025" t="s">
        <v>977</v>
      </c>
      <c r="AH1025">
        <v>895144902</v>
      </c>
      <c r="AI1025">
        <v>41201</v>
      </c>
      <c r="AJ1025" t="s">
        <v>978</v>
      </c>
      <c r="AK1025" t="s">
        <v>978</v>
      </c>
      <c r="AL1025" t="s">
        <v>978</v>
      </c>
      <c r="AM1025" t="s">
        <v>979</v>
      </c>
      <c r="AN1025">
        <v>0</v>
      </c>
      <c r="AO1025" t="s">
        <v>257</v>
      </c>
      <c r="AP1025">
        <v>0</v>
      </c>
      <c r="AQ1025">
        <v>1</v>
      </c>
      <c r="AR1025">
        <v>69</v>
      </c>
      <c r="AS1025">
        <v>1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1</v>
      </c>
      <c r="AZ1025" t="s">
        <v>257</v>
      </c>
      <c r="BA1025" t="s">
        <v>980</v>
      </c>
      <c r="BB1025" t="s">
        <v>981</v>
      </c>
      <c r="BC1025" t="s">
        <v>257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 t="s">
        <v>998</v>
      </c>
      <c r="BK1025" t="s">
        <v>981</v>
      </c>
      <c r="BL1025" t="s">
        <v>6747</v>
      </c>
      <c r="BM1025">
        <v>20241029</v>
      </c>
      <c r="BN1025">
        <v>20241030</v>
      </c>
      <c r="BO1025">
        <v>0</v>
      </c>
      <c r="BP1025" t="s">
        <v>257</v>
      </c>
      <c r="BQ1025" t="s">
        <v>983</v>
      </c>
      <c r="BR1025" t="s">
        <v>978</v>
      </c>
      <c r="BS1025">
        <v>32477297135</v>
      </c>
      <c r="BT1025">
        <v>0</v>
      </c>
      <c r="BU1025">
        <v>0</v>
      </c>
      <c r="BV1025" t="s">
        <v>984</v>
      </c>
      <c r="BW1025" t="s">
        <v>257</v>
      </c>
      <c r="BX1025">
        <v>0</v>
      </c>
      <c r="BY1025" t="s">
        <v>980</v>
      </c>
      <c r="BZ1025" t="s">
        <v>257</v>
      </c>
      <c r="CA1025">
        <v>0</v>
      </c>
      <c r="CB1025">
        <v>0</v>
      </c>
      <c r="CC1025" t="s">
        <v>1329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 t="s">
        <v>983</v>
      </c>
      <c r="CJ1025" t="s">
        <v>972</v>
      </c>
      <c r="CK1025" t="s">
        <v>986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 t="s">
        <v>987</v>
      </c>
      <c r="CV1025">
        <v>400010735</v>
      </c>
      <c r="CW1025" t="s">
        <v>987</v>
      </c>
      <c r="CX1025" t="s">
        <v>6750</v>
      </c>
      <c r="CY1025" t="s">
        <v>989</v>
      </c>
    </row>
    <row r="1026" spans="1:103" hidden="1" x14ac:dyDescent="0.25">
      <c r="A1026">
        <v>410001032</v>
      </c>
      <c r="B1026" t="s">
        <v>6751</v>
      </c>
      <c r="C1026" t="s">
        <v>6752</v>
      </c>
      <c r="D1026">
        <v>401100000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1</v>
      </c>
      <c r="X1026">
        <v>1</v>
      </c>
      <c r="Y1026" t="s">
        <v>972</v>
      </c>
      <c r="Z1026" t="s">
        <v>987</v>
      </c>
      <c r="AA1026" t="s">
        <v>6753</v>
      </c>
      <c r="AB1026" t="s">
        <v>975</v>
      </c>
      <c r="AC1026">
        <v>5333</v>
      </c>
      <c r="AD1026" t="s">
        <v>6754</v>
      </c>
      <c r="AE1026">
        <v>32495574193</v>
      </c>
      <c r="AF1026" t="s">
        <v>979</v>
      </c>
      <c r="AG1026" t="s">
        <v>977</v>
      </c>
      <c r="AH1026">
        <v>778483594</v>
      </c>
      <c r="AI1026">
        <v>10830</v>
      </c>
      <c r="AJ1026" t="s">
        <v>7324</v>
      </c>
      <c r="AK1026" t="s">
        <v>978</v>
      </c>
      <c r="AL1026" t="s">
        <v>978</v>
      </c>
      <c r="AM1026" t="s">
        <v>979</v>
      </c>
      <c r="AN1026">
        <v>0</v>
      </c>
      <c r="AO1026" t="s">
        <v>257</v>
      </c>
      <c r="AP1026">
        <v>0</v>
      </c>
      <c r="AQ1026">
        <v>1</v>
      </c>
      <c r="AR1026">
        <v>69</v>
      </c>
      <c r="AS1026">
        <v>1</v>
      </c>
      <c r="AT1026">
        <v>0</v>
      </c>
      <c r="AU1026">
        <v>1</v>
      </c>
      <c r="AV1026">
        <v>0</v>
      </c>
      <c r="AW1026">
        <v>0</v>
      </c>
      <c r="AX1026">
        <v>0</v>
      </c>
      <c r="AY1026">
        <v>1</v>
      </c>
      <c r="AZ1026" t="s">
        <v>257</v>
      </c>
      <c r="BA1026" t="s">
        <v>257</v>
      </c>
      <c r="BB1026" t="s">
        <v>981</v>
      </c>
      <c r="BC1026" t="s">
        <v>257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 t="s">
        <v>998</v>
      </c>
      <c r="BK1026" t="s">
        <v>981</v>
      </c>
      <c r="BL1026" t="s">
        <v>6751</v>
      </c>
      <c r="BM1026">
        <v>20241105</v>
      </c>
      <c r="BN1026">
        <v>20250911</v>
      </c>
      <c r="BO1026">
        <v>0</v>
      </c>
      <c r="BP1026" t="s">
        <v>257</v>
      </c>
      <c r="BQ1026" t="s">
        <v>983</v>
      </c>
      <c r="BR1026" t="s">
        <v>978</v>
      </c>
      <c r="BS1026" t="s">
        <v>979</v>
      </c>
      <c r="BT1026">
        <v>0</v>
      </c>
      <c r="BU1026">
        <v>0</v>
      </c>
      <c r="BV1026" t="s">
        <v>984</v>
      </c>
      <c r="BW1026" t="s">
        <v>257</v>
      </c>
      <c r="BX1026">
        <v>0</v>
      </c>
      <c r="BY1026" t="s">
        <v>980</v>
      </c>
      <c r="BZ1026" t="s">
        <v>257</v>
      </c>
      <c r="CA1026">
        <v>0</v>
      </c>
      <c r="CB1026">
        <v>0</v>
      </c>
      <c r="CC1026" t="s">
        <v>1901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 t="s">
        <v>983</v>
      </c>
      <c r="CJ1026" t="s">
        <v>972</v>
      </c>
      <c r="CK1026" t="s">
        <v>986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 t="s">
        <v>987</v>
      </c>
      <c r="CV1026">
        <v>400010742</v>
      </c>
      <c r="CW1026" t="s">
        <v>987</v>
      </c>
      <c r="CX1026" t="s">
        <v>6755</v>
      </c>
      <c r="CY1026" t="s">
        <v>989</v>
      </c>
    </row>
    <row r="1027" spans="1:103" hidden="1" x14ac:dyDescent="0.25">
      <c r="A1027">
        <v>410001033</v>
      </c>
      <c r="B1027" t="s">
        <v>6756</v>
      </c>
      <c r="C1027" t="s">
        <v>6757</v>
      </c>
      <c r="D1027">
        <v>401100000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1</v>
      </c>
      <c r="Y1027" t="s">
        <v>972</v>
      </c>
      <c r="Z1027" t="s">
        <v>987</v>
      </c>
      <c r="AA1027" t="s">
        <v>6758</v>
      </c>
      <c r="AB1027" t="s">
        <v>975</v>
      </c>
      <c r="AC1027">
        <v>5000</v>
      </c>
      <c r="AD1027" t="s">
        <v>1789</v>
      </c>
      <c r="AE1027">
        <v>3281253025</v>
      </c>
      <c r="AF1027" t="s">
        <v>979</v>
      </c>
      <c r="AG1027" t="s">
        <v>977</v>
      </c>
      <c r="AH1027">
        <v>459411992</v>
      </c>
      <c r="AI1027">
        <v>69201</v>
      </c>
      <c r="AJ1027" t="s">
        <v>978</v>
      </c>
      <c r="AK1027" t="s">
        <v>978</v>
      </c>
      <c r="AL1027" t="s">
        <v>978</v>
      </c>
      <c r="AM1027" t="s">
        <v>979</v>
      </c>
      <c r="AN1027">
        <v>0</v>
      </c>
      <c r="AO1027" t="s">
        <v>257</v>
      </c>
      <c r="AP1027">
        <v>0</v>
      </c>
      <c r="AQ1027">
        <v>1</v>
      </c>
      <c r="AR1027">
        <v>43</v>
      </c>
      <c r="AS1027">
        <v>1</v>
      </c>
      <c r="AT1027">
        <v>0</v>
      </c>
      <c r="AU1027">
        <v>1</v>
      </c>
      <c r="AV1027">
        <v>0</v>
      </c>
      <c r="AW1027">
        <v>0</v>
      </c>
      <c r="AX1027">
        <v>0</v>
      </c>
      <c r="AY1027">
        <v>1</v>
      </c>
      <c r="AZ1027" t="s">
        <v>257</v>
      </c>
      <c r="BA1027" t="s">
        <v>980</v>
      </c>
      <c r="BB1027" t="s">
        <v>981</v>
      </c>
      <c r="BC1027" t="s">
        <v>257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 t="s">
        <v>998</v>
      </c>
      <c r="BK1027" t="s">
        <v>981</v>
      </c>
      <c r="BL1027" t="s">
        <v>6756</v>
      </c>
      <c r="BM1027">
        <v>20241108</v>
      </c>
      <c r="BN1027">
        <v>20241112</v>
      </c>
      <c r="BO1027">
        <v>0</v>
      </c>
      <c r="BP1027" t="s">
        <v>257</v>
      </c>
      <c r="BQ1027" t="s">
        <v>983</v>
      </c>
      <c r="BR1027" t="s">
        <v>978</v>
      </c>
      <c r="BS1027" t="s">
        <v>979</v>
      </c>
      <c r="BT1027">
        <v>0</v>
      </c>
      <c r="BU1027">
        <v>0</v>
      </c>
      <c r="BV1027" t="s">
        <v>984</v>
      </c>
      <c r="BW1027" t="s">
        <v>257</v>
      </c>
      <c r="BX1027">
        <v>0</v>
      </c>
      <c r="BY1027" t="s">
        <v>980</v>
      </c>
      <c r="BZ1027" t="s">
        <v>257</v>
      </c>
      <c r="CA1027">
        <v>0</v>
      </c>
      <c r="CB1027">
        <v>0</v>
      </c>
      <c r="CC1027" t="s">
        <v>985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 t="s">
        <v>983</v>
      </c>
      <c r="CJ1027" t="s">
        <v>972</v>
      </c>
      <c r="CK1027" t="s">
        <v>986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 t="s">
        <v>987</v>
      </c>
      <c r="CV1027">
        <v>400010754</v>
      </c>
      <c r="CW1027" t="s">
        <v>987</v>
      </c>
      <c r="CX1027" t="s">
        <v>6759</v>
      </c>
      <c r="CY1027" t="s">
        <v>989</v>
      </c>
    </row>
    <row r="1028" spans="1:103" hidden="1" x14ac:dyDescent="0.25">
      <c r="A1028">
        <v>410001034</v>
      </c>
      <c r="B1028" t="s">
        <v>6760</v>
      </c>
      <c r="C1028" t="s">
        <v>6761</v>
      </c>
      <c r="D1028">
        <v>401100000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1</v>
      </c>
      <c r="X1028">
        <v>1</v>
      </c>
      <c r="Y1028" t="s">
        <v>972</v>
      </c>
      <c r="Z1028" t="s">
        <v>987</v>
      </c>
      <c r="AA1028" t="s">
        <v>6762</v>
      </c>
      <c r="AB1028" t="s">
        <v>975</v>
      </c>
      <c r="AC1028">
        <v>5330</v>
      </c>
      <c r="AD1028" t="s">
        <v>6754</v>
      </c>
      <c r="AE1028" t="s">
        <v>979</v>
      </c>
      <c r="AF1028" t="s">
        <v>979</v>
      </c>
      <c r="AG1028" t="s">
        <v>977</v>
      </c>
      <c r="AH1028" t="s">
        <v>977</v>
      </c>
      <c r="AI1028" t="s">
        <v>977</v>
      </c>
      <c r="AJ1028" t="s">
        <v>6763</v>
      </c>
      <c r="AK1028" t="s">
        <v>978</v>
      </c>
      <c r="AL1028" t="s">
        <v>978</v>
      </c>
      <c r="AM1028" t="s">
        <v>979</v>
      </c>
      <c r="AN1028">
        <v>0</v>
      </c>
      <c r="AO1028" t="s">
        <v>257</v>
      </c>
      <c r="AP1028">
        <v>0</v>
      </c>
      <c r="AQ1028">
        <v>1</v>
      </c>
      <c r="AR1028">
        <v>69</v>
      </c>
      <c r="AS1028">
        <v>1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1</v>
      </c>
      <c r="AZ1028" t="s">
        <v>257</v>
      </c>
      <c r="BA1028" t="s">
        <v>980</v>
      </c>
      <c r="BB1028" t="s">
        <v>981</v>
      </c>
      <c r="BC1028" t="s">
        <v>257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 t="s">
        <v>998</v>
      </c>
      <c r="BK1028" t="s">
        <v>981</v>
      </c>
      <c r="BL1028" t="s">
        <v>6760</v>
      </c>
      <c r="BM1028">
        <v>20241119</v>
      </c>
      <c r="BN1028">
        <v>20241119</v>
      </c>
      <c r="BO1028">
        <v>0</v>
      </c>
      <c r="BP1028" t="s">
        <v>257</v>
      </c>
      <c r="BQ1028" t="s">
        <v>983</v>
      </c>
      <c r="BR1028" t="s">
        <v>978</v>
      </c>
      <c r="BS1028">
        <v>495574193</v>
      </c>
      <c r="BT1028">
        <v>0</v>
      </c>
      <c r="BU1028">
        <v>0</v>
      </c>
      <c r="BV1028" t="s">
        <v>984</v>
      </c>
      <c r="BW1028" t="s">
        <v>257</v>
      </c>
      <c r="BX1028">
        <v>0</v>
      </c>
      <c r="BY1028" t="s">
        <v>980</v>
      </c>
      <c r="BZ1028" t="s">
        <v>257</v>
      </c>
      <c r="CA1028">
        <v>0</v>
      </c>
      <c r="CB1028">
        <v>0</v>
      </c>
      <c r="CC1028" t="s">
        <v>1901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 t="s">
        <v>983</v>
      </c>
      <c r="CJ1028" t="s">
        <v>972</v>
      </c>
      <c r="CK1028" t="s">
        <v>986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 t="s">
        <v>987</v>
      </c>
      <c r="CV1028">
        <v>400010765</v>
      </c>
      <c r="CW1028" t="s">
        <v>987</v>
      </c>
      <c r="CX1028" t="s">
        <v>6755</v>
      </c>
      <c r="CY1028" t="s">
        <v>989</v>
      </c>
    </row>
    <row r="1029" spans="1:103" hidden="1" x14ac:dyDescent="0.25">
      <c r="A1029">
        <v>410001035</v>
      </c>
      <c r="B1029" t="s">
        <v>6764</v>
      </c>
      <c r="C1029" t="s">
        <v>6765</v>
      </c>
      <c r="D1029">
        <v>401100000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1</v>
      </c>
      <c r="Y1029" t="s">
        <v>972</v>
      </c>
      <c r="Z1029" t="s">
        <v>987</v>
      </c>
      <c r="AA1029" t="s">
        <v>6766</v>
      </c>
      <c r="AB1029" t="s">
        <v>975</v>
      </c>
      <c r="AC1029">
        <v>4821</v>
      </c>
      <c r="AD1029" t="s">
        <v>1591</v>
      </c>
      <c r="AE1029">
        <v>32486506050</v>
      </c>
      <c r="AF1029" t="s">
        <v>979</v>
      </c>
      <c r="AG1029" t="s">
        <v>977</v>
      </c>
      <c r="AH1029">
        <v>778622265</v>
      </c>
      <c r="AI1029">
        <v>43222</v>
      </c>
      <c r="AJ1029" t="s">
        <v>978</v>
      </c>
      <c r="AK1029" t="s">
        <v>978</v>
      </c>
      <c r="AL1029" t="s">
        <v>978</v>
      </c>
      <c r="AM1029" t="s">
        <v>979</v>
      </c>
      <c r="AN1029">
        <v>0</v>
      </c>
      <c r="AO1029" t="s">
        <v>257</v>
      </c>
      <c r="AP1029">
        <v>0</v>
      </c>
      <c r="AQ1029">
        <v>1</v>
      </c>
      <c r="AR1029">
        <v>69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1</v>
      </c>
      <c r="AZ1029" t="s">
        <v>257</v>
      </c>
      <c r="BA1029" t="s">
        <v>980</v>
      </c>
      <c r="BB1029" t="s">
        <v>981</v>
      </c>
      <c r="BC1029" t="s">
        <v>257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 t="s">
        <v>998</v>
      </c>
      <c r="BK1029" t="s">
        <v>981</v>
      </c>
      <c r="BL1029" t="s">
        <v>6764</v>
      </c>
      <c r="BM1029">
        <v>20241126</v>
      </c>
      <c r="BN1029">
        <v>20241127</v>
      </c>
      <c r="BO1029">
        <v>0</v>
      </c>
      <c r="BP1029" t="s">
        <v>257</v>
      </c>
      <c r="BQ1029" t="s">
        <v>983</v>
      </c>
      <c r="BR1029" t="s">
        <v>978</v>
      </c>
      <c r="BS1029" t="s">
        <v>979</v>
      </c>
      <c r="BT1029">
        <v>0</v>
      </c>
      <c r="BU1029">
        <v>0</v>
      </c>
      <c r="BV1029" t="s">
        <v>984</v>
      </c>
      <c r="BW1029" t="s">
        <v>257</v>
      </c>
      <c r="BX1029">
        <v>0</v>
      </c>
      <c r="BY1029" t="s">
        <v>980</v>
      </c>
      <c r="BZ1029" t="s">
        <v>257</v>
      </c>
      <c r="CA1029">
        <v>0</v>
      </c>
      <c r="CB1029">
        <v>0</v>
      </c>
      <c r="CC1029" t="s">
        <v>985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 t="s">
        <v>983</v>
      </c>
      <c r="CJ1029" t="s">
        <v>972</v>
      </c>
      <c r="CK1029" t="s">
        <v>986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 t="s">
        <v>987</v>
      </c>
      <c r="CV1029">
        <v>400010776</v>
      </c>
      <c r="CW1029" t="s">
        <v>987</v>
      </c>
      <c r="CX1029" t="s">
        <v>4664</v>
      </c>
      <c r="CY1029" t="s">
        <v>989</v>
      </c>
    </row>
    <row r="1030" spans="1:103" hidden="1" x14ac:dyDescent="0.25">
      <c r="A1030">
        <v>410001036</v>
      </c>
      <c r="B1030" t="s">
        <v>6767</v>
      </c>
      <c r="C1030" t="s">
        <v>6768</v>
      </c>
      <c r="D1030">
        <v>401100000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1</v>
      </c>
      <c r="X1030">
        <v>1</v>
      </c>
      <c r="Y1030" t="s">
        <v>972</v>
      </c>
      <c r="Z1030" t="s">
        <v>987</v>
      </c>
      <c r="AA1030" t="s">
        <v>6769</v>
      </c>
      <c r="AB1030" t="s">
        <v>975</v>
      </c>
      <c r="AC1030">
        <v>4000</v>
      </c>
      <c r="AD1030" t="s">
        <v>2058</v>
      </c>
      <c r="AE1030">
        <v>3243424604</v>
      </c>
      <c r="AF1030" t="s">
        <v>979</v>
      </c>
      <c r="AG1030" t="s">
        <v>977</v>
      </c>
      <c r="AH1030">
        <v>423986505</v>
      </c>
      <c r="AI1030">
        <v>46731</v>
      </c>
      <c r="AJ1030" t="s">
        <v>978</v>
      </c>
      <c r="AK1030" t="s">
        <v>978</v>
      </c>
      <c r="AL1030" t="s">
        <v>978</v>
      </c>
      <c r="AM1030" t="s">
        <v>979</v>
      </c>
      <c r="AN1030">
        <v>0</v>
      </c>
      <c r="AO1030" t="s">
        <v>257</v>
      </c>
      <c r="AP1030">
        <v>0</v>
      </c>
      <c r="AQ1030">
        <v>1</v>
      </c>
      <c r="AR1030">
        <v>69</v>
      </c>
      <c r="AS1030">
        <v>1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1</v>
      </c>
      <c r="AZ1030" t="s">
        <v>257</v>
      </c>
      <c r="BA1030" t="s">
        <v>980</v>
      </c>
      <c r="BB1030" t="s">
        <v>981</v>
      </c>
      <c r="BC1030" t="s">
        <v>257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 t="s">
        <v>998</v>
      </c>
      <c r="BK1030" t="s">
        <v>981</v>
      </c>
      <c r="BL1030" t="s">
        <v>6767</v>
      </c>
      <c r="BM1030">
        <v>20241128</v>
      </c>
      <c r="BN1030">
        <v>20241129</v>
      </c>
      <c r="BO1030">
        <v>0</v>
      </c>
      <c r="BP1030" t="s">
        <v>257</v>
      </c>
      <c r="BQ1030" t="s">
        <v>983</v>
      </c>
      <c r="BR1030" t="s">
        <v>978</v>
      </c>
      <c r="BS1030" t="s">
        <v>979</v>
      </c>
      <c r="BT1030">
        <v>0</v>
      </c>
      <c r="BU1030">
        <v>0</v>
      </c>
      <c r="BV1030" t="s">
        <v>984</v>
      </c>
      <c r="BW1030" t="s">
        <v>257</v>
      </c>
      <c r="BX1030">
        <v>0</v>
      </c>
      <c r="BY1030" t="s">
        <v>980</v>
      </c>
      <c r="BZ1030" t="s">
        <v>257</v>
      </c>
      <c r="CA1030">
        <v>0</v>
      </c>
      <c r="CB1030">
        <v>0</v>
      </c>
      <c r="CC1030" t="s">
        <v>1815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 t="s">
        <v>983</v>
      </c>
      <c r="CJ1030" t="s">
        <v>972</v>
      </c>
      <c r="CK1030" t="s">
        <v>986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 t="s">
        <v>987</v>
      </c>
      <c r="CV1030">
        <v>400010782</v>
      </c>
      <c r="CW1030" t="s">
        <v>987</v>
      </c>
      <c r="CX1030" t="s">
        <v>6770</v>
      </c>
      <c r="CY1030" t="s">
        <v>989</v>
      </c>
    </row>
    <row r="1031" spans="1:103" hidden="1" x14ac:dyDescent="0.25">
      <c r="A1031">
        <v>410001037</v>
      </c>
      <c r="B1031" t="s">
        <v>6817</v>
      </c>
      <c r="C1031" t="s">
        <v>6818</v>
      </c>
      <c r="D1031">
        <v>401100000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1</v>
      </c>
      <c r="X1031">
        <v>1</v>
      </c>
      <c r="Y1031" t="s">
        <v>972</v>
      </c>
      <c r="Z1031" t="s">
        <v>987</v>
      </c>
      <c r="AA1031" t="s">
        <v>6819</v>
      </c>
      <c r="AB1031" t="s">
        <v>975</v>
      </c>
      <c r="AC1031">
        <v>1390</v>
      </c>
      <c r="AD1031" t="s">
        <v>3825</v>
      </c>
      <c r="AE1031" t="s">
        <v>979</v>
      </c>
      <c r="AF1031" t="s">
        <v>979</v>
      </c>
      <c r="AG1031" t="s">
        <v>977</v>
      </c>
      <c r="AH1031">
        <v>462952393</v>
      </c>
      <c r="AI1031">
        <v>69202</v>
      </c>
      <c r="AJ1031" t="s">
        <v>6820</v>
      </c>
      <c r="AK1031" t="s">
        <v>978</v>
      </c>
      <c r="AL1031" t="s">
        <v>978</v>
      </c>
      <c r="AM1031" t="s">
        <v>979</v>
      </c>
      <c r="AN1031">
        <v>0</v>
      </c>
      <c r="AO1031" t="s">
        <v>257</v>
      </c>
      <c r="AP1031">
        <v>0</v>
      </c>
      <c r="AQ1031">
        <v>1</v>
      </c>
      <c r="AR1031">
        <v>69</v>
      </c>
      <c r="AS1031">
        <v>1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1</v>
      </c>
      <c r="AZ1031" t="s">
        <v>257</v>
      </c>
      <c r="BA1031" t="s">
        <v>980</v>
      </c>
      <c r="BB1031" t="s">
        <v>981</v>
      </c>
      <c r="BC1031" t="s">
        <v>257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 t="s">
        <v>998</v>
      </c>
      <c r="BK1031" t="s">
        <v>981</v>
      </c>
      <c r="BL1031" t="s">
        <v>6817</v>
      </c>
      <c r="BM1031">
        <v>20241210</v>
      </c>
      <c r="BN1031">
        <v>20241213</v>
      </c>
      <c r="BO1031">
        <v>0</v>
      </c>
      <c r="BP1031" t="s">
        <v>257</v>
      </c>
      <c r="BQ1031" t="s">
        <v>983</v>
      </c>
      <c r="BR1031" t="s">
        <v>978</v>
      </c>
      <c r="BS1031">
        <v>32497268440</v>
      </c>
      <c r="BT1031">
        <v>0</v>
      </c>
      <c r="BU1031">
        <v>0</v>
      </c>
      <c r="BV1031" t="s">
        <v>984</v>
      </c>
      <c r="BW1031" t="s">
        <v>257</v>
      </c>
      <c r="BX1031">
        <v>0</v>
      </c>
      <c r="BY1031" t="s">
        <v>980</v>
      </c>
      <c r="BZ1031" t="s">
        <v>257</v>
      </c>
      <c r="CA1031">
        <v>0</v>
      </c>
      <c r="CB1031">
        <v>0</v>
      </c>
      <c r="CC1031" t="s">
        <v>1901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 t="s">
        <v>983</v>
      </c>
      <c r="CJ1031" t="s">
        <v>972</v>
      </c>
      <c r="CK1031" t="s">
        <v>986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 t="s">
        <v>987</v>
      </c>
      <c r="CV1031">
        <v>400010803</v>
      </c>
      <c r="CW1031" t="s">
        <v>987</v>
      </c>
      <c r="CX1031" t="s">
        <v>6821</v>
      </c>
      <c r="CY1031" t="s">
        <v>989</v>
      </c>
    </row>
    <row r="1032" spans="1:103" hidden="1" x14ac:dyDescent="0.25">
      <c r="A1032">
        <v>410001038</v>
      </c>
      <c r="B1032" t="s">
        <v>6822</v>
      </c>
      <c r="C1032" t="s">
        <v>6823</v>
      </c>
      <c r="D1032">
        <v>401100000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1</v>
      </c>
      <c r="Y1032" t="s">
        <v>972</v>
      </c>
      <c r="Z1032" t="s">
        <v>987</v>
      </c>
      <c r="AA1032" t="s">
        <v>6824</v>
      </c>
      <c r="AB1032" t="s">
        <v>975</v>
      </c>
      <c r="AC1032">
        <v>4600</v>
      </c>
      <c r="AD1032" t="s">
        <v>1813</v>
      </c>
      <c r="AE1032">
        <v>3243794018</v>
      </c>
      <c r="AF1032" t="s">
        <v>979</v>
      </c>
      <c r="AG1032" t="s">
        <v>977</v>
      </c>
      <c r="AH1032">
        <v>445715295</v>
      </c>
      <c r="AI1032">
        <v>66220</v>
      </c>
      <c r="AJ1032" t="s">
        <v>978</v>
      </c>
      <c r="AK1032" t="s">
        <v>978</v>
      </c>
      <c r="AL1032" t="s">
        <v>978</v>
      </c>
      <c r="AM1032" t="s">
        <v>979</v>
      </c>
      <c r="AN1032">
        <v>0</v>
      </c>
      <c r="AO1032" t="s">
        <v>257</v>
      </c>
      <c r="AP1032">
        <v>0</v>
      </c>
      <c r="AQ1032">
        <v>1</v>
      </c>
      <c r="AR1032">
        <v>69</v>
      </c>
      <c r="AS1032">
        <v>1</v>
      </c>
      <c r="AT1032">
        <v>0</v>
      </c>
      <c r="AU1032">
        <v>1</v>
      </c>
      <c r="AV1032">
        <v>0</v>
      </c>
      <c r="AW1032">
        <v>0</v>
      </c>
      <c r="AX1032">
        <v>0</v>
      </c>
      <c r="AY1032">
        <v>1</v>
      </c>
      <c r="AZ1032" t="s">
        <v>257</v>
      </c>
      <c r="BA1032" t="s">
        <v>980</v>
      </c>
      <c r="BB1032" t="s">
        <v>981</v>
      </c>
      <c r="BC1032" t="s">
        <v>257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 t="s">
        <v>998</v>
      </c>
      <c r="BK1032" t="s">
        <v>981</v>
      </c>
      <c r="BL1032" t="s">
        <v>6822</v>
      </c>
      <c r="BM1032">
        <v>20241212</v>
      </c>
      <c r="BN1032">
        <v>20241213</v>
      </c>
      <c r="BO1032">
        <v>0</v>
      </c>
      <c r="BP1032" t="s">
        <v>257</v>
      </c>
      <c r="BQ1032" t="s">
        <v>983</v>
      </c>
      <c r="BR1032" t="s">
        <v>978</v>
      </c>
      <c r="BS1032" t="s">
        <v>979</v>
      </c>
      <c r="BT1032">
        <v>0</v>
      </c>
      <c r="BU1032">
        <v>0</v>
      </c>
      <c r="BV1032" t="s">
        <v>984</v>
      </c>
      <c r="BW1032" t="s">
        <v>257</v>
      </c>
      <c r="BX1032">
        <v>0</v>
      </c>
      <c r="BY1032" t="s">
        <v>980</v>
      </c>
      <c r="BZ1032" t="s">
        <v>257</v>
      </c>
      <c r="CA1032">
        <v>0</v>
      </c>
      <c r="CB1032">
        <v>0</v>
      </c>
      <c r="CC1032" t="s">
        <v>1119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 t="s">
        <v>983</v>
      </c>
      <c r="CJ1032" t="s">
        <v>972</v>
      </c>
      <c r="CK1032" t="s">
        <v>986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 t="s">
        <v>987</v>
      </c>
      <c r="CV1032">
        <v>400010808</v>
      </c>
      <c r="CW1032" t="s">
        <v>987</v>
      </c>
      <c r="CX1032" t="s">
        <v>6825</v>
      </c>
      <c r="CY1032" t="s">
        <v>989</v>
      </c>
    </row>
    <row r="1033" spans="1:103" hidden="1" x14ac:dyDescent="0.25">
      <c r="A1033">
        <v>410001039</v>
      </c>
      <c r="B1033" t="s">
        <v>6826</v>
      </c>
      <c r="C1033" t="s">
        <v>6827</v>
      </c>
      <c r="D1033">
        <v>401100000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1</v>
      </c>
      <c r="Y1033" t="s">
        <v>972</v>
      </c>
      <c r="Z1033" t="s">
        <v>987</v>
      </c>
      <c r="AA1033" t="s">
        <v>6828</v>
      </c>
      <c r="AB1033" t="s">
        <v>975</v>
      </c>
      <c r="AC1033">
        <v>4802</v>
      </c>
      <c r="AD1033" t="s">
        <v>1124</v>
      </c>
      <c r="AE1033">
        <v>3287662616</v>
      </c>
      <c r="AF1033" t="s">
        <v>979</v>
      </c>
      <c r="AG1033" t="s">
        <v>977</v>
      </c>
      <c r="AH1033">
        <v>430507378</v>
      </c>
      <c r="AI1033">
        <v>81220</v>
      </c>
      <c r="AJ1033" t="s">
        <v>978</v>
      </c>
      <c r="AK1033" t="s">
        <v>978</v>
      </c>
      <c r="AL1033" t="s">
        <v>978</v>
      </c>
      <c r="AM1033" t="s">
        <v>979</v>
      </c>
      <c r="AN1033">
        <v>0</v>
      </c>
      <c r="AO1033" t="s">
        <v>257</v>
      </c>
      <c r="AP1033">
        <v>0</v>
      </c>
      <c r="AQ1033">
        <v>1</v>
      </c>
      <c r="AR1033">
        <v>69</v>
      </c>
      <c r="AS1033">
        <v>1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1</v>
      </c>
      <c r="AZ1033" t="s">
        <v>257</v>
      </c>
      <c r="BA1033" t="s">
        <v>980</v>
      </c>
      <c r="BB1033" t="s">
        <v>981</v>
      </c>
      <c r="BC1033" t="s">
        <v>257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 t="s">
        <v>998</v>
      </c>
      <c r="BK1033" t="s">
        <v>981</v>
      </c>
      <c r="BL1033" t="s">
        <v>6826</v>
      </c>
      <c r="BM1033">
        <v>20241216</v>
      </c>
      <c r="BN1033">
        <v>20241216</v>
      </c>
      <c r="BO1033">
        <v>0</v>
      </c>
      <c r="BP1033" t="s">
        <v>257</v>
      </c>
      <c r="BQ1033" t="s">
        <v>983</v>
      </c>
      <c r="BR1033" t="s">
        <v>978</v>
      </c>
      <c r="BS1033" t="s">
        <v>979</v>
      </c>
      <c r="BT1033">
        <v>0</v>
      </c>
      <c r="BU1033">
        <v>0</v>
      </c>
      <c r="BV1033" t="s">
        <v>984</v>
      </c>
      <c r="BW1033" t="s">
        <v>257</v>
      </c>
      <c r="BX1033">
        <v>0</v>
      </c>
      <c r="BY1033" t="s">
        <v>980</v>
      </c>
      <c r="BZ1033" t="s">
        <v>257</v>
      </c>
      <c r="CA1033">
        <v>0</v>
      </c>
      <c r="CB1033">
        <v>0</v>
      </c>
      <c r="CC1033" t="s">
        <v>1916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 t="s">
        <v>983</v>
      </c>
      <c r="CJ1033" t="s">
        <v>972</v>
      </c>
      <c r="CK1033" t="s">
        <v>986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 t="s">
        <v>987</v>
      </c>
      <c r="CV1033">
        <v>400010811</v>
      </c>
      <c r="CW1033" t="s">
        <v>987</v>
      </c>
      <c r="CX1033" t="s">
        <v>6829</v>
      </c>
      <c r="CY1033" t="s">
        <v>989</v>
      </c>
    </row>
    <row r="1034" spans="1:103" hidden="1" x14ac:dyDescent="0.25">
      <c r="A1034">
        <v>410001040</v>
      </c>
      <c r="B1034" t="s">
        <v>6830</v>
      </c>
      <c r="C1034" t="s">
        <v>6831</v>
      </c>
      <c r="D1034">
        <v>401100000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1</v>
      </c>
      <c r="Y1034" t="s">
        <v>972</v>
      </c>
      <c r="Z1034" t="s">
        <v>987</v>
      </c>
      <c r="AA1034" t="s">
        <v>6832</v>
      </c>
      <c r="AB1034" t="s">
        <v>975</v>
      </c>
      <c r="AC1034">
        <v>6032</v>
      </c>
      <c r="AD1034" t="s">
        <v>993</v>
      </c>
      <c r="AE1034">
        <v>3271609816</v>
      </c>
      <c r="AF1034" t="s">
        <v>979</v>
      </c>
      <c r="AG1034" t="s">
        <v>6833</v>
      </c>
      <c r="AH1034">
        <v>886938405</v>
      </c>
      <c r="AI1034">
        <v>69202</v>
      </c>
      <c r="AJ1034" t="s">
        <v>5844</v>
      </c>
      <c r="AK1034" t="s">
        <v>978</v>
      </c>
      <c r="AL1034" t="s">
        <v>978</v>
      </c>
      <c r="AM1034" t="s">
        <v>979</v>
      </c>
      <c r="AN1034">
        <v>0</v>
      </c>
      <c r="AO1034" t="s">
        <v>257</v>
      </c>
      <c r="AP1034">
        <v>0</v>
      </c>
      <c r="AQ1034">
        <v>1</v>
      </c>
      <c r="AR1034">
        <v>69</v>
      </c>
      <c r="AS1034">
        <v>1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1</v>
      </c>
      <c r="AZ1034" t="s">
        <v>257</v>
      </c>
      <c r="BA1034" t="s">
        <v>980</v>
      </c>
      <c r="BB1034" t="s">
        <v>981</v>
      </c>
      <c r="BC1034" t="s">
        <v>257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 t="s">
        <v>998</v>
      </c>
      <c r="BK1034" t="s">
        <v>981</v>
      </c>
      <c r="BL1034" t="s">
        <v>6830</v>
      </c>
      <c r="BM1034">
        <v>20241219</v>
      </c>
      <c r="BN1034">
        <v>20250505</v>
      </c>
      <c r="BO1034">
        <v>0</v>
      </c>
      <c r="BP1034" t="s">
        <v>257</v>
      </c>
      <c r="BQ1034" t="s">
        <v>983</v>
      </c>
      <c r="BR1034" t="s">
        <v>978</v>
      </c>
      <c r="BS1034" t="s">
        <v>979</v>
      </c>
      <c r="BT1034">
        <v>0</v>
      </c>
      <c r="BU1034">
        <v>0</v>
      </c>
      <c r="BV1034" t="s">
        <v>984</v>
      </c>
      <c r="BW1034" t="s">
        <v>257</v>
      </c>
      <c r="BX1034">
        <v>0</v>
      </c>
      <c r="BY1034" t="s">
        <v>980</v>
      </c>
      <c r="BZ1034" t="s">
        <v>257</v>
      </c>
      <c r="CA1034">
        <v>0</v>
      </c>
      <c r="CB1034">
        <v>0</v>
      </c>
      <c r="CC1034" t="s">
        <v>1916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 t="s">
        <v>983</v>
      </c>
      <c r="CJ1034" t="s">
        <v>972</v>
      </c>
      <c r="CK1034" t="s">
        <v>986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 t="s">
        <v>987</v>
      </c>
      <c r="CV1034">
        <v>400010821</v>
      </c>
      <c r="CW1034" t="s">
        <v>987</v>
      </c>
      <c r="CX1034" t="s">
        <v>6834</v>
      </c>
      <c r="CY1034" t="s">
        <v>989</v>
      </c>
    </row>
    <row r="1035" spans="1:103" hidden="1" x14ac:dyDescent="0.25">
      <c r="A1035">
        <v>410001041</v>
      </c>
      <c r="B1035" t="s">
        <v>6835</v>
      </c>
      <c r="C1035" t="s">
        <v>6836</v>
      </c>
      <c r="D1035">
        <v>401100000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</v>
      </c>
      <c r="W1035">
        <v>1</v>
      </c>
      <c r="X1035">
        <v>1</v>
      </c>
      <c r="Y1035" t="s">
        <v>972</v>
      </c>
      <c r="Z1035" t="s">
        <v>987</v>
      </c>
      <c r="AA1035" t="s">
        <v>6837</v>
      </c>
      <c r="AB1035" t="s">
        <v>1626</v>
      </c>
      <c r="AC1035">
        <v>4562</v>
      </c>
      <c r="AD1035" t="s">
        <v>6838</v>
      </c>
      <c r="AE1035">
        <v>3524356091</v>
      </c>
      <c r="AF1035" t="s">
        <v>979</v>
      </c>
      <c r="AG1035" t="s">
        <v>977</v>
      </c>
      <c r="AH1035" t="s">
        <v>6839</v>
      </c>
      <c r="AI1035">
        <v>95290</v>
      </c>
      <c r="AJ1035" t="s">
        <v>6481</v>
      </c>
      <c r="AK1035" t="s">
        <v>978</v>
      </c>
      <c r="AL1035" t="s">
        <v>978</v>
      </c>
      <c r="AM1035" t="s">
        <v>979</v>
      </c>
      <c r="AN1035">
        <v>0</v>
      </c>
      <c r="AO1035" t="s">
        <v>257</v>
      </c>
      <c r="AP1035">
        <v>0</v>
      </c>
      <c r="AQ1035">
        <v>1</v>
      </c>
      <c r="AR1035">
        <v>43</v>
      </c>
      <c r="AS1035">
        <v>1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1</v>
      </c>
      <c r="AZ1035" t="s">
        <v>257</v>
      </c>
      <c r="BA1035" t="s">
        <v>980</v>
      </c>
      <c r="BB1035" t="s">
        <v>981</v>
      </c>
      <c r="BC1035" t="s">
        <v>257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 t="s">
        <v>998</v>
      </c>
      <c r="BK1035" t="s">
        <v>981</v>
      </c>
      <c r="BL1035" t="s">
        <v>6835</v>
      </c>
      <c r="BM1035">
        <v>20250107</v>
      </c>
      <c r="BN1035">
        <v>20250108</v>
      </c>
      <c r="BO1035">
        <v>0</v>
      </c>
      <c r="BP1035" t="s">
        <v>257</v>
      </c>
      <c r="BQ1035" t="s">
        <v>983</v>
      </c>
      <c r="BR1035" t="s">
        <v>978</v>
      </c>
      <c r="BS1035">
        <v>352621360022</v>
      </c>
      <c r="BT1035">
        <v>0</v>
      </c>
      <c r="BU1035">
        <v>0</v>
      </c>
      <c r="BV1035" t="s">
        <v>984</v>
      </c>
      <c r="BW1035" t="s">
        <v>257</v>
      </c>
      <c r="BX1035">
        <v>0</v>
      </c>
      <c r="BY1035" t="s">
        <v>980</v>
      </c>
      <c r="BZ1035" t="s">
        <v>257</v>
      </c>
      <c r="CA1035">
        <v>0</v>
      </c>
      <c r="CB1035">
        <v>0</v>
      </c>
      <c r="CC1035" t="s">
        <v>1901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 t="s">
        <v>983</v>
      </c>
      <c r="CJ1035" t="s">
        <v>972</v>
      </c>
      <c r="CK1035" t="s">
        <v>986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 t="s">
        <v>987</v>
      </c>
      <c r="CV1035">
        <v>400010829</v>
      </c>
      <c r="CW1035" t="s">
        <v>987</v>
      </c>
      <c r="CX1035" t="s">
        <v>6840</v>
      </c>
      <c r="CY1035" t="s">
        <v>989</v>
      </c>
    </row>
    <row r="1036" spans="1:103" hidden="1" x14ac:dyDescent="0.25">
      <c r="A1036">
        <v>410001042</v>
      </c>
      <c r="B1036" t="s">
        <v>6841</v>
      </c>
      <c r="C1036" t="s">
        <v>6842</v>
      </c>
      <c r="D1036">
        <v>401100000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1</v>
      </c>
      <c r="Y1036" t="s">
        <v>972</v>
      </c>
      <c r="Z1036" t="s">
        <v>987</v>
      </c>
      <c r="AA1036" t="s">
        <v>6843</v>
      </c>
      <c r="AB1036" t="s">
        <v>975</v>
      </c>
      <c r="AC1036">
        <v>4000</v>
      </c>
      <c r="AD1036" t="s">
        <v>1019</v>
      </c>
      <c r="AE1036" t="s">
        <v>979</v>
      </c>
      <c r="AF1036" t="s">
        <v>979</v>
      </c>
      <c r="AG1036" t="s">
        <v>6844</v>
      </c>
      <c r="AH1036">
        <v>1016794679</v>
      </c>
      <c r="AI1036" t="s">
        <v>977</v>
      </c>
      <c r="AJ1036" t="s">
        <v>978</v>
      </c>
      <c r="AK1036" t="s">
        <v>978</v>
      </c>
      <c r="AL1036" t="s">
        <v>978</v>
      </c>
      <c r="AM1036" t="s">
        <v>979</v>
      </c>
      <c r="AN1036">
        <v>0</v>
      </c>
      <c r="AO1036" t="s">
        <v>257</v>
      </c>
      <c r="AP1036">
        <v>0</v>
      </c>
      <c r="AQ1036">
        <v>1</v>
      </c>
      <c r="AR1036">
        <v>43</v>
      </c>
      <c r="AS1036">
        <v>1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1</v>
      </c>
      <c r="AZ1036" t="s">
        <v>257</v>
      </c>
      <c r="BA1036" t="s">
        <v>980</v>
      </c>
      <c r="BB1036" t="s">
        <v>981</v>
      </c>
      <c r="BC1036" t="s">
        <v>257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 t="s">
        <v>998</v>
      </c>
      <c r="BK1036" t="s">
        <v>981</v>
      </c>
      <c r="BL1036" t="s">
        <v>6841</v>
      </c>
      <c r="BM1036">
        <v>20250109</v>
      </c>
      <c r="BN1036">
        <v>20250109</v>
      </c>
      <c r="BO1036">
        <v>0</v>
      </c>
      <c r="BP1036" t="s">
        <v>257</v>
      </c>
      <c r="BQ1036" t="s">
        <v>983</v>
      </c>
      <c r="BR1036" t="s">
        <v>978</v>
      </c>
      <c r="BS1036">
        <v>32492802580</v>
      </c>
      <c r="BT1036">
        <v>0</v>
      </c>
      <c r="BU1036">
        <v>0</v>
      </c>
      <c r="BV1036" t="s">
        <v>984</v>
      </c>
      <c r="BW1036" t="s">
        <v>257</v>
      </c>
      <c r="BX1036">
        <v>0</v>
      </c>
      <c r="BY1036" t="s">
        <v>980</v>
      </c>
      <c r="BZ1036" t="s">
        <v>257</v>
      </c>
      <c r="CA1036">
        <v>0</v>
      </c>
      <c r="CB1036">
        <v>0</v>
      </c>
      <c r="CC1036" t="s">
        <v>6845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 t="s">
        <v>983</v>
      </c>
      <c r="CJ1036" t="s">
        <v>972</v>
      </c>
      <c r="CK1036" t="s">
        <v>986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 t="s">
        <v>987</v>
      </c>
      <c r="CV1036">
        <v>400010835</v>
      </c>
      <c r="CW1036" t="s">
        <v>987</v>
      </c>
      <c r="CX1036" t="s">
        <v>6846</v>
      </c>
      <c r="CY1036" t="s">
        <v>989</v>
      </c>
    </row>
    <row r="1037" spans="1:103" hidden="1" x14ac:dyDescent="0.25">
      <c r="A1037">
        <v>410001043</v>
      </c>
      <c r="B1037" t="s">
        <v>6847</v>
      </c>
      <c r="C1037" t="s">
        <v>6848</v>
      </c>
      <c r="D1037">
        <v>401100000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1</v>
      </c>
      <c r="Y1037" t="s">
        <v>972</v>
      </c>
      <c r="Z1037" t="s">
        <v>987</v>
      </c>
      <c r="AA1037" t="s">
        <v>6849</v>
      </c>
      <c r="AB1037" t="s">
        <v>975</v>
      </c>
      <c r="AC1037">
        <v>4430</v>
      </c>
      <c r="AD1037" t="s">
        <v>1474</v>
      </c>
      <c r="AE1037">
        <v>3242235363</v>
      </c>
      <c r="AF1037" t="s">
        <v>979</v>
      </c>
      <c r="AG1037" t="s">
        <v>977</v>
      </c>
      <c r="AH1037">
        <v>1017704895</v>
      </c>
      <c r="AI1037" t="s">
        <v>6850</v>
      </c>
      <c r="AJ1037" t="s">
        <v>978</v>
      </c>
      <c r="AK1037" t="s">
        <v>978</v>
      </c>
      <c r="AL1037" t="s">
        <v>978</v>
      </c>
      <c r="AM1037" t="s">
        <v>979</v>
      </c>
      <c r="AN1037">
        <v>0</v>
      </c>
      <c r="AO1037" t="s">
        <v>257</v>
      </c>
      <c r="AP1037">
        <v>0</v>
      </c>
      <c r="AQ1037">
        <v>1</v>
      </c>
      <c r="AR1037">
        <v>43</v>
      </c>
      <c r="AS1037">
        <v>1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1</v>
      </c>
      <c r="AZ1037" t="s">
        <v>257</v>
      </c>
      <c r="BA1037" t="s">
        <v>980</v>
      </c>
      <c r="BB1037" t="s">
        <v>981</v>
      </c>
      <c r="BC1037" t="s">
        <v>257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 t="s">
        <v>998</v>
      </c>
      <c r="BK1037" t="s">
        <v>981</v>
      </c>
      <c r="BL1037" t="s">
        <v>6847</v>
      </c>
      <c r="BM1037">
        <v>20250116</v>
      </c>
      <c r="BN1037">
        <v>20250116</v>
      </c>
      <c r="BO1037">
        <v>0</v>
      </c>
      <c r="BP1037" t="s">
        <v>257</v>
      </c>
      <c r="BQ1037" t="s">
        <v>983</v>
      </c>
      <c r="BR1037" t="s">
        <v>978</v>
      </c>
      <c r="BS1037" t="s">
        <v>979</v>
      </c>
      <c r="BT1037">
        <v>0</v>
      </c>
      <c r="BU1037">
        <v>0</v>
      </c>
      <c r="BV1037" t="s">
        <v>984</v>
      </c>
      <c r="BW1037" t="s">
        <v>257</v>
      </c>
      <c r="BX1037">
        <v>0</v>
      </c>
      <c r="BY1037" t="s">
        <v>980</v>
      </c>
      <c r="BZ1037" t="s">
        <v>257</v>
      </c>
      <c r="CA1037">
        <v>0</v>
      </c>
      <c r="CB1037">
        <v>0</v>
      </c>
      <c r="CC1037" t="s">
        <v>1371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 t="s">
        <v>983</v>
      </c>
      <c r="CJ1037" t="s">
        <v>972</v>
      </c>
      <c r="CK1037" t="s">
        <v>986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 t="s">
        <v>987</v>
      </c>
      <c r="CV1037">
        <v>400010851</v>
      </c>
      <c r="CW1037" t="s">
        <v>987</v>
      </c>
      <c r="CX1037" t="s">
        <v>5078</v>
      </c>
      <c r="CY1037" t="s">
        <v>989</v>
      </c>
    </row>
    <row r="1038" spans="1:103" hidden="1" x14ac:dyDescent="0.25">
      <c r="A1038">
        <v>410001044</v>
      </c>
      <c r="B1038" t="s">
        <v>6851</v>
      </c>
      <c r="C1038" t="s">
        <v>6852</v>
      </c>
      <c r="D1038">
        <v>401100000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1</v>
      </c>
      <c r="X1038">
        <v>1</v>
      </c>
      <c r="Y1038" t="s">
        <v>972</v>
      </c>
      <c r="Z1038" t="s">
        <v>987</v>
      </c>
      <c r="AA1038" t="s">
        <v>6853</v>
      </c>
      <c r="AB1038" t="s">
        <v>975</v>
      </c>
      <c r="AC1038">
        <v>4100</v>
      </c>
      <c r="AD1038" t="s">
        <v>1655</v>
      </c>
      <c r="AE1038">
        <v>32473253115</v>
      </c>
      <c r="AF1038" t="s">
        <v>979</v>
      </c>
      <c r="AG1038" t="s">
        <v>977</v>
      </c>
      <c r="AH1038">
        <v>864034131</v>
      </c>
      <c r="AI1038">
        <v>71121</v>
      </c>
      <c r="AJ1038" t="s">
        <v>978</v>
      </c>
      <c r="AK1038" t="s">
        <v>978</v>
      </c>
      <c r="AL1038" t="s">
        <v>978</v>
      </c>
      <c r="AM1038" t="s">
        <v>979</v>
      </c>
      <c r="AN1038">
        <v>0</v>
      </c>
      <c r="AO1038" t="s">
        <v>257</v>
      </c>
      <c r="AP1038">
        <v>0</v>
      </c>
      <c r="AQ1038">
        <v>1</v>
      </c>
      <c r="AR1038">
        <v>69</v>
      </c>
      <c r="AS1038">
        <v>1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1</v>
      </c>
      <c r="AZ1038" t="s">
        <v>257</v>
      </c>
      <c r="BA1038" t="s">
        <v>980</v>
      </c>
      <c r="BB1038" t="s">
        <v>981</v>
      </c>
      <c r="BC1038" t="s">
        <v>257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 t="s">
        <v>998</v>
      </c>
      <c r="BK1038" t="s">
        <v>981</v>
      </c>
      <c r="BL1038" t="s">
        <v>6851</v>
      </c>
      <c r="BM1038">
        <v>20250122</v>
      </c>
      <c r="BN1038">
        <v>20250123</v>
      </c>
      <c r="BO1038">
        <v>0</v>
      </c>
      <c r="BP1038" t="s">
        <v>257</v>
      </c>
      <c r="BQ1038" t="s">
        <v>983</v>
      </c>
      <c r="BR1038" t="s">
        <v>978</v>
      </c>
      <c r="BS1038" t="s">
        <v>979</v>
      </c>
      <c r="BT1038">
        <v>0</v>
      </c>
      <c r="BU1038">
        <v>0</v>
      </c>
      <c r="BV1038" t="s">
        <v>984</v>
      </c>
      <c r="BW1038" t="s">
        <v>257</v>
      </c>
      <c r="BX1038">
        <v>0</v>
      </c>
      <c r="BY1038" t="s">
        <v>980</v>
      </c>
      <c r="BZ1038" t="s">
        <v>257</v>
      </c>
      <c r="CA1038">
        <v>0</v>
      </c>
      <c r="CB1038">
        <v>0</v>
      </c>
      <c r="CC1038" t="s">
        <v>1080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 t="s">
        <v>983</v>
      </c>
      <c r="CJ1038" t="s">
        <v>972</v>
      </c>
      <c r="CK1038" t="s">
        <v>986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 t="s">
        <v>987</v>
      </c>
      <c r="CV1038">
        <v>400010863</v>
      </c>
      <c r="CW1038" t="s">
        <v>987</v>
      </c>
      <c r="CX1038" t="s">
        <v>6854</v>
      </c>
      <c r="CY1038" t="s">
        <v>989</v>
      </c>
    </row>
    <row r="1039" spans="1:103" hidden="1" x14ac:dyDescent="0.25">
      <c r="A1039">
        <v>410001045</v>
      </c>
      <c r="B1039" t="s">
        <v>6952</v>
      </c>
      <c r="C1039" t="s">
        <v>6855</v>
      </c>
      <c r="D1039">
        <v>401100000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1</v>
      </c>
      <c r="Y1039" t="s">
        <v>972</v>
      </c>
      <c r="Z1039" t="s">
        <v>987</v>
      </c>
      <c r="AA1039" t="s">
        <v>6856</v>
      </c>
      <c r="AB1039" t="s">
        <v>975</v>
      </c>
      <c r="AC1039">
        <v>4040</v>
      </c>
      <c r="AD1039" t="s">
        <v>976</v>
      </c>
      <c r="AE1039">
        <v>3242405560</v>
      </c>
      <c r="AF1039">
        <v>3242480512</v>
      </c>
      <c r="AG1039" t="s">
        <v>977</v>
      </c>
      <c r="AH1039">
        <v>794498789</v>
      </c>
      <c r="AI1039">
        <v>69102</v>
      </c>
      <c r="AJ1039" t="s">
        <v>978</v>
      </c>
      <c r="AK1039" t="s">
        <v>978</v>
      </c>
      <c r="AL1039" t="s">
        <v>978</v>
      </c>
      <c r="AM1039" t="s">
        <v>979</v>
      </c>
      <c r="AN1039">
        <v>0</v>
      </c>
      <c r="AO1039" t="s">
        <v>257</v>
      </c>
      <c r="AP1039">
        <v>0</v>
      </c>
      <c r="AQ1039">
        <v>1</v>
      </c>
      <c r="AR1039">
        <v>43</v>
      </c>
      <c r="AS1039">
        <v>1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1</v>
      </c>
      <c r="AZ1039" t="s">
        <v>257</v>
      </c>
      <c r="BA1039" t="s">
        <v>980</v>
      </c>
      <c r="BB1039" t="s">
        <v>981</v>
      </c>
      <c r="BC1039" t="s">
        <v>257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 t="s">
        <v>998</v>
      </c>
      <c r="BK1039" t="s">
        <v>981</v>
      </c>
      <c r="BL1039" t="s">
        <v>6952</v>
      </c>
      <c r="BM1039">
        <v>20250123</v>
      </c>
      <c r="BN1039">
        <v>20250311</v>
      </c>
      <c r="BO1039">
        <v>0</v>
      </c>
      <c r="BP1039" t="s">
        <v>257</v>
      </c>
      <c r="BQ1039" t="s">
        <v>983</v>
      </c>
      <c r="BR1039" t="s">
        <v>978</v>
      </c>
      <c r="BS1039" t="s">
        <v>979</v>
      </c>
      <c r="BT1039">
        <v>0</v>
      </c>
      <c r="BU1039">
        <v>0</v>
      </c>
      <c r="BV1039" t="s">
        <v>984</v>
      </c>
      <c r="BW1039" t="s">
        <v>257</v>
      </c>
      <c r="BX1039">
        <v>0</v>
      </c>
      <c r="BY1039" t="s">
        <v>980</v>
      </c>
      <c r="BZ1039" t="s">
        <v>257</v>
      </c>
      <c r="CA1039">
        <v>0</v>
      </c>
      <c r="CB1039">
        <v>0</v>
      </c>
      <c r="CC1039" t="s">
        <v>2322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s">
        <v>983</v>
      </c>
      <c r="CJ1039" t="s">
        <v>972</v>
      </c>
      <c r="CK1039" t="s">
        <v>986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 t="s">
        <v>987</v>
      </c>
      <c r="CV1039">
        <v>400010866</v>
      </c>
      <c r="CW1039" t="s">
        <v>987</v>
      </c>
      <c r="CX1039" t="s">
        <v>6857</v>
      </c>
      <c r="CY1039" t="s">
        <v>989</v>
      </c>
    </row>
    <row r="1040" spans="1:103" hidden="1" x14ac:dyDescent="0.25">
      <c r="A1040">
        <v>410001046</v>
      </c>
      <c r="B1040" t="s">
        <v>6858</v>
      </c>
      <c r="C1040" t="s">
        <v>6859</v>
      </c>
      <c r="D1040">
        <v>401100000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1</v>
      </c>
      <c r="X1040">
        <v>1</v>
      </c>
      <c r="Y1040" t="s">
        <v>972</v>
      </c>
      <c r="Z1040" t="s">
        <v>987</v>
      </c>
      <c r="AA1040" t="s">
        <v>6860</v>
      </c>
      <c r="AB1040" t="s">
        <v>975</v>
      </c>
      <c r="AC1040">
        <v>4100</v>
      </c>
      <c r="AD1040" t="s">
        <v>1655</v>
      </c>
      <c r="AE1040" t="s">
        <v>979</v>
      </c>
      <c r="AF1040" t="s">
        <v>979</v>
      </c>
      <c r="AG1040" t="s">
        <v>6861</v>
      </c>
      <c r="AH1040">
        <v>554892953</v>
      </c>
      <c r="AI1040">
        <v>30200</v>
      </c>
      <c r="AJ1040" t="s">
        <v>978</v>
      </c>
      <c r="AK1040" t="s">
        <v>978</v>
      </c>
      <c r="AL1040" t="s">
        <v>978</v>
      </c>
      <c r="AM1040" t="s">
        <v>979</v>
      </c>
      <c r="AN1040">
        <v>0</v>
      </c>
      <c r="AO1040" t="s">
        <v>257</v>
      </c>
      <c r="AP1040">
        <v>0</v>
      </c>
      <c r="AQ1040">
        <v>1</v>
      </c>
      <c r="AR1040">
        <v>69</v>
      </c>
      <c r="AS1040">
        <v>1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1</v>
      </c>
      <c r="AZ1040" t="s">
        <v>257</v>
      </c>
      <c r="BA1040" t="s">
        <v>980</v>
      </c>
      <c r="BB1040" t="s">
        <v>981</v>
      </c>
      <c r="BC1040" t="s">
        <v>257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 t="s">
        <v>998</v>
      </c>
      <c r="BK1040" t="s">
        <v>981</v>
      </c>
      <c r="BL1040" t="s">
        <v>6858</v>
      </c>
      <c r="BM1040">
        <v>20250124</v>
      </c>
      <c r="BN1040">
        <v>20250314</v>
      </c>
      <c r="BO1040">
        <v>0</v>
      </c>
      <c r="BP1040" t="s">
        <v>257</v>
      </c>
      <c r="BQ1040" t="s">
        <v>983</v>
      </c>
      <c r="BR1040" t="s">
        <v>978</v>
      </c>
      <c r="BS1040">
        <v>32495192446</v>
      </c>
      <c r="BT1040">
        <v>0</v>
      </c>
      <c r="BU1040">
        <v>0</v>
      </c>
      <c r="BV1040" t="s">
        <v>984</v>
      </c>
      <c r="BW1040" t="s">
        <v>257</v>
      </c>
      <c r="BX1040">
        <v>0</v>
      </c>
      <c r="BY1040" t="s">
        <v>980</v>
      </c>
      <c r="BZ1040" t="s">
        <v>257</v>
      </c>
      <c r="CA1040">
        <v>0</v>
      </c>
      <c r="CB1040">
        <v>0</v>
      </c>
      <c r="CC1040" t="s">
        <v>1113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 t="s">
        <v>983</v>
      </c>
      <c r="CJ1040" t="s">
        <v>972</v>
      </c>
      <c r="CK1040" t="s">
        <v>986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 t="s">
        <v>987</v>
      </c>
      <c r="CV1040">
        <v>400010869</v>
      </c>
      <c r="CW1040" t="s">
        <v>987</v>
      </c>
      <c r="CX1040" t="s">
        <v>6862</v>
      </c>
      <c r="CY1040" t="s">
        <v>989</v>
      </c>
    </row>
    <row r="1041" spans="1:103" hidden="1" x14ac:dyDescent="0.25">
      <c r="A1041">
        <v>410001047</v>
      </c>
      <c r="B1041" t="s">
        <v>6863</v>
      </c>
      <c r="C1041" t="s">
        <v>6864</v>
      </c>
      <c r="D1041">
        <v>401100000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1</v>
      </c>
      <c r="X1041">
        <v>1</v>
      </c>
      <c r="Y1041" t="s">
        <v>972</v>
      </c>
      <c r="Z1041" t="s">
        <v>987</v>
      </c>
      <c r="AA1041" t="s">
        <v>6865</v>
      </c>
      <c r="AB1041" t="s">
        <v>975</v>
      </c>
      <c r="AC1041">
        <v>5000</v>
      </c>
      <c r="AD1041" t="s">
        <v>1789</v>
      </c>
      <c r="AE1041">
        <v>3281246465</v>
      </c>
      <c r="AF1041" t="s">
        <v>979</v>
      </c>
      <c r="AG1041" t="s">
        <v>6866</v>
      </c>
      <c r="AH1041">
        <v>207362739</v>
      </c>
      <c r="AI1041">
        <v>88999</v>
      </c>
      <c r="AJ1041" t="s">
        <v>6057</v>
      </c>
      <c r="AK1041" t="s">
        <v>978</v>
      </c>
      <c r="AL1041" t="s">
        <v>978</v>
      </c>
      <c r="AM1041" t="s">
        <v>979</v>
      </c>
      <c r="AN1041">
        <v>0</v>
      </c>
      <c r="AO1041" t="s">
        <v>257</v>
      </c>
      <c r="AP1041">
        <v>0</v>
      </c>
      <c r="AQ1041">
        <v>1</v>
      </c>
      <c r="AR1041">
        <v>32</v>
      </c>
      <c r="AS1041">
        <v>1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1</v>
      </c>
      <c r="AZ1041" t="s">
        <v>257</v>
      </c>
      <c r="BA1041" t="s">
        <v>980</v>
      </c>
      <c r="BB1041" t="s">
        <v>981</v>
      </c>
      <c r="BC1041" t="s">
        <v>257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 t="s">
        <v>998</v>
      </c>
      <c r="BK1041" t="s">
        <v>981</v>
      </c>
      <c r="BL1041" t="s">
        <v>6863</v>
      </c>
      <c r="BM1041">
        <v>20250127</v>
      </c>
      <c r="BN1041">
        <v>20250307</v>
      </c>
      <c r="BO1041">
        <v>0</v>
      </c>
      <c r="BP1041" t="s">
        <v>257</v>
      </c>
      <c r="BQ1041" t="s">
        <v>983</v>
      </c>
      <c r="BR1041" t="s">
        <v>978</v>
      </c>
      <c r="BS1041" t="s">
        <v>979</v>
      </c>
      <c r="BT1041">
        <v>0</v>
      </c>
      <c r="BU1041">
        <v>0</v>
      </c>
      <c r="BV1041" t="s">
        <v>984</v>
      </c>
      <c r="BW1041" t="s">
        <v>257</v>
      </c>
      <c r="BX1041">
        <v>0</v>
      </c>
      <c r="BY1041" t="s">
        <v>980</v>
      </c>
      <c r="BZ1041" t="s">
        <v>257</v>
      </c>
      <c r="CA1041">
        <v>0</v>
      </c>
      <c r="CB1041">
        <v>0</v>
      </c>
      <c r="CC1041" t="s">
        <v>1901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 t="s">
        <v>983</v>
      </c>
      <c r="CJ1041" t="s">
        <v>972</v>
      </c>
      <c r="CK1041" t="s">
        <v>986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 t="s">
        <v>987</v>
      </c>
      <c r="CV1041">
        <v>400010872</v>
      </c>
      <c r="CW1041" t="s">
        <v>987</v>
      </c>
      <c r="CX1041" t="s">
        <v>6867</v>
      </c>
      <c r="CY1041" t="s">
        <v>989</v>
      </c>
    </row>
    <row r="1042" spans="1:103" hidden="1" x14ac:dyDescent="0.25">
      <c r="A1042">
        <v>410001048</v>
      </c>
      <c r="B1042" t="s">
        <v>6868</v>
      </c>
      <c r="C1042" t="s">
        <v>978</v>
      </c>
      <c r="D1042">
        <v>401100000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</v>
      </c>
      <c r="W1042">
        <v>1</v>
      </c>
      <c r="X1042">
        <v>1</v>
      </c>
      <c r="Y1042" t="s">
        <v>972</v>
      </c>
      <c r="Z1042" t="s">
        <v>987</v>
      </c>
      <c r="AA1042" t="s">
        <v>6869</v>
      </c>
      <c r="AB1042" t="s">
        <v>975</v>
      </c>
      <c r="AC1042">
        <v>4000</v>
      </c>
      <c r="AD1042" t="s">
        <v>1019</v>
      </c>
      <c r="AE1042" t="s">
        <v>979</v>
      </c>
      <c r="AF1042" t="s">
        <v>979</v>
      </c>
      <c r="AG1042" t="s">
        <v>977</v>
      </c>
      <c r="AH1042" t="s">
        <v>977</v>
      </c>
      <c r="AI1042" t="s">
        <v>977</v>
      </c>
      <c r="AJ1042" t="s">
        <v>978</v>
      </c>
      <c r="AK1042" t="s">
        <v>978</v>
      </c>
      <c r="AL1042" t="s">
        <v>978</v>
      </c>
      <c r="AM1042" t="s">
        <v>979</v>
      </c>
      <c r="AN1042">
        <v>0</v>
      </c>
      <c r="AO1042" t="s">
        <v>257</v>
      </c>
      <c r="AP1042">
        <v>0</v>
      </c>
      <c r="AQ1042">
        <v>1</v>
      </c>
      <c r="AR1042">
        <v>43</v>
      </c>
      <c r="AS1042">
        <v>1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1</v>
      </c>
      <c r="AZ1042" t="s">
        <v>257</v>
      </c>
      <c r="BA1042" t="s">
        <v>980</v>
      </c>
      <c r="BB1042" t="s">
        <v>981</v>
      </c>
      <c r="BC1042" t="s">
        <v>257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 t="s">
        <v>998</v>
      </c>
      <c r="BK1042" t="s">
        <v>981</v>
      </c>
      <c r="BL1042" t="s">
        <v>6868</v>
      </c>
      <c r="BM1042">
        <v>20250131</v>
      </c>
      <c r="BN1042">
        <v>20250131</v>
      </c>
      <c r="BO1042">
        <v>0</v>
      </c>
      <c r="BP1042" t="s">
        <v>257</v>
      </c>
      <c r="BQ1042" t="s">
        <v>983</v>
      </c>
      <c r="BR1042" t="s">
        <v>978</v>
      </c>
      <c r="BS1042" t="s">
        <v>979</v>
      </c>
      <c r="BT1042">
        <v>0</v>
      </c>
      <c r="BU1042">
        <v>0</v>
      </c>
      <c r="BV1042" t="s">
        <v>984</v>
      </c>
      <c r="BW1042" t="s">
        <v>257</v>
      </c>
      <c r="BX1042">
        <v>0</v>
      </c>
      <c r="BY1042" t="s">
        <v>980</v>
      </c>
      <c r="BZ1042" t="s">
        <v>257</v>
      </c>
      <c r="CA1042">
        <v>0</v>
      </c>
      <c r="CB1042">
        <v>0</v>
      </c>
      <c r="CC1042" t="s">
        <v>985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s">
        <v>983</v>
      </c>
      <c r="CJ1042" t="s">
        <v>972</v>
      </c>
      <c r="CK1042" t="s">
        <v>986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 t="s">
        <v>987</v>
      </c>
      <c r="CV1042">
        <v>400010884</v>
      </c>
      <c r="CW1042" t="s">
        <v>987</v>
      </c>
      <c r="CX1042" t="s">
        <v>6124</v>
      </c>
      <c r="CY1042" t="s">
        <v>989</v>
      </c>
    </row>
    <row r="1043" spans="1:103" hidden="1" x14ac:dyDescent="0.25">
      <c r="A1043">
        <v>410001049</v>
      </c>
      <c r="B1043" t="s">
        <v>6870</v>
      </c>
      <c r="C1043" t="s">
        <v>6871</v>
      </c>
      <c r="D1043">
        <v>401100000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1</v>
      </c>
      <c r="X1043">
        <v>1</v>
      </c>
      <c r="Y1043" t="s">
        <v>972</v>
      </c>
      <c r="Z1043" t="s">
        <v>987</v>
      </c>
      <c r="AA1043" t="s">
        <v>6872</v>
      </c>
      <c r="AB1043" t="s">
        <v>975</v>
      </c>
      <c r="AC1043">
        <v>1367</v>
      </c>
      <c r="AD1043" t="s">
        <v>6873</v>
      </c>
      <c r="AE1043" t="s">
        <v>979</v>
      </c>
      <c r="AF1043" t="s">
        <v>979</v>
      </c>
      <c r="AG1043" t="s">
        <v>977</v>
      </c>
      <c r="AH1043">
        <v>1011058417</v>
      </c>
      <c r="AI1043" t="s">
        <v>977</v>
      </c>
      <c r="AJ1043" t="s">
        <v>6874</v>
      </c>
      <c r="AK1043" t="s">
        <v>978</v>
      </c>
      <c r="AL1043" t="s">
        <v>978</v>
      </c>
      <c r="AM1043" t="s">
        <v>979</v>
      </c>
      <c r="AN1043">
        <v>0</v>
      </c>
      <c r="AO1043" t="s">
        <v>257</v>
      </c>
      <c r="AP1043">
        <v>0</v>
      </c>
      <c r="AQ1043">
        <v>1</v>
      </c>
      <c r="AR1043">
        <v>69</v>
      </c>
      <c r="AS1043">
        <v>1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1</v>
      </c>
      <c r="AZ1043" t="s">
        <v>257</v>
      </c>
      <c r="BA1043" t="s">
        <v>980</v>
      </c>
      <c r="BB1043" t="s">
        <v>981</v>
      </c>
      <c r="BC1043" t="s">
        <v>257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 t="s">
        <v>998</v>
      </c>
      <c r="BK1043" t="s">
        <v>981</v>
      </c>
      <c r="BL1043" t="s">
        <v>6870</v>
      </c>
      <c r="BM1043">
        <v>20250205</v>
      </c>
      <c r="BN1043">
        <v>20250206</v>
      </c>
      <c r="BO1043">
        <v>0</v>
      </c>
      <c r="BP1043" t="s">
        <v>257</v>
      </c>
      <c r="BQ1043" t="s">
        <v>983</v>
      </c>
      <c r="BR1043" t="s">
        <v>978</v>
      </c>
      <c r="BS1043" t="s">
        <v>979</v>
      </c>
      <c r="BT1043">
        <v>0</v>
      </c>
      <c r="BU1043">
        <v>0</v>
      </c>
      <c r="BV1043" t="s">
        <v>984</v>
      </c>
      <c r="BW1043" t="s">
        <v>257</v>
      </c>
      <c r="BX1043">
        <v>0</v>
      </c>
      <c r="BY1043" t="s">
        <v>980</v>
      </c>
      <c r="BZ1043" t="s">
        <v>257</v>
      </c>
      <c r="CA1043">
        <v>0</v>
      </c>
      <c r="CB1043">
        <v>0</v>
      </c>
      <c r="CC1043" t="s">
        <v>1901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 t="s">
        <v>983</v>
      </c>
      <c r="CJ1043" t="s">
        <v>972</v>
      </c>
      <c r="CK1043" t="s">
        <v>986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 t="s">
        <v>987</v>
      </c>
      <c r="CV1043">
        <v>400010887</v>
      </c>
      <c r="CW1043" t="s">
        <v>987</v>
      </c>
      <c r="CX1043" t="s">
        <v>6875</v>
      </c>
      <c r="CY1043" t="s">
        <v>989</v>
      </c>
    </row>
    <row r="1044" spans="1:103" hidden="1" x14ac:dyDescent="0.25">
      <c r="A1044">
        <v>410001050</v>
      </c>
      <c r="B1044" t="s">
        <v>6876</v>
      </c>
      <c r="C1044" t="s">
        <v>6877</v>
      </c>
      <c r="D1044">
        <v>401100000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1</v>
      </c>
      <c r="Y1044" t="s">
        <v>972</v>
      </c>
      <c r="Z1044" t="s">
        <v>987</v>
      </c>
      <c r="AA1044" t="s">
        <v>6878</v>
      </c>
      <c r="AB1044" t="s">
        <v>975</v>
      </c>
      <c r="AC1044">
        <v>6762</v>
      </c>
      <c r="AD1044" t="s">
        <v>6879</v>
      </c>
      <c r="AE1044" t="s">
        <v>979</v>
      </c>
      <c r="AF1044" t="s">
        <v>979</v>
      </c>
      <c r="AG1044" t="s">
        <v>977</v>
      </c>
      <c r="AH1044">
        <v>462238058</v>
      </c>
      <c r="AI1044">
        <v>69203</v>
      </c>
      <c r="AJ1044" t="s">
        <v>6481</v>
      </c>
      <c r="AK1044" t="s">
        <v>978</v>
      </c>
      <c r="AL1044" t="s">
        <v>978</v>
      </c>
      <c r="AM1044" t="s">
        <v>979</v>
      </c>
      <c r="AN1044">
        <v>0</v>
      </c>
      <c r="AO1044" t="s">
        <v>257</v>
      </c>
      <c r="AP1044">
        <v>0</v>
      </c>
      <c r="AQ1044">
        <v>1</v>
      </c>
      <c r="AR1044">
        <v>69</v>
      </c>
      <c r="AS1044">
        <v>1</v>
      </c>
      <c r="AT1044">
        <v>0</v>
      </c>
      <c r="AU1044">
        <v>1</v>
      </c>
      <c r="AV1044">
        <v>0</v>
      </c>
      <c r="AW1044">
        <v>0</v>
      </c>
      <c r="AX1044">
        <v>0</v>
      </c>
      <c r="AY1044">
        <v>1</v>
      </c>
      <c r="AZ1044" t="s">
        <v>257</v>
      </c>
      <c r="BA1044" t="s">
        <v>980</v>
      </c>
      <c r="BB1044" t="s">
        <v>981</v>
      </c>
      <c r="BC1044" t="s">
        <v>257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 t="s">
        <v>998</v>
      </c>
      <c r="BK1044" t="s">
        <v>981</v>
      </c>
      <c r="BL1044" t="s">
        <v>6876</v>
      </c>
      <c r="BM1044">
        <v>20250206</v>
      </c>
      <c r="BN1044">
        <v>20250206</v>
      </c>
      <c r="BO1044">
        <v>0</v>
      </c>
      <c r="BP1044" t="s">
        <v>257</v>
      </c>
      <c r="BQ1044" t="s">
        <v>983</v>
      </c>
      <c r="BR1044" t="s">
        <v>978</v>
      </c>
      <c r="BS1044">
        <v>32475590771</v>
      </c>
      <c r="BT1044">
        <v>0</v>
      </c>
      <c r="BU1044">
        <v>0</v>
      </c>
      <c r="BV1044" t="s">
        <v>984</v>
      </c>
      <c r="BW1044" t="s">
        <v>257</v>
      </c>
      <c r="BX1044">
        <v>0</v>
      </c>
      <c r="BY1044" t="s">
        <v>980</v>
      </c>
      <c r="BZ1044" t="s">
        <v>257</v>
      </c>
      <c r="CA1044">
        <v>0</v>
      </c>
      <c r="CB1044">
        <v>0</v>
      </c>
      <c r="CC1044" t="s">
        <v>1901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 t="s">
        <v>983</v>
      </c>
      <c r="CJ1044" t="s">
        <v>972</v>
      </c>
      <c r="CK1044" t="s">
        <v>986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 t="s">
        <v>987</v>
      </c>
      <c r="CV1044">
        <v>400010889</v>
      </c>
      <c r="CW1044" t="s">
        <v>987</v>
      </c>
      <c r="CX1044" t="s">
        <v>6880</v>
      </c>
      <c r="CY1044" t="s">
        <v>989</v>
      </c>
    </row>
    <row r="1045" spans="1:103" hidden="1" x14ac:dyDescent="0.25">
      <c r="A1045">
        <v>410001051</v>
      </c>
      <c r="B1045" t="s">
        <v>6881</v>
      </c>
      <c r="C1045" t="s">
        <v>6882</v>
      </c>
      <c r="D1045">
        <v>401100000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1</v>
      </c>
      <c r="Y1045" t="s">
        <v>972</v>
      </c>
      <c r="Z1045" t="s">
        <v>987</v>
      </c>
      <c r="AA1045" t="s">
        <v>5059</v>
      </c>
      <c r="AB1045" t="s">
        <v>975</v>
      </c>
      <c r="AC1045">
        <v>4032</v>
      </c>
      <c r="AD1045" t="s">
        <v>1019</v>
      </c>
      <c r="AE1045">
        <v>3242320878</v>
      </c>
      <c r="AF1045" t="s">
        <v>979</v>
      </c>
      <c r="AG1045" t="s">
        <v>977</v>
      </c>
      <c r="AH1045">
        <v>704608988</v>
      </c>
      <c r="AI1045">
        <v>70220</v>
      </c>
      <c r="AJ1045" t="s">
        <v>978</v>
      </c>
      <c r="AK1045" t="s">
        <v>978</v>
      </c>
      <c r="AL1045" t="s">
        <v>978</v>
      </c>
      <c r="AM1045" t="s">
        <v>979</v>
      </c>
      <c r="AN1045">
        <v>0</v>
      </c>
      <c r="AO1045" t="s">
        <v>257</v>
      </c>
      <c r="AP1045">
        <v>0</v>
      </c>
      <c r="AQ1045">
        <v>1</v>
      </c>
      <c r="AR1045">
        <v>69</v>
      </c>
      <c r="AS1045">
        <v>1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1</v>
      </c>
      <c r="AZ1045" t="s">
        <v>257</v>
      </c>
      <c r="BA1045" t="s">
        <v>980</v>
      </c>
      <c r="BB1045" t="s">
        <v>981</v>
      </c>
      <c r="BC1045" t="s">
        <v>257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 t="s">
        <v>998</v>
      </c>
      <c r="BK1045" t="s">
        <v>981</v>
      </c>
      <c r="BL1045" t="s">
        <v>6881</v>
      </c>
      <c r="BM1045">
        <v>20250211</v>
      </c>
      <c r="BN1045">
        <v>20250211</v>
      </c>
      <c r="BO1045">
        <v>0</v>
      </c>
      <c r="BP1045" t="s">
        <v>257</v>
      </c>
      <c r="BQ1045" t="s">
        <v>983</v>
      </c>
      <c r="BR1045" t="s">
        <v>978</v>
      </c>
      <c r="BS1045" t="s">
        <v>979</v>
      </c>
      <c r="BT1045">
        <v>0</v>
      </c>
      <c r="BU1045">
        <v>0</v>
      </c>
      <c r="BV1045" t="s">
        <v>984</v>
      </c>
      <c r="BW1045" t="s">
        <v>257</v>
      </c>
      <c r="BX1045">
        <v>0</v>
      </c>
      <c r="BY1045" t="s">
        <v>980</v>
      </c>
      <c r="BZ1045" t="s">
        <v>257</v>
      </c>
      <c r="CA1045">
        <v>0</v>
      </c>
      <c r="CB1045">
        <v>0</v>
      </c>
      <c r="CC1045" t="s">
        <v>1207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 t="s">
        <v>983</v>
      </c>
      <c r="CJ1045" t="s">
        <v>972</v>
      </c>
      <c r="CK1045" t="s">
        <v>986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 t="s">
        <v>987</v>
      </c>
      <c r="CV1045">
        <v>400010900</v>
      </c>
      <c r="CW1045" t="s">
        <v>987</v>
      </c>
      <c r="CX1045" t="s">
        <v>5060</v>
      </c>
      <c r="CY1045" t="s">
        <v>989</v>
      </c>
    </row>
    <row r="1046" spans="1:103" hidden="1" x14ac:dyDescent="0.25">
      <c r="A1046">
        <v>410001052</v>
      </c>
      <c r="B1046" t="s">
        <v>6883</v>
      </c>
      <c r="C1046" t="s">
        <v>6884</v>
      </c>
      <c r="D1046">
        <v>401100000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1</v>
      </c>
      <c r="X1046">
        <v>1</v>
      </c>
      <c r="Y1046" t="s">
        <v>972</v>
      </c>
      <c r="Z1046" t="s">
        <v>987</v>
      </c>
      <c r="AA1046" t="s">
        <v>6885</v>
      </c>
      <c r="AB1046" t="s">
        <v>975</v>
      </c>
      <c r="AC1046">
        <v>5310</v>
      </c>
      <c r="AD1046" t="s">
        <v>1110</v>
      </c>
      <c r="AE1046" t="s">
        <v>979</v>
      </c>
      <c r="AF1046" t="s">
        <v>979</v>
      </c>
      <c r="AG1046" t="s">
        <v>977</v>
      </c>
      <c r="AH1046">
        <v>1019368842</v>
      </c>
      <c r="AI1046" t="s">
        <v>977</v>
      </c>
      <c r="AJ1046" t="s">
        <v>6146</v>
      </c>
      <c r="AK1046" t="s">
        <v>978</v>
      </c>
      <c r="AL1046" t="s">
        <v>978</v>
      </c>
      <c r="AM1046" t="s">
        <v>979</v>
      </c>
      <c r="AN1046">
        <v>0</v>
      </c>
      <c r="AO1046" t="s">
        <v>257</v>
      </c>
      <c r="AP1046">
        <v>0</v>
      </c>
      <c r="AQ1046">
        <v>1</v>
      </c>
      <c r="AR1046">
        <v>43</v>
      </c>
      <c r="AS1046">
        <v>1</v>
      </c>
      <c r="AT1046">
        <v>0</v>
      </c>
      <c r="AU1046">
        <v>1</v>
      </c>
      <c r="AV1046">
        <v>0</v>
      </c>
      <c r="AW1046">
        <v>0</v>
      </c>
      <c r="AX1046">
        <v>0</v>
      </c>
      <c r="AY1046">
        <v>1</v>
      </c>
      <c r="AZ1046" t="s">
        <v>257</v>
      </c>
      <c r="BA1046" t="s">
        <v>980</v>
      </c>
      <c r="BB1046" t="s">
        <v>981</v>
      </c>
      <c r="BC1046" t="s">
        <v>257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 t="s">
        <v>998</v>
      </c>
      <c r="BK1046" t="s">
        <v>981</v>
      </c>
      <c r="BL1046" t="s">
        <v>6883</v>
      </c>
      <c r="BM1046">
        <v>20250211</v>
      </c>
      <c r="BN1046">
        <v>20250212</v>
      </c>
      <c r="BO1046">
        <v>0</v>
      </c>
      <c r="BP1046" t="s">
        <v>257</v>
      </c>
      <c r="BQ1046" t="s">
        <v>983</v>
      </c>
      <c r="BR1046" t="s">
        <v>978</v>
      </c>
      <c r="BS1046">
        <v>32473561028</v>
      </c>
      <c r="BT1046">
        <v>0</v>
      </c>
      <c r="BU1046">
        <v>0</v>
      </c>
      <c r="BV1046" t="s">
        <v>984</v>
      </c>
      <c r="BW1046" t="s">
        <v>257</v>
      </c>
      <c r="BX1046">
        <v>0</v>
      </c>
      <c r="BY1046" t="s">
        <v>980</v>
      </c>
      <c r="BZ1046" t="s">
        <v>257</v>
      </c>
      <c r="CA1046">
        <v>0</v>
      </c>
      <c r="CB1046">
        <v>0</v>
      </c>
      <c r="CC1046" t="s">
        <v>1901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 t="s">
        <v>983</v>
      </c>
      <c r="CJ1046" t="s">
        <v>972</v>
      </c>
      <c r="CK1046" t="s">
        <v>986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 t="s">
        <v>987</v>
      </c>
      <c r="CV1046">
        <v>400010903</v>
      </c>
      <c r="CW1046" t="s">
        <v>987</v>
      </c>
      <c r="CX1046" t="s">
        <v>6886</v>
      </c>
      <c r="CY1046" t="s">
        <v>989</v>
      </c>
    </row>
    <row r="1047" spans="1:103" hidden="1" x14ac:dyDescent="0.25">
      <c r="A1047">
        <v>410001053</v>
      </c>
      <c r="B1047" t="s">
        <v>6887</v>
      </c>
      <c r="C1047" t="s">
        <v>6888</v>
      </c>
      <c r="D1047">
        <v>401100000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1</v>
      </c>
      <c r="X1047">
        <v>1</v>
      </c>
      <c r="Y1047" t="s">
        <v>972</v>
      </c>
      <c r="Z1047" t="s">
        <v>987</v>
      </c>
      <c r="AA1047" t="s">
        <v>6889</v>
      </c>
      <c r="AB1047" t="s">
        <v>975</v>
      </c>
      <c r="AC1047">
        <v>4031</v>
      </c>
      <c r="AD1047" t="s">
        <v>1283</v>
      </c>
      <c r="AE1047" t="s">
        <v>979</v>
      </c>
      <c r="AF1047" t="s">
        <v>979</v>
      </c>
      <c r="AG1047" t="s">
        <v>977</v>
      </c>
      <c r="AH1047">
        <v>547921920</v>
      </c>
      <c r="AI1047">
        <v>47650</v>
      </c>
      <c r="AJ1047" t="s">
        <v>978</v>
      </c>
      <c r="AK1047" t="s">
        <v>978</v>
      </c>
      <c r="AL1047" t="s">
        <v>978</v>
      </c>
      <c r="AM1047" t="s">
        <v>979</v>
      </c>
      <c r="AN1047">
        <v>0</v>
      </c>
      <c r="AO1047" t="s">
        <v>257</v>
      </c>
      <c r="AP1047">
        <v>0</v>
      </c>
      <c r="AQ1047">
        <v>1</v>
      </c>
      <c r="AR1047">
        <v>69</v>
      </c>
      <c r="AS1047">
        <v>1</v>
      </c>
      <c r="AT1047">
        <v>0</v>
      </c>
      <c r="AU1047">
        <v>1</v>
      </c>
      <c r="AV1047">
        <v>0</v>
      </c>
      <c r="AW1047">
        <v>0</v>
      </c>
      <c r="AX1047">
        <v>0</v>
      </c>
      <c r="AY1047">
        <v>1</v>
      </c>
      <c r="AZ1047" t="s">
        <v>257</v>
      </c>
      <c r="BA1047" t="s">
        <v>980</v>
      </c>
      <c r="BB1047" t="s">
        <v>981</v>
      </c>
      <c r="BC1047" t="s">
        <v>257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 t="s">
        <v>998</v>
      </c>
      <c r="BK1047" t="s">
        <v>981</v>
      </c>
      <c r="BL1047" t="s">
        <v>6887</v>
      </c>
      <c r="BM1047">
        <v>20250211</v>
      </c>
      <c r="BN1047">
        <v>20250212</v>
      </c>
      <c r="BO1047">
        <v>0</v>
      </c>
      <c r="BP1047" t="s">
        <v>257</v>
      </c>
      <c r="BQ1047" t="s">
        <v>983</v>
      </c>
      <c r="BR1047" t="s">
        <v>978</v>
      </c>
      <c r="BS1047">
        <v>32496834079</v>
      </c>
      <c r="BT1047">
        <v>0</v>
      </c>
      <c r="BU1047">
        <v>0</v>
      </c>
      <c r="BV1047" t="s">
        <v>984</v>
      </c>
      <c r="BW1047" t="s">
        <v>257</v>
      </c>
      <c r="BX1047">
        <v>0</v>
      </c>
      <c r="BY1047" t="s">
        <v>980</v>
      </c>
      <c r="BZ1047" t="s">
        <v>257</v>
      </c>
      <c r="CA1047">
        <v>0</v>
      </c>
      <c r="CB1047">
        <v>0</v>
      </c>
      <c r="CC1047" t="s">
        <v>1207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 t="s">
        <v>983</v>
      </c>
      <c r="CJ1047" t="s">
        <v>972</v>
      </c>
      <c r="CK1047" t="s">
        <v>986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 t="s">
        <v>987</v>
      </c>
      <c r="CV1047">
        <v>400010905</v>
      </c>
      <c r="CW1047" t="s">
        <v>987</v>
      </c>
      <c r="CX1047" t="s">
        <v>6890</v>
      </c>
      <c r="CY1047" t="s">
        <v>989</v>
      </c>
    </row>
    <row r="1048" spans="1:103" hidden="1" x14ac:dyDescent="0.25">
      <c r="A1048">
        <v>410001054</v>
      </c>
      <c r="B1048" t="s">
        <v>6891</v>
      </c>
      <c r="C1048" t="s">
        <v>6892</v>
      </c>
      <c r="D1048">
        <v>401100000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1</v>
      </c>
      <c r="X1048">
        <v>1</v>
      </c>
      <c r="Y1048" t="s">
        <v>972</v>
      </c>
      <c r="Z1048" t="s">
        <v>6893</v>
      </c>
      <c r="AA1048" t="s">
        <v>6894</v>
      </c>
      <c r="AB1048" t="s">
        <v>975</v>
      </c>
      <c r="AC1048">
        <v>4520</v>
      </c>
      <c r="AD1048" t="s">
        <v>1132</v>
      </c>
      <c r="AE1048" t="s">
        <v>979</v>
      </c>
      <c r="AF1048" t="s">
        <v>979</v>
      </c>
      <c r="AG1048" t="s">
        <v>977</v>
      </c>
      <c r="AH1048" t="s">
        <v>977</v>
      </c>
      <c r="AI1048" t="s">
        <v>977</v>
      </c>
      <c r="AJ1048" t="s">
        <v>978</v>
      </c>
      <c r="AK1048" t="s">
        <v>978</v>
      </c>
      <c r="AL1048" t="s">
        <v>978</v>
      </c>
      <c r="AM1048" t="s">
        <v>979</v>
      </c>
      <c r="AN1048">
        <v>0</v>
      </c>
      <c r="AO1048" t="s">
        <v>257</v>
      </c>
      <c r="AP1048">
        <v>0</v>
      </c>
      <c r="AQ1048">
        <v>1</v>
      </c>
      <c r="AR1048">
        <v>69</v>
      </c>
      <c r="AS1048">
        <v>1</v>
      </c>
      <c r="AT1048">
        <v>0</v>
      </c>
      <c r="AU1048">
        <v>1</v>
      </c>
      <c r="AV1048">
        <v>0</v>
      </c>
      <c r="AW1048">
        <v>0</v>
      </c>
      <c r="AX1048">
        <v>0</v>
      </c>
      <c r="AY1048">
        <v>1</v>
      </c>
      <c r="AZ1048" t="s">
        <v>257</v>
      </c>
      <c r="BA1048" t="s">
        <v>257</v>
      </c>
      <c r="BB1048" t="s">
        <v>981</v>
      </c>
      <c r="BC1048" t="s">
        <v>257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 t="s">
        <v>998</v>
      </c>
      <c r="BK1048" t="s">
        <v>981</v>
      </c>
      <c r="BL1048" t="s">
        <v>6891</v>
      </c>
      <c r="BM1048">
        <v>20250214</v>
      </c>
      <c r="BN1048">
        <v>20250227</v>
      </c>
      <c r="BO1048">
        <v>0</v>
      </c>
      <c r="BP1048" t="s">
        <v>257</v>
      </c>
      <c r="BQ1048" t="s">
        <v>983</v>
      </c>
      <c r="BR1048" t="s">
        <v>978</v>
      </c>
      <c r="BS1048" t="s">
        <v>979</v>
      </c>
      <c r="BT1048">
        <v>0</v>
      </c>
      <c r="BU1048">
        <v>0</v>
      </c>
      <c r="BV1048" t="s">
        <v>984</v>
      </c>
      <c r="BW1048" t="s">
        <v>257</v>
      </c>
      <c r="BX1048">
        <v>0</v>
      </c>
      <c r="BY1048" t="s">
        <v>980</v>
      </c>
      <c r="BZ1048" t="s">
        <v>257</v>
      </c>
      <c r="CA1048">
        <v>0</v>
      </c>
      <c r="CB1048">
        <v>0</v>
      </c>
      <c r="CC1048" t="s">
        <v>1430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 t="s">
        <v>983</v>
      </c>
      <c r="CJ1048" t="s">
        <v>972</v>
      </c>
      <c r="CK1048" t="s">
        <v>986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 t="s">
        <v>987</v>
      </c>
      <c r="CV1048">
        <v>400010918</v>
      </c>
      <c r="CW1048" t="s">
        <v>987</v>
      </c>
      <c r="CX1048" t="s">
        <v>6895</v>
      </c>
      <c r="CY1048" t="s">
        <v>989</v>
      </c>
    </row>
    <row r="1049" spans="1:103" hidden="1" x14ac:dyDescent="0.25">
      <c r="A1049">
        <v>410001055</v>
      </c>
      <c r="B1049" t="s">
        <v>6896</v>
      </c>
      <c r="C1049" t="s">
        <v>6897</v>
      </c>
      <c r="D1049">
        <v>401100000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1</v>
      </c>
      <c r="Y1049" t="s">
        <v>972</v>
      </c>
      <c r="Z1049" t="s">
        <v>987</v>
      </c>
      <c r="AA1049" t="s">
        <v>6898</v>
      </c>
      <c r="AB1049" t="s">
        <v>975</v>
      </c>
      <c r="AC1049">
        <v>7700</v>
      </c>
      <c r="AD1049" t="s">
        <v>6899</v>
      </c>
      <c r="AE1049">
        <v>32493705653</v>
      </c>
      <c r="AF1049" t="s">
        <v>979</v>
      </c>
      <c r="AG1049" t="s">
        <v>977</v>
      </c>
      <c r="AH1049" t="s">
        <v>977</v>
      </c>
      <c r="AI1049" t="s">
        <v>977</v>
      </c>
      <c r="AJ1049" t="s">
        <v>7325</v>
      </c>
      <c r="AK1049" t="s">
        <v>978</v>
      </c>
      <c r="AL1049" t="s">
        <v>978</v>
      </c>
      <c r="AM1049" t="s">
        <v>979</v>
      </c>
      <c r="AN1049">
        <v>0</v>
      </c>
      <c r="AO1049" t="s">
        <v>257</v>
      </c>
      <c r="AP1049">
        <v>0</v>
      </c>
      <c r="AQ1049">
        <v>1</v>
      </c>
      <c r="AR1049">
        <v>43</v>
      </c>
      <c r="AS1049">
        <v>1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1</v>
      </c>
      <c r="AZ1049" t="s">
        <v>257</v>
      </c>
      <c r="BA1049" t="s">
        <v>980</v>
      </c>
      <c r="BB1049" t="s">
        <v>981</v>
      </c>
      <c r="BC1049" t="s">
        <v>257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 t="s">
        <v>998</v>
      </c>
      <c r="BK1049" t="s">
        <v>981</v>
      </c>
      <c r="BL1049" t="s">
        <v>6896</v>
      </c>
      <c r="BM1049">
        <v>20250214</v>
      </c>
      <c r="BN1049">
        <v>20250911</v>
      </c>
      <c r="BO1049">
        <v>0</v>
      </c>
      <c r="BP1049" t="s">
        <v>257</v>
      </c>
      <c r="BQ1049" t="s">
        <v>983</v>
      </c>
      <c r="BR1049" t="s">
        <v>978</v>
      </c>
      <c r="BS1049" t="s">
        <v>979</v>
      </c>
      <c r="BT1049">
        <v>0</v>
      </c>
      <c r="BU1049">
        <v>0</v>
      </c>
      <c r="BV1049" t="s">
        <v>984</v>
      </c>
      <c r="BW1049" t="s">
        <v>257</v>
      </c>
      <c r="BX1049">
        <v>0</v>
      </c>
      <c r="BY1049" t="s">
        <v>980</v>
      </c>
      <c r="BZ1049" t="s">
        <v>257</v>
      </c>
      <c r="CA1049">
        <v>0</v>
      </c>
      <c r="CB1049">
        <v>0</v>
      </c>
      <c r="CC1049" t="s">
        <v>1901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 t="s">
        <v>983</v>
      </c>
      <c r="CJ1049" t="s">
        <v>972</v>
      </c>
      <c r="CK1049" t="s">
        <v>986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 t="s">
        <v>987</v>
      </c>
      <c r="CV1049">
        <v>400010919</v>
      </c>
      <c r="CW1049" t="s">
        <v>987</v>
      </c>
      <c r="CX1049" t="s">
        <v>6900</v>
      </c>
      <c r="CY1049" t="s">
        <v>989</v>
      </c>
    </row>
    <row r="1050" spans="1:103" hidden="1" x14ac:dyDescent="0.25">
      <c r="A1050">
        <v>410001056</v>
      </c>
      <c r="B1050" t="s">
        <v>6901</v>
      </c>
      <c r="C1050" t="s">
        <v>6902</v>
      </c>
      <c r="D1050">
        <v>401100000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1</v>
      </c>
      <c r="X1050">
        <v>1</v>
      </c>
      <c r="Y1050" t="s">
        <v>972</v>
      </c>
      <c r="Z1050" t="s">
        <v>987</v>
      </c>
      <c r="AA1050" t="s">
        <v>6903</v>
      </c>
      <c r="AB1050" t="s">
        <v>975</v>
      </c>
      <c r="AC1050">
        <v>6534</v>
      </c>
      <c r="AD1050" t="s">
        <v>6598</v>
      </c>
      <c r="AE1050">
        <v>71438178</v>
      </c>
      <c r="AF1050" t="s">
        <v>979</v>
      </c>
      <c r="AG1050" t="s">
        <v>977</v>
      </c>
      <c r="AH1050">
        <v>477160222</v>
      </c>
      <c r="AI1050">
        <v>69201</v>
      </c>
      <c r="AJ1050" t="s">
        <v>7326</v>
      </c>
      <c r="AK1050" t="s">
        <v>978</v>
      </c>
      <c r="AL1050" t="s">
        <v>978</v>
      </c>
      <c r="AM1050" t="s">
        <v>979</v>
      </c>
      <c r="AN1050">
        <v>0</v>
      </c>
      <c r="AO1050" t="s">
        <v>257</v>
      </c>
      <c r="AP1050">
        <v>0</v>
      </c>
      <c r="AQ1050">
        <v>1</v>
      </c>
      <c r="AR1050">
        <v>69</v>
      </c>
      <c r="AS1050">
        <v>1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1</v>
      </c>
      <c r="AZ1050" t="s">
        <v>257</v>
      </c>
      <c r="BA1050" t="s">
        <v>980</v>
      </c>
      <c r="BB1050" t="s">
        <v>981</v>
      </c>
      <c r="BC1050" t="s">
        <v>257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 t="s">
        <v>998</v>
      </c>
      <c r="BK1050" t="s">
        <v>981</v>
      </c>
      <c r="BL1050" t="s">
        <v>6901</v>
      </c>
      <c r="BM1050">
        <v>20250224</v>
      </c>
      <c r="BN1050">
        <v>20250911</v>
      </c>
      <c r="BO1050">
        <v>0</v>
      </c>
      <c r="BP1050" t="s">
        <v>257</v>
      </c>
      <c r="BQ1050" t="s">
        <v>983</v>
      </c>
      <c r="BR1050" t="s">
        <v>978</v>
      </c>
      <c r="BS1050" t="s">
        <v>979</v>
      </c>
      <c r="BT1050">
        <v>0</v>
      </c>
      <c r="BU1050">
        <v>0</v>
      </c>
      <c r="BV1050" t="s">
        <v>984</v>
      </c>
      <c r="BW1050" t="s">
        <v>257</v>
      </c>
      <c r="BX1050">
        <v>0</v>
      </c>
      <c r="BY1050" t="s">
        <v>980</v>
      </c>
      <c r="BZ1050" t="s">
        <v>257</v>
      </c>
      <c r="CA1050">
        <v>0</v>
      </c>
      <c r="CB1050">
        <v>0</v>
      </c>
      <c r="CC1050" t="s">
        <v>1901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 t="s">
        <v>983</v>
      </c>
      <c r="CJ1050" t="s">
        <v>972</v>
      </c>
      <c r="CK1050" t="s">
        <v>986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 t="s">
        <v>987</v>
      </c>
      <c r="CV1050">
        <v>400010935</v>
      </c>
      <c r="CW1050" t="s">
        <v>987</v>
      </c>
      <c r="CX1050" t="s">
        <v>6904</v>
      </c>
      <c r="CY1050" t="s">
        <v>989</v>
      </c>
    </row>
    <row r="1051" spans="1:103" hidden="1" x14ac:dyDescent="0.25">
      <c r="A1051">
        <v>410001057</v>
      </c>
      <c r="B1051" t="s">
        <v>6905</v>
      </c>
      <c r="C1051" t="s">
        <v>6906</v>
      </c>
      <c r="D1051">
        <v>401100000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1</v>
      </c>
      <c r="Y1051" t="s">
        <v>972</v>
      </c>
      <c r="Z1051" t="s">
        <v>987</v>
      </c>
      <c r="AA1051" t="s">
        <v>6907</v>
      </c>
      <c r="AB1051" t="s">
        <v>975</v>
      </c>
      <c r="AC1051">
        <v>1400</v>
      </c>
      <c r="AD1051" t="s">
        <v>3855</v>
      </c>
      <c r="AE1051">
        <v>32497707120</v>
      </c>
      <c r="AF1051" t="s">
        <v>979</v>
      </c>
      <c r="AG1051" t="s">
        <v>977</v>
      </c>
      <c r="AH1051">
        <v>479073991</v>
      </c>
      <c r="AI1051">
        <v>66110</v>
      </c>
      <c r="AJ1051" t="s">
        <v>978</v>
      </c>
      <c r="AK1051" t="s">
        <v>978</v>
      </c>
      <c r="AL1051" t="s">
        <v>978</v>
      </c>
      <c r="AM1051" t="s">
        <v>979</v>
      </c>
      <c r="AN1051">
        <v>0</v>
      </c>
      <c r="AO1051" t="s">
        <v>257</v>
      </c>
      <c r="AP1051">
        <v>0</v>
      </c>
      <c r="AQ1051">
        <v>1</v>
      </c>
      <c r="AR1051">
        <v>43</v>
      </c>
      <c r="AS1051">
        <v>1</v>
      </c>
      <c r="AT1051">
        <v>0</v>
      </c>
      <c r="AU1051">
        <v>1</v>
      </c>
      <c r="AV1051">
        <v>0</v>
      </c>
      <c r="AW1051">
        <v>0</v>
      </c>
      <c r="AX1051">
        <v>0</v>
      </c>
      <c r="AY1051">
        <v>1</v>
      </c>
      <c r="AZ1051" t="s">
        <v>257</v>
      </c>
      <c r="BA1051" t="s">
        <v>980</v>
      </c>
      <c r="BB1051" t="s">
        <v>981</v>
      </c>
      <c r="BC1051" t="s">
        <v>257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 t="s">
        <v>998</v>
      </c>
      <c r="BK1051" t="s">
        <v>981</v>
      </c>
      <c r="BL1051" t="s">
        <v>6905</v>
      </c>
      <c r="BM1051">
        <v>20250224</v>
      </c>
      <c r="BN1051">
        <v>20250224</v>
      </c>
      <c r="BO1051">
        <v>0</v>
      </c>
      <c r="BP1051" t="s">
        <v>257</v>
      </c>
      <c r="BQ1051" t="s">
        <v>983</v>
      </c>
      <c r="BR1051" t="s">
        <v>978</v>
      </c>
      <c r="BS1051" t="s">
        <v>979</v>
      </c>
      <c r="BT1051">
        <v>0</v>
      </c>
      <c r="BU1051">
        <v>0</v>
      </c>
      <c r="BV1051" t="s">
        <v>984</v>
      </c>
      <c r="BW1051" t="s">
        <v>257</v>
      </c>
      <c r="BX1051">
        <v>0</v>
      </c>
      <c r="BY1051" t="s">
        <v>980</v>
      </c>
      <c r="BZ1051" t="s">
        <v>257</v>
      </c>
      <c r="CA1051">
        <v>0</v>
      </c>
      <c r="CB1051">
        <v>0</v>
      </c>
      <c r="CC1051" t="s">
        <v>2366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 t="s">
        <v>983</v>
      </c>
      <c r="CJ1051" t="s">
        <v>972</v>
      </c>
      <c r="CK1051" t="s">
        <v>986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 t="s">
        <v>987</v>
      </c>
      <c r="CV1051">
        <v>400010936</v>
      </c>
      <c r="CW1051" t="s">
        <v>987</v>
      </c>
      <c r="CX1051" t="s">
        <v>6908</v>
      </c>
      <c r="CY1051" t="s">
        <v>989</v>
      </c>
    </row>
    <row r="1052" spans="1:103" hidden="1" x14ac:dyDescent="0.25">
      <c r="A1052">
        <v>410001058</v>
      </c>
      <c r="B1052" t="s">
        <v>6909</v>
      </c>
      <c r="C1052" t="s">
        <v>6910</v>
      </c>
      <c r="D1052">
        <v>401100000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1</v>
      </c>
      <c r="X1052">
        <v>1</v>
      </c>
      <c r="Y1052" t="s">
        <v>972</v>
      </c>
      <c r="Z1052" t="s">
        <v>987</v>
      </c>
      <c r="AA1052" t="s">
        <v>6911</v>
      </c>
      <c r="AB1052" t="s">
        <v>975</v>
      </c>
      <c r="AC1052">
        <v>4041</v>
      </c>
      <c r="AD1052" t="s">
        <v>976</v>
      </c>
      <c r="AE1052">
        <v>3287447277</v>
      </c>
      <c r="AF1052" t="s">
        <v>979</v>
      </c>
      <c r="AG1052" t="s">
        <v>977</v>
      </c>
      <c r="AH1052">
        <v>830787083</v>
      </c>
      <c r="AI1052">
        <v>46742</v>
      </c>
      <c r="AJ1052" t="s">
        <v>978</v>
      </c>
      <c r="AK1052" t="s">
        <v>978</v>
      </c>
      <c r="AL1052" t="s">
        <v>978</v>
      </c>
      <c r="AM1052" t="s">
        <v>979</v>
      </c>
      <c r="AN1052">
        <v>0</v>
      </c>
      <c r="AO1052" t="s">
        <v>257</v>
      </c>
      <c r="AP1052">
        <v>0</v>
      </c>
      <c r="AQ1052">
        <v>1</v>
      </c>
      <c r="AR1052">
        <v>69</v>
      </c>
      <c r="AS1052">
        <v>1</v>
      </c>
      <c r="AT1052">
        <v>0</v>
      </c>
      <c r="AU1052">
        <v>1</v>
      </c>
      <c r="AV1052">
        <v>0</v>
      </c>
      <c r="AW1052">
        <v>0</v>
      </c>
      <c r="AX1052">
        <v>0</v>
      </c>
      <c r="AY1052">
        <v>1</v>
      </c>
      <c r="AZ1052" t="s">
        <v>257</v>
      </c>
      <c r="BA1052" t="s">
        <v>980</v>
      </c>
      <c r="BB1052" t="s">
        <v>981</v>
      </c>
      <c r="BC1052" t="s">
        <v>257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 t="s">
        <v>998</v>
      </c>
      <c r="BK1052" t="s">
        <v>981</v>
      </c>
      <c r="BL1052" t="s">
        <v>6909</v>
      </c>
      <c r="BM1052">
        <v>20250225</v>
      </c>
      <c r="BN1052">
        <v>20250226</v>
      </c>
      <c r="BO1052">
        <v>0</v>
      </c>
      <c r="BP1052" t="s">
        <v>257</v>
      </c>
      <c r="BQ1052" t="s">
        <v>983</v>
      </c>
      <c r="BR1052" t="s">
        <v>978</v>
      </c>
      <c r="BS1052" t="s">
        <v>979</v>
      </c>
      <c r="BT1052">
        <v>0</v>
      </c>
      <c r="BU1052">
        <v>0</v>
      </c>
      <c r="BV1052" t="s">
        <v>984</v>
      </c>
      <c r="BW1052" t="s">
        <v>257</v>
      </c>
      <c r="BX1052">
        <v>0</v>
      </c>
      <c r="BY1052" t="s">
        <v>980</v>
      </c>
      <c r="BZ1052" t="s">
        <v>257</v>
      </c>
      <c r="CA1052">
        <v>0</v>
      </c>
      <c r="CB1052">
        <v>0</v>
      </c>
      <c r="CC1052" t="s">
        <v>3851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 t="s">
        <v>983</v>
      </c>
      <c r="CJ1052" t="s">
        <v>972</v>
      </c>
      <c r="CK1052" t="s">
        <v>986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 t="s">
        <v>987</v>
      </c>
      <c r="CV1052">
        <v>400010940</v>
      </c>
      <c r="CW1052" t="s">
        <v>987</v>
      </c>
      <c r="CX1052" t="s">
        <v>6912</v>
      </c>
      <c r="CY1052" t="s">
        <v>989</v>
      </c>
    </row>
    <row r="1053" spans="1:103" hidden="1" x14ac:dyDescent="0.25">
      <c r="A1053">
        <v>410001059</v>
      </c>
      <c r="B1053" t="s">
        <v>6953</v>
      </c>
      <c r="C1053" t="s">
        <v>6954</v>
      </c>
      <c r="D1053">
        <v>401100000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1</v>
      </c>
      <c r="Y1053" t="s">
        <v>972</v>
      </c>
      <c r="Z1053" t="s">
        <v>987</v>
      </c>
      <c r="AA1053" t="s">
        <v>6955</v>
      </c>
      <c r="AB1053" t="s">
        <v>975</v>
      </c>
      <c r="AC1053">
        <v>4671</v>
      </c>
      <c r="AD1053" t="s">
        <v>3208</v>
      </c>
      <c r="AE1053">
        <v>43624168</v>
      </c>
      <c r="AF1053" t="s">
        <v>979</v>
      </c>
      <c r="AG1053" t="s">
        <v>977</v>
      </c>
      <c r="AH1053" t="s">
        <v>977</v>
      </c>
      <c r="AI1053" t="s">
        <v>977</v>
      </c>
      <c r="AJ1053" t="s">
        <v>978</v>
      </c>
      <c r="AK1053" t="s">
        <v>978</v>
      </c>
      <c r="AL1053" t="s">
        <v>978</v>
      </c>
      <c r="AM1053" t="s">
        <v>979</v>
      </c>
      <c r="AN1053">
        <v>0</v>
      </c>
      <c r="AO1053" t="s">
        <v>257</v>
      </c>
      <c r="AP1053">
        <v>0</v>
      </c>
      <c r="AQ1053">
        <v>1</v>
      </c>
      <c r="AR1053">
        <v>69</v>
      </c>
      <c r="AS1053">
        <v>1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1</v>
      </c>
      <c r="AZ1053" t="s">
        <v>257</v>
      </c>
      <c r="BA1053" t="s">
        <v>257</v>
      </c>
      <c r="BB1053" t="s">
        <v>981</v>
      </c>
      <c r="BC1053" t="s">
        <v>257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 t="s">
        <v>998</v>
      </c>
      <c r="BK1053" t="s">
        <v>981</v>
      </c>
      <c r="BL1053" t="s">
        <v>6953</v>
      </c>
      <c r="BM1053">
        <v>20250305</v>
      </c>
      <c r="BN1053">
        <v>0</v>
      </c>
      <c r="BO1053">
        <v>0</v>
      </c>
      <c r="BP1053" t="s">
        <v>257</v>
      </c>
      <c r="BQ1053" t="s">
        <v>983</v>
      </c>
      <c r="BR1053" t="s">
        <v>978</v>
      </c>
      <c r="BS1053" t="s">
        <v>979</v>
      </c>
      <c r="BT1053">
        <v>0</v>
      </c>
      <c r="BU1053">
        <v>0</v>
      </c>
      <c r="BV1053" t="s">
        <v>984</v>
      </c>
      <c r="BW1053" t="s">
        <v>257</v>
      </c>
      <c r="BX1053">
        <v>0</v>
      </c>
      <c r="BY1053" t="s">
        <v>980</v>
      </c>
      <c r="BZ1053" t="s">
        <v>257</v>
      </c>
      <c r="CA1053">
        <v>0</v>
      </c>
      <c r="CB1053">
        <v>0</v>
      </c>
      <c r="CC1053" t="s">
        <v>1152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 t="s">
        <v>983</v>
      </c>
      <c r="CJ1053" t="s">
        <v>972</v>
      </c>
      <c r="CK1053" t="s">
        <v>986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 t="s">
        <v>987</v>
      </c>
      <c r="CV1053">
        <v>400010957</v>
      </c>
      <c r="CW1053" t="s">
        <v>987</v>
      </c>
      <c r="CX1053" t="s">
        <v>6956</v>
      </c>
      <c r="CY1053" t="s">
        <v>989</v>
      </c>
    </row>
    <row r="1054" spans="1:103" hidden="1" x14ac:dyDescent="0.25">
      <c r="A1054">
        <v>410001060</v>
      </c>
      <c r="B1054" t="s">
        <v>6957</v>
      </c>
      <c r="C1054" t="s">
        <v>6958</v>
      </c>
      <c r="D1054">
        <v>401100000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</v>
      </c>
      <c r="W1054">
        <v>1</v>
      </c>
      <c r="X1054">
        <v>1</v>
      </c>
      <c r="Y1054" t="s">
        <v>972</v>
      </c>
      <c r="Z1054" t="s">
        <v>987</v>
      </c>
      <c r="AA1054" t="s">
        <v>6959</v>
      </c>
      <c r="AB1054" t="s">
        <v>1626</v>
      </c>
      <c r="AC1054">
        <v>8805</v>
      </c>
      <c r="AD1054" t="s">
        <v>6960</v>
      </c>
      <c r="AE1054">
        <v>352621831120</v>
      </c>
      <c r="AF1054" t="s">
        <v>979</v>
      </c>
      <c r="AG1054" t="s">
        <v>977</v>
      </c>
      <c r="AH1054" t="s">
        <v>6961</v>
      </c>
      <c r="AI1054">
        <v>46320</v>
      </c>
      <c r="AJ1054" t="s">
        <v>7327</v>
      </c>
      <c r="AK1054" t="s">
        <v>978</v>
      </c>
      <c r="AL1054" t="s">
        <v>978</v>
      </c>
      <c r="AM1054" t="s">
        <v>979</v>
      </c>
      <c r="AN1054">
        <v>0</v>
      </c>
      <c r="AO1054" t="s">
        <v>257</v>
      </c>
      <c r="AP1054">
        <v>0</v>
      </c>
      <c r="AQ1054">
        <v>1</v>
      </c>
      <c r="AR1054">
        <v>43</v>
      </c>
      <c r="AS1054">
        <v>1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1</v>
      </c>
      <c r="AZ1054" t="s">
        <v>257</v>
      </c>
      <c r="BA1054" t="s">
        <v>257</v>
      </c>
      <c r="BB1054" t="s">
        <v>981</v>
      </c>
      <c r="BC1054" t="s">
        <v>257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 t="s">
        <v>998</v>
      </c>
      <c r="BK1054" t="s">
        <v>981</v>
      </c>
      <c r="BL1054" t="s">
        <v>6957</v>
      </c>
      <c r="BM1054">
        <v>20250307</v>
      </c>
      <c r="BN1054">
        <v>20250911</v>
      </c>
      <c r="BO1054">
        <v>0</v>
      </c>
      <c r="BP1054" t="s">
        <v>257</v>
      </c>
      <c r="BQ1054" t="s">
        <v>983</v>
      </c>
      <c r="BR1054" t="s">
        <v>978</v>
      </c>
      <c r="BS1054" t="s">
        <v>979</v>
      </c>
      <c r="BT1054">
        <v>0</v>
      </c>
      <c r="BU1054">
        <v>0</v>
      </c>
      <c r="BV1054" t="s">
        <v>984</v>
      </c>
      <c r="BW1054" t="s">
        <v>257</v>
      </c>
      <c r="BX1054">
        <v>0</v>
      </c>
      <c r="BY1054" t="s">
        <v>980</v>
      </c>
      <c r="BZ1054" t="s">
        <v>257</v>
      </c>
      <c r="CA1054">
        <v>0</v>
      </c>
      <c r="CB1054">
        <v>0</v>
      </c>
      <c r="CC1054" t="s">
        <v>1901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 t="s">
        <v>983</v>
      </c>
      <c r="CJ1054" t="s">
        <v>972</v>
      </c>
      <c r="CK1054" t="s">
        <v>986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 t="s">
        <v>987</v>
      </c>
      <c r="CV1054">
        <v>400010959</v>
      </c>
      <c r="CW1054" t="s">
        <v>987</v>
      </c>
      <c r="CX1054" t="s">
        <v>6648</v>
      </c>
      <c r="CY1054" t="s">
        <v>989</v>
      </c>
    </row>
    <row r="1055" spans="1:103" hidden="1" x14ac:dyDescent="0.25">
      <c r="A1055">
        <v>410001061</v>
      </c>
      <c r="B1055" t="s">
        <v>6962</v>
      </c>
      <c r="C1055" t="s">
        <v>6963</v>
      </c>
      <c r="D1055">
        <v>401100000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1</v>
      </c>
      <c r="X1055">
        <v>1</v>
      </c>
      <c r="Y1055" t="s">
        <v>972</v>
      </c>
      <c r="Z1055" t="s">
        <v>987</v>
      </c>
      <c r="AA1055" t="s">
        <v>5179</v>
      </c>
      <c r="AB1055" t="s">
        <v>975</v>
      </c>
      <c r="AC1055">
        <v>4432</v>
      </c>
      <c r="AD1055" t="s">
        <v>1313</v>
      </c>
      <c r="AE1055">
        <v>32497789605</v>
      </c>
      <c r="AF1055" t="s">
        <v>979</v>
      </c>
      <c r="AG1055" t="s">
        <v>977</v>
      </c>
      <c r="AH1055">
        <v>1008063194</v>
      </c>
      <c r="AI1055">
        <v>43211</v>
      </c>
      <c r="AJ1055" t="s">
        <v>978</v>
      </c>
      <c r="AK1055" t="s">
        <v>978</v>
      </c>
      <c r="AL1055" t="s">
        <v>978</v>
      </c>
      <c r="AM1055" t="s">
        <v>979</v>
      </c>
      <c r="AN1055">
        <v>0</v>
      </c>
      <c r="AO1055" t="s">
        <v>257</v>
      </c>
      <c r="AP1055">
        <v>0</v>
      </c>
      <c r="AQ1055">
        <v>1</v>
      </c>
      <c r="AR1055">
        <v>43</v>
      </c>
      <c r="AS1055">
        <v>1</v>
      </c>
      <c r="AT1055">
        <v>0</v>
      </c>
      <c r="AU1055">
        <v>1</v>
      </c>
      <c r="AV1055">
        <v>0</v>
      </c>
      <c r="AW1055">
        <v>0</v>
      </c>
      <c r="AX1055">
        <v>0</v>
      </c>
      <c r="AY1055">
        <v>1</v>
      </c>
      <c r="AZ1055" t="s">
        <v>257</v>
      </c>
      <c r="BA1055" t="s">
        <v>257</v>
      </c>
      <c r="BB1055" t="s">
        <v>981</v>
      </c>
      <c r="BC1055" t="s">
        <v>257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 t="s">
        <v>998</v>
      </c>
      <c r="BK1055" t="s">
        <v>981</v>
      </c>
      <c r="BL1055" t="s">
        <v>6962</v>
      </c>
      <c r="BM1055">
        <v>20250313</v>
      </c>
      <c r="BN1055">
        <v>20250327</v>
      </c>
      <c r="BO1055">
        <v>0</v>
      </c>
      <c r="BP1055" t="s">
        <v>257</v>
      </c>
      <c r="BQ1055" t="s">
        <v>983</v>
      </c>
      <c r="BR1055" t="s">
        <v>978</v>
      </c>
      <c r="BS1055" t="s">
        <v>979</v>
      </c>
      <c r="BT1055">
        <v>0</v>
      </c>
      <c r="BU1055">
        <v>0</v>
      </c>
      <c r="BV1055" t="s">
        <v>984</v>
      </c>
      <c r="BW1055" t="s">
        <v>257</v>
      </c>
      <c r="BX1055">
        <v>0</v>
      </c>
      <c r="BY1055" t="s">
        <v>980</v>
      </c>
      <c r="BZ1055" t="s">
        <v>257</v>
      </c>
      <c r="CA1055">
        <v>0</v>
      </c>
      <c r="CB1055">
        <v>0</v>
      </c>
      <c r="CC1055" t="s">
        <v>1572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 t="s">
        <v>983</v>
      </c>
      <c r="CJ1055" t="s">
        <v>972</v>
      </c>
      <c r="CK1055" t="s">
        <v>986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 t="s">
        <v>987</v>
      </c>
      <c r="CV1055">
        <v>400010973</v>
      </c>
      <c r="CW1055" t="s">
        <v>987</v>
      </c>
      <c r="CX1055" t="s">
        <v>5180</v>
      </c>
      <c r="CY1055" t="s">
        <v>989</v>
      </c>
    </row>
    <row r="1056" spans="1:103" hidden="1" x14ac:dyDescent="0.25">
      <c r="A1056">
        <v>410001062</v>
      </c>
      <c r="B1056" t="s">
        <v>6964</v>
      </c>
      <c r="C1056" t="s">
        <v>6965</v>
      </c>
      <c r="D1056">
        <v>401100000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1</v>
      </c>
      <c r="X1056">
        <v>1</v>
      </c>
      <c r="Y1056" t="s">
        <v>972</v>
      </c>
      <c r="Z1056" t="s">
        <v>987</v>
      </c>
      <c r="AA1056" t="s">
        <v>6966</v>
      </c>
      <c r="AB1056" t="s">
        <v>975</v>
      </c>
      <c r="AC1056">
        <v>1180</v>
      </c>
      <c r="AD1056" t="s">
        <v>4014</v>
      </c>
      <c r="AE1056">
        <v>485260001</v>
      </c>
      <c r="AF1056" t="s">
        <v>979</v>
      </c>
      <c r="AG1056" t="s">
        <v>977</v>
      </c>
      <c r="AH1056">
        <v>456197631</v>
      </c>
      <c r="AI1056">
        <v>69202</v>
      </c>
      <c r="AJ1056" t="s">
        <v>7328</v>
      </c>
      <c r="AK1056" t="s">
        <v>978</v>
      </c>
      <c r="AL1056" t="s">
        <v>978</v>
      </c>
      <c r="AM1056" t="s">
        <v>979</v>
      </c>
      <c r="AN1056">
        <v>0</v>
      </c>
      <c r="AO1056" t="s">
        <v>257</v>
      </c>
      <c r="AP1056">
        <v>0</v>
      </c>
      <c r="AQ1056">
        <v>1</v>
      </c>
      <c r="AR1056">
        <v>69</v>
      </c>
      <c r="AS1056">
        <v>1</v>
      </c>
      <c r="AT1056">
        <v>0</v>
      </c>
      <c r="AU1056">
        <v>1</v>
      </c>
      <c r="AV1056">
        <v>0</v>
      </c>
      <c r="AW1056">
        <v>0</v>
      </c>
      <c r="AX1056">
        <v>0</v>
      </c>
      <c r="AY1056">
        <v>1</v>
      </c>
      <c r="AZ1056" t="s">
        <v>257</v>
      </c>
      <c r="BA1056" t="s">
        <v>257</v>
      </c>
      <c r="BB1056" t="s">
        <v>981</v>
      </c>
      <c r="BC1056" t="s">
        <v>257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 t="s">
        <v>998</v>
      </c>
      <c r="BK1056" t="s">
        <v>981</v>
      </c>
      <c r="BL1056" t="s">
        <v>6964</v>
      </c>
      <c r="BM1056">
        <v>20250313</v>
      </c>
      <c r="BN1056">
        <v>20250911</v>
      </c>
      <c r="BO1056">
        <v>0</v>
      </c>
      <c r="BP1056" t="s">
        <v>257</v>
      </c>
      <c r="BQ1056" t="s">
        <v>983</v>
      </c>
      <c r="BR1056" t="s">
        <v>978</v>
      </c>
      <c r="BS1056" t="s">
        <v>979</v>
      </c>
      <c r="BT1056">
        <v>0</v>
      </c>
      <c r="BU1056">
        <v>0</v>
      </c>
      <c r="BV1056" t="s">
        <v>984</v>
      </c>
      <c r="BW1056" t="s">
        <v>257</v>
      </c>
      <c r="BX1056">
        <v>0</v>
      </c>
      <c r="BY1056" t="s">
        <v>980</v>
      </c>
      <c r="BZ1056" t="s">
        <v>257</v>
      </c>
      <c r="CA1056">
        <v>0</v>
      </c>
      <c r="CB1056">
        <v>0</v>
      </c>
      <c r="CC1056" t="s">
        <v>1901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 t="s">
        <v>983</v>
      </c>
      <c r="CJ1056" t="s">
        <v>972</v>
      </c>
      <c r="CK1056" t="s">
        <v>986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 t="s">
        <v>987</v>
      </c>
      <c r="CV1056">
        <v>400010975</v>
      </c>
      <c r="CW1056" t="s">
        <v>987</v>
      </c>
      <c r="CX1056" t="s">
        <v>6967</v>
      </c>
      <c r="CY1056" t="s">
        <v>989</v>
      </c>
    </row>
    <row r="1057" spans="1:103" hidden="1" x14ac:dyDescent="0.25">
      <c r="A1057">
        <v>410001063</v>
      </c>
      <c r="B1057" t="s">
        <v>6968</v>
      </c>
      <c r="C1057" t="s">
        <v>6969</v>
      </c>
      <c r="D1057">
        <v>401100000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4</v>
      </c>
      <c r="W1057">
        <v>1</v>
      </c>
      <c r="X1057">
        <v>1</v>
      </c>
      <c r="Y1057" t="s">
        <v>972</v>
      </c>
      <c r="Z1057" t="s">
        <v>987</v>
      </c>
      <c r="AA1057" t="s">
        <v>6970</v>
      </c>
      <c r="AB1057" t="s">
        <v>975</v>
      </c>
      <c r="AC1057">
        <v>4020</v>
      </c>
      <c r="AD1057" t="s">
        <v>1019</v>
      </c>
      <c r="AE1057">
        <v>43625225</v>
      </c>
      <c r="AF1057" t="s">
        <v>979</v>
      </c>
      <c r="AG1057" t="s">
        <v>6971</v>
      </c>
      <c r="AH1057">
        <v>478328675</v>
      </c>
      <c r="AI1057">
        <v>94110</v>
      </c>
      <c r="AJ1057" t="s">
        <v>978</v>
      </c>
      <c r="AK1057" t="s">
        <v>978</v>
      </c>
      <c r="AL1057" t="s">
        <v>978</v>
      </c>
      <c r="AM1057" t="s">
        <v>979</v>
      </c>
      <c r="AN1057">
        <v>0</v>
      </c>
      <c r="AO1057" t="s">
        <v>257</v>
      </c>
      <c r="AP1057">
        <v>0</v>
      </c>
      <c r="AQ1057">
        <v>1</v>
      </c>
      <c r="AR1057">
        <v>43</v>
      </c>
      <c r="AS1057">
        <v>1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1</v>
      </c>
      <c r="AZ1057" t="s">
        <v>257</v>
      </c>
      <c r="BA1057" t="s">
        <v>257</v>
      </c>
      <c r="BB1057" t="s">
        <v>981</v>
      </c>
      <c r="BC1057" t="s">
        <v>257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 t="s">
        <v>998</v>
      </c>
      <c r="BK1057" t="s">
        <v>981</v>
      </c>
      <c r="BL1057" t="s">
        <v>6968</v>
      </c>
      <c r="BM1057">
        <v>20250313</v>
      </c>
      <c r="BN1057">
        <v>20250317</v>
      </c>
      <c r="BO1057">
        <v>0</v>
      </c>
      <c r="BP1057" t="s">
        <v>257</v>
      </c>
      <c r="BQ1057" t="s">
        <v>983</v>
      </c>
      <c r="BR1057" t="s">
        <v>978</v>
      </c>
      <c r="BS1057" t="s">
        <v>979</v>
      </c>
      <c r="BT1057">
        <v>0</v>
      </c>
      <c r="BU1057">
        <v>0</v>
      </c>
      <c r="BV1057" t="s">
        <v>984</v>
      </c>
      <c r="BW1057" t="s">
        <v>257</v>
      </c>
      <c r="BX1057">
        <v>0</v>
      </c>
      <c r="BY1057" t="s">
        <v>980</v>
      </c>
      <c r="BZ1057" t="s">
        <v>257</v>
      </c>
      <c r="CA1057">
        <v>0</v>
      </c>
      <c r="CB1057">
        <v>0</v>
      </c>
      <c r="CC1057" t="s">
        <v>2998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 t="s">
        <v>983</v>
      </c>
      <c r="CJ1057" t="s">
        <v>972</v>
      </c>
      <c r="CK1057" t="s">
        <v>986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 t="s">
        <v>987</v>
      </c>
      <c r="CV1057">
        <v>400010978</v>
      </c>
      <c r="CW1057" t="s">
        <v>987</v>
      </c>
      <c r="CX1057" t="s">
        <v>6972</v>
      </c>
      <c r="CY1057" t="s">
        <v>989</v>
      </c>
    </row>
    <row r="1058" spans="1:103" hidden="1" x14ac:dyDescent="0.25">
      <c r="A1058">
        <v>410001064</v>
      </c>
      <c r="B1058" t="s">
        <v>6973</v>
      </c>
      <c r="C1058" t="s">
        <v>6974</v>
      </c>
      <c r="D1058">
        <v>401100000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1</v>
      </c>
      <c r="X1058">
        <v>1</v>
      </c>
      <c r="Y1058" t="s">
        <v>972</v>
      </c>
      <c r="Z1058" t="s">
        <v>4834</v>
      </c>
      <c r="AA1058" t="s">
        <v>6975</v>
      </c>
      <c r="AB1058" t="s">
        <v>975</v>
      </c>
      <c r="AC1058">
        <v>6900</v>
      </c>
      <c r="AD1058" t="s">
        <v>5849</v>
      </c>
      <c r="AE1058">
        <v>478820049</v>
      </c>
      <c r="AF1058" t="s">
        <v>979</v>
      </c>
      <c r="AG1058" t="s">
        <v>977</v>
      </c>
      <c r="AH1058">
        <v>433087380</v>
      </c>
      <c r="AI1058">
        <v>69202</v>
      </c>
      <c r="AJ1058" t="s">
        <v>7329</v>
      </c>
      <c r="AK1058" t="s">
        <v>978</v>
      </c>
      <c r="AL1058" t="s">
        <v>978</v>
      </c>
      <c r="AM1058" t="s">
        <v>979</v>
      </c>
      <c r="AN1058">
        <v>0</v>
      </c>
      <c r="AO1058" t="s">
        <v>257</v>
      </c>
      <c r="AP1058">
        <v>0</v>
      </c>
      <c r="AQ1058">
        <v>1</v>
      </c>
      <c r="AR1058">
        <v>69</v>
      </c>
      <c r="AS1058">
        <v>1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1</v>
      </c>
      <c r="AZ1058" t="s">
        <v>257</v>
      </c>
      <c r="BA1058" t="s">
        <v>257</v>
      </c>
      <c r="BB1058" t="s">
        <v>981</v>
      </c>
      <c r="BC1058" t="s">
        <v>257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 t="s">
        <v>998</v>
      </c>
      <c r="BK1058" t="s">
        <v>981</v>
      </c>
      <c r="BL1058" t="s">
        <v>6973</v>
      </c>
      <c r="BM1058">
        <v>20250321</v>
      </c>
      <c r="BN1058">
        <v>20250911</v>
      </c>
      <c r="BO1058">
        <v>0</v>
      </c>
      <c r="BP1058" t="s">
        <v>257</v>
      </c>
      <c r="BQ1058" t="s">
        <v>983</v>
      </c>
      <c r="BR1058" t="s">
        <v>978</v>
      </c>
      <c r="BS1058" t="s">
        <v>979</v>
      </c>
      <c r="BT1058">
        <v>0</v>
      </c>
      <c r="BU1058">
        <v>0</v>
      </c>
      <c r="BV1058" t="s">
        <v>984</v>
      </c>
      <c r="BW1058" t="s">
        <v>257</v>
      </c>
      <c r="BX1058">
        <v>0</v>
      </c>
      <c r="BY1058" t="s">
        <v>980</v>
      </c>
      <c r="BZ1058" t="s">
        <v>257</v>
      </c>
      <c r="CA1058">
        <v>0</v>
      </c>
      <c r="CB1058">
        <v>0</v>
      </c>
      <c r="CC1058" t="s">
        <v>1901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 t="s">
        <v>983</v>
      </c>
      <c r="CJ1058" t="s">
        <v>972</v>
      </c>
      <c r="CK1058" t="s">
        <v>986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 t="s">
        <v>987</v>
      </c>
      <c r="CV1058">
        <v>400010990</v>
      </c>
      <c r="CW1058" t="s">
        <v>987</v>
      </c>
      <c r="CX1058" t="s">
        <v>6976</v>
      </c>
      <c r="CY1058" t="s">
        <v>989</v>
      </c>
    </row>
    <row r="1059" spans="1:103" hidden="1" x14ac:dyDescent="0.25">
      <c r="A1059">
        <v>410001065</v>
      </c>
      <c r="B1059" t="s">
        <v>6977</v>
      </c>
      <c r="C1059" t="s">
        <v>6978</v>
      </c>
      <c r="D1059">
        <v>401100000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1</v>
      </c>
      <c r="X1059">
        <v>1</v>
      </c>
      <c r="Y1059" t="s">
        <v>972</v>
      </c>
      <c r="Z1059" t="s">
        <v>987</v>
      </c>
      <c r="AA1059" t="s">
        <v>6979</v>
      </c>
      <c r="AB1059" t="s">
        <v>975</v>
      </c>
      <c r="AC1059">
        <v>6280</v>
      </c>
      <c r="AD1059" t="s">
        <v>4204</v>
      </c>
      <c r="AE1059">
        <v>489555454</v>
      </c>
      <c r="AF1059" t="s">
        <v>979</v>
      </c>
      <c r="AG1059" t="s">
        <v>977</v>
      </c>
      <c r="AH1059">
        <v>461225201</v>
      </c>
      <c r="AI1059">
        <v>69202</v>
      </c>
      <c r="AJ1059" t="s">
        <v>7330</v>
      </c>
      <c r="AK1059" t="s">
        <v>978</v>
      </c>
      <c r="AL1059" t="s">
        <v>978</v>
      </c>
      <c r="AM1059" t="s">
        <v>979</v>
      </c>
      <c r="AN1059">
        <v>0</v>
      </c>
      <c r="AO1059" t="s">
        <v>257</v>
      </c>
      <c r="AP1059">
        <v>0</v>
      </c>
      <c r="AQ1059">
        <v>1</v>
      </c>
      <c r="AR1059">
        <v>69</v>
      </c>
      <c r="AS1059">
        <v>1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1</v>
      </c>
      <c r="AZ1059" t="s">
        <v>257</v>
      </c>
      <c r="BA1059" t="s">
        <v>257</v>
      </c>
      <c r="BB1059" t="s">
        <v>981</v>
      </c>
      <c r="BC1059" t="s">
        <v>257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 t="s">
        <v>998</v>
      </c>
      <c r="BK1059" t="s">
        <v>981</v>
      </c>
      <c r="BL1059" t="s">
        <v>6977</v>
      </c>
      <c r="BM1059">
        <v>20250325</v>
      </c>
      <c r="BN1059">
        <v>20250911</v>
      </c>
      <c r="BO1059">
        <v>0</v>
      </c>
      <c r="BP1059" t="s">
        <v>257</v>
      </c>
      <c r="BQ1059" t="s">
        <v>983</v>
      </c>
      <c r="BR1059" t="s">
        <v>978</v>
      </c>
      <c r="BS1059" t="s">
        <v>979</v>
      </c>
      <c r="BT1059">
        <v>0</v>
      </c>
      <c r="BU1059">
        <v>0</v>
      </c>
      <c r="BV1059" t="s">
        <v>984</v>
      </c>
      <c r="BW1059" t="s">
        <v>257</v>
      </c>
      <c r="BX1059">
        <v>0</v>
      </c>
      <c r="BY1059" t="s">
        <v>980</v>
      </c>
      <c r="BZ1059" t="s">
        <v>257</v>
      </c>
      <c r="CA1059">
        <v>0</v>
      </c>
      <c r="CB1059">
        <v>0</v>
      </c>
      <c r="CC1059" t="s">
        <v>1901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 t="s">
        <v>983</v>
      </c>
      <c r="CJ1059" t="s">
        <v>972</v>
      </c>
      <c r="CK1059" t="s">
        <v>986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 t="s">
        <v>987</v>
      </c>
      <c r="CV1059">
        <v>400010992</v>
      </c>
      <c r="CW1059" t="s">
        <v>987</v>
      </c>
      <c r="CX1059" t="s">
        <v>6980</v>
      </c>
      <c r="CY1059" t="s">
        <v>989</v>
      </c>
    </row>
    <row r="1060" spans="1:103" hidden="1" x14ac:dyDescent="0.25">
      <c r="A1060">
        <v>410001066</v>
      </c>
      <c r="B1060" t="s">
        <v>6981</v>
      </c>
      <c r="C1060" t="s">
        <v>6982</v>
      </c>
      <c r="D1060">
        <v>401100000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1</v>
      </c>
      <c r="Y1060" t="s">
        <v>972</v>
      </c>
      <c r="Z1060" t="s">
        <v>987</v>
      </c>
      <c r="AA1060" t="s">
        <v>6983</v>
      </c>
      <c r="AB1060" t="s">
        <v>975</v>
      </c>
      <c r="AC1060">
        <v>1000</v>
      </c>
      <c r="AD1060" t="s">
        <v>1066</v>
      </c>
      <c r="AE1060">
        <v>22292850</v>
      </c>
      <c r="AF1060" t="s">
        <v>979</v>
      </c>
      <c r="AG1060" t="s">
        <v>977</v>
      </c>
      <c r="AH1060">
        <v>401641663</v>
      </c>
      <c r="AI1060">
        <v>82990</v>
      </c>
      <c r="AJ1060" t="s">
        <v>7330</v>
      </c>
      <c r="AK1060" t="s">
        <v>978</v>
      </c>
      <c r="AL1060" t="s">
        <v>978</v>
      </c>
      <c r="AM1060" t="s">
        <v>979</v>
      </c>
      <c r="AN1060">
        <v>0</v>
      </c>
      <c r="AO1060" t="s">
        <v>257</v>
      </c>
      <c r="AP1060">
        <v>0</v>
      </c>
      <c r="AQ1060">
        <v>1</v>
      </c>
      <c r="AR1060">
        <v>69</v>
      </c>
      <c r="AS1060">
        <v>1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1</v>
      </c>
      <c r="AZ1060" t="s">
        <v>257</v>
      </c>
      <c r="BA1060" t="s">
        <v>257</v>
      </c>
      <c r="BB1060" t="s">
        <v>981</v>
      </c>
      <c r="BC1060" t="s">
        <v>257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 t="s">
        <v>998</v>
      </c>
      <c r="BK1060" t="s">
        <v>981</v>
      </c>
      <c r="BL1060" t="s">
        <v>6981</v>
      </c>
      <c r="BM1060">
        <v>20250325</v>
      </c>
      <c r="BN1060">
        <v>20250911</v>
      </c>
      <c r="BO1060">
        <v>0</v>
      </c>
      <c r="BP1060" t="s">
        <v>257</v>
      </c>
      <c r="BQ1060" t="s">
        <v>983</v>
      </c>
      <c r="BR1060" t="s">
        <v>978</v>
      </c>
      <c r="BS1060" t="s">
        <v>979</v>
      </c>
      <c r="BT1060">
        <v>0</v>
      </c>
      <c r="BU1060">
        <v>0</v>
      </c>
      <c r="BV1060" t="s">
        <v>984</v>
      </c>
      <c r="BW1060" t="s">
        <v>257</v>
      </c>
      <c r="BX1060">
        <v>0</v>
      </c>
      <c r="BY1060" t="s">
        <v>980</v>
      </c>
      <c r="BZ1060" t="s">
        <v>257</v>
      </c>
      <c r="CA1060">
        <v>0</v>
      </c>
      <c r="CB1060">
        <v>0</v>
      </c>
      <c r="CC1060" t="s">
        <v>1901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 t="s">
        <v>983</v>
      </c>
      <c r="CJ1060" t="s">
        <v>972</v>
      </c>
      <c r="CK1060" t="s">
        <v>986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 t="s">
        <v>987</v>
      </c>
      <c r="CV1060">
        <v>400010993</v>
      </c>
      <c r="CW1060" t="s">
        <v>987</v>
      </c>
      <c r="CX1060" t="s">
        <v>6984</v>
      </c>
      <c r="CY1060" t="s">
        <v>989</v>
      </c>
    </row>
    <row r="1061" spans="1:103" hidden="1" x14ac:dyDescent="0.25">
      <c r="A1061">
        <v>410001067</v>
      </c>
      <c r="B1061" t="s">
        <v>6985</v>
      </c>
      <c r="C1061" t="s">
        <v>6986</v>
      </c>
      <c r="D1061">
        <v>401100000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1</v>
      </c>
      <c r="X1061">
        <v>1</v>
      </c>
      <c r="Y1061" t="s">
        <v>972</v>
      </c>
      <c r="Z1061" t="s">
        <v>6987</v>
      </c>
      <c r="AA1061" t="s">
        <v>6988</v>
      </c>
      <c r="AB1061" t="s">
        <v>975</v>
      </c>
      <c r="AC1061">
        <v>4601</v>
      </c>
      <c r="AD1061" t="s">
        <v>1813</v>
      </c>
      <c r="AE1061">
        <v>43790501</v>
      </c>
      <c r="AF1061" t="s">
        <v>979</v>
      </c>
      <c r="AG1061" t="s">
        <v>977</v>
      </c>
      <c r="AH1061">
        <v>416062197</v>
      </c>
      <c r="AI1061">
        <v>91220</v>
      </c>
      <c r="AJ1061" t="s">
        <v>978</v>
      </c>
      <c r="AK1061" t="s">
        <v>978</v>
      </c>
      <c r="AL1061" t="s">
        <v>978</v>
      </c>
      <c r="AM1061" t="s">
        <v>979</v>
      </c>
      <c r="AN1061">
        <v>0</v>
      </c>
      <c r="AO1061" t="s">
        <v>257</v>
      </c>
      <c r="AP1061">
        <v>0</v>
      </c>
      <c r="AQ1061">
        <v>1</v>
      </c>
      <c r="AR1061">
        <v>69</v>
      </c>
      <c r="AS1061">
        <v>1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1</v>
      </c>
      <c r="AZ1061" t="s">
        <v>257</v>
      </c>
      <c r="BA1061" t="s">
        <v>257</v>
      </c>
      <c r="BB1061" t="s">
        <v>981</v>
      </c>
      <c r="BC1061" t="s">
        <v>257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 t="s">
        <v>998</v>
      </c>
      <c r="BK1061" t="s">
        <v>981</v>
      </c>
      <c r="BL1061" t="s">
        <v>6985</v>
      </c>
      <c r="BM1061">
        <v>20250331</v>
      </c>
      <c r="BN1061">
        <v>20250408</v>
      </c>
      <c r="BO1061">
        <v>0</v>
      </c>
      <c r="BP1061" t="s">
        <v>257</v>
      </c>
      <c r="BQ1061" t="s">
        <v>983</v>
      </c>
      <c r="BR1061" t="s">
        <v>978</v>
      </c>
      <c r="BS1061" t="s">
        <v>979</v>
      </c>
      <c r="BT1061">
        <v>0</v>
      </c>
      <c r="BU1061">
        <v>0</v>
      </c>
      <c r="BV1061" t="s">
        <v>984</v>
      </c>
      <c r="BW1061" t="s">
        <v>257</v>
      </c>
      <c r="BX1061">
        <v>0</v>
      </c>
      <c r="BY1061" t="s">
        <v>980</v>
      </c>
      <c r="BZ1061" t="s">
        <v>257</v>
      </c>
      <c r="CA1061">
        <v>0</v>
      </c>
      <c r="CB1061">
        <v>0</v>
      </c>
      <c r="CC1061" t="s">
        <v>1317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 t="s">
        <v>983</v>
      </c>
      <c r="CJ1061" t="s">
        <v>972</v>
      </c>
      <c r="CK1061" t="s">
        <v>986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 t="s">
        <v>987</v>
      </c>
      <c r="CV1061">
        <v>400011005</v>
      </c>
      <c r="CW1061" t="s">
        <v>987</v>
      </c>
      <c r="CX1061" t="s">
        <v>6989</v>
      </c>
      <c r="CY1061" t="s">
        <v>989</v>
      </c>
    </row>
    <row r="1062" spans="1:103" hidden="1" x14ac:dyDescent="0.25">
      <c r="A1062">
        <v>410001068</v>
      </c>
      <c r="B1062" t="s">
        <v>6990</v>
      </c>
      <c r="C1062" t="s">
        <v>6991</v>
      </c>
      <c r="D1062">
        <v>401100000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1</v>
      </c>
      <c r="X1062">
        <v>1</v>
      </c>
      <c r="Y1062" t="s">
        <v>972</v>
      </c>
      <c r="Z1062" t="s">
        <v>987</v>
      </c>
      <c r="AA1062" t="s">
        <v>6992</v>
      </c>
      <c r="AB1062" t="s">
        <v>975</v>
      </c>
      <c r="AC1062">
        <v>7301</v>
      </c>
      <c r="AD1062" t="s">
        <v>6993</v>
      </c>
      <c r="AE1062">
        <v>65792146</v>
      </c>
      <c r="AF1062" t="s">
        <v>979</v>
      </c>
      <c r="AG1062" t="s">
        <v>977</v>
      </c>
      <c r="AH1062">
        <v>745998096</v>
      </c>
      <c r="AI1062" t="s">
        <v>977</v>
      </c>
      <c r="AJ1062" t="s">
        <v>7331</v>
      </c>
      <c r="AK1062" t="s">
        <v>978</v>
      </c>
      <c r="AL1062" t="s">
        <v>978</v>
      </c>
      <c r="AM1062" t="s">
        <v>979</v>
      </c>
      <c r="AN1062">
        <v>0</v>
      </c>
      <c r="AO1062" t="s">
        <v>257</v>
      </c>
      <c r="AP1062">
        <v>0</v>
      </c>
      <c r="AQ1062">
        <v>1</v>
      </c>
      <c r="AR1062">
        <v>69</v>
      </c>
      <c r="AS1062">
        <v>1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1</v>
      </c>
      <c r="AZ1062" t="s">
        <v>257</v>
      </c>
      <c r="BA1062" t="s">
        <v>257</v>
      </c>
      <c r="BB1062" t="s">
        <v>981</v>
      </c>
      <c r="BC1062" t="s">
        <v>257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 t="s">
        <v>998</v>
      </c>
      <c r="BK1062" t="s">
        <v>981</v>
      </c>
      <c r="BL1062" t="s">
        <v>6990</v>
      </c>
      <c r="BM1062">
        <v>20250401</v>
      </c>
      <c r="BN1062">
        <v>20250911</v>
      </c>
      <c r="BO1062">
        <v>0</v>
      </c>
      <c r="BP1062" t="s">
        <v>257</v>
      </c>
      <c r="BQ1062" t="s">
        <v>983</v>
      </c>
      <c r="BR1062" t="s">
        <v>978</v>
      </c>
      <c r="BS1062" t="s">
        <v>979</v>
      </c>
      <c r="BT1062">
        <v>0</v>
      </c>
      <c r="BU1062">
        <v>0</v>
      </c>
      <c r="BV1062" t="s">
        <v>984</v>
      </c>
      <c r="BW1062" t="s">
        <v>257</v>
      </c>
      <c r="BX1062">
        <v>0</v>
      </c>
      <c r="BY1062" t="s">
        <v>980</v>
      </c>
      <c r="BZ1062" t="s">
        <v>257</v>
      </c>
      <c r="CA1062">
        <v>0</v>
      </c>
      <c r="CB1062">
        <v>0</v>
      </c>
      <c r="CC1062" t="s">
        <v>1901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 t="s">
        <v>983</v>
      </c>
      <c r="CJ1062" t="s">
        <v>972</v>
      </c>
      <c r="CK1062" t="s">
        <v>986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 t="s">
        <v>987</v>
      </c>
      <c r="CV1062">
        <v>400011007</v>
      </c>
      <c r="CW1062" t="s">
        <v>987</v>
      </c>
      <c r="CX1062" t="s">
        <v>6994</v>
      </c>
      <c r="CY1062" t="s">
        <v>989</v>
      </c>
    </row>
    <row r="1063" spans="1:103" hidden="1" x14ac:dyDescent="0.25">
      <c r="A1063">
        <v>410001069</v>
      </c>
      <c r="B1063" t="s">
        <v>6995</v>
      </c>
      <c r="C1063" t="s">
        <v>6996</v>
      </c>
      <c r="D1063">
        <v>401100000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1</v>
      </c>
      <c r="Y1063" t="s">
        <v>972</v>
      </c>
      <c r="Z1063" t="s">
        <v>987</v>
      </c>
      <c r="AA1063" t="s">
        <v>6997</v>
      </c>
      <c r="AB1063" t="s">
        <v>975</v>
      </c>
      <c r="AC1063">
        <v>6120</v>
      </c>
      <c r="AD1063" t="s">
        <v>6585</v>
      </c>
      <c r="AE1063">
        <v>71221182</v>
      </c>
      <c r="AF1063" t="s">
        <v>979</v>
      </c>
      <c r="AG1063" t="s">
        <v>977</v>
      </c>
      <c r="AH1063">
        <v>457554047</v>
      </c>
      <c r="AI1063">
        <v>69201</v>
      </c>
      <c r="AJ1063" t="s">
        <v>7332</v>
      </c>
      <c r="AK1063" t="s">
        <v>978</v>
      </c>
      <c r="AL1063" t="s">
        <v>978</v>
      </c>
      <c r="AM1063" t="s">
        <v>979</v>
      </c>
      <c r="AN1063">
        <v>0</v>
      </c>
      <c r="AO1063" t="s">
        <v>257</v>
      </c>
      <c r="AP1063">
        <v>0</v>
      </c>
      <c r="AQ1063">
        <v>1</v>
      </c>
      <c r="AR1063">
        <v>69</v>
      </c>
      <c r="AS1063">
        <v>1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1</v>
      </c>
      <c r="AZ1063" t="s">
        <v>257</v>
      </c>
      <c r="BA1063" t="s">
        <v>257</v>
      </c>
      <c r="BB1063" t="s">
        <v>981</v>
      </c>
      <c r="BC1063" t="s">
        <v>257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 t="s">
        <v>998</v>
      </c>
      <c r="BK1063" t="s">
        <v>981</v>
      </c>
      <c r="BL1063" t="s">
        <v>6995</v>
      </c>
      <c r="BM1063">
        <v>20250403</v>
      </c>
      <c r="BN1063">
        <v>20250911</v>
      </c>
      <c r="BO1063">
        <v>0</v>
      </c>
      <c r="BP1063" t="s">
        <v>257</v>
      </c>
      <c r="BQ1063" t="s">
        <v>983</v>
      </c>
      <c r="BR1063" t="s">
        <v>978</v>
      </c>
      <c r="BS1063" t="s">
        <v>979</v>
      </c>
      <c r="BT1063">
        <v>0</v>
      </c>
      <c r="BU1063">
        <v>0</v>
      </c>
      <c r="BV1063" t="s">
        <v>984</v>
      </c>
      <c r="BW1063" t="s">
        <v>257</v>
      </c>
      <c r="BX1063">
        <v>0</v>
      </c>
      <c r="BY1063" t="s">
        <v>980</v>
      </c>
      <c r="BZ1063" t="s">
        <v>257</v>
      </c>
      <c r="CA1063">
        <v>0</v>
      </c>
      <c r="CB1063">
        <v>0</v>
      </c>
      <c r="CC1063" t="s">
        <v>1901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 t="s">
        <v>983</v>
      </c>
      <c r="CJ1063" t="s">
        <v>972</v>
      </c>
      <c r="CK1063" t="s">
        <v>986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 t="s">
        <v>987</v>
      </c>
      <c r="CV1063">
        <v>400011010</v>
      </c>
      <c r="CW1063" t="s">
        <v>987</v>
      </c>
      <c r="CX1063" t="s">
        <v>6998</v>
      </c>
      <c r="CY1063" t="s">
        <v>989</v>
      </c>
    </row>
    <row r="1064" spans="1:103" hidden="1" x14ac:dyDescent="0.25">
      <c r="A1064">
        <v>410001070</v>
      </c>
      <c r="B1064" t="s">
        <v>6999</v>
      </c>
      <c r="C1064" t="s">
        <v>7000</v>
      </c>
      <c r="D1064">
        <v>401100000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1</v>
      </c>
      <c r="Y1064" t="s">
        <v>972</v>
      </c>
      <c r="Z1064" t="s">
        <v>987</v>
      </c>
      <c r="AA1064" t="s">
        <v>3013</v>
      </c>
      <c r="AB1064" t="s">
        <v>975</v>
      </c>
      <c r="AC1064">
        <v>6511</v>
      </c>
      <c r="AD1064" t="s">
        <v>4568</v>
      </c>
      <c r="AE1064" t="s">
        <v>979</v>
      </c>
      <c r="AF1064" t="s">
        <v>979</v>
      </c>
      <c r="AG1064" t="s">
        <v>977</v>
      </c>
      <c r="AH1064">
        <v>767701451</v>
      </c>
      <c r="AI1064">
        <v>47252</v>
      </c>
      <c r="AJ1064" t="s">
        <v>978</v>
      </c>
      <c r="AK1064" t="s">
        <v>978</v>
      </c>
      <c r="AL1064" t="s">
        <v>978</v>
      </c>
      <c r="AM1064" t="s">
        <v>979</v>
      </c>
      <c r="AN1064">
        <v>0</v>
      </c>
      <c r="AO1064" t="s">
        <v>257</v>
      </c>
      <c r="AP1064">
        <v>0</v>
      </c>
      <c r="AQ1064">
        <v>1</v>
      </c>
      <c r="AR1064">
        <v>69</v>
      </c>
      <c r="AS1064">
        <v>1</v>
      </c>
      <c r="AT1064">
        <v>0</v>
      </c>
      <c r="AU1064">
        <v>1</v>
      </c>
      <c r="AV1064">
        <v>0</v>
      </c>
      <c r="AW1064">
        <v>0</v>
      </c>
      <c r="AX1064">
        <v>0</v>
      </c>
      <c r="AY1064">
        <v>1</v>
      </c>
      <c r="AZ1064" t="s">
        <v>257</v>
      </c>
      <c r="BA1064" t="s">
        <v>980</v>
      </c>
      <c r="BB1064" t="s">
        <v>981</v>
      </c>
      <c r="BC1064" t="s">
        <v>257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 t="s">
        <v>998</v>
      </c>
      <c r="BK1064" t="s">
        <v>981</v>
      </c>
      <c r="BL1064" t="s">
        <v>6999</v>
      </c>
      <c r="BM1064">
        <v>20250403</v>
      </c>
      <c r="BN1064">
        <v>20250904</v>
      </c>
      <c r="BO1064">
        <v>0</v>
      </c>
      <c r="BP1064" t="s">
        <v>257</v>
      </c>
      <c r="BQ1064" t="s">
        <v>983</v>
      </c>
      <c r="BR1064" t="s">
        <v>978</v>
      </c>
      <c r="BS1064" t="s">
        <v>979</v>
      </c>
      <c r="BT1064">
        <v>0</v>
      </c>
      <c r="BU1064">
        <v>0</v>
      </c>
      <c r="BV1064" t="s">
        <v>984</v>
      </c>
      <c r="BW1064" t="s">
        <v>257</v>
      </c>
      <c r="BX1064">
        <v>0</v>
      </c>
      <c r="BY1064" t="s">
        <v>980</v>
      </c>
      <c r="BZ1064" t="s">
        <v>257</v>
      </c>
      <c r="CA1064">
        <v>0</v>
      </c>
      <c r="CB1064">
        <v>0</v>
      </c>
      <c r="CC1064" t="s">
        <v>1901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 t="s">
        <v>983</v>
      </c>
      <c r="CJ1064" t="s">
        <v>972</v>
      </c>
      <c r="CK1064" t="s">
        <v>986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 t="s">
        <v>987</v>
      </c>
      <c r="CV1064">
        <v>400011012</v>
      </c>
      <c r="CW1064" t="s">
        <v>987</v>
      </c>
      <c r="CX1064" t="s">
        <v>4570</v>
      </c>
      <c r="CY1064" t="s">
        <v>989</v>
      </c>
    </row>
    <row r="1065" spans="1:103" hidden="1" x14ac:dyDescent="0.25">
      <c r="A1065">
        <v>410001071</v>
      </c>
      <c r="B1065" t="s">
        <v>7001</v>
      </c>
      <c r="C1065" t="s">
        <v>7002</v>
      </c>
      <c r="D1065">
        <v>401100000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1</v>
      </c>
      <c r="Y1065" t="s">
        <v>972</v>
      </c>
      <c r="Z1065" t="s">
        <v>987</v>
      </c>
      <c r="AA1065" t="s">
        <v>7003</v>
      </c>
      <c r="AB1065" t="s">
        <v>975</v>
      </c>
      <c r="AC1065">
        <v>6250</v>
      </c>
      <c r="AD1065" t="s">
        <v>7004</v>
      </c>
      <c r="AE1065" t="s">
        <v>979</v>
      </c>
      <c r="AF1065" t="s">
        <v>979</v>
      </c>
      <c r="AG1065" t="s">
        <v>977</v>
      </c>
      <c r="AH1065">
        <v>407937557</v>
      </c>
      <c r="AI1065">
        <v>28250</v>
      </c>
      <c r="AJ1065" t="s">
        <v>978</v>
      </c>
      <c r="AK1065" t="s">
        <v>978</v>
      </c>
      <c r="AL1065" t="s">
        <v>978</v>
      </c>
      <c r="AM1065" t="s">
        <v>979</v>
      </c>
      <c r="AN1065">
        <v>0</v>
      </c>
      <c r="AO1065" t="s">
        <v>257</v>
      </c>
      <c r="AP1065">
        <v>30</v>
      </c>
      <c r="AQ1065">
        <v>1</v>
      </c>
      <c r="AR1065">
        <v>69</v>
      </c>
      <c r="AS1065">
        <v>1</v>
      </c>
      <c r="AT1065">
        <v>0</v>
      </c>
      <c r="AU1065">
        <v>1</v>
      </c>
      <c r="AV1065">
        <v>0</v>
      </c>
      <c r="AW1065">
        <v>0</v>
      </c>
      <c r="AX1065">
        <v>0</v>
      </c>
      <c r="AY1065">
        <v>1</v>
      </c>
      <c r="AZ1065" t="s">
        <v>257</v>
      </c>
      <c r="BA1065" t="s">
        <v>257</v>
      </c>
      <c r="BB1065" t="s">
        <v>981</v>
      </c>
      <c r="BC1065" t="s">
        <v>257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 t="s">
        <v>998</v>
      </c>
      <c r="BK1065" t="s">
        <v>981</v>
      </c>
      <c r="BL1065" t="s">
        <v>7001</v>
      </c>
      <c r="BM1065">
        <v>20250404</v>
      </c>
      <c r="BN1065">
        <v>20250626</v>
      </c>
      <c r="BO1065">
        <v>0</v>
      </c>
      <c r="BP1065" t="s">
        <v>257</v>
      </c>
      <c r="BQ1065" t="s">
        <v>983</v>
      </c>
      <c r="BR1065" t="s">
        <v>978</v>
      </c>
      <c r="BS1065">
        <v>471129327</v>
      </c>
      <c r="BT1065">
        <v>0</v>
      </c>
      <c r="BU1065">
        <v>0</v>
      </c>
      <c r="BV1065" t="s">
        <v>984</v>
      </c>
      <c r="BW1065" t="s">
        <v>257</v>
      </c>
      <c r="BX1065">
        <v>0</v>
      </c>
      <c r="BY1065" t="s">
        <v>980</v>
      </c>
      <c r="BZ1065" t="s">
        <v>257</v>
      </c>
      <c r="CA1065">
        <v>0</v>
      </c>
      <c r="CB1065">
        <v>0</v>
      </c>
      <c r="CC1065" t="s">
        <v>1901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 t="s">
        <v>983</v>
      </c>
      <c r="CJ1065" t="s">
        <v>972</v>
      </c>
      <c r="CK1065" t="s">
        <v>986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 t="s">
        <v>987</v>
      </c>
      <c r="CV1065">
        <v>400011014</v>
      </c>
      <c r="CW1065" t="s">
        <v>987</v>
      </c>
      <c r="CX1065" t="s">
        <v>7005</v>
      </c>
      <c r="CY1065" t="s">
        <v>989</v>
      </c>
    </row>
    <row r="1066" spans="1:103" hidden="1" x14ac:dyDescent="0.25">
      <c r="A1066">
        <v>410001072</v>
      </c>
      <c r="B1066" t="s">
        <v>7030</v>
      </c>
      <c r="C1066" t="s">
        <v>7031</v>
      </c>
      <c r="D1066">
        <v>401100000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1</v>
      </c>
      <c r="Y1066" t="s">
        <v>972</v>
      </c>
      <c r="Z1066" t="s">
        <v>987</v>
      </c>
      <c r="AA1066" t="s">
        <v>7032</v>
      </c>
      <c r="AB1066" t="s">
        <v>975</v>
      </c>
      <c r="AC1066">
        <v>4671</v>
      </c>
      <c r="AD1066" t="s">
        <v>7033</v>
      </c>
      <c r="AE1066">
        <v>43877757</v>
      </c>
      <c r="AF1066" t="s">
        <v>979</v>
      </c>
      <c r="AG1066" t="s">
        <v>977</v>
      </c>
      <c r="AH1066">
        <v>667586959</v>
      </c>
      <c r="AI1066">
        <v>70200</v>
      </c>
      <c r="AJ1066" t="s">
        <v>978</v>
      </c>
      <c r="AK1066" t="s">
        <v>978</v>
      </c>
      <c r="AL1066" t="s">
        <v>978</v>
      </c>
      <c r="AM1066" t="s">
        <v>979</v>
      </c>
      <c r="AN1066">
        <v>0</v>
      </c>
      <c r="AO1066" t="s">
        <v>257</v>
      </c>
      <c r="AP1066">
        <v>0</v>
      </c>
      <c r="AQ1066">
        <v>1</v>
      </c>
      <c r="AR1066">
        <v>69</v>
      </c>
      <c r="AS1066">
        <v>1</v>
      </c>
      <c r="AT1066">
        <v>0</v>
      </c>
      <c r="AU1066">
        <v>1</v>
      </c>
      <c r="AV1066">
        <v>0</v>
      </c>
      <c r="AW1066">
        <v>0</v>
      </c>
      <c r="AX1066">
        <v>0</v>
      </c>
      <c r="AY1066">
        <v>1</v>
      </c>
      <c r="AZ1066" t="s">
        <v>257</v>
      </c>
      <c r="BA1066" t="s">
        <v>257</v>
      </c>
      <c r="BB1066" t="s">
        <v>981</v>
      </c>
      <c r="BC1066" t="s">
        <v>257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 t="s">
        <v>998</v>
      </c>
      <c r="BK1066" t="s">
        <v>981</v>
      </c>
      <c r="BL1066" t="s">
        <v>7030</v>
      </c>
      <c r="BM1066">
        <v>20250410</v>
      </c>
      <c r="BN1066">
        <v>20250410</v>
      </c>
      <c r="BO1066">
        <v>0</v>
      </c>
      <c r="BP1066" t="s">
        <v>257</v>
      </c>
      <c r="BQ1066" t="s">
        <v>983</v>
      </c>
      <c r="BR1066" t="s">
        <v>978</v>
      </c>
      <c r="BS1066" t="s">
        <v>979</v>
      </c>
      <c r="BT1066">
        <v>0</v>
      </c>
      <c r="BU1066">
        <v>0</v>
      </c>
      <c r="BV1066" t="s">
        <v>984</v>
      </c>
      <c r="BW1066" t="s">
        <v>257</v>
      </c>
      <c r="BX1066">
        <v>0</v>
      </c>
      <c r="BY1066" t="s">
        <v>980</v>
      </c>
      <c r="BZ1066" t="s">
        <v>257</v>
      </c>
      <c r="CA1066">
        <v>0</v>
      </c>
      <c r="CB1066">
        <v>0</v>
      </c>
      <c r="CC1066" t="s">
        <v>1317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 t="s">
        <v>983</v>
      </c>
      <c r="CJ1066" t="s">
        <v>972</v>
      </c>
      <c r="CK1066" t="s">
        <v>986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 t="s">
        <v>987</v>
      </c>
      <c r="CV1066">
        <v>400011025</v>
      </c>
      <c r="CW1066" t="s">
        <v>987</v>
      </c>
      <c r="CX1066" t="s">
        <v>3722</v>
      </c>
      <c r="CY1066" t="s">
        <v>989</v>
      </c>
    </row>
    <row r="1067" spans="1:103" hidden="1" x14ac:dyDescent="0.25">
      <c r="A1067">
        <v>410001073</v>
      </c>
      <c r="B1067" t="s">
        <v>7034</v>
      </c>
      <c r="C1067" t="s">
        <v>7035</v>
      </c>
      <c r="D1067">
        <v>401100000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1</v>
      </c>
      <c r="Y1067" t="s">
        <v>972</v>
      </c>
      <c r="Z1067" t="s">
        <v>987</v>
      </c>
      <c r="AA1067" t="s">
        <v>7036</v>
      </c>
      <c r="AB1067" t="s">
        <v>975</v>
      </c>
      <c r="AC1067">
        <v>5032</v>
      </c>
      <c r="AD1067" t="s">
        <v>1245</v>
      </c>
      <c r="AE1067">
        <v>81728840</v>
      </c>
      <c r="AF1067" t="s">
        <v>979</v>
      </c>
      <c r="AG1067" t="s">
        <v>977</v>
      </c>
      <c r="AH1067" t="s">
        <v>977</v>
      </c>
      <c r="AI1067" t="s">
        <v>977</v>
      </c>
      <c r="AJ1067" t="s">
        <v>7333</v>
      </c>
      <c r="AK1067" t="s">
        <v>978</v>
      </c>
      <c r="AL1067" t="s">
        <v>978</v>
      </c>
      <c r="AM1067" t="s">
        <v>979</v>
      </c>
      <c r="AN1067">
        <v>0</v>
      </c>
      <c r="AO1067" t="s">
        <v>257</v>
      </c>
      <c r="AP1067">
        <v>0</v>
      </c>
      <c r="AQ1067">
        <v>1</v>
      </c>
      <c r="AR1067">
        <v>69</v>
      </c>
      <c r="AS1067">
        <v>1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1</v>
      </c>
      <c r="AZ1067" t="s">
        <v>257</v>
      </c>
      <c r="BA1067" t="s">
        <v>980</v>
      </c>
      <c r="BB1067" t="s">
        <v>981</v>
      </c>
      <c r="BC1067" t="s">
        <v>257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 t="s">
        <v>998</v>
      </c>
      <c r="BK1067" t="s">
        <v>981</v>
      </c>
      <c r="BL1067" t="s">
        <v>7034</v>
      </c>
      <c r="BM1067">
        <v>20250411</v>
      </c>
      <c r="BN1067">
        <v>20250911</v>
      </c>
      <c r="BO1067">
        <v>0</v>
      </c>
      <c r="BP1067" t="s">
        <v>257</v>
      </c>
      <c r="BQ1067" t="s">
        <v>983</v>
      </c>
      <c r="BR1067" t="s">
        <v>978</v>
      </c>
      <c r="BS1067" t="s">
        <v>979</v>
      </c>
      <c r="BT1067">
        <v>0</v>
      </c>
      <c r="BU1067">
        <v>0</v>
      </c>
      <c r="BV1067" t="s">
        <v>984</v>
      </c>
      <c r="BW1067" t="s">
        <v>257</v>
      </c>
      <c r="BX1067">
        <v>0</v>
      </c>
      <c r="BY1067" t="s">
        <v>980</v>
      </c>
      <c r="BZ1067" t="s">
        <v>257</v>
      </c>
      <c r="CA1067">
        <v>0</v>
      </c>
      <c r="CB1067">
        <v>0</v>
      </c>
      <c r="CC1067" t="s">
        <v>1901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 t="s">
        <v>983</v>
      </c>
      <c r="CJ1067" t="s">
        <v>972</v>
      </c>
      <c r="CK1067" t="s">
        <v>986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 t="s">
        <v>987</v>
      </c>
      <c r="CV1067">
        <v>400011027</v>
      </c>
      <c r="CW1067" t="s">
        <v>987</v>
      </c>
      <c r="CX1067" t="s">
        <v>7037</v>
      </c>
      <c r="CY1067" t="s">
        <v>989</v>
      </c>
    </row>
    <row r="1068" spans="1:103" hidden="1" x14ac:dyDescent="0.25">
      <c r="A1068">
        <v>410001074</v>
      </c>
      <c r="B1068" t="s">
        <v>7038</v>
      </c>
      <c r="C1068" t="s">
        <v>7039</v>
      </c>
      <c r="D1068">
        <v>401100000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1</v>
      </c>
      <c r="X1068">
        <v>1</v>
      </c>
      <c r="Y1068" t="s">
        <v>972</v>
      </c>
      <c r="Z1068" t="s">
        <v>4834</v>
      </c>
      <c r="AA1068" t="s">
        <v>7040</v>
      </c>
      <c r="AB1068" t="s">
        <v>975</v>
      </c>
      <c r="AC1068">
        <v>6200</v>
      </c>
      <c r="AD1068" t="s">
        <v>5475</v>
      </c>
      <c r="AE1068">
        <v>71384259</v>
      </c>
      <c r="AF1068" t="s">
        <v>979</v>
      </c>
      <c r="AG1068" t="s">
        <v>977</v>
      </c>
      <c r="AH1068" t="s">
        <v>977</v>
      </c>
      <c r="AI1068" t="s">
        <v>977</v>
      </c>
      <c r="AJ1068" t="s">
        <v>7330</v>
      </c>
      <c r="AK1068" t="s">
        <v>978</v>
      </c>
      <c r="AL1068" t="s">
        <v>978</v>
      </c>
      <c r="AM1068" t="s">
        <v>979</v>
      </c>
      <c r="AN1068">
        <v>0</v>
      </c>
      <c r="AO1068" t="s">
        <v>257</v>
      </c>
      <c r="AP1068">
        <v>0</v>
      </c>
      <c r="AQ1068">
        <v>1</v>
      </c>
      <c r="AR1068">
        <v>69</v>
      </c>
      <c r="AS1068">
        <v>1</v>
      </c>
      <c r="AT1068">
        <v>0</v>
      </c>
      <c r="AU1068">
        <v>1</v>
      </c>
      <c r="AV1068">
        <v>0</v>
      </c>
      <c r="AW1068">
        <v>0</v>
      </c>
      <c r="AX1068">
        <v>0</v>
      </c>
      <c r="AY1068">
        <v>1</v>
      </c>
      <c r="AZ1068" t="s">
        <v>257</v>
      </c>
      <c r="BA1068" t="s">
        <v>257</v>
      </c>
      <c r="BB1068" t="s">
        <v>981</v>
      </c>
      <c r="BC1068" t="s">
        <v>257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 t="s">
        <v>998</v>
      </c>
      <c r="BK1068" t="s">
        <v>981</v>
      </c>
      <c r="BL1068" t="s">
        <v>7038</v>
      </c>
      <c r="BM1068">
        <v>20250411</v>
      </c>
      <c r="BN1068">
        <v>20250911</v>
      </c>
      <c r="BO1068">
        <v>0</v>
      </c>
      <c r="BP1068" t="s">
        <v>257</v>
      </c>
      <c r="BQ1068" t="s">
        <v>983</v>
      </c>
      <c r="BR1068" t="s">
        <v>978</v>
      </c>
      <c r="BS1068" t="s">
        <v>979</v>
      </c>
      <c r="BT1068">
        <v>0</v>
      </c>
      <c r="BU1068">
        <v>0</v>
      </c>
      <c r="BV1068" t="s">
        <v>984</v>
      </c>
      <c r="BW1068" t="s">
        <v>257</v>
      </c>
      <c r="BX1068">
        <v>0</v>
      </c>
      <c r="BY1068" t="s">
        <v>980</v>
      </c>
      <c r="BZ1068" t="s">
        <v>257</v>
      </c>
      <c r="CA1068">
        <v>0</v>
      </c>
      <c r="CB1068">
        <v>0</v>
      </c>
      <c r="CC1068" t="s">
        <v>1901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 t="s">
        <v>983</v>
      </c>
      <c r="CJ1068" t="s">
        <v>972</v>
      </c>
      <c r="CK1068" t="s">
        <v>986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 t="s">
        <v>987</v>
      </c>
      <c r="CV1068">
        <v>400011028</v>
      </c>
      <c r="CW1068" t="s">
        <v>987</v>
      </c>
      <c r="CX1068" t="s">
        <v>7041</v>
      </c>
      <c r="CY1068" t="s">
        <v>989</v>
      </c>
    </row>
    <row r="1069" spans="1:103" hidden="1" x14ac:dyDescent="0.25">
      <c r="A1069">
        <v>410001075</v>
      </c>
      <c r="B1069" t="s">
        <v>7042</v>
      </c>
      <c r="C1069" t="s">
        <v>7043</v>
      </c>
      <c r="D1069">
        <v>401100000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1</v>
      </c>
      <c r="Y1069" t="s">
        <v>972</v>
      </c>
      <c r="Z1069" t="s">
        <v>987</v>
      </c>
      <c r="AA1069" t="s">
        <v>7044</v>
      </c>
      <c r="AB1069" t="s">
        <v>975</v>
      </c>
      <c r="AC1069">
        <v>5030</v>
      </c>
      <c r="AD1069" t="s">
        <v>1245</v>
      </c>
      <c r="AE1069">
        <v>81625369</v>
      </c>
      <c r="AF1069" t="s">
        <v>979</v>
      </c>
      <c r="AG1069" t="s">
        <v>977</v>
      </c>
      <c r="AH1069" t="s">
        <v>977</v>
      </c>
      <c r="AI1069" t="s">
        <v>977</v>
      </c>
      <c r="AJ1069" t="s">
        <v>7333</v>
      </c>
      <c r="AK1069" t="s">
        <v>978</v>
      </c>
      <c r="AL1069" t="s">
        <v>978</v>
      </c>
      <c r="AM1069" t="s">
        <v>979</v>
      </c>
      <c r="AN1069">
        <v>0</v>
      </c>
      <c r="AO1069" t="s">
        <v>257</v>
      </c>
      <c r="AP1069">
        <v>0</v>
      </c>
      <c r="AQ1069">
        <v>1</v>
      </c>
      <c r="AR1069">
        <v>69</v>
      </c>
      <c r="AS1069">
        <v>1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1</v>
      </c>
      <c r="AZ1069" t="s">
        <v>257</v>
      </c>
      <c r="BA1069" t="s">
        <v>257</v>
      </c>
      <c r="BB1069" t="s">
        <v>981</v>
      </c>
      <c r="BC1069" t="s">
        <v>257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 t="s">
        <v>998</v>
      </c>
      <c r="BK1069" t="s">
        <v>981</v>
      </c>
      <c r="BL1069" t="s">
        <v>7042</v>
      </c>
      <c r="BM1069">
        <v>20250414</v>
      </c>
      <c r="BN1069">
        <v>20250911</v>
      </c>
      <c r="BO1069">
        <v>0</v>
      </c>
      <c r="BP1069" t="s">
        <v>257</v>
      </c>
      <c r="BQ1069" t="s">
        <v>983</v>
      </c>
      <c r="BR1069" t="s">
        <v>978</v>
      </c>
      <c r="BS1069" t="s">
        <v>979</v>
      </c>
      <c r="BT1069">
        <v>0</v>
      </c>
      <c r="BU1069">
        <v>0</v>
      </c>
      <c r="BV1069" t="s">
        <v>984</v>
      </c>
      <c r="BW1069" t="s">
        <v>257</v>
      </c>
      <c r="BX1069">
        <v>0</v>
      </c>
      <c r="BY1069" t="s">
        <v>980</v>
      </c>
      <c r="BZ1069" t="s">
        <v>257</v>
      </c>
      <c r="CA1069">
        <v>0</v>
      </c>
      <c r="CB1069">
        <v>0</v>
      </c>
      <c r="CC1069" t="s">
        <v>1901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 t="s">
        <v>983</v>
      </c>
      <c r="CJ1069" t="s">
        <v>972</v>
      </c>
      <c r="CK1069" t="s">
        <v>986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 t="s">
        <v>987</v>
      </c>
      <c r="CV1069">
        <v>400011034</v>
      </c>
      <c r="CW1069" t="s">
        <v>987</v>
      </c>
      <c r="CX1069" t="s">
        <v>7045</v>
      </c>
      <c r="CY1069" t="s">
        <v>989</v>
      </c>
    </row>
    <row r="1070" spans="1:103" hidden="1" x14ac:dyDescent="0.25">
      <c r="A1070">
        <v>410001076</v>
      </c>
      <c r="B1070" t="s">
        <v>7046</v>
      </c>
      <c r="C1070" t="s">
        <v>7047</v>
      </c>
      <c r="D1070">
        <v>401100000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1</v>
      </c>
      <c r="Y1070" t="s">
        <v>972</v>
      </c>
      <c r="Z1070" t="s">
        <v>987</v>
      </c>
      <c r="AA1070" t="s">
        <v>7048</v>
      </c>
      <c r="AB1070" t="s">
        <v>975</v>
      </c>
      <c r="AC1070">
        <v>4041</v>
      </c>
      <c r="AD1070" t="s">
        <v>7049</v>
      </c>
      <c r="AE1070">
        <v>43709295</v>
      </c>
      <c r="AF1070" t="s">
        <v>979</v>
      </c>
      <c r="AG1070" t="s">
        <v>977</v>
      </c>
      <c r="AH1070" t="s">
        <v>977</v>
      </c>
      <c r="AI1070" t="s">
        <v>977</v>
      </c>
      <c r="AJ1070" t="s">
        <v>978</v>
      </c>
      <c r="AK1070" t="s">
        <v>978</v>
      </c>
      <c r="AL1070" t="s">
        <v>978</v>
      </c>
      <c r="AM1070" t="s">
        <v>979</v>
      </c>
      <c r="AN1070">
        <v>0</v>
      </c>
      <c r="AO1070" t="s">
        <v>257</v>
      </c>
      <c r="AP1070">
        <v>0</v>
      </c>
      <c r="AQ1070">
        <v>1</v>
      </c>
      <c r="AR1070">
        <v>69</v>
      </c>
      <c r="AS1070">
        <v>1</v>
      </c>
      <c r="AT1070">
        <v>0</v>
      </c>
      <c r="AU1070">
        <v>1</v>
      </c>
      <c r="AV1070">
        <v>0</v>
      </c>
      <c r="AW1070">
        <v>0</v>
      </c>
      <c r="AX1070">
        <v>0</v>
      </c>
      <c r="AY1070">
        <v>1</v>
      </c>
      <c r="AZ1070" t="s">
        <v>257</v>
      </c>
      <c r="BA1070" t="s">
        <v>257</v>
      </c>
      <c r="BB1070" t="s">
        <v>981</v>
      </c>
      <c r="BC1070" t="s">
        <v>257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 t="s">
        <v>998</v>
      </c>
      <c r="BK1070" t="s">
        <v>981</v>
      </c>
      <c r="BL1070" t="s">
        <v>7046</v>
      </c>
      <c r="BM1070">
        <v>20250417</v>
      </c>
      <c r="BN1070">
        <v>0</v>
      </c>
      <c r="BO1070">
        <v>0</v>
      </c>
      <c r="BP1070" t="s">
        <v>257</v>
      </c>
      <c r="BQ1070" t="s">
        <v>983</v>
      </c>
      <c r="BR1070" t="s">
        <v>978</v>
      </c>
      <c r="BS1070" t="s">
        <v>979</v>
      </c>
      <c r="BT1070">
        <v>0</v>
      </c>
      <c r="BU1070">
        <v>0</v>
      </c>
      <c r="BV1070" t="s">
        <v>984</v>
      </c>
      <c r="BW1070" t="s">
        <v>257</v>
      </c>
      <c r="BX1070">
        <v>0</v>
      </c>
      <c r="BY1070" t="s">
        <v>980</v>
      </c>
      <c r="BZ1070" t="s">
        <v>257</v>
      </c>
      <c r="CA1070">
        <v>0</v>
      </c>
      <c r="CB1070">
        <v>0</v>
      </c>
      <c r="CC1070" t="s">
        <v>2322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 t="s">
        <v>983</v>
      </c>
      <c r="CJ1070" t="s">
        <v>972</v>
      </c>
      <c r="CK1070" t="s">
        <v>986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 t="s">
        <v>987</v>
      </c>
      <c r="CV1070">
        <v>400011044</v>
      </c>
      <c r="CW1070" t="s">
        <v>987</v>
      </c>
      <c r="CX1070" t="s">
        <v>7050</v>
      </c>
      <c r="CY1070" t="s">
        <v>989</v>
      </c>
    </row>
    <row r="1071" spans="1:103" hidden="1" x14ac:dyDescent="0.25">
      <c r="A1071">
        <v>410001077</v>
      </c>
      <c r="B1071" t="s">
        <v>7051</v>
      </c>
      <c r="C1071" t="s">
        <v>7052</v>
      </c>
      <c r="D1071">
        <v>401100000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1</v>
      </c>
      <c r="X1071">
        <v>1</v>
      </c>
      <c r="Y1071" t="s">
        <v>972</v>
      </c>
      <c r="Z1071" t="s">
        <v>987</v>
      </c>
      <c r="AA1071" t="s">
        <v>7053</v>
      </c>
      <c r="AB1071" t="s">
        <v>975</v>
      </c>
      <c r="AC1071">
        <v>1170</v>
      </c>
      <c r="AD1071" t="s">
        <v>2871</v>
      </c>
      <c r="AE1071">
        <v>3287313300</v>
      </c>
      <c r="AF1071" t="s">
        <v>979</v>
      </c>
      <c r="AG1071" t="s">
        <v>977</v>
      </c>
      <c r="AH1071">
        <v>451284877</v>
      </c>
      <c r="AI1071">
        <v>10890</v>
      </c>
      <c r="AJ1071" t="s">
        <v>5844</v>
      </c>
      <c r="AK1071" t="s">
        <v>978</v>
      </c>
      <c r="AL1071" t="s">
        <v>978</v>
      </c>
      <c r="AM1071" t="s">
        <v>979</v>
      </c>
      <c r="AN1071">
        <v>0</v>
      </c>
      <c r="AO1071" t="s">
        <v>257</v>
      </c>
      <c r="AP1071">
        <v>0</v>
      </c>
      <c r="AQ1071">
        <v>1</v>
      </c>
      <c r="AR1071">
        <v>69</v>
      </c>
      <c r="AS1071">
        <v>1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1</v>
      </c>
      <c r="AZ1071" t="s">
        <v>257</v>
      </c>
      <c r="BA1071" t="s">
        <v>980</v>
      </c>
      <c r="BB1071" t="s">
        <v>981</v>
      </c>
      <c r="BC1071" t="s">
        <v>257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 t="s">
        <v>998</v>
      </c>
      <c r="BK1071" t="s">
        <v>981</v>
      </c>
      <c r="BL1071" t="s">
        <v>7051</v>
      </c>
      <c r="BM1071">
        <v>20250429</v>
      </c>
      <c r="BN1071">
        <v>20250430</v>
      </c>
      <c r="BO1071">
        <v>0</v>
      </c>
      <c r="BP1071" t="s">
        <v>257</v>
      </c>
      <c r="BQ1071" t="s">
        <v>983</v>
      </c>
      <c r="BR1071" t="s">
        <v>978</v>
      </c>
      <c r="BS1071" t="s">
        <v>979</v>
      </c>
      <c r="BT1071">
        <v>0</v>
      </c>
      <c r="BU1071">
        <v>0</v>
      </c>
      <c r="BV1071" t="s">
        <v>984</v>
      </c>
      <c r="BW1071" t="s">
        <v>257</v>
      </c>
      <c r="BX1071">
        <v>0</v>
      </c>
      <c r="BY1071" t="s">
        <v>980</v>
      </c>
      <c r="BZ1071" t="s">
        <v>257</v>
      </c>
      <c r="CA1071">
        <v>0</v>
      </c>
      <c r="CB1071">
        <v>0</v>
      </c>
      <c r="CC1071" t="s">
        <v>1901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 t="s">
        <v>983</v>
      </c>
      <c r="CJ1071" t="s">
        <v>972</v>
      </c>
      <c r="CK1071" t="s">
        <v>986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 t="s">
        <v>987</v>
      </c>
      <c r="CV1071">
        <v>400011066</v>
      </c>
      <c r="CW1071" t="s">
        <v>987</v>
      </c>
      <c r="CX1071" t="s">
        <v>7054</v>
      </c>
      <c r="CY1071" t="s">
        <v>989</v>
      </c>
    </row>
    <row r="1072" spans="1:103" hidden="1" x14ac:dyDescent="0.25">
      <c r="A1072">
        <v>410001078</v>
      </c>
      <c r="B1072" t="s">
        <v>7055</v>
      </c>
      <c r="C1072" t="s">
        <v>978</v>
      </c>
      <c r="D1072">
        <v>401100000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4</v>
      </c>
      <c r="W1072">
        <v>1</v>
      </c>
      <c r="X1072">
        <v>1</v>
      </c>
      <c r="Y1072" t="s">
        <v>972</v>
      </c>
      <c r="Z1072" t="s">
        <v>987</v>
      </c>
      <c r="AA1072" t="s">
        <v>7056</v>
      </c>
      <c r="AB1072" t="s">
        <v>975</v>
      </c>
      <c r="AC1072">
        <v>4800</v>
      </c>
      <c r="AD1072" t="s">
        <v>1334</v>
      </c>
      <c r="AE1072" t="s">
        <v>979</v>
      </c>
      <c r="AF1072" t="s">
        <v>979</v>
      </c>
      <c r="AG1072" t="s">
        <v>977</v>
      </c>
      <c r="AH1072" t="s">
        <v>977</v>
      </c>
      <c r="AI1072" t="s">
        <v>977</v>
      </c>
      <c r="AJ1072" t="s">
        <v>978</v>
      </c>
      <c r="AK1072" t="s">
        <v>978</v>
      </c>
      <c r="AL1072" t="s">
        <v>978</v>
      </c>
      <c r="AM1072" t="s">
        <v>979</v>
      </c>
      <c r="AN1072">
        <v>0</v>
      </c>
      <c r="AO1072" t="s">
        <v>257</v>
      </c>
      <c r="AP1072">
        <v>0</v>
      </c>
      <c r="AQ1072">
        <v>1</v>
      </c>
      <c r="AR1072">
        <v>43</v>
      </c>
      <c r="AS1072">
        <v>1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1</v>
      </c>
      <c r="AZ1072" t="s">
        <v>257</v>
      </c>
      <c r="BA1072" t="s">
        <v>980</v>
      </c>
      <c r="BB1072" t="s">
        <v>981</v>
      </c>
      <c r="BC1072" t="s">
        <v>257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 t="s">
        <v>998</v>
      </c>
      <c r="BK1072" t="s">
        <v>981</v>
      </c>
      <c r="BL1072" t="s">
        <v>7055</v>
      </c>
      <c r="BM1072">
        <v>20250430</v>
      </c>
      <c r="BN1072">
        <v>20250430</v>
      </c>
      <c r="BO1072">
        <v>0</v>
      </c>
      <c r="BP1072" t="s">
        <v>257</v>
      </c>
      <c r="BQ1072" t="s">
        <v>983</v>
      </c>
      <c r="BR1072" t="s">
        <v>978</v>
      </c>
      <c r="BS1072">
        <v>32495352314</v>
      </c>
      <c r="BT1072">
        <v>0</v>
      </c>
      <c r="BU1072">
        <v>0</v>
      </c>
      <c r="BV1072" t="s">
        <v>984</v>
      </c>
      <c r="BW1072" t="s">
        <v>257</v>
      </c>
      <c r="BX1072">
        <v>0</v>
      </c>
      <c r="BY1072" t="s">
        <v>980</v>
      </c>
      <c r="BZ1072" t="s">
        <v>257</v>
      </c>
      <c r="CA1072">
        <v>0</v>
      </c>
      <c r="CB1072">
        <v>0</v>
      </c>
      <c r="CC1072" t="s">
        <v>1161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 t="s">
        <v>983</v>
      </c>
      <c r="CJ1072" t="s">
        <v>972</v>
      </c>
      <c r="CK1072" t="s">
        <v>986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 t="s">
        <v>987</v>
      </c>
      <c r="CV1072">
        <v>400011068</v>
      </c>
      <c r="CW1072" t="s">
        <v>987</v>
      </c>
      <c r="CX1072" t="s">
        <v>3108</v>
      </c>
      <c r="CY1072" t="s">
        <v>989</v>
      </c>
    </row>
    <row r="1073" spans="1:103" hidden="1" x14ac:dyDescent="0.25">
      <c r="A1073">
        <v>410001079</v>
      </c>
      <c r="B1073" t="s">
        <v>7057</v>
      </c>
      <c r="C1073" t="s">
        <v>7058</v>
      </c>
      <c r="D1073">
        <v>401100000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1</v>
      </c>
      <c r="X1073">
        <v>1</v>
      </c>
      <c r="Y1073" t="s">
        <v>972</v>
      </c>
      <c r="Z1073" t="s">
        <v>987</v>
      </c>
      <c r="AA1073" t="s">
        <v>7059</v>
      </c>
      <c r="AB1073" t="s">
        <v>975</v>
      </c>
      <c r="AC1073">
        <v>6032</v>
      </c>
      <c r="AD1073" t="s">
        <v>1048</v>
      </c>
      <c r="AE1073">
        <v>71437578</v>
      </c>
      <c r="AF1073" t="s">
        <v>979</v>
      </c>
      <c r="AG1073" t="s">
        <v>977</v>
      </c>
      <c r="AH1073">
        <v>467287996</v>
      </c>
      <c r="AI1073">
        <v>95311</v>
      </c>
      <c r="AJ1073" t="s">
        <v>7332</v>
      </c>
      <c r="AK1073" t="s">
        <v>978</v>
      </c>
      <c r="AL1073" t="s">
        <v>978</v>
      </c>
      <c r="AM1073" t="s">
        <v>979</v>
      </c>
      <c r="AN1073">
        <v>0</v>
      </c>
      <c r="AO1073" t="s">
        <v>257</v>
      </c>
      <c r="AP1073">
        <v>0</v>
      </c>
      <c r="AQ1073">
        <v>1</v>
      </c>
      <c r="AR1073">
        <v>69</v>
      </c>
      <c r="AS1073">
        <v>1</v>
      </c>
      <c r="AT1073">
        <v>0</v>
      </c>
      <c r="AU1073">
        <v>1</v>
      </c>
      <c r="AV1073">
        <v>0</v>
      </c>
      <c r="AW1073">
        <v>0</v>
      </c>
      <c r="AX1073">
        <v>0</v>
      </c>
      <c r="AY1073">
        <v>1</v>
      </c>
      <c r="AZ1073" t="s">
        <v>257</v>
      </c>
      <c r="BA1073" t="s">
        <v>257</v>
      </c>
      <c r="BB1073" t="s">
        <v>981</v>
      </c>
      <c r="BC1073" t="s">
        <v>257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 t="s">
        <v>998</v>
      </c>
      <c r="BK1073" t="s">
        <v>981</v>
      </c>
      <c r="BL1073" t="s">
        <v>7057</v>
      </c>
      <c r="BM1073">
        <v>20250506</v>
      </c>
      <c r="BN1073">
        <v>20250911</v>
      </c>
      <c r="BO1073">
        <v>0</v>
      </c>
      <c r="BP1073" t="s">
        <v>257</v>
      </c>
      <c r="BQ1073" t="s">
        <v>983</v>
      </c>
      <c r="BR1073" t="s">
        <v>978</v>
      </c>
      <c r="BS1073" t="s">
        <v>979</v>
      </c>
      <c r="BT1073">
        <v>0</v>
      </c>
      <c r="BU1073">
        <v>0</v>
      </c>
      <c r="BV1073" t="s">
        <v>984</v>
      </c>
      <c r="BW1073" t="s">
        <v>257</v>
      </c>
      <c r="BX1073">
        <v>0</v>
      </c>
      <c r="BY1073" t="s">
        <v>980</v>
      </c>
      <c r="BZ1073" t="s">
        <v>257</v>
      </c>
      <c r="CA1073">
        <v>0</v>
      </c>
      <c r="CB1073">
        <v>0</v>
      </c>
      <c r="CC1073" t="s">
        <v>1901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 t="s">
        <v>983</v>
      </c>
      <c r="CJ1073" t="s">
        <v>972</v>
      </c>
      <c r="CK1073" t="s">
        <v>986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 t="s">
        <v>987</v>
      </c>
      <c r="CV1073">
        <v>400011082</v>
      </c>
      <c r="CW1073" t="s">
        <v>987</v>
      </c>
      <c r="CX1073" t="s">
        <v>7060</v>
      </c>
      <c r="CY1073" t="s">
        <v>989</v>
      </c>
    </row>
    <row r="1074" spans="1:103" hidden="1" x14ac:dyDescent="0.25">
      <c r="A1074">
        <v>410001080</v>
      </c>
      <c r="B1074" t="s">
        <v>7074</v>
      </c>
      <c r="C1074" t="s">
        <v>7075</v>
      </c>
      <c r="D1074">
        <v>401100000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1</v>
      </c>
      <c r="X1074">
        <v>1</v>
      </c>
      <c r="Y1074" t="s">
        <v>972</v>
      </c>
      <c r="Z1074" t="s">
        <v>987</v>
      </c>
      <c r="AA1074" t="s">
        <v>7076</v>
      </c>
      <c r="AB1074" t="s">
        <v>975</v>
      </c>
      <c r="AC1074">
        <v>4960</v>
      </c>
      <c r="AD1074" t="s">
        <v>1548</v>
      </c>
      <c r="AE1074">
        <v>80337298</v>
      </c>
      <c r="AF1074" t="s">
        <v>979</v>
      </c>
      <c r="AG1074" t="s">
        <v>977</v>
      </c>
      <c r="AH1074" t="s">
        <v>977</v>
      </c>
      <c r="AI1074" t="s">
        <v>977</v>
      </c>
      <c r="AJ1074" t="s">
        <v>978</v>
      </c>
      <c r="AK1074" t="s">
        <v>978</v>
      </c>
      <c r="AL1074" t="s">
        <v>978</v>
      </c>
      <c r="AM1074" t="s">
        <v>979</v>
      </c>
      <c r="AN1074">
        <v>0</v>
      </c>
      <c r="AO1074" t="s">
        <v>257</v>
      </c>
      <c r="AP1074">
        <v>0</v>
      </c>
      <c r="AQ1074">
        <v>1</v>
      </c>
      <c r="AR1074">
        <v>69</v>
      </c>
      <c r="AS1074">
        <v>1</v>
      </c>
      <c r="AT1074">
        <v>0</v>
      </c>
      <c r="AU1074">
        <v>1</v>
      </c>
      <c r="AV1074">
        <v>0</v>
      </c>
      <c r="AW1074">
        <v>0</v>
      </c>
      <c r="AX1074">
        <v>0</v>
      </c>
      <c r="AY1074">
        <v>1</v>
      </c>
      <c r="AZ1074" t="s">
        <v>257</v>
      </c>
      <c r="BA1074" t="s">
        <v>257</v>
      </c>
      <c r="BB1074" t="s">
        <v>981</v>
      </c>
      <c r="BC1074" t="s">
        <v>257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 t="s">
        <v>998</v>
      </c>
      <c r="BK1074" t="s">
        <v>981</v>
      </c>
      <c r="BL1074" t="s">
        <v>7074</v>
      </c>
      <c r="BM1074">
        <v>20250507</v>
      </c>
      <c r="BN1074">
        <v>20250911</v>
      </c>
      <c r="BO1074">
        <v>0</v>
      </c>
      <c r="BP1074" t="s">
        <v>257</v>
      </c>
      <c r="BQ1074" t="s">
        <v>983</v>
      </c>
      <c r="BR1074" t="s">
        <v>978</v>
      </c>
      <c r="BS1074" t="s">
        <v>979</v>
      </c>
      <c r="BT1074">
        <v>0</v>
      </c>
      <c r="BU1074">
        <v>0</v>
      </c>
      <c r="BV1074" t="s">
        <v>984</v>
      </c>
      <c r="BW1074" t="s">
        <v>257</v>
      </c>
      <c r="BX1074">
        <v>0</v>
      </c>
      <c r="BY1074" t="s">
        <v>980</v>
      </c>
      <c r="BZ1074" t="s">
        <v>257</v>
      </c>
      <c r="CA1074">
        <v>0</v>
      </c>
      <c r="CB1074">
        <v>0</v>
      </c>
      <c r="CC1074" t="s">
        <v>1901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 t="s">
        <v>983</v>
      </c>
      <c r="CJ1074" t="s">
        <v>972</v>
      </c>
      <c r="CK1074" t="s">
        <v>986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 t="s">
        <v>987</v>
      </c>
      <c r="CV1074">
        <v>400011085</v>
      </c>
      <c r="CW1074" t="s">
        <v>987</v>
      </c>
      <c r="CX1074" t="s">
        <v>7077</v>
      </c>
      <c r="CY1074" t="s">
        <v>989</v>
      </c>
    </row>
    <row r="1075" spans="1:103" hidden="1" x14ac:dyDescent="0.25">
      <c r="A1075">
        <v>410001081</v>
      </c>
      <c r="B1075" t="s">
        <v>7078</v>
      </c>
      <c r="C1075" t="s">
        <v>978</v>
      </c>
      <c r="D1075">
        <v>401100000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</v>
      </c>
      <c r="W1075">
        <v>1</v>
      </c>
      <c r="X1075">
        <v>1</v>
      </c>
      <c r="Y1075" t="s">
        <v>972</v>
      </c>
      <c r="Z1075" t="s">
        <v>987</v>
      </c>
      <c r="AA1075" t="s">
        <v>7079</v>
      </c>
      <c r="AB1075" t="s">
        <v>975</v>
      </c>
      <c r="AC1075">
        <v>4910</v>
      </c>
      <c r="AD1075" t="s">
        <v>1189</v>
      </c>
      <c r="AE1075" t="s">
        <v>979</v>
      </c>
      <c r="AF1075" t="s">
        <v>979</v>
      </c>
      <c r="AG1075" t="s">
        <v>977</v>
      </c>
      <c r="AH1075" t="s">
        <v>977</v>
      </c>
      <c r="AI1075" t="s">
        <v>977</v>
      </c>
      <c r="AJ1075" t="s">
        <v>978</v>
      </c>
      <c r="AK1075" t="s">
        <v>978</v>
      </c>
      <c r="AL1075" t="s">
        <v>978</v>
      </c>
      <c r="AM1075" t="s">
        <v>979</v>
      </c>
      <c r="AN1075">
        <v>0</v>
      </c>
      <c r="AO1075" t="s">
        <v>257</v>
      </c>
      <c r="AP1075">
        <v>0</v>
      </c>
      <c r="AQ1075">
        <v>1</v>
      </c>
      <c r="AR1075">
        <v>43</v>
      </c>
      <c r="AS1075">
        <v>1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1</v>
      </c>
      <c r="AZ1075" t="s">
        <v>257</v>
      </c>
      <c r="BA1075" t="s">
        <v>980</v>
      </c>
      <c r="BB1075" t="s">
        <v>981</v>
      </c>
      <c r="BC1075" t="s">
        <v>257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 t="s">
        <v>998</v>
      </c>
      <c r="BK1075" t="s">
        <v>981</v>
      </c>
      <c r="BL1075" t="s">
        <v>7078</v>
      </c>
      <c r="BM1075">
        <v>20250513</v>
      </c>
      <c r="BN1075">
        <v>20250513</v>
      </c>
      <c r="BO1075">
        <v>0</v>
      </c>
      <c r="BP1075" t="s">
        <v>257</v>
      </c>
      <c r="BQ1075" t="s">
        <v>983</v>
      </c>
      <c r="BR1075" t="s">
        <v>978</v>
      </c>
      <c r="BS1075">
        <v>32497521582</v>
      </c>
      <c r="BT1075">
        <v>0</v>
      </c>
      <c r="BU1075">
        <v>0</v>
      </c>
      <c r="BV1075" t="s">
        <v>984</v>
      </c>
      <c r="BW1075" t="s">
        <v>257</v>
      </c>
      <c r="BX1075">
        <v>0</v>
      </c>
      <c r="BY1075" t="s">
        <v>980</v>
      </c>
      <c r="BZ1075" t="s">
        <v>257</v>
      </c>
      <c r="CA1075">
        <v>0</v>
      </c>
      <c r="CB1075">
        <v>0</v>
      </c>
      <c r="CC1075" t="s">
        <v>2356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 t="s">
        <v>983</v>
      </c>
      <c r="CJ1075" t="s">
        <v>972</v>
      </c>
      <c r="CK1075" t="s">
        <v>986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 t="s">
        <v>987</v>
      </c>
      <c r="CV1075">
        <v>400011093</v>
      </c>
      <c r="CW1075" t="s">
        <v>987</v>
      </c>
      <c r="CX1075" t="s">
        <v>7080</v>
      </c>
      <c r="CY1075" t="s">
        <v>989</v>
      </c>
    </row>
    <row r="1076" spans="1:103" hidden="1" x14ac:dyDescent="0.25">
      <c r="A1076">
        <v>410001082</v>
      </c>
      <c r="B1076" t="s">
        <v>7081</v>
      </c>
      <c r="C1076" t="s">
        <v>7082</v>
      </c>
      <c r="D1076">
        <v>401100000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1</v>
      </c>
      <c r="X1076">
        <v>1</v>
      </c>
      <c r="Y1076" t="s">
        <v>972</v>
      </c>
      <c r="Z1076" t="s">
        <v>987</v>
      </c>
      <c r="AA1076" t="s">
        <v>7083</v>
      </c>
      <c r="AB1076" t="s">
        <v>975</v>
      </c>
      <c r="AC1076">
        <v>7170</v>
      </c>
      <c r="AD1076" t="s">
        <v>6414</v>
      </c>
      <c r="AE1076" t="s">
        <v>979</v>
      </c>
      <c r="AF1076" t="s">
        <v>979</v>
      </c>
      <c r="AG1076" t="s">
        <v>977</v>
      </c>
      <c r="AH1076">
        <v>807373065</v>
      </c>
      <c r="AI1076">
        <v>69201</v>
      </c>
      <c r="AJ1076" t="s">
        <v>7084</v>
      </c>
      <c r="AK1076" t="s">
        <v>978</v>
      </c>
      <c r="AL1076" t="s">
        <v>978</v>
      </c>
      <c r="AM1076" t="s">
        <v>979</v>
      </c>
      <c r="AN1076">
        <v>0</v>
      </c>
      <c r="AO1076" t="s">
        <v>257</v>
      </c>
      <c r="AP1076">
        <v>0</v>
      </c>
      <c r="AQ1076">
        <v>1</v>
      </c>
      <c r="AR1076">
        <v>43</v>
      </c>
      <c r="AS1076">
        <v>1</v>
      </c>
      <c r="AT1076">
        <v>0</v>
      </c>
      <c r="AU1076">
        <v>1</v>
      </c>
      <c r="AV1076">
        <v>0</v>
      </c>
      <c r="AW1076">
        <v>0</v>
      </c>
      <c r="AX1076">
        <v>0</v>
      </c>
      <c r="AY1076">
        <v>1</v>
      </c>
      <c r="AZ1076" t="s">
        <v>257</v>
      </c>
      <c r="BA1076" t="s">
        <v>980</v>
      </c>
      <c r="BB1076" t="s">
        <v>981</v>
      </c>
      <c r="BC1076" t="s">
        <v>257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 t="s">
        <v>998</v>
      </c>
      <c r="BK1076" t="s">
        <v>981</v>
      </c>
      <c r="BL1076" t="s">
        <v>7081</v>
      </c>
      <c r="BM1076">
        <v>20250513</v>
      </c>
      <c r="BN1076">
        <v>20250516</v>
      </c>
      <c r="BO1076">
        <v>0</v>
      </c>
      <c r="BP1076" t="s">
        <v>257</v>
      </c>
      <c r="BQ1076" t="s">
        <v>983</v>
      </c>
      <c r="BR1076" t="s">
        <v>978</v>
      </c>
      <c r="BS1076">
        <v>32479802042</v>
      </c>
      <c r="BT1076">
        <v>0</v>
      </c>
      <c r="BU1076">
        <v>0</v>
      </c>
      <c r="BV1076" t="s">
        <v>984</v>
      </c>
      <c r="BW1076" t="s">
        <v>257</v>
      </c>
      <c r="BX1076">
        <v>0</v>
      </c>
      <c r="BY1076" t="s">
        <v>980</v>
      </c>
      <c r="BZ1076" t="s">
        <v>257</v>
      </c>
      <c r="CA1076">
        <v>0</v>
      </c>
      <c r="CB1076">
        <v>0</v>
      </c>
      <c r="CC1076" t="s">
        <v>1901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 t="s">
        <v>983</v>
      </c>
      <c r="CJ1076" t="s">
        <v>972</v>
      </c>
      <c r="CK1076" t="s">
        <v>986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 t="s">
        <v>987</v>
      </c>
      <c r="CV1076">
        <v>400011096</v>
      </c>
      <c r="CW1076" t="s">
        <v>987</v>
      </c>
      <c r="CX1076" t="s">
        <v>7085</v>
      </c>
      <c r="CY1076" t="s">
        <v>989</v>
      </c>
    </row>
    <row r="1077" spans="1:103" hidden="1" x14ac:dyDescent="0.25">
      <c r="A1077">
        <v>410001083</v>
      </c>
      <c r="B1077" t="s">
        <v>7086</v>
      </c>
      <c r="C1077" t="s">
        <v>7087</v>
      </c>
      <c r="D1077">
        <v>401100000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1</v>
      </c>
      <c r="Y1077" t="s">
        <v>972</v>
      </c>
      <c r="Z1077" t="s">
        <v>987</v>
      </c>
      <c r="AA1077" t="s">
        <v>7088</v>
      </c>
      <c r="AB1077" t="s">
        <v>975</v>
      </c>
      <c r="AC1077">
        <v>4683</v>
      </c>
      <c r="AD1077" t="s">
        <v>1891</v>
      </c>
      <c r="AE1077" t="s">
        <v>979</v>
      </c>
      <c r="AF1077" t="s">
        <v>979</v>
      </c>
      <c r="AG1077" t="s">
        <v>977</v>
      </c>
      <c r="AH1077">
        <v>1022033273</v>
      </c>
      <c r="AI1077">
        <v>85510</v>
      </c>
      <c r="AJ1077" t="s">
        <v>978</v>
      </c>
      <c r="AK1077" t="s">
        <v>978</v>
      </c>
      <c r="AL1077" t="s">
        <v>978</v>
      </c>
      <c r="AM1077" t="s">
        <v>979</v>
      </c>
      <c r="AN1077">
        <v>0</v>
      </c>
      <c r="AO1077" t="s">
        <v>257</v>
      </c>
      <c r="AP1077">
        <v>0</v>
      </c>
      <c r="AQ1077">
        <v>1</v>
      </c>
      <c r="AR1077">
        <v>69</v>
      </c>
      <c r="AS1077">
        <v>1</v>
      </c>
      <c r="AT1077">
        <v>0</v>
      </c>
      <c r="AU1077">
        <v>1</v>
      </c>
      <c r="AV1077">
        <v>0</v>
      </c>
      <c r="AW1077">
        <v>0</v>
      </c>
      <c r="AX1077">
        <v>0</v>
      </c>
      <c r="AY1077">
        <v>1</v>
      </c>
      <c r="AZ1077" t="s">
        <v>257</v>
      </c>
      <c r="BA1077" t="s">
        <v>980</v>
      </c>
      <c r="BB1077" t="s">
        <v>981</v>
      </c>
      <c r="BC1077" t="s">
        <v>257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 t="s">
        <v>982</v>
      </c>
      <c r="BK1077" t="s">
        <v>981</v>
      </c>
      <c r="BL1077" t="s">
        <v>7086</v>
      </c>
      <c r="BM1077">
        <v>20250516</v>
      </c>
      <c r="BN1077">
        <v>20250709</v>
      </c>
      <c r="BO1077">
        <v>0</v>
      </c>
      <c r="BP1077" t="s">
        <v>257</v>
      </c>
      <c r="BQ1077" t="s">
        <v>983</v>
      </c>
      <c r="BR1077" t="s">
        <v>978</v>
      </c>
      <c r="BS1077">
        <v>32476964967</v>
      </c>
      <c r="BT1077">
        <v>0</v>
      </c>
      <c r="BU1077">
        <v>0</v>
      </c>
      <c r="BV1077" t="s">
        <v>984</v>
      </c>
      <c r="BW1077" t="s">
        <v>257</v>
      </c>
      <c r="BX1077">
        <v>0</v>
      </c>
      <c r="BY1077" t="s">
        <v>980</v>
      </c>
      <c r="BZ1077" t="s">
        <v>257</v>
      </c>
      <c r="CA1077">
        <v>0</v>
      </c>
      <c r="CB1077">
        <v>0</v>
      </c>
      <c r="CC1077" t="s">
        <v>1088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 t="s">
        <v>983</v>
      </c>
      <c r="CJ1077" t="s">
        <v>972</v>
      </c>
      <c r="CK1077" t="s">
        <v>986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 t="s">
        <v>987</v>
      </c>
      <c r="CV1077">
        <v>400011104</v>
      </c>
      <c r="CW1077" t="s">
        <v>987</v>
      </c>
      <c r="CX1077" t="s">
        <v>7089</v>
      </c>
      <c r="CY1077" t="s">
        <v>989</v>
      </c>
    </row>
    <row r="1078" spans="1:103" hidden="1" x14ac:dyDescent="0.25">
      <c r="A1078">
        <v>410001084</v>
      </c>
      <c r="B1078" t="s">
        <v>7090</v>
      </c>
      <c r="C1078" t="s">
        <v>7091</v>
      </c>
      <c r="D1078">
        <v>401100000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1</v>
      </c>
      <c r="X1078">
        <v>1</v>
      </c>
      <c r="Y1078" t="s">
        <v>972</v>
      </c>
      <c r="Z1078" t="s">
        <v>987</v>
      </c>
      <c r="AA1078" t="s">
        <v>7092</v>
      </c>
      <c r="AB1078" t="s">
        <v>975</v>
      </c>
      <c r="AC1078">
        <v>4000</v>
      </c>
      <c r="AD1078" t="s">
        <v>1019</v>
      </c>
      <c r="AE1078" t="s">
        <v>979</v>
      </c>
      <c r="AF1078" t="s">
        <v>979</v>
      </c>
      <c r="AG1078" t="s">
        <v>977</v>
      </c>
      <c r="AH1078">
        <v>1022033471</v>
      </c>
      <c r="AI1078">
        <v>68203</v>
      </c>
      <c r="AJ1078" t="s">
        <v>978</v>
      </c>
      <c r="AK1078" t="s">
        <v>978</v>
      </c>
      <c r="AL1078" t="s">
        <v>7224</v>
      </c>
      <c r="AM1078" t="s">
        <v>979</v>
      </c>
      <c r="AN1078">
        <v>0</v>
      </c>
      <c r="AO1078" t="s">
        <v>257</v>
      </c>
      <c r="AP1078">
        <v>0</v>
      </c>
      <c r="AQ1078">
        <v>1</v>
      </c>
      <c r="AR1078">
        <v>69</v>
      </c>
      <c r="AS1078">
        <v>1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>
        <v>1</v>
      </c>
      <c r="AZ1078" t="s">
        <v>257</v>
      </c>
      <c r="BA1078" t="s">
        <v>980</v>
      </c>
      <c r="BB1078" t="s">
        <v>981</v>
      </c>
      <c r="BC1078" t="s">
        <v>257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 t="s">
        <v>982</v>
      </c>
      <c r="BK1078" t="s">
        <v>981</v>
      </c>
      <c r="BL1078" t="s">
        <v>7090</v>
      </c>
      <c r="BM1078">
        <v>20250516</v>
      </c>
      <c r="BN1078">
        <v>20250721</v>
      </c>
      <c r="BO1078">
        <v>0</v>
      </c>
      <c r="BP1078" t="s">
        <v>257</v>
      </c>
      <c r="BQ1078" t="s">
        <v>983</v>
      </c>
      <c r="BR1078" t="s">
        <v>978</v>
      </c>
      <c r="BS1078">
        <v>32476964967</v>
      </c>
      <c r="BT1078">
        <v>0</v>
      </c>
      <c r="BU1078">
        <v>0</v>
      </c>
      <c r="BV1078" t="s">
        <v>984</v>
      </c>
      <c r="BW1078" t="s">
        <v>257</v>
      </c>
      <c r="BX1078">
        <v>0</v>
      </c>
      <c r="BY1078" t="s">
        <v>980</v>
      </c>
      <c r="BZ1078" t="s">
        <v>257</v>
      </c>
      <c r="CA1078">
        <v>0</v>
      </c>
      <c r="CB1078">
        <v>0</v>
      </c>
      <c r="CC1078" t="s">
        <v>2342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 t="s">
        <v>983</v>
      </c>
      <c r="CJ1078" t="s">
        <v>972</v>
      </c>
      <c r="CK1078" t="s">
        <v>986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 t="s">
        <v>987</v>
      </c>
      <c r="CV1078">
        <v>400011105</v>
      </c>
      <c r="CW1078" t="s">
        <v>987</v>
      </c>
      <c r="CX1078" t="s">
        <v>7089</v>
      </c>
      <c r="CY1078" t="s">
        <v>989</v>
      </c>
    </row>
    <row r="1079" spans="1:103" hidden="1" x14ac:dyDescent="0.25">
      <c r="A1079">
        <v>410001085</v>
      </c>
      <c r="B1079" t="s">
        <v>7093</v>
      </c>
      <c r="C1079" t="s">
        <v>7094</v>
      </c>
      <c r="D1079">
        <v>401100000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1</v>
      </c>
      <c r="X1079">
        <v>1</v>
      </c>
      <c r="Y1079" t="s">
        <v>972</v>
      </c>
      <c r="Z1079" t="s">
        <v>987</v>
      </c>
      <c r="AA1079" t="s">
        <v>7095</v>
      </c>
      <c r="AB1079" t="s">
        <v>975</v>
      </c>
      <c r="AC1079">
        <v>4920</v>
      </c>
      <c r="AD1079" t="s">
        <v>6068</v>
      </c>
      <c r="AE1079" t="s">
        <v>979</v>
      </c>
      <c r="AF1079" t="s">
        <v>979</v>
      </c>
      <c r="AG1079" t="s">
        <v>7119</v>
      </c>
      <c r="AH1079">
        <v>1022584490</v>
      </c>
      <c r="AI1079">
        <v>71121</v>
      </c>
      <c r="AJ1079" t="s">
        <v>978</v>
      </c>
      <c r="AK1079" t="s">
        <v>978</v>
      </c>
      <c r="AL1079" t="s">
        <v>978</v>
      </c>
      <c r="AM1079" t="s">
        <v>979</v>
      </c>
      <c r="AN1079">
        <v>0</v>
      </c>
      <c r="AO1079" t="s">
        <v>257</v>
      </c>
      <c r="AP1079">
        <v>0</v>
      </c>
      <c r="AQ1079">
        <v>1</v>
      </c>
      <c r="AR1079">
        <v>69</v>
      </c>
      <c r="AS1079">
        <v>1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1</v>
      </c>
      <c r="AZ1079" t="s">
        <v>257</v>
      </c>
      <c r="BA1079" t="s">
        <v>980</v>
      </c>
      <c r="BB1079" t="s">
        <v>981</v>
      </c>
      <c r="BC1079" t="s">
        <v>257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 t="s">
        <v>998</v>
      </c>
      <c r="BK1079" t="s">
        <v>981</v>
      </c>
      <c r="BL1079" t="s">
        <v>7093</v>
      </c>
      <c r="BM1079">
        <v>20250516</v>
      </c>
      <c r="BN1079">
        <v>20251107</v>
      </c>
      <c r="BO1079">
        <v>0</v>
      </c>
      <c r="BP1079" t="s">
        <v>257</v>
      </c>
      <c r="BQ1079" t="s">
        <v>983</v>
      </c>
      <c r="BR1079" t="s">
        <v>978</v>
      </c>
      <c r="BS1079">
        <v>32478170196</v>
      </c>
      <c r="BT1079">
        <v>0</v>
      </c>
      <c r="BU1079">
        <v>0</v>
      </c>
      <c r="BV1079" t="s">
        <v>984</v>
      </c>
      <c r="BW1079" t="s">
        <v>257</v>
      </c>
      <c r="BX1079">
        <v>0</v>
      </c>
      <c r="BY1079" t="s">
        <v>980</v>
      </c>
      <c r="BZ1079" t="s">
        <v>257</v>
      </c>
      <c r="CA1079">
        <v>0</v>
      </c>
      <c r="CB1079">
        <v>0</v>
      </c>
      <c r="CC1079" t="s">
        <v>7096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 t="s">
        <v>983</v>
      </c>
      <c r="CJ1079" t="s">
        <v>972</v>
      </c>
      <c r="CK1079" t="s">
        <v>986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 t="s">
        <v>987</v>
      </c>
      <c r="CV1079">
        <v>400011106</v>
      </c>
      <c r="CW1079" t="s">
        <v>987</v>
      </c>
      <c r="CX1079" t="s">
        <v>7097</v>
      </c>
      <c r="CY1079" t="s">
        <v>989</v>
      </c>
    </row>
    <row r="1080" spans="1:103" hidden="1" x14ac:dyDescent="0.25">
      <c r="A1080">
        <v>410001086</v>
      </c>
      <c r="B1080" t="s">
        <v>7098</v>
      </c>
      <c r="C1080" t="s">
        <v>7099</v>
      </c>
      <c r="D1080">
        <v>401100000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1</v>
      </c>
      <c r="Y1080" t="s">
        <v>972</v>
      </c>
      <c r="Z1080" t="s">
        <v>987</v>
      </c>
      <c r="AA1080" t="s">
        <v>7100</v>
      </c>
      <c r="AB1080" t="s">
        <v>975</v>
      </c>
      <c r="AC1080">
        <v>6220</v>
      </c>
      <c r="AD1080" t="s">
        <v>7101</v>
      </c>
      <c r="AE1080">
        <v>3271376085</v>
      </c>
      <c r="AF1080" t="s">
        <v>979</v>
      </c>
      <c r="AG1080" t="s">
        <v>977</v>
      </c>
      <c r="AH1080">
        <v>459332018</v>
      </c>
      <c r="AI1080">
        <v>82920</v>
      </c>
      <c r="AJ1080" t="s">
        <v>7102</v>
      </c>
      <c r="AK1080" t="s">
        <v>978</v>
      </c>
      <c r="AL1080" t="s">
        <v>978</v>
      </c>
      <c r="AM1080" t="s">
        <v>979</v>
      </c>
      <c r="AN1080">
        <v>0</v>
      </c>
      <c r="AO1080" t="s">
        <v>257</v>
      </c>
      <c r="AP1080">
        <v>0</v>
      </c>
      <c r="AQ1080">
        <v>1</v>
      </c>
      <c r="AR1080">
        <v>69</v>
      </c>
      <c r="AS1080">
        <v>1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1</v>
      </c>
      <c r="AZ1080" t="s">
        <v>257</v>
      </c>
      <c r="BA1080" t="s">
        <v>980</v>
      </c>
      <c r="BB1080" t="s">
        <v>981</v>
      </c>
      <c r="BC1080" t="s">
        <v>257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 t="s">
        <v>998</v>
      </c>
      <c r="BK1080" t="s">
        <v>981</v>
      </c>
      <c r="BL1080" t="s">
        <v>7098</v>
      </c>
      <c r="BM1080">
        <v>20250520</v>
      </c>
      <c r="BN1080">
        <v>20250520</v>
      </c>
      <c r="BO1080">
        <v>0</v>
      </c>
      <c r="BP1080" t="s">
        <v>257</v>
      </c>
      <c r="BQ1080" t="s">
        <v>983</v>
      </c>
      <c r="BR1080" t="s">
        <v>978</v>
      </c>
      <c r="BS1080" t="s">
        <v>979</v>
      </c>
      <c r="BT1080">
        <v>0</v>
      </c>
      <c r="BU1080">
        <v>0</v>
      </c>
      <c r="BV1080" t="s">
        <v>984</v>
      </c>
      <c r="BW1080" t="s">
        <v>257</v>
      </c>
      <c r="BX1080">
        <v>0</v>
      </c>
      <c r="BY1080" t="s">
        <v>980</v>
      </c>
      <c r="BZ1080" t="s">
        <v>257</v>
      </c>
      <c r="CA1080">
        <v>0</v>
      </c>
      <c r="CB1080">
        <v>0</v>
      </c>
      <c r="CC1080" t="s">
        <v>1901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 t="s">
        <v>983</v>
      </c>
      <c r="CJ1080" t="s">
        <v>972</v>
      </c>
      <c r="CK1080" t="s">
        <v>986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 t="s">
        <v>987</v>
      </c>
      <c r="CV1080">
        <v>400011112</v>
      </c>
      <c r="CW1080" t="s">
        <v>987</v>
      </c>
      <c r="CX1080" t="s">
        <v>7103</v>
      </c>
      <c r="CY1080" t="s">
        <v>989</v>
      </c>
    </row>
    <row r="1081" spans="1:103" hidden="1" x14ac:dyDescent="0.25">
      <c r="A1081">
        <v>410001087</v>
      </c>
      <c r="B1081" t="s">
        <v>7120</v>
      </c>
      <c r="C1081" t="s">
        <v>7121</v>
      </c>
      <c r="D1081">
        <v>401100000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1</v>
      </c>
      <c r="Y1081" t="s">
        <v>972</v>
      </c>
      <c r="Z1081" t="s">
        <v>987</v>
      </c>
      <c r="AA1081" t="s">
        <v>7122</v>
      </c>
      <c r="AB1081" t="s">
        <v>975</v>
      </c>
      <c r="AC1081">
        <v>4020</v>
      </c>
      <c r="AD1081" t="s">
        <v>1019</v>
      </c>
      <c r="AE1081" t="s">
        <v>979</v>
      </c>
      <c r="AF1081" t="s">
        <v>979</v>
      </c>
      <c r="AG1081" t="s">
        <v>977</v>
      </c>
      <c r="AH1081" t="s">
        <v>977</v>
      </c>
      <c r="AI1081" t="s">
        <v>977</v>
      </c>
      <c r="AJ1081" t="s">
        <v>978</v>
      </c>
      <c r="AK1081" t="s">
        <v>978</v>
      </c>
      <c r="AL1081" t="s">
        <v>978</v>
      </c>
      <c r="AM1081" t="s">
        <v>979</v>
      </c>
      <c r="AN1081">
        <v>0</v>
      </c>
      <c r="AO1081" t="s">
        <v>257</v>
      </c>
      <c r="AP1081">
        <v>0</v>
      </c>
      <c r="AQ1081">
        <v>1</v>
      </c>
      <c r="AR1081">
        <v>69</v>
      </c>
      <c r="AS1081">
        <v>1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1</v>
      </c>
      <c r="AZ1081" t="s">
        <v>257</v>
      </c>
      <c r="BA1081" t="s">
        <v>980</v>
      </c>
      <c r="BB1081" t="s">
        <v>981</v>
      </c>
      <c r="BC1081" t="s">
        <v>257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 t="s">
        <v>998</v>
      </c>
      <c r="BK1081" t="s">
        <v>981</v>
      </c>
      <c r="BL1081" t="s">
        <v>7120</v>
      </c>
      <c r="BM1081">
        <v>20250522</v>
      </c>
      <c r="BN1081">
        <v>20250522</v>
      </c>
      <c r="BO1081">
        <v>0</v>
      </c>
      <c r="BP1081" t="s">
        <v>257</v>
      </c>
      <c r="BQ1081" t="s">
        <v>983</v>
      </c>
      <c r="BR1081" t="s">
        <v>978</v>
      </c>
      <c r="BS1081">
        <v>32474221004</v>
      </c>
      <c r="BT1081">
        <v>0</v>
      </c>
      <c r="BU1081">
        <v>0</v>
      </c>
      <c r="BV1081" t="s">
        <v>984</v>
      </c>
      <c r="BW1081" t="s">
        <v>257</v>
      </c>
      <c r="BX1081">
        <v>0</v>
      </c>
      <c r="BY1081" t="s">
        <v>980</v>
      </c>
      <c r="BZ1081" t="s">
        <v>257</v>
      </c>
      <c r="CA1081">
        <v>0</v>
      </c>
      <c r="CB1081">
        <v>0</v>
      </c>
      <c r="CC1081" t="s">
        <v>1848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 t="s">
        <v>983</v>
      </c>
      <c r="CJ1081" t="s">
        <v>972</v>
      </c>
      <c r="CK1081" t="s">
        <v>986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 t="s">
        <v>987</v>
      </c>
      <c r="CV1081">
        <v>400011115</v>
      </c>
      <c r="CW1081" t="s">
        <v>987</v>
      </c>
      <c r="CX1081" t="s">
        <v>7123</v>
      </c>
      <c r="CY1081" t="s">
        <v>989</v>
      </c>
    </row>
    <row r="1082" spans="1:103" hidden="1" x14ac:dyDescent="0.25">
      <c r="A1082">
        <v>410001088</v>
      </c>
      <c r="B1082" t="s">
        <v>7124</v>
      </c>
      <c r="C1082" t="s">
        <v>7125</v>
      </c>
      <c r="D1082">
        <v>401100000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1</v>
      </c>
      <c r="X1082">
        <v>1</v>
      </c>
      <c r="Y1082" t="s">
        <v>972</v>
      </c>
      <c r="Z1082" t="s">
        <v>987</v>
      </c>
      <c r="AA1082" t="s">
        <v>7126</v>
      </c>
      <c r="AB1082" t="s">
        <v>975</v>
      </c>
      <c r="AC1082">
        <v>1750</v>
      </c>
      <c r="AD1082" t="s">
        <v>6446</v>
      </c>
      <c r="AE1082" t="s">
        <v>979</v>
      </c>
      <c r="AF1082" t="s">
        <v>979</v>
      </c>
      <c r="AG1082" t="s">
        <v>977</v>
      </c>
      <c r="AH1082">
        <v>501920065</v>
      </c>
      <c r="AI1082">
        <v>41002</v>
      </c>
      <c r="AJ1082" t="s">
        <v>7127</v>
      </c>
      <c r="AK1082" t="s">
        <v>978</v>
      </c>
      <c r="AL1082" t="s">
        <v>978</v>
      </c>
      <c r="AM1082" t="s">
        <v>979</v>
      </c>
      <c r="AN1082">
        <v>0</v>
      </c>
      <c r="AO1082" t="s">
        <v>257</v>
      </c>
      <c r="AP1082">
        <v>0</v>
      </c>
      <c r="AQ1082">
        <v>1</v>
      </c>
      <c r="AR1082">
        <v>69</v>
      </c>
      <c r="AS1082">
        <v>1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>
        <v>1</v>
      </c>
      <c r="AZ1082" t="s">
        <v>257</v>
      </c>
      <c r="BA1082" t="s">
        <v>980</v>
      </c>
      <c r="BB1082" t="s">
        <v>981</v>
      </c>
      <c r="BC1082" t="s">
        <v>257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 t="s">
        <v>998</v>
      </c>
      <c r="BK1082" t="s">
        <v>981</v>
      </c>
      <c r="BL1082" t="s">
        <v>7124</v>
      </c>
      <c r="BM1082">
        <v>20250526</v>
      </c>
      <c r="BN1082">
        <v>20250527</v>
      </c>
      <c r="BO1082">
        <v>0</v>
      </c>
      <c r="BP1082" t="s">
        <v>257</v>
      </c>
      <c r="BQ1082" t="s">
        <v>983</v>
      </c>
      <c r="BR1082" t="s">
        <v>978</v>
      </c>
      <c r="BS1082">
        <v>32484377550</v>
      </c>
      <c r="BT1082">
        <v>0</v>
      </c>
      <c r="BU1082">
        <v>0</v>
      </c>
      <c r="BV1082" t="s">
        <v>984</v>
      </c>
      <c r="BW1082" t="s">
        <v>257</v>
      </c>
      <c r="BX1082">
        <v>0</v>
      </c>
      <c r="BY1082" t="s">
        <v>980</v>
      </c>
      <c r="BZ1082" t="s">
        <v>257</v>
      </c>
      <c r="CA1082">
        <v>0</v>
      </c>
      <c r="CB1082">
        <v>0</v>
      </c>
      <c r="CC1082" t="s">
        <v>1901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 t="s">
        <v>983</v>
      </c>
      <c r="CJ1082" t="s">
        <v>972</v>
      </c>
      <c r="CK1082" t="s">
        <v>986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 t="s">
        <v>987</v>
      </c>
      <c r="CV1082">
        <v>400011125</v>
      </c>
      <c r="CW1082" t="s">
        <v>987</v>
      </c>
      <c r="CX1082" t="s">
        <v>7128</v>
      </c>
      <c r="CY1082" t="s">
        <v>989</v>
      </c>
    </row>
    <row r="1083" spans="1:103" hidden="1" x14ac:dyDescent="0.25">
      <c r="A1083">
        <v>410001089</v>
      </c>
      <c r="B1083" t="s">
        <v>7129</v>
      </c>
      <c r="C1083" t="s">
        <v>7130</v>
      </c>
      <c r="D1083">
        <v>401100000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1</v>
      </c>
      <c r="Y1083" t="s">
        <v>972</v>
      </c>
      <c r="Z1083" t="s">
        <v>987</v>
      </c>
      <c r="AA1083" t="s">
        <v>7131</v>
      </c>
      <c r="AB1083" t="s">
        <v>975</v>
      </c>
      <c r="AC1083">
        <v>1020</v>
      </c>
      <c r="AD1083" t="s">
        <v>1066</v>
      </c>
      <c r="AE1083" t="s">
        <v>979</v>
      </c>
      <c r="AF1083" t="s">
        <v>979</v>
      </c>
      <c r="AG1083" t="s">
        <v>977</v>
      </c>
      <c r="AH1083">
        <v>807261615</v>
      </c>
      <c r="AI1083">
        <v>69201</v>
      </c>
      <c r="AJ1083" t="s">
        <v>7132</v>
      </c>
      <c r="AK1083" t="s">
        <v>978</v>
      </c>
      <c r="AL1083" t="s">
        <v>978</v>
      </c>
      <c r="AM1083" t="s">
        <v>979</v>
      </c>
      <c r="AN1083">
        <v>0</v>
      </c>
      <c r="AO1083" t="s">
        <v>257</v>
      </c>
      <c r="AP1083">
        <v>0</v>
      </c>
      <c r="AQ1083">
        <v>1</v>
      </c>
      <c r="AR1083">
        <v>69</v>
      </c>
      <c r="AS1083">
        <v>1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1</v>
      </c>
      <c r="AZ1083" t="s">
        <v>257</v>
      </c>
      <c r="BA1083" t="s">
        <v>980</v>
      </c>
      <c r="BB1083" t="s">
        <v>981</v>
      </c>
      <c r="BC1083" t="s">
        <v>257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 t="s">
        <v>998</v>
      </c>
      <c r="BK1083" t="s">
        <v>981</v>
      </c>
      <c r="BL1083" t="s">
        <v>7129</v>
      </c>
      <c r="BM1083">
        <v>20250526</v>
      </c>
      <c r="BN1083">
        <v>20250527</v>
      </c>
      <c r="BO1083">
        <v>0</v>
      </c>
      <c r="BP1083" t="s">
        <v>257</v>
      </c>
      <c r="BQ1083" t="s">
        <v>983</v>
      </c>
      <c r="BR1083" t="s">
        <v>978</v>
      </c>
      <c r="BS1083">
        <v>32476267769</v>
      </c>
      <c r="BT1083">
        <v>0</v>
      </c>
      <c r="BU1083">
        <v>0</v>
      </c>
      <c r="BV1083" t="s">
        <v>984</v>
      </c>
      <c r="BW1083" t="s">
        <v>257</v>
      </c>
      <c r="BX1083">
        <v>0</v>
      </c>
      <c r="BY1083" t="s">
        <v>980</v>
      </c>
      <c r="BZ1083" t="s">
        <v>257</v>
      </c>
      <c r="CA1083">
        <v>0</v>
      </c>
      <c r="CB1083">
        <v>0</v>
      </c>
      <c r="CC1083" t="s">
        <v>1901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 t="s">
        <v>983</v>
      </c>
      <c r="CJ1083" t="s">
        <v>972</v>
      </c>
      <c r="CK1083" t="s">
        <v>986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 t="s">
        <v>987</v>
      </c>
      <c r="CV1083">
        <v>400011126</v>
      </c>
      <c r="CW1083" t="s">
        <v>987</v>
      </c>
      <c r="CX1083" t="s">
        <v>7133</v>
      </c>
      <c r="CY1083" t="s">
        <v>989</v>
      </c>
    </row>
    <row r="1084" spans="1:103" hidden="1" x14ac:dyDescent="0.25">
      <c r="A1084">
        <v>410001090</v>
      </c>
      <c r="B1084" t="s">
        <v>7138</v>
      </c>
      <c r="C1084" t="s">
        <v>7139</v>
      </c>
      <c r="D1084">
        <v>401100000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1</v>
      </c>
      <c r="Y1084" t="s">
        <v>972</v>
      </c>
      <c r="Z1084" t="s">
        <v>4834</v>
      </c>
      <c r="AA1084" t="s">
        <v>7140</v>
      </c>
      <c r="AB1084" t="s">
        <v>975</v>
      </c>
      <c r="AC1084">
        <v>4651</v>
      </c>
      <c r="AD1084" t="s">
        <v>1093</v>
      </c>
      <c r="AE1084">
        <v>476404194</v>
      </c>
      <c r="AF1084" t="s">
        <v>979</v>
      </c>
      <c r="AG1084" t="s">
        <v>977</v>
      </c>
      <c r="AH1084">
        <v>479657971</v>
      </c>
      <c r="AI1084">
        <v>69201</v>
      </c>
      <c r="AJ1084" t="s">
        <v>978</v>
      </c>
      <c r="AK1084" t="s">
        <v>978</v>
      </c>
      <c r="AL1084" t="s">
        <v>978</v>
      </c>
      <c r="AM1084" t="s">
        <v>979</v>
      </c>
      <c r="AN1084">
        <v>0</v>
      </c>
      <c r="AO1084" t="s">
        <v>257</v>
      </c>
      <c r="AP1084">
        <v>0</v>
      </c>
      <c r="AQ1084">
        <v>1</v>
      </c>
      <c r="AR1084">
        <v>43</v>
      </c>
      <c r="AS1084">
        <v>1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1</v>
      </c>
      <c r="AZ1084" t="s">
        <v>257</v>
      </c>
      <c r="BA1084" t="s">
        <v>257</v>
      </c>
      <c r="BB1084" t="s">
        <v>981</v>
      </c>
      <c r="BC1084" t="s">
        <v>257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 t="s">
        <v>998</v>
      </c>
      <c r="BK1084" t="s">
        <v>981</v>
      </c>
      <c r="BL1084" t="s">
        <v>7138</v>
      </c>
      <c r="BM1084">
        <v>20250530</v>
      </c>
      <c r="BN1084">
        <v>20250530</v>
      </c>
      <c r="BO1084">
        <v>0</v>
      </c>
      <c r="BP1084" t="s">
        <v>257</v>
      </c>
      <c r="BQ1084" t="s">
        <v>983</v>
      </c>
      <c r="BR1084" t="s">
        <v>978</v>
      </c>
      <c r="BS1084" t="s">
        <v>979</v>
      </c>
      <c r="BT1084">
        <v>0</v>
      </c>
      <c r="BU1084">
        <v>0</v>
      </c>
      <c r="BV1084" t="s">
        <v>984</v>
      </c>
      <c r="BW1084" t="s">
        <v>257</v>
      </c>
      <c r="BX1084">
        <v>0</v>
      </c>
      <c r="BY1084" t="s">
        <v>980</v>
      </c>
      <c r="BZ1084" t="s">
        <v>257</v>
      </c>
      <c r="CA1084">
        <v>0</v>
      </c>
      <c r="CB1084">
        <v>0</v>
      </c>
      <c r="CC1084" t="s">
        <v>1080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 t="s">
        <v>983</v>
      </c>
      <c r="CJ1084" t="s">
        <v>972</v>
      </c>
      <c r="CK1084" t="s">
        <v>986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 t="s">
        <v>987</v>
      </c>
      <c r="CV1084">
        <v>400011135</v>
      </c>
      <c r="CW1084" t="s">
        <v>987</v>
      </c>
      <c r="CX1084" t="s">
        <v>7028</v>
      </c>
      <c r="CY1084" t="s">
        <v>989</v>
      </c>
    </row>
    <row r="1085" spans="1:103" hidden="1" x14ac:dyDescent="0.25">
      <c r="A1085">
        <v>410001091</v>
      </c>
      <c r="B1085" t="s">
        <v>7141</v>
      </c>
      <c r="C1085" t="s">
        <v>7142</v>
      </c>
      <c r="D1085">
        <v>401100000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1</v>
      </c>
      <c r="X1085">
        <v>1</v>
      </c>
      <c r="Y1085" t="s">
        <v>972</v>
      </c>
      <c r="Z1085" t="s">
        <v>987</v>
      </c>
      <c r="AA1085" t="s">
        <v>7143</v>
      </c>
      <c r="AB1085" t="s">
        <v>975</v>
      </c>
      <c r="AC1085">
        <v>1830</v>
      </c>
      <c r="AD1085" t="s">
        <v>7144</v>
      </c>
      <c r="AE1085" t="s">
        <v>979</v>
      </c>
      <c r="AF1085" t="s">
        <v>979</v>
      </c>
      <c r="AG1085" t="s">
        <v>977</v>
      </c>
      <c r="AH1085">
        <v>874344637</v>
      </c>
      <c r="AI1085">
        <v>53100</v>
      </c>
      <c r="AJ1085" t="s">
        <v>6562</v>
      </c>
      <c r="AK1085" t="s">
        <v>978</v>
      </c>
      <c r="AL1085" t="s">
        <v>978</v>
      </c>
      <c r="AM1085" t="s">
        <v>979</v>
      </c>
      <c r="AN1085">
        <v>0</v>
      </c>
      <c r="AO1085" t="s">
        <v>257</v>
      </c>
      <c r="AP1085">
        <v>0</v>
      </c>
      <c r="AQ1085">
        <v>1</v>
      </c>
      <c r="AR1085">
        <v>69</v>
      </c>
      <c r="AS1085">
        <v>1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1</v>
      </c>
      <c r="AZ1085" t="s">
        <v>257</v>
      </c>
      <c r="BA1085" t="s">
        <v>980</v>
      </c>
      <c r="BB1085" t="s">
        <v>981</v>
      </c>
      <c r="BC1085" t="s">
        <v>257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 t="s">
        <v>998</v>
      </c>
      <c r="BK1085" t="s">
        <v>981</v>
      </c>
      <c r="BL1085" t="s">
        <v>7141</v>
      </c>
      <c r="BM1085">
        <v>20250604</v>
      </c>
      <c r="BN1085">
        <v>20250605</v>
      </c>
      <c r="BO1085">
        <v>0</v>
      </c>
      <c r="BP1085" t="s">
        <v>257</v>
      </c>
      <c r="BQ1085" t="s">
        <v>983</v>
      </c>
      <c r="BR1085" t="s">
        <v>978</v>
      </c>
      <c r="BS1085">
        <v>32472041384</v>
      </c>
      <c r="BT1085">
        <v>0</v>
      </c>
      <c r="BU1085">
        <v>0</v>
      </c>
      <c r="BV1085" t="s">
        <v>984</v>
      </c>
      <c r="BW1085" t="s">
        <v>257</v>
      </c>
      <c r="BX1085">
        <v>0</v>
      </c>
      <c r="BY1085" t="s">
        <v>980</v>
      </c>
      <c r="BZ1085" t="s">
        <v>257</v>
      </c>
      <c r="CA1085">
        <v>0</v>
      </c>
      <c r="CB1085">
        <v>0</v>
      </c>
      <c r="CC1085" t="s">
        <v>1901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 t="s">
        <v>983</v>
      </c>
      <c r="CJ1085" t="s">
        <v>972</v>
      </c>
      <c r="CK1085" t="s">
        <v>986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 t="s">
        <v>987</v>
      </c>
      <c r="CV1085">
        <v>400011144</v>
      </c>
      <c r="CW1085" t="s">
        <v>987</v>
      </c>
      <c r="CX1085" t="s">
        <v>7145</v>
      </c>
      <c r="CY1085" t="s">
        <v>989</v>
      </c>
    </row>
    <row r="1086" spans="1:103" hidden="1" x14ac:dyDescent="0.25">
      <c r="A1086">
        <v>410001092</v>
      </c>
      <c r="B1086" t="s">
        <v>7146</v>
      </c>
      <c r="C1086" t="s">
        <v>7147</v>
      </c>
      <c r="D1086">
        <v>401100000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1</v>
      </c>
      <c r="X1086">
        <v>1</v>
      </c>
      <c r="Y1086" t="s">
        <v>972</v>
      </c>
      <c r="Z1086" t="s">
        <v>987</v>
      </c>
      <c r="AA1086" t="s">
        <v>7148</v>
      </c>
      <c r="AB1086" t="s">
        <v>975</v>
      </c>
      <c r="AC1086">
        <v>5170</v>
      </c>
      <c r="AD1086" t="s">
        <v>6666</v>
      </c>
      <c r="AE1086">
        <v>81432308</v>
      </c>
      <c r="AF1086" t="s">
        <v>979</v>
      </c>
      <c r="AG1086" t="s">
        <v>977</v>
      </c>
      <c r="AH1086" t="s">
        <v>977</v>
      </c>
      <c r="AI1086" t="s">
        <v>977</v>
      </c>
      <c r="AJ1086" t="s">
        <v>7326</v>
      </c>
      <c r="AK1086" t="s">
        <v>978</v>
      </c>
      <c r="AL1086" t="s">
        <v>978</v>
      </c>
      <c r="AM1086" t="s">
        <v>979</v>
      </c>
      <c r="AN1086">
        <v>0</v>
      </c>
      <c r="AO1086" t="s">
        <v>257</v>
      </c>
      <c r="AP1086">
        <v>0</v>
      </c>
      <c r="AQ1086">
        <v>1</v>
      </c>
      <c r="AR1086">
        <v>69</v>
      </c>
      <c r="AS1086">
        <v>1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1</v>
      </c>
      <c r="AZ1086" t="s">
        <v>257</v>
      </c>
      <c r="BA1086" t="s">
        <v>257</v>
      </c>
      <c r="BB1086" t="s">
        <v>981</v>
      </c>
      <c r="BC1086" t="s">
        <v>257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 t="s">
        <v>998</v>
      </c>
      <c r="BK1086" t="s">
        <v>981</v>
      </c>
      <c r="BL1086" t="s">
        <v>7146</v>
      </c>
      <c r="BM1086">
        <v>20250604</v>
      </c>
      <c r="BN1086">
        <v>20250911</v>
      </c>
      <c r="BO1086">
        <v>0</v>
      </c>
      <c r="BP1086" t="s">
        <v>257</v>
      </c>
      <c r="BQ1086" t="s">
        <v>983</v>
      </c>
      <c r="BR1086" t="s">
        <v>978</v>
      </c>
      <c r="BS1086" t="s">
        <v>979</v>
      </c>
      <c r="BT1086">
        <v>0</v>
      </c>
      <c r="BU1086">
        <v>0</v>
      </c>
      <c r="BV1086" t="s">
        <v>984</v>
      </c>
      <c r="BW1086" t="s">
        <v>257</v>
      </c>
      <c r="BX1086">
        <v>0</v>
      </c>
      <c r="BY1086" t="s">
        <v>980</v>
      </c>
      <c r="BZ1086" t="s">
        <v>257</v>
      </c>
      <c r="CA1086">
        <v>0</v>
      </c>
      <c r="CB1086">
        <v>0</v>
      </c>
      <c r="CC1086" t="s">
        <v>1901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 t="s">
        <v>983</v>
      </c>
      <c r="CJ1086" t="s">
        <v>972</v>
      </c>
      <c r="CK1086" t="s">
        <v>986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 t="s">
        <v>987</v>
      </c>
      <c r="CV1086">
        <v>400011146</v>
      </c>
      <c r="CW1086" t="s">
        <v>987</v>
      </c>
      <c r="CX1086" t="s">
        <v>7149</v>
      </c>
      <c r="CY1086" t="s">
        <v>989</v>
      </c>
    </row>
    <row r="1087" spans="1:103" hidden="1" x14ac:dyDescent="0.25">
      <c r="A1087">
        <v>410001093</v>
      </c>
      <c r="B1087" t="s">
        <v>7169</v>
      </c>
      <c r="C1087" t="s">
        <v>7170</v>
      </c>
      <c r="D1087">
        <v>401100000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1</v>
      </c>
      <c r="Y1087" t="s">
        <v>972</v>
      </c>
      <c r="Z1087" t="s">
        <v>987</v>
      </c>
      <c r="AA1087" t="s">
        <v>7699</v>
      </c>
      <c r="AB1087" t="s">
        <v>975</v>
      </c>
      <c r="AC1087">
        <v>4800</v>
      </c>
      <c r="AD1087" t="s">
        <v>7700</v>
      </c>
      <c r="AE1087">
        <v>32471690448</v>
      </c>
      <c r="AF1087" t="s">
        <v>979</v>
      </c>
      <c r="AG1087" t="s">
        <v>977</v>
      </c>
      <c r="AH1087">
        <v>740870459</v>
      </c>
      <c r="AI1087">
        <v>69201</v>
      </c>
      <c r="AJ1087" t="s">
        <v>978</v>
      </c>
      <c r="AK1087" t="s">
        <v>978</v>
      </c>
      <c r="AL1087" t="s">
        <v>978</v>
      </c>
      <c r="AM1087" t="s">
        <v>979</v>
      </c>
      <c r="AN1087">
        <v>0</v>
      </c>
      <c r="AO1087" t="s">
        <v>257</v>
      </c>
      <c r="AP1087">
        <v>0</v>
      </c>
      <c r="AQ1087">
        <v>1</v>
      </c>
      <c r="AR1087">
        <v>43</v>
      </c>
      <c r="AS1087">
        <v>1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1</v>
      </c>
      <c r="AZ1087" t="s">
        <v>257</v>
      </c>
      <c r="BA1087" t="s">
        <v>257</v>
      </c>
      <c r="BB1087" t="s">
        <v>981</v>
      </c>
      <c r="BC1087" t="s">
        <v>257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 t="s">
        <v>998</v>
      </c>
      <c r="BK1087" t="s">
        <v>981</v>
      </c>
      <c r="BL1087" t="s">
        <v>7169</v>
      </c>
      <c r="BM1087">
        <v>20250606</v>
      </c>
      <c r="BN1087">
        <v>20260102</v>
      </c>
      <c r="BO1087">
        <v>0</v>
      </c>
      <c r="BP1087" t="s">
        <v>257</v>
      </c>
      <c r="BQ1087" t="s">
        <v>983</v>
      </c>
      <c r="BR1087" t="s">
        <v>978</v>
      </c>
      <c r="BS1087">
        <v>3287232011</v>
      </c>
      <c r="BT1087">
        <v>0</v>
      </c>
      <c r="BU1087">
        <v>0</v>
      </c>
      <c r="BV1087" t="s">
        <v>984</v>
      </c>
      <c r="BW1087" t="s">
        <v>257</v>
      </c>
      <c r="BX1087">
        <v>0</v>
      </c>
      <c r="BY1087" t="s">
        <v>980</v>
      </c>
      <c r="BZ1087" t="s">
        <v>257</v>
      </c>
      <c r="CA1087">
        <v>0</v>
      </c>
      <c r="CB1087">
        <v>0</v>
      </c>
      <c r="CC1087" t="s">
        <v>1220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 t="s">
        <v>983</v>
      </c>
      <c r="CJ1087" t="s">
        <v>972</v>
      </c>
      <c r="CK1087" t="s">
        <v>986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 t="s">
        <v>987</v>
      </c>
      <c r="CV1087">
        <v>400011149</v>
      </c>
      <c r="CW1087" t="s">
        <v>987</v>
      </c>
      <c r="CX1087" t="s">
        <v>7171</v>
      </c>
      <c r="CY1087" t="s">
        <v>989</v>
      </c>
    </row>
    <row r="1088" spans="1:103" hidden="1" x14ac:dyDescent="0.25">
      <c r="A1088">
        <v>410001094</v>
      </c>
      <c r="B1088" t="s">
        <v>7172</v>
      </c>
      <c r="C1088" t="s">
        <v>7173</v>
      </c>
      <c r="D1088">
        <v>401100000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1</v>
      </c>
      <c r="Y1088" t="s">
        <v>972</v>
      </c>
      <c r="Z1088" t="s">
        <v>987</v>
      </c>
      <c r="AA1088" t="s">
        <v>7174</v>
      </c>
      <c r="AB1088" t="s">
        <v>975</v>
      </c>
      <c r="AC1088">
        <v>1200</v>
      </c>
      <c r="AD1088" t="s">
        <v>7175</v>
      </c>
      <c r="AE1088">
        <v>3226812817</v>
      </c>
      <c r="AF1088" t="s">
        <v>979</v>
      </c>
      <c r="AG1088" t="s">
        <v>977</v>
      </c>
      <c r="AH1088">
        <v>1017544450</v>
      </c>
      <c r="AI1088">
        <v>69201</v>
      </c>
      <c r="AJ1088" t="s">
        <v>7176</v>
      </c>
      <c r="AK1088" t="s">
        <v>978</v>
      </c>
      <c r="AL1088" t="s">
        <v>978</v>
      </c>
      <c r="AM1088" t="s">
        <v>979</v>
      </c>
      <c r="AN1088">
        <v>0</v>
      </c>
      <c r="AO1088" t="s">
        <v>257</v>
      </c>
      <c r="AP1088">
        <v>0</v>
      </c>
      <c r="AQ1088">
        <v>1</v>
      </c>
      <c r="AR1088">
        <v>43</v>
      </c>
      <c r="AS1088">
        <v>1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1</v>
      </c>
      <c r="AZ1088" t="s">
        <v>257</v>
      </c>
      <c r="BA1088" t="s">
        <v>980</v>
      </c>
      <c r="BB1088" t="s">
        <v>981</v>
      </c>
      <c r="BC1088" t="s">
        <v>257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 t="s">
        <v>998</v>
      </c>
      <c r="BK1088" t="s">
        <v>981</v>
      </c>
      <c r="BL1088" t="s">
        <v>7172</v>
      </c>
      <c r="BM1088">
        <v>20250612</v>
      </c>
      <c r="BN1088">
        <v>20250905</v>
      </c>
      <c r="BO1088">
        <v>0</v>
      </c>
      <c r="BP1088" t="s">
        <v>257</v>
      </c>
      <c r="BQ1088" t="s">
        <v>983</v>
      </c>
      <c r="BR1088" t="s">
        <v>978</v>
      </c>
      <c r="BS1088" t="s">
        <v>979</v>
      </c>
      <c r="BT1088">
        <v>0</v>
      </c>
      <c r="BU1088">
        <v>0</v>
      </c>
      <c r="BV1088" t="s">
        <v>984</v>
      </c>
      <c r="BW1088" t="s">
        <v>257</v>
      </c>
      <c r="BX1088">
        <v>0</v>
      </c>
      <c r="BY1088" t="s">
        <v>980</v>
      </c>
      <c r="BZ1088" t="s">
        <v>257</v>
      </c>
      <c r="CA1088">
        <v>0</v>
      </c>
      <c r="CB1088">
        <v>0</v>
      </c>
      <c r="CC1088" t="s">
        <v>1901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 t="s">
        <v>983</v>
      </c>
      <c r="CJ1088" t="s">
        <v>972</v>
      </c>
      <c r="CK1088" t="s">
        <v>986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 t="s">
        <v>987</v>
      </c>
      <c r="CV1088">
        <v>400011159</v>
      </c>
      <c r="CW1088" t="s">
        <v>987</v>
      </c>
      <c r="CX1088" t="s">
        <v>7299</v>
      </c>
      <c r="CY1088" t="s">
        <v>989</v>
      </c>
    </row>
    <row r="1089" spans="1:103" hidden="1" x14ac:dyDescent="0.25">
      <c r="A1089">
        <v>410001095</v>
      </c>
      <c r="B1089" t="s">
        <v>7177</v>
      </c>
      <c r="C1089" t="s">
        <v>7178</v>
      </c>
      <c r="D1089">
        <v>401100000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1</v>
      </c>
      <c r="Y1089" t="s">
        <v>972</v>
      </c>
      <c r="Z1089" t="s">
        <v>987</v>
      </c>
      <c r="AA1089" t="s">
        <v>7179</v>
      </c>
      <c r="AB1089" t="s">
        <v>975</v>
      </c>
      <c r="AC1089">
        <v>4460</v>
      </c>
      <c r="AD1089" t="s">
        <v>1946</v>
      </c>
      <c r="AE1089">
        <v>3242525349</v>
      </c>
      <c r="AF1089" t="s">
        <v>979</v>
      </c>
      <c r="AG1089" t="s">
        <v>977</v>
      </c>
      <c r="AH1089">
        <v>478722813</v>
      </c>
      <c r="AI1089">
        <v>70200</v>
      </c>
      <c r="AJ1089" t="s">
        <v>978</v>
      </c>
      <c r="AK1089" t="s">
        <v>978</v>
      </c>
      <c r="AL1089" t="s">
        <v>978</v>
      </c>
      <c r="AM1089" t="s">
        <v>979</v>
      </c>
      <c r="AN1089">
        <v>0</v>
      </c>
      <c r="AO1089" t="s">
        <v>257</v>
      </c>
      <c r="AP1089">
        <v>0</v>
      </c>
      <c r="AQ1089">
        <v>1</v>
      </c>
      <c r="AR1089">
        <v>69</v>
      </c>
      <c r="AS1089">
        <v>1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1</v>
      </c>
      <c r="AZ1089" t="s">
        <v>257</v>
      </c>
      <c r="BA1089" t="s">
        <v>980</v>
      </c>
      <c r="BB1089" t="s">
        <v>981</v>
      </c>
      <c r="BC1089" t="s">
        <v>257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 t="s">
        <v>998</v>
      </c>
      <c r="BK1089" t="s">
        <v>981</v>
      </c>
      <c r="BL1089" t="s">
        <v>7177</v>
      </c>
      <c r="BM1089">
        <v>20250616</v>
      </c>
      <c r="BN1089">
        <v>20251001</v>
      </c>
      <c r="BO1089">
        <v>0</v>
      </c>
      <c r="BP1089" t="s">
        <v>257</v>
      </c>
      <c r="BQ1089" t="s">
        <v>983</v>
      </c>
      <c r="BR1089" t="s">
        <v>978</v>
      </c>
      <c r="BS1089" t="s">
        <v>979</v>
      </c>
      <c r="BT1089">
        <v>0</v>
      </c>
      <c r="BU1089">
        <v>0</v>
      </c>
      <c r="BV1089" t="s">
        <v>984</v>
      </c>
      <c r="BW1089" t="s">
        <v>257</v>
      </c>
      <c r="BX1089">
        <v>0</v>
      </c>
      <c r="BY1089" t="s">
        <v>980</v>
      </c>
      <c r="BZ1089" t="s">
        <v>257</v>
      </c>
      <c r="CA1089">
        <v>0</v>
      </c>
      <c r="CB1089">
        <v>0</v>
      </c>
      <c r="CC1089" t="s">
        <v>1371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 t="s">
        <v>983</v>
      </c>
      <c r="CJ1089" t="s">
        <v>972</v>
      </c>
      <c r="CK1089" t="s">
        <v>986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 t="s">
        <v>987</v>
      </c>
      <c r="CV1089">
        <v>400011364</v>
      </c>
      <c r="CW1089" t="s">
        <v>987</v>
      </c>
      <c r="CX1089" t="s">
        <v>7180</v>
      </c>
      <c r="CY1089" t="s">
        <v>989</v>
      </c>
    </row>
    <row r="1090" spans="1:103" hidden="1" x14ac:dyDescent="0.25">
      <c r="A1090">
        <v>410001096</v>
      </c>
      <c r="B1090" t="s">
        <v>7199</v>
      </c>
      <c r="C1090" t="s">
        <v>7200</v>
      </c>
      <c r="D1090">
        <v>401100000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1</v>
      </c>
      <c r="Y1090" t="s">
        <v>972</v>
      </c>
      <c r="Z1090" t="s">
        <v>987</v>
      </c>
      <c r="AA1090" t="s">
        <v>7201</v>
      </c>
      <c r="AB1090" t="s">
        <v>975</v>
      </c>
      <c r="AC1090">
        <v>1080</v>
      </c>
      <c r="AD1090" t="s">
        <v>7202</v>
      </c>
      <c r="AE1090">
        <v>477589606</v>
      </c>
      <c r="AF1090" t="s">
        <v>979</v>
      </c>
      <c r="AG1090" t="s">
        <v>977</v>
      </c>
      <c r="AH1090">
        <v>503770983</v>
      </c>
      <c r="AI1090">
        <v>74120</v>
      </c>
      <c r="AJ1090" t="s">
        <v>7334</v>
      </c>
      <c r="AK1090" t="s">
        <v>978</v>
      </c>
      <c r="AL1090" t="s">
        <v>978</v>
      </c>
      <c r="AM1090" t="s">
        <v>979</v>
      </c>
      <c r="AN1090">
        <v>0</v>
      </c>
      <c r="AO1090" t="s">
        <v>257</v>
      </c>
      <c r="AP1090">
        <v>0</v>
      </c>
      <c r="AQ1090">
        <v>1</v>
      </c>
      <c r="AR1090">
        <v>69</v>
      </c>
      <c r="AS1090">
        <v>1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1</v>
      </c>
      <c r="AZ1090" t="s">
        <v>257</v>
      </c>
      <c r="BA1090" t="s">
        <v>257</v>
      </c>
      <c r="BB1090" t="s">
        <v>981</v>
      </c>
      <c r="BC1090" t="s">
        <v>257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 t="s">
        <v>998</v>
      </c>
      <c r="BK1090" t="s">
        <v>981</v>
      </c>
      <c r="BL1090" t="s">
        <v>7199</v>
      </c>
      <c r="BM1090">
        <v>20250624</v>
      </c>
      <c r="BN1090">
        <v>20250911</v>
      </c>
      <c r="BO1090">
        <v>0</v>
      </c>
      <c r="BP1090" t="s">
        <v>257</v>
      </c>
      <c r="BQ1090" t="s">
        <v>983</v>
      </c>
      <c r="BR1090" t="s">
        <v>978</v>
      </c>
      <c r="BS1090" t="s">
        <v>979</v>
      </c>
      <c r="BT1090">
        <v>0</v>
      </c>
      <c r="BU1090">
        <v>0</v>
      </c>
      <c r="BV1090" t="s">
        <v>984</v>
      </c>
      <c r="BW1090" t="s">
        <v>257</v>
      </c>
      <c r="BX1090">
        <v>0</v>
      </c>
      <c r="BY1090" t="s">
        <v>980</v>
      </c>
      <c r="BZ1090" t="s">
        <v>257</v>
      </c>
      <c r="CA1090">
        <v>0</v>
      </c>
      <c r="CB1090">
        <v>0</v>
      </c>
      <c r="CC1090" t="s">
        <v>1901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 t="s">
        <v>983</v>
      </c>
      <c r="CJ1090" t="s">
        <v>972</v>
      </c>
      <c r="CK1090" t="s">
        <v>986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 t="s">
        <v>987</v>
      </c>
      <c r="CV1090">
        <v>400011178</v>
      </c>
      <c r="CW1090" t="s">
        <v>987</v>
      </c>
      <c r="CX1090" t="s">
        <v>7203</v>
      </c>
      <c r="CY1090" t="s">
        <v>989</v>
      </c>
    </row>
    <row r="1091" spans="1:103" hidden="1" x14ac:dyDescent="0.25">
      <c r="A1091">
        <v>410001097</v>
      </c>
      <c r="B1091" t="s">
        <v>7204</v>
      </c>
      <c r="C1091" t="s">
        <v>7205</v>
      </c>
      <c r="D1091">
        <v>401100000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1</v>
      </c>
      <c r="Y1091" t="s">
        <v>972</v>
      </c>
      <c r="Z1091" t="s">
        <v>987</v>
      </c>
      <c r="AA1091" t="s">
        <v>7206</v>
      </c>
      <c r="AB1091" t="s">
        <v>975</v>
      </c>
      <c r="AC1091">
        <v>1300</v>
      </c>
      <c r="AD1091" t="s">
        <v>2390</v>
      </c>
      <c r="AE1091" t="s">
        <v>979</v>
      </c>
      <c r="AF1091" t="s">
        <v>979</v>
      </c>
      <c r="AG1091" t="s">
        <v>977</v>
      </c>
      <c r="AH1091">
        <v>477749942</v>
      </c>
      <c r="AI1091">
        <v>46820</v>
      </c>
      <c r="AJ1091" t="s">
        <v>7335</v>
      </c>
      <c r="AK1091" t="s">
        <v>978</v>
      </c>
      <c r="AL1091" t="s">
        <v>978</v>
      </c>
      <c r="AM1091" t="s">
        <v>979</v>
      </c>
      <c r="AN1091">
        <v>0</v>
      </c>
      <c r="AO1091" t="s">
        <v>257</v>
      </c>
      <c r="AP1091">
        <v>0</v>
      </c>
      <c r="AQ1091">
        <v>1</v>
      </c>
      <c r="AR1091">
        <v>69</v>
      </c>
      <c r="AS1091">
        <v>1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1</v>
      </c>
      <c r="AZ1091" t="s">
        <v>257</v>
      </c>
      <c r="BA1091" t="s">
        <v>257</v>
      </c>
      <c r="BB1091" t="s">
        <v>981</v>
      </c>
      <c r="BC1091" t="s">
        <v>257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 t="s">
        <v>998</v>
      </c>
      <c r="BK1091" t="s">
        <v>981</v>
      </c>
      <c r="BL1091" t="s">
        <v>7204</v>
      </c>
      <c r="BM1091">
        <v>20250624</v>
      </c>
      <c r="BN1091">
        <v>20250911</v>
      </c>
      <c r="BO1091">
        <v>0</v>
      </c>
      <c r="BP1091" t="s">
        <v>257</v>
      </c>
      <c r="BQ1091" t="s">
        <v>983</v>
      </c>
      <c r="BR1091" t="s">
        <v>978</v>
      </c>
      <c r="BS1091" t="s">
        <v>979</v>
      </c>
      <c r="BT1091">
        <v>0</v>
      </c>
      <c r="BU1091">
        <v>0</v>
      </c>
      <c r="BV1091" t="s">
        <v>984</v>
      </c>
      <c r="BW1091" t="s">
        <v>257</v>
      </c>
      <c r="BX1091">
        <v>0</v>
      </c>
      <c r="BY1091" t="s">
        <v>980</v>
      </c>
      <c r="BZ1091" t="s">
        <v>257</v>
      </c>
      <c r="CA1091">
        <v>0</v>
      </c>
      <c r="CB1091">
        <v>0</v>
      </c>
      <c r="CC1091" t="s">
        <v>1901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 t="s">
        <v>983</v>
      </c>
      <c r="CJ1091" t="s">
        <v>972</v>
      </c>
      <c r="CK1091" t="s">
        <v>986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 t="s">
        <v>987</v>
      </c>
      <c r="CV1091">
        <v>400011179</v>
      </c>
      <c r="CW1091" t="s">
        <v>987</v>
      </c>
      <c r="CX1091" t="s">
        <v>7207</v>
      </c>
      <c r="CY1091" t="s">
        <v>989</v>
      </c>
    </row>
    <row r="1092" spans="1:103" hidden="1" x14ac:dyDescent="0.25">
      <c r="A1092">
        <v>410001098</v>
      </c>
      <c r="B1092" t="s">
        <v>7208</v>
      </c>
      <c r="C1092" t="s">
        <v>7209</v>
      </c>
      <c r="D1092">
        <v>401100000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1</v>
      </c>
      <c r="X1092">
        <v>1</v>
      </c>
      <c r="Y1092" t="s">
        <v>972</v>
      </c>
      <c r="Z1092" t="s">
        <v>987</v>
      </c>
      <c r="AA1092" t="s">
        <v>7210</v>
      </c>
      <c r="AB1092" t="s">
        <v>975</v>
      </c>
      <c r="AC1092">
        <v>1435</v>
      </c>
      <c r="AD1092" t="s">
        <v>1978</v>
      </c>
      <c r="AE1092">
        <v>475960196</v>
      </c>
      <c r="AF1092" t="s">
        <v>979</v>
      </c>
      <c r="AG1092" t="s">
        <v>977</v>
      </c>
      <c r="AH1092">
        <v>688470366</v>
      </c>
      <c r="AI1092">
        <v>69201</v>
      </c>
      <c r="AJ1092" t="s">
        <v>7334</v>
      </c>
      <c r="AK1092" t="s">
        <v>978</v>
      </c>
      <c r="AL1092" t="s">
        <v>978</v>
      </c>
      <c r="AM1092" t="s">
        <v>979</v>
      </c>
      <c r="AN1092">
        <v>0</v>
      </c>
      <c r="AO1092" t="s">
        <v>257</v>
      </c>
      <c r="AP1092">
        <v>0</v>
      </c>
      <c r="AQ1092">
        <v>1</v>
      </c>
      <c r="AR1092">
        <v>69</v>
      </c>
      <c r="AS1092">
        <v>1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1</v>
      </c>
      <c r="AZ1092" t="s">
        <v>257</v>
      </c>
      <c r="BA1092" t="s">
        <v>257</v>
      </c>
      <c r="BB1092" t="s">
        <v>981</v>
      </c>
      <c r="BC1092" t="s">
        <v>257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 t="s">
        <v>998</v>
      </c>
      <c r="BK1092" t="s">
        <v>981</v>
      </c>
      <c r="BL1092" t="s">
        <v>7208</v>
      </c>
      <c r="BM1092">
        <v>20250624</v>
      </c>
      <c r="BN1092">
        <v>20250911</v>
      </c>
      <c r="BO1092">
        <v>0</v>
      </c>
      <c r="BP1092" t="s">
        <v>257</v>
      </c>
      <c r="BQ1092" t="s">
        <v>983</v>
      </c>
      <c r="BR1092" t="s">
        <v>978</v>
      </c>
      <c r="BS1092" t="s">
        <v>979</v>
      </c>
      <c r="BT1092">
        <v>0</v>
      </c>
      <c r="BU1092">
        <v>0</v>
      </c>
      <c r="BV1092" t="s">
        <v>984</v>
      </c>
      <c r="BW1092" t="s">
        <v>257</v>
      </c>
      <c r="BX1092">
        <v>0</v>
      </c>
      <c r="BY1092" t="s">
        <v>980</v>
      </c>
      <c r="BZ1092" t="s">
        <v>257</v>
      </c>
      <c r="CA1092">
        <v>0</v>
      </c>
      <c r="CB1092">
        <v>0</v>
      </c>
      <c r="CC1092" t="s">
        <v>1901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 t="s">
        <v>983</v>
      </c>
      <c r="CJ1092" t="s">
        <v>972</v>
      </c>
      <c r="CK1092" t="s">
        <v>986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 t="s">
        <v>987</v>
      </c>
      <c r="CV1092">
        <v>400011180</v>
      </c>
      <c r="CW1092" t="s">
        <v>987</v>
      </c>
      <c r="CX1092" t="s">
        <v>7211</v>
      </c>
      <c r="CY1092" t="s">
        <v>989</v>
      </c>
    </row>
    <row r="1093" spans="1:103" hidden="1" x14ac:dyDescent="0.25">
      <c r="A1093">
        <v>410001099</v>
      </c>
      <c r="B1093" t="s">
        <v>7212</v>
      </c>
      <c r="C1093" t="s">
        <v>7213</v>
      </c>
      <c r="D1093">
        <v>401100000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1</v>
      </c>
      <c r="Y1093" t="s">
        <v>972</v>
      </c>
      <c r="Z1093" t="s">
        <v>987</v>
      </c>
      <c r="AA1093" t="s">
        <v>7214</v>
      </c>
      <c r="AB1093" t="s">
        <v>975</v>
      </c>
      <c r="AC1093">
        <v>1070</v>
      </c>
      <c r="AD1093" t="s">
        <v>3911</v>
      </c>
      <c r="AE1093">
        <v>3225699648</v>
      </c>
      <c r="AF1093" t="s">
        <v>979</v>
      </c>
      <c r="AG1093" t="s">
        <v>977</v>
      </c>
      <c r="AH1093">
        <v>634942402</v>
      </c>
      <c r="AI1093">
        <v>69201</v>
      </c>
      <c r="AJ1093" t="s">
        <v>978</v>
      </c>
      <c r="AK1093" t="s">
        <v>978</v>
      </c>
      <c r="AL1093" t="s">
        <v>978</v>
      </c>
      <c r="AM1093" t="s">
        <v>979</v>
      </c>
      <c r="AN1093">
        <v>0</v>
      </c>
      <c r="AO1093" t="s">
        <v>257</v>
      </c>
      <c r="AP1093">
        <v>0</v>
      </c>
      <c r="AQ1093">
        <v>1</v>
      </c>
      <c r="AR1093">
        <v>69</v>
      </c>
      <c r="AS1093">
        <v>1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1</v>
      </c>
      <c r="AZ1093" t="s">
        <v>257</v>
      </c>
      <c r="BA1093" t="s">
        <v>257</v>
      </c>
      <c r="BB1093" t="s">
        <v>981</v>
      </c>
      <c r="BC1093" t="s">
        <v>257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 t="s">
        <v>998</v>
      </c>
      <c r="BK1093" t="s">
        <v>981</v>
      </c>
      <c r="BL1093" t="s">
        <v>7212</v>
      </c>
      <c r="BM1093">
        <v>20250624</v>
      </c>
      <c r="BN1093">
        <v>20250624</v>
      </c>
      <c r="BO1093">
        <v>0</v>
      </c>
      <c r="BP1093" t="s">
        <v>257</v>
      </c>
      <c r="BQ1093" t="s">
        <v>983</v>
      </c>
      <c r="BR1093" t="s">
        <v>978</v>
      </c>
      <c r="BS1093" t="s">
        <v>979</v>
      </c>
      <c r="BT1093">
        <v>0</v>
      </c>
      <c r="BU1093">
        <v>0</v>
      </c>
      <c r="BV1093" t="s">
        <v>984</v>
      </c>
      <c r="BW1093" t="s">
        <v>257</v>
      </c>
      <c r="BX1093">
        <v>0</v>
      </c>
      <c r="BY1093" t="s">
        <v>980</v>
      </c>
      <c r="BZ1093" t="s">
        <v>257</v>
      </c>
      <c r="CA1093">
        <v>0</v>
      </c>
      <c r="CB1093">
        <v>0</v>
      </c>
      <c r="CC1093" t="s">
        <v>3661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 t="s">
        <v>983</v>
      </c>
      <c r="CJ1093" t="s">
        <v>972</v>
      </c>
      <c r="CK1093" t="s">
        <v>986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 t="s">
        <v>987</v>
      </c>
      <c r="CV1093">
        <v>400011181</v>
      </c>
      <c r="CW1093" t="s">
        <v>987</v>
      </c>
      <c r="CX1093" t="s">
        <v>7215</v>
      </c>
      <c r="CY1093" t="s">
        <v>989</v>
      </c>
    </row>
    <row r="1094" spans="1:103" hidden="1" x14ac:dyDescent="0.25">
      <c r="A1094">
        <v>410001100</v>
      </c>
      <c r="B1094" t="s">
        <v>7225</v>
      </c>
      <c r="C1094" t="s">
        <v>7226</v>
      </c>
      <c r="D1094">
        <v>401100000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1</v>
      </c>
      <c r="X1094">
        <v>1</v>
      </c>
      <c r="Y1094" t="s">
        <v>972</v>
      </c>
      <c r="Z1094" t="s">
        <v>987</v>
      </c>
      <c r="AA1094" t="s">
        <v>7227</v>
      </c>
      <c r="AB1094" t="s">
        <v>975</v>
      </c>
      <c r="AC1094">
        <v>5020</v>
      </c>
      <c r="AD1094" t="s">
        <v>1789</v>
      </c>
      <c r="AE1094" t="s">
        <v>979</v>
      </c>
      <c r="AF1094" t="s">
        <v>979</v>
      </c>
      <c r="AG1094" t="s">
        <v>977</v>
      </c>
      <c r="AH1094" t="s">
        <v>977</v>
      </c>
      <c r="AI1094" t="s">
        <v>977</v>
      </c>
      <c r="AJ1094" t="s">
        <v>7228</v>
      </c>
      <c r="AK1094" t="s">
        <v>978</v>
      </c>
      <c r="AL1094" t="s">
        <v>978</v>
      </c>
      <c r="AM1094" t="s">
        <v>979</v>
      </c>
      <c r="AN1094">
        <v>0</v>
      </c>
      <c r="AO1094" t="s">
        <v>257</v>
      </c>
      <c r="AP1094">
        <v>0</v>
      </c>
      <c r="AQ1094">
        <v>1</v>
      </c>
      <c r="AR1094">
        <v>20</v>
      </c>
      <c r="AS1094">
        <v>1</v>
      </c>
      <c r="AT1094">
        <v>0</v>
      </c>
      <c r="AU1094">
        <v>1</v>
      </c>
      <c r="AV1094">
        <v>0</v>
      </c>
      <c r="AW1094">
        <v>0</v>
      </c>
      <c r="AX1094">
        <v>0</v>
      </c>
      <c r="AY1094">
        <v>1</v>
      </c>
      <c r="AZ1094" t="s">
        <v>257</v>
      </c>
      <c r="BA1094" t="s">
        <v>980</v>
      </c>
      <c r="BB1094" t="s">
        <v>981</v>
      </c>
      <c r="BC1094" t="s">
        <v>257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 t="s">
        <v>998</v>
      </c>
      <c r="BK1094" t="s">
        <v>981</v>
      </c>
      <c r="BL1094" t="s">
        <v>7225</v>
      </c>
      <c r="BM1094">
        <v>20250710</v>
      </c>
      <c r="BN1094">
        <v>20250710</v>
      </c>
      <c r="BO1094">
        <v>0</v>
      </c>
      <c r="BP1094" t="s">
        <v>257</v>
      </c>
      <c r="BQ1094" t="s">
        <v>983</v>
      </c>
      <c r="BR1094" t="s">
        <v>978</v>
      </c>
      <c r="BS1094">
        <v>32473395291</v>
      </c>
      <c r="BT1094">
        <v>0</v>
      </c>
      <c r="BU1094">
        <v>0</v>
      </c>
      <c r="BV1094" t="s">
        <v>984</v>
      </c>
      <c r="BW1094" t="s">
        <v>257</v>
      </c>
      <c r="BX1094">
        <v>0</v>
      </c>
      <c r="BY1094" t="s">
        <v>980</v>
      </c>
      <c r="BZ1094" t="s">
        <v>257</v>
      </c>
      <c r="CA1094">
        <v>0</v>
      </c>
      <c r="CB1094">
        <v>0</v>
      </c>
      <c r="CC1094" t="s">
        <v>1901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 t="s">
        <v>983</v>
      </c>
      <c r="CJ1094" t="s">
        <v>972</v>
      </c>
      <c r="CK1094" t="s">
        <v>986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 t="s">
        <v>987</v>
      </c>
      <c r="CV1094">
        <v>400011206</v>
      </c>
      <c r="CW1094" t="s">
        <v>987</v>
      </c>
      <c r="CX1094" t="s">
        <v>7229</v>
      </c>
      <c r="CY1094" t="s">
        <v>989</v>
      </c>
    </row>
    <row r="1095" spans="1:103" hidden="1" x14ac:dyDescent="0.25">
      <c r="A1095">
        <v>410001101</v>
      </c>
      <c r="B1095" t="s">
        <v>7230</v>
      </c>
      <c r="C1095" t="s">
        <v>7231</v>
      </c>
      <c r="D1095">
        <v>401100000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1</v>
      </c>
      <c r="X1095">
        <v>1</v>
      </c>
      <c r="Y1095" t="s">
        <v>972</v>
      </c>
      <c r="Z1095" t="s">
        <v>4834</v>
      </c>
      <c r="AA1095" t="s">
        <v>7232</v>
      </c>
      <c r="AB1095" t="s">
        <v>975</v>
      </c>
      <c r="AC1095">
        <v>4367</v>
      </c>
      <c r="AD1095" t="s">
        <v>5006</v>
      </c>
      <c r="AE1095">
        <v>3242574010</v>
      </c>
      <c r="AF1095" t="s">
        <v>979</v>
      </c>
      <c r="AG1095" t="s">
        <v>977</v>
      </c>
      <c r="AH1095" t="s">
        <v>977</v>
      </c>
      <c r="AI1095" t="s">
        <v>977</v>
      </c>
      <c r="AJ1095" t="s">
        <v>978</v>
      </c>
      <c r="AK1095" t="s">
        <v>978</v>
      </c>
      <c r="AL1095" t="s">
        <v>978</v>
      </c>
      <c r="AM1095" t="s">
        <v>979</v>
      </c>
      <c r="AN1095">
        <v>0</v>
      </c>
      <c r="AO1095" t="s">
        <v>257</v>
      </c>
      <c r="AP1095">
        <v>0</v>
      </c>
      <c r="AQ1095">
        <v>1</v>
      </c>
      <c r="AR1095">
        <v>69</v>
      </c>
      <c r="AS1095">
        <v>1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1</v>
      </c>
      <c r="AZ1095" t="s">
        <v>257</v>
      </c>
      <c r="BA1095" t="s">
        <v>980</v>
      </c>
      <c r="BB1095" t="s">
        <v>981</v>
      </c>
      <c r="BC1095" t="s">
        <v>257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 t="s">
        <v>998</v>
      </c>
      <c r="BK1095" t="s">
        <v>981</v>
      </c>
      <c r="BL1095" t="s">
        <v>7230</v>
      </c>
      <c r="BM1095">
        <v>20250711</v>
      </c>
      <c r="BN1095">
        <v>20250711</v>
      </c>
      <c r="BO1095">
        <v>0</v>
      </c>
      <c r="BP1095" t="s">
        <v>257</v>
      </c>
      <c r="BQ1095" t="s">
        <v>983</v>
      </c>
      <c r="BR1095" t="s">
        <v>978</v>
      </c>
      <c r="BS1095" t="s">
        <v>979</v>
      </c>
      <c r="BT1095">
        <v>0</v>
      </c>
      <c r="BU1095">
        <v>0</v>
      </c>
      <c r="BV1095" t="s">
        <v>984</v>
      </c>
      <c r="BW1095" t="s">
        <v>257</v>
      </c>
      <c r="BX1095">
        <v>0</v>
      </c>
      <c r="BY1095" t="s">
        <v>980</v>
      </c>
      <c r="BZ1095" t="s">
        <v>257</v>
      </c>
      <c r="CA1095">
        <v>0</v>
      </c>
      <c r="CB1095">
        <v>0</v>
      </c>
      <c r="CC1095" t="s">
        <v>1220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 t="s">
        <v>983</v>
      </c>
      <c r="CJ1095" t="s">
        <v>972</v>
      </c>
      <c r="CK1095" t="s">
        <v>986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 t="s">
        <v>987</v>
      </c>
      <c r="CV1095">
        <v>400011209</v>
      </c>
      <c r="CW1095" t="s">
        <v>987</v>
      </c>
      <c r="CX1095" t="s">
        <v>7233</v>
      </c>
      <c r="CY1095" t="s">
        <v>989</v>
      </c>
    </row>
    <row r="1096" spans="1:103" hidden="1" x14ac:dyDescent="0.25">
      <c r="A1096">
        <v>410001102</v>
      </c>
      <c r="B1096" t="s">
        <v>7234</v>
      </c>
      <c r="C1096" t="s">
        <v>7235</v>
      </c>
      <c r="D1096">
        <v>401100000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1</v>
      </c>
      <c r="X1096">
        <v>1</v>
      </c>
      <c r="Y1096" t="s">
        <v>972</v>
      </c>
      <c r="Z1096" t="s">
        <v>987</v>
      </c>
      <c r="AA1096" t="s">
        <v>7236</v>
      </c>
      <c r="AB1096" t="s">
        <v>975</v>
      </c>
      <c r="AC1096">
        <v>4620</v>
      </c>
      <c r="AD1096" t="s">
        <v>1368</v>
      </c>
      <c r="AE1096">
        <v>472555508</v>
      </c>
      <c r="AF1096" t="s">
        <v>979</v>
      </c>
      <c r="AG1096" t="s">
        <v>977</v>
      </c>
      <c r="AH1096" t="s">
        <v>977</v>
      </c>
      <c r="AI1096" t="s">
        <v>977</v>
      </c>
      <c r="AJ1096" t="s">
        <v>978</v>
      </c>
      <c r="AK1096" t="s">
        <v>978</v>
      </c>
      <c r="AL1096" t="s">
        <v>978</v>
      </c>
      <c r="AM1096" t="s">
        <v>979</v>
      </c>
      <c r="AN1096">
        <v>0</v>
      </c>
      <c r="AO1096" t="s">
        <v>257</v>
      </c>
      <c r="AP1096">
        <v>0</v>
      </c>
      <c r="AQ1096">
        <v>1</v>
      </c>
      <c r="AR1096">
        <v>43</v>
      </c>
      <c r="AS1096">
        <v>1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1</v>
      </c>
      <c r="AZ1096" t="s">
        <v>257</v>
      </c>
      <c r="BA1096" t="s">
        <v>257</v>
      </c>
      <c r="BB1096" t="s">
        <v>981</v>
      </c>
      <c r="BC1096" t="s">
        <v>257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 t="s">
        <v>998</v>
      </c>
      <c r="BK1096" t="s">
        <v>981</v>
      </c>
      <c r="BL1096" t="s">
        <v>7234</v>
      </c>
      <c r="BM1096">
        <v>20250722</v>
      </c>
      <c r="BN1096">
        <v>0</v>
      </c>
      <c r="BO1096">
        <v>0</v>
      </c>
      <c r="BP1096" t="s">
        <v>257</v>
      </c>
      <c r="BQ1096" t="s">
        <v>983</v>
      </c>
      <c r="BR1096" t="s">
        <v>978</v>
      </c>
      <c r="BS1096" t="s">
        <v>979</v>
      </c>
      <c r="BT1096">
        <v>0</v>
      </c>
      <c r="BU1096">
        <v>0</v>
      </c>
      <c r="BV1096" t="s">
        <v>984</v>
      </c>
      <c r="BW1096" t="s">
        <v>257</v>
      </c>
      <c r="BX1096">
        <v>0</v>
      </c>
      <c r="BY1096" t="s">
        <v>980</v>
      </c>
      <c r="BZ1096" t="s">
        <v>257</v>
      </c>
      <c r="CA1096">
        <v>0</v>
      </c>
      <c r="CB1096">
        <v>0</v>
      </c>
      <c r="CC1096" t="s">
        <v>1572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 t="s">
        <v>983</v>
      </c>
      <c r="CJ1096" t="s">
        <v>972</v>
      </c>
      <c r="CK1096" t="s">
        <v>986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 t="s">
        <v>987</v>
      </c>
      <c r="CV1096">
        <v>400011222</v>
      </c>
      <c r="CW1096" t="s">
        <v>987</v>
      </c>
      <c r="CX1096" t="s">
        <v>7237</v>
      </c>
      <c r="CY1096" t="s">
        <v>989</v>
      </c>
    </row>
    <row r="1097" spans="1:103" hidden="1" x14ac:dyDescent="0.25">
      <c r="A1097">
        <v>410001103</v>
      </c>
      <c r="B1097" t="s">
        <v>7238</v>
      </c>
      <c r="C1097" t="s">
        <v>7239</v>
      </c>
      <c r="D1097">
        <v>401100000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1</v>
      </c>
      <c r="X1097">
        <v>1</v>
      </c>
      <c r="Y1097" t="s">
        <v>972</v>
      </c>
      <c r="Z1097" t="s">
        <v>987</v>
      </c>
      <c r="AA1097" t="s">
        <v>7240</v>
      </c>
      <c r="AB1097" t="s">
        <v>975</v>
      </c>
      <c r="AC1097">
        <v>5590</v>
      </c>
      <c r="AD1097" t="s">
        <v>6640</v>
      </c>
      <c r="AE1097">
        <v>3281740770</v>
      </c>
      <c r="AF1097" t="s">
        <v>979</v>
      </c>
      <c r="AG1097" t="s">
        <v>977</v>
      </c>
      <c r="AH1097" t="s">
        <v>977</v>
      </c>
      <c r="AI1097" t="s">
        <v>977</v>
      </c>
      <c r="AJ1097" t="s">
        <v>7241</v>
      </c>
      <c r="AK1097" t="s">
        <v>978</v>
      </c>
      <c r="AL1097" t="s">
        <v>978</v>
      </c>
      <c r="AM1097" t="s">
        <v>979</v>
      </c>
      <c r="AN1097">
        <v>0</v>
      </c>
      <c r="AO1097" t="s">
        <v>257</v>
      </c>
      <c r="AP1097">
        <v>0</v>
      </c>
      <c r="AQ1097">
        <v>1</v>
      </c>
      <c r="AR1097">
        <v>69</v>
      </c>
      <c r="AS1097">
        <v>1</v>
      </c>
      <c r="AT1097">
        <v>0</v>
      </c>
      <c r="AU1097">
        <v>1</v>
      </c>
      <c r="AV1097">
        <v>0</v>
      </c>
      <c r="AW1097">
        <v>0</v>
      </c>
      <c r="AX1097">
        <v>0</v>
      </c>
      <c r="AY1097">
        <v>1</v>
      </c>
      <c r="AZ1097" t="s">
        <v>257</v>
      </c>
      <c r="BA1097" t="s">
        <v>980</v>
      </c>
      <c r="BB1097" t="s">
        <v>981</v>
      </c>
      <c r="BC1097" t="s">
        <v>257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 t="s">
        <v>998</v>
      </c>
      <c r="BK1097" t="s">
        <v>981</v>
      </c>
      <c r="BL1097" t="s">
        <v>7238</v>
      </c>
      <c r="BM1097">
        <v>20250725</v>
      </c>
      <c r="BN1097">
        <v>0</v>
      </c>
      <c r="BO1097">
        <v>0</v>
      </c>
      <c r="BP1097" t="s">
        <v>257</v>
      </c>
      <c r="BQ1097" t="s">
        <v>983</v>
      </c>
      <c r="BR1097" t="s">
        <v>978</v>
      </c>
      <c r="BS1097" t="s">
        <v>979</v>
      </c>
      <c r="BT1097">
        <v>0</v>
      </c>
      <c r="BU1097">
        <v>0</v>
      </c>
      <c r="BV1097" t="s">
        <v>984</v>
      </c>
      <c r="BW1097" t="s">
        <v>257</v>
      </c>
      <c r="BX1097">
        <v>0</v>
      </c>
      <c r="BY1097" t="s">
        <v>980</v>
      </c>
      <c r="BZ1097" t="s">
        <v>257</v>
      </c>
      <c r="CA1097">
        <v>0</v>
      </c>
      <c r="CB1097">
        <v>0</v>
      </c>
      <c r="CC1097" t="s">
        <v>1901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 t="s">
        <v>983</v>
      </c>
      <c r="CJ1097" t="s">
        <v>972</v>
      </c>
      <c r="CK1097" t="s">
        <v>986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 t="s">
        <v>987</v>
      </c>
      <c r="CV1097">
        <v>400011224</v>
      </c>
      <c r="CW1097" t="s">
        <v>987</v>
      </c>
      <c r="CX1097" t="s">
        <v>7242</v>
      </c>
      <c r="CY1097" t="s">
        <v>989</v>
      </c>
    </row>
    <row r="1098" spans="1:103" hidden="1" x14ac:dyDescent="0.25">
      <c r="A1098">
        <v>410001104</v>
      </c>
      <c r="B1098" t="s">
        <v>7243</v>
      </c>
      <c r="C1098" t="s">
        <v>7244</v>
      </c>
      <c r="D1098">
        <v>401100000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4</v>
      </c>
      <c r="W1098">
        <v>1</v>
      </c>
      <c r="X1098">
        <v>1</v>
      </c>
      <c r="Y1098" t="s">
        <v>972</v>
      </c>
      <c r="Z1098" t="s">
        <v>987</v>
      </c>
      <c r="AA1098" t="s">
        <v>7245</v>
      </c>
      <c r="AB1098" t="s">
        <v>975</v>
      </c>
      <c r="AC1098">
        <v>1390</v>
      </c>
      <c r="AD1098" t="s">
        <v>3825</v>
      </c>
      <c r="AE1098" t="s">
        <v>979</v>
      </c>
      <c r="AF1098" t="s">
        <v>979</v>
      </c>
      <c r="AG1098" t="s">
        <v>977</v>
      </c>
      <c r="AH1098" t="s">
        <v>977</v>
      </c>
      <c r="AI1098" t="s">
        <v>977</v>
      </c>
      <c r="AJ1098" t="s">
        <v>7246</v>
      </c>
      <c r="AK1098" t="s">
        <v>978</v>
      </c>
      <c r="AL1098" t="s">
        <v>978</v>
      </c>
      <c r="AM1098" t="s">
        <v>979</v>
      </c>
      <c r="AN1098">
        <v>0</v>
      </c>
      <c r="AO1098" t="s">
        <v>257</v>
      </c>
      <c r="AP1098">
        <v>0</v>
      </c>
      <c r="AQ1098">
        <v>1</v>
      </c>
      <c r="AR1098">
        <v>69</v>
      </c>
      <c r="AS1098">
        <v>1</v>
      </c>
      <c r="AT1098">
        <v>0</v>
      </c>
      <c r="AU1098">
        <v>1</v>
      </c>
      <c r="AV1098">
        <v>0</v>
      </c>
      <c r="AW1098">
        <v>0</v>
      </c>
      <c r="AX1098">
        <v>0</v>
      </c>
      <c r="AY1098">
        <v>1</v>
      </c>
      <c r="AZ1098" t="s">
        <v>257</v>
      </c>
      <c r="BA1098" t="s">
        <v>980</v>
      </c>
      <c r="BB1098" t="s">
        <v>981</v>
      </c>
      <c r="BC1098" t="s">
        <v>257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 t="s">
        <v>998</v>
      </c>
      <c r="BK1098" t="s">
        <v>981</v>
      </c>
      <c r="BL1098" t="s">
        <v>7243</v>
      </c>
      <c r="BM1098">
        <v>20250731</v>
      </c>
      <c r="BN1098">
        <v>20250731</v>
      </c>
      <c r="BO1098">
        <v>0</v>
      </c>
      <c r="BP1098" t="s">
        <v>257</v>
      </c>
      <c r="BQ1098" t="s">
        <v>983</v>
      </c>
      <c r="BR1098" t="s">
        <v>978</v>
      </c>
      <c r="BS1098">
        <v>32477880293</v>
      </c>
      <c r="BT1098">
        <v>0</v>
      </c>
      <c r="BU1098">
        <v>0</v>
      </c>
      <c r="BV1098" t="s">
        <v>984</v>
      </c>
      <c r="BW1098" t="s">
        <v>257</v>
      </c>
      <c r="BX1098">
        <v>0</v>
      </c>
      <c r="BY1098" t="s">
        <v>980</v>
      </c>
      <c r="BZ1098" t="s">
        <v>257</v>
      </c>
      <c r="CA1098">
        <v>0</v>
      </c>
      <c r="CB1098">
        <v>0</v>
      </c>
      <c r="CC1098" t="s">
        <v>1901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 t="s">
        <v>983</v>
      </c>
      <c r="CJ1098" t="s">
        <v>972</v>
      </c>
      <c r="CK1098" t="s">
        <v>986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 t="s">
        <v>987</v>
      </c>
      <c r="CV1098">
        <v>400011233</v>
      </c>
      <c r="CW1098" t="s">
        <v>987</v>
      </c>
      <c r="CX1098" t="s">
        <v>7247</v>
      </c>
      <c r="CY1098" t="s">
        <v>989</v>
      </c>
    </row>
    <row r="1099" spans="1:103" hidden="1" x14ac:dyDescent="0.25">
      <c r="A1099">
        <v>410001105</v>
      </c>
      <c r="B1099" t="s">
        <v>7256</v>
      </c>
      <c r="C1099" t="s">
        <v>7257</v>
      </c>
      <c r="D1099">
        <v>401100000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1</v>
      </c>
      <c r="Y1099" t="s">
        <v>972</v>
      </c>
      <c r="Z1099" t="s">
        <v>987</v>
      </c>
      <c r="AA1099" t="s">
        <v>7258</v>
      </c>
      <c r="AB1099" t="s">
        <v>975</v>
      </c>
      <c r="AC1099">
        <v>4000</v>
      </c>
      <c r="AD1099" t="s">
        <v>1019</v>
      </c>
      <c r="AE1099" t="s">
        <v>979</v>
      </c>
      <c r="AF1099" t="s">
        <v>979</v>
      </c>
      <c r="AG1099" t="s">
        <v>977</v>
      </c>
      <c r="AH1099">
        <v>557999032</v>
      </c>
      <c r="AI1099">
        <v>70200</v>
      </c>
      <c r="AJ1099" t="s">
        <v>978</v>
      </c>
      <c r="AK1099" t="s">
        <v>978</v>
      </c>
      <c r="AL1099" t="s">
        <v>978</v>
      </c>
      <c r="AM1099" t="s">
        <v>979</v>
      </c>
      <c r="AN1099">
        <v>0</v>
      </c>
      <c r="AO1099" t="s">
        <v>257</v>
      </c>
      <c r="AP1099">
        <v>0</v>
      </c>
      <c r="AQ1099">
        <v>1</v>
      </c>
      <c r="AR1099">
        <v>69</v>
      </c>
      <c r="AS1099">
        <v>1</v>
      </c>
      <c r="AT1099">
        <v>0</v>
      </c>
      <c r="AU1099">
        <v>1</v>
      </c>
      <c r="AV1099">
        <v>0</v>
      </c>
      <c r="AW1099">
        <v>0</v>
      </c>
      <c r="AX1099">
        <v>0</v>
      </c>
      <c r="AY1099">
        <v>1</v>
      </c>
      <c r="AZ1099" t="s">
        <v>257</v>
      </c>
      <c r="BA1099" t="s">
        <v>980</v>
      </c>
      <c r="BB1099" t="s">
        <v>981</v>
      </c>
      <c r="BC1099" t="s">
        <v>257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 t="s">
        <v>998</v>
      </c>
      <c r="BK1099" t="s">
        <v>981</v>
      </c>
      <c r="BL1099" t="s">
        <v>7256</v>
      </c>
      <c r="BM1099">
        <v>20250807</v>
      </c>
      <c r="BN1099">
        <v>20251014</v>
      </c>
      <c r="BO1099">
        <v>0</v>
      </c>
      <c r="BP1099" t="s">
        <v>257</v>
      </c>
      <c r="BQ1099" t="s">
        <v>983</v>
      </c>
      <c r="BR1099" t="s">
        <v>978</v>
      </c>
      <c r="BS1099">
        <v>32473863822</v>
      </c>
      <c r="BT1099">
        <v>0</v>
      </c>
      <c r="BU1099">
        <v>0</v>
      </c>
      <c r="BV1099" t="s">
        <v>984</v>
      </c>
      <c r="BW1099" t="s">
        <v>257</v>
      </c>
      <c r="BX1099">
        <v>0</v>
      </c>
      <c r="BY1099" t="s">
        <v>980</v>
      </c>
      <c r="BZ1099" t="s">
        <v>257</v>
      </c>
      <c r="CA1099">
        <v>0</v>
      </c>
      <c r="CB1099">
        <v>0</v>
      </c>
      <c r="CC1099" t="s">
        <v>1848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 t="s">
        <v>983</v>
      </c>
      <c r="CJ1099" t="s">
        <v>972</v>
      </c>
      <c r="CK1099" t="s">
        <v>986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 t="s">
        <v>987</v>
      </c>
      <c r="CV1099">
        <v>400011246</v>
      </c>
      <c r="CW1099" t="s">
        <v>987</v>
      </c>
      <c r="CX1099" t="s">
        <v>7259</v>
      </c>
      <c r="CY1099" t="s">
        <v>989</v>
      </c>
    </row>
    <row r="1100" spans="1:103" hidden="1" x14ac:dyDescent="0.25">
      <c r="A1100">
        <v>410001106</v>
      </c>
      <c r="B1100" t="s">
        <v>7260</v>
      </c>
      <c r="C1100" t="s">
        <v>7261</v>
      </c>
      <c r="D1100">
        <v>401100000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1</v>
      </c>
      <c r="Y1100" t="s">
        <v>972</v>
      </c>
      <c r="Z1100" t="s">
        <v>987</v>
      </c>
      <c r="AA1100" t="s">
        <v>7262</v>
      </c>
      <c r="AB1100" t="s">
        <v>975</v>
      </c>
      <c r="AC1100">
        <v>4000</v>
      </c>
      <c r="AD1100" t="s">
        <v>1019</v>
      </c>
      <c r="AE1100">
        <v>3242541454</v>
      </c>
      <c r="AF1100" t="s">
        <v>979</v>
      </c>
      <c r="AG1100" t="s">
        <v>977</v>
      </c>
      <c r="AH1100">
        <v>749851075</v>
      </c>
      <c r="AI1100">
        <v>69101</v>
      </c>
      <c r="AJ1100" t="s">
        <v>978</v>
      </c>
      <c r="AK1100" t="s">
        <v>978</v>
      </c>
      <c r="AL1100" t="s">
        <v>978</v>
      </c>
      <c r="AM1100" t="s">
        <v>979</v>
      </c>
      <c r="AN1100">
        <v>0</v>
      </c>
      <c r="AO1100" t="s">
        <v>257</v>
      </c>
      <c r="AP1100">
        <v>0</v>
      </c>
      <c r="AQ1100">
        <v>1</v>
      </c>
      <c r="AR1100">
        <v>43</v>
      </c>
      <c r="AS1100">
        <v>1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1</v>
      </c>
      <c r="AZ1100" t="s">
        <v>257</v>
      </c>
      <c r="BA1100" t="s">
        <v>257</v>
      </c>
      <c r="BB1100" t="s">
        <v>981</v>
      </c>
      <c r="BC1100" t="s">
        <v>257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 t="s">
        <v>998</v>
      </c>
      <c r="BK1100" t="s">
        <v>981</v>
      </c>
      <c r="BL1100" t="s">
        <v>7260</v>
      </c>
      <c r="BM1100">
        <v>20250821</v>
      </c>
      <c r="BN1100">
        <v>20250825</v>
      </c>
      <c r="BO1100">
        <v>0</v>
      </c>
      <c r="BP1100" t="s">
        <v>257</v>
      </c>
      <c r="BQ1100" t="s">
        <v>983</v>
      </c>
      <c r="BR1100" t="s">
        <v>978</v>
      </c>
      <c r="BS1100" t="s">
        <v>979</v>
      </c>
      <c r="BT1100">
        <v>0</v>
      </c>
      <c r="BU1100">
        <v>0</v>
      </c>
      <c r="BV1100" t="s">
        <v>984</v>
      </c>
      <c r="BW1100" t="s">
        <v>257</v>
      </c>
      <c r="BX1100">
        <v>0</v>
      </c>
      <c r="BY1100" t="s">
        <v>980</v>
      </c>
      <c r="BZ1100" t="s">
        <v>257</v>
      </c>
      <c r="CA1100">
        <v>0</v>
      </c>
      <c r="CB1100">
        <v>0</v>
      </c>
      <c r="CC1100" t="s">
        <v>1815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 t="s">
        <v>983</v>
      </c>
      <c r="CJ1100" t="s">
        <v>972</v>
      </c>
      <c r="CK1100" t="s">
        <v>986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 t="s">
        <v>987</v>
      </c>
      <c r="CV1100">
        <v>400011267</v>
      </c>
      <c r="CW1100" t="s">
        <v>987</v>
      </c>
      <c r="CX1100" t="s">
        <v>7263</v>
      </c>
      <c r="CY1100" t="s">
        <v>989</v>
      </c>
    </row>
    <row r="1101" spans="1:103" hidden="1" x14ac:dyDescent="0.25">
      <c r="A1101">
        <v>410001107</v>
      </c>
      <c r="B1101" t="s">
        <v>7269</v>
      </c>
      <c r="C1101" t="s">
        <v>7270</v>
      </c>
      <c r="D1101">
        <v>401100000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1</v>
      </c>
      <c r="Y1101" t="s">
        <v>972</v>
      </c>
      <c r="Z1101" t="s">
        <v>7271</v>
      </c>
      <c r="AA1101" t="s">
        <v>7272</v>
      </c>
      <c r="AB1101" t="s">
        <v>975</v>
      </c>
      <c r="AC1101">
        <v>1150</v>
      </c>
      <c r="AD1101" t="s">
        <v>1066</v>
      </c>
      <c r="AE1101">
        <v>3224011680</v>
      </c>
      <c r="AF1101" t="s">
        <v>979</v>
      </c>
      <c r="AG1101" t="s">
        <v>977</v>
      </c>
      <c r="AH1101" t="s">
        <v>977</v>
      </c>
      <c r="AI1101" t="s">
        <v>977</v>
      </c>
      <c r="AJ1101" t="s">
        <v>978</v>
      </c>
      <c r="AK1101" t="s">
        <v>978</v>
      </c>
      <c r="AL1101" t="s">
        <v>978</v>
      </c>
      <c r="AM1101" t="s">
        <v>979</v>
      </c>
      <c r="AN1101">
        <v>0</v>
      </c>
      <c r="AO1101" t="s">
        <v>257</v>
      </c>
      <c r="AP1101">
        <v>0</v>
      </c>
      <c r="AQ1101">
        <v>1</v>
      </c>
      <c r="AR1101">
        <v>2</v>
      </c>
      <c r="AS1101">
        <v>1</v>
      </c>
      <c r="AT1101">
        <v>0</v>
      </c>
      <c r="AU1101">
        <v>1</v>
      </c>
      <c r="AV1101">
        <v>0</v>
      </c>
      <c r="AW1101">
        <v>0</v>
      </c>
      <c r="AX1101">
        <v>0</v>
      </c>
      <c r="AY1101">
        <v>1</v>
      </c>
      <c r="AZ1101" t="s">
        <v>257</v>
      </c>
      <c r="BA1101" t="s">
        <v>257</v>
      </c>
      <c r="BB1101" t="s">
        <v>981</v>
      </c>
      <c r="BC1101" t="s">
        <v>257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 t="s">
        <v>998</v>
      </c>
      <c r="BK1101" t="s">
        <v>981</v>
      </c>
      <c r="BL1101" t="s">
        <v>7269</v>
      </c>
      <c r="BM1101">
        <v>20250825</v>
      </c>
      <c r="BN1101">
        <v>0</v>
      </c>
      <c r="BO1101">
        <v>0</v>
      </c>
      <c r="BP1101" t="s">
        <v>257</v>
      </c>
      <c r="BQ1101" t="s">
        <v>983</v>
      </c>
      <c r="BR1101" t="s">
        <v>978</v>
      </c>
      <c r="BS1101" t="s">
        <v>979</v>
      </c>
      <c r="BT1101">
        <v>0</v>
      </c>
      <c r="BU1101">
        <v>0</v>
      </c>
      <c r="BV1101" t="s">
        <v>984</v>
      </c>
      <c r="BW1101" t="s">
        <v>257</v>
      </c>
      <c r="BX1101">
        <v>0</v>
      </c>
      <c r="BY1101" t="s">
        <v>980</v>
      </c>
      <c r="BZ1101" t="s">
        <v>257</v>
      </c>
      <c r="CA1101">
        <v>0</v>
      </c>
      <c r="CB1101">
        <v>0</v>
      </c>
      <c r="CC1101" t="s">
        <v>985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 t="s">
        <v>983</v>
      </c>
      <c r="CJ1101" t="s">
        <v>972</v>
      </c>
      <c r="CK1101" t="s">
        <v>986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 t="s">
        <v>987</v>
      </c>
      <c r="CV1101">
        <v>400011273</v>
      </c>
      <c r="CW1101" t="s">
        <v>987</v>
      </c>
      <c r="CX1101" t="s">
        <v>7273</v>
      </c>
      <c r="CY1101" t="s">
        <v>989</v>
      </c>
    </row>
    <row r="1102" spans="1:103" hidden="1" x14ac:dyDescent="0.25">
      <c r="A1102">
        <v>410001108</v>
      </c>
      <c r="B1102" t="s">
        <v>7274</v>
      </c>
      <c r="C1102" t="s">
        <v>7275</v>
      </c>
      <c r="D1102">
        <v>401100000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1</v>
      </c>
      <c r="Y1102" t="s">
        <v>972</v>
      </c>
      <c r="Z1102" t="s">
        <v>987</v>
      </c>
      <c r="AA1102" t="s">
        <v>7276</v>
      </c>
      <c r="AB1102" t="s">
        <v>975</v>
      </c>
      <c r="AC1102">
        <v>1330</v>
      </c>
      <c r="AD1102" t="s">
        <v>7277</v>
      </c>
      <c r="AE1102">
        <v>486380954</v>
      </c>
      <c r="AF1102" t="s">
        <v>979</v>
      </c>
      <c r="AG1102" t="s">
        <v>977</v>
      </c>
      <c r="AH1102">
        <v>409622288</v>
      </c>
      <c r="AI1102">
        <v>87202</v>
      </c>
      <c r="AJ1102" t="s">
        <v>978</v>
      </c>
      <c r="AK1102" t="s">
        <v>978</v>
      </c>
      <c r="AL1102" t="s">
        <v>978</v>
      </c>
      <c r="AM1102" t="s">
        <v>979</v>
      </c>
      <c r="AN1102">
        <v>0</v>
      </c>
      <c r="AO1102" t="s">
        <v>257</v>
      </c>
      <c r="AP1102">
        <v>0</v>
      </c>
      <c r="AQ1102">
        <v>1</v>
      </c>
      <c r="AR1102">
        <v>69</v>
      </c>
      <c r="AS1102">
        <v>1</v>
      </c>
      <c r="AT1102">
        <v>0</v>
      </c>
      <c r="AU1102">
        <v>1</v>
      </c>
      <c r="AV1102">
        <v>0</v>
      </c>
      <c r="AW1102">
        <v>0</v>
      </c>
      <c r="AX1102">
        <v>0</v>
      </c>
      <c r="AY1102">
        <v>1</v>
      </c>
      <c r="AZ1102" t="s">
        <v>257</v>
      </c>
      <c r="BA1102" t="s">
        <v>257</v>
      </c>
      <c r="BB1102" t="s">
        <v>981</v>
      </c>
      <c r="BC1102" t="s">
        <v>257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 t="s">
        <v>998</v>
      </c>
      <c r="BK1102" t="s">
        <v>981</v>
      </c>
      <c r="BL1102" t="s">
        <v>7274</v>
      </c>
      <c r="BM1102">
        <v>20250826</v>
      </c>
      <c r="BN1102">
        <v>20250827</v>
      </c>
      <c r="BO1102">
        <v>0</v>
      </c>
      <c r="BP1102" t="s">
        <v>257</v>
      </c>
      <c r="BQ1102" t="s">
        <v>983</v>
      </c>
      <c r="BR1102" t="s">
        <v>978</v>
      </c>
      <c r="BS1102" t="s">
        <v>979</v>
      </c>
      <c r="BT1102">
        <v>0</v>
      </c>
      <c r="BU1102">
        <v>0</v>
      </c>
      <c r="BV1102" t="s">
        <v>984</v>
      </c>
      <c r="BW1102" t="s">
        <v>257</v>
      </c>
      <c r="BX1102">
        <v>0</v>
      </c>
      <c r="BY1102" t="s">
        <v>980</v>
      </c>
      <c r="BZ1102" t="s">
        <v>257</v>
      </c>
      <c r="CA1102">
        <v>0</v>
      </c>
      <c r="CB1102">
        <v>0</v>
      </c>
      <c r="CC1102" t="s">
        <v>1901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 t="s">
        <v>983</v>
      </c>
      <c r="CJ1102" t="s">
        <v>972</v>
      </c>
      <c r="CK1102" t="s">
        <v>986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 t="s">
        <v>987</v>
      </c>
      <c r="CV1102">
        <v>400011277</v>
      </c>
      <c r="CW1102" t="s">
        <v>987</v>
      </c>
      <c r="CX1102" t="s">
        <v>7278</v>
      </c>
      <c r="CY1102" t="s">
        <v>989</v>
      </c>
    </row>
    <row r="1103" spans="1:103" hidden="1" x14ac:dyDescent="0.25">
      <c r="A1103">
        <v>410001109</v>
      </c>
      <c r="B1103" t="s">
        <v>7279</v>
      </c>
      <c r="C1103" t="s">
        <v>7280</v>
      </c>
      <c r="D1103">
        <v>401100000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1</v>
      </c>
      <c r="X1103">
        <v>1</v>
      </c>
      <c r="Y1103" t="s">
        <v>972</v>
      </c>
      <c r="Z1103" t="s">
        <v>987</v>
      </c>
      <c r="AA1103" t="s">
        <v>7281</v>
      </c>
      <c r="AB1103" t="s">
        <v>975</v>
      </c>
      <c r="AC1103">
        <v>6223</v>
      </c>
      <c r="AD1103" t="s">
        <v>7101</v>
      </c>
      <c r="AE1103">
        <v>71812602</v>
      </c>
      <c r="AF1103" t="s">
        <v>979</v>
      </c>
      <c r="AG1103" t="s">
        <v>977</v>
      </c>
      <c r="AH1103">
        <v>819632974</v>
      </c>
      <c r="AI1103">
        <v>43230</v>
      </c>
      <c r="AJ1103" t="s">
        <v>978</v>
      </c>
      <c r="AK1103" t="s">
        <v>978</v>
      </c>
      <c r="AL1103" t="s">
        <v>978</v>
      </c>
      <c r="AM1103" t="s">
        <v>979</v>
      </c>
      <c r="AN1103">
        <v>0</v>
      </c>
      <c r="AO1103" t="s">
        <v>257</v>
      </c>
      <c r="AP1103">
        <v>0</v>
      </c>
      <c r="AQ1103">
        <v>1</v>
      </c>
      <c r="AR1103">
        <v>69</v>
      </c>
      <c r="AS1103">
        <v>1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1</v>
      </c>
      <c r="AZ1103" t="s">
        <v>257</v>
      </c>
      <c r="BA1103" t="s">
        <v>980</v>
      </c>
      <c r="BB1103" t="s">
        <v>981</v>
      </c>
      <c r="BC1103" t="s">
        <v>257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 t="s">
        <v>998</v>
      </c>
      <c r="BK1103" t="s">
        <v>981</v>
      </c>
      <c r="BL1103" t="s">
        <v>7279</v>
      </c>
      <c r="BM1103">
        <v>20250826</v>
      </c>
      <c r="BN1103">
        <v>20250827</v>
      </c>
      <c r="BO1103">
        <v>0</v>
      </c>
      <c r="BP1103" t="s">
        <v>257</v>
      </c>
      <c r="BQ1103" t="s">
        <v>983</v>
      </c>
      <c r="BR1103" t="s">
        <v>978</v>
      </c>
      <c r="BS1103" t="s">
        <v>979</v>
      </c>
      <c r="BT1103">
        <v>0</v>
      </c>
      <c r="BU1103">
        <v>0</v>
      </c>
      <c r="BV1103" t="s">
        <v>984</v>
      </c>
      <c r="BW1103" t="s">
        <v>257</v>
      </c>
      <c r="BX1103">
        <v>0</v>
      </c>
      <c r="BY1103" t="s">
        <v>980</v>
      </c>
      <c r="BZ1103" t="s">
        <v>257</v>
      </c>
      <c r="CA1103">
        <v>0</v>
      </c>
      <c r="CB1103">
        <v>0</v>
      </c>
      <c r="CC1103" t="s">
        <v>1901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 t="s">
        <v>983</v>
      </c>
      <c r="CJ1103" t="s">
        <v>972</v>
      </c>
      <c r="CK1103" t="s">
        <v>986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 t="s">
        <v>987</v>
      </c>
      <c r="CV1103">
        <v>400011281</v>
      </c>
      <c r="CW1103" t="s">
        <v>987</v>
      </c>
      <c r="CX1103" t="s">
        <v>7282</v>
      </c>
      <c r="CY1103" t="s">
        <v>989</v>
      </c>
    </row>
    <row r="1104" spans="1:103" hidden="1" x14ac:dyDescent="0.25">
      <c r="A1104">
        <v>410001110</v>
      </c>
      <c r="B1104" t="s">
        <v>7283</v>
      </c>
      <c r="C1104" t="s">
        <v>7284</v>
      </c>
      <c r="D1104">
        <v>401100000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1</v>
      </c>
      <c r="X1104">
        <v>1</v>
      </c>
      <c r="Y1104" t="s">
        <v>972</v>
      </c>
      <c r="Z1104" t="s">
        <v>987</v>
      </c>
      <c r="AA1104" t="s">
        <v>7285</v>
      </c>
      <c r="AB1104" t="s">
        <v>975</v>
      </c>
      <c r="AC1104">
        <v>4130</v>
      </c>
      <c r="AD1104" t="s">
        <v>2454</v>
      </c>
      <c r="AE1104">
        <v>496166425</v>
      </c>
      <c r="AF1104" t="s">
        <v>979</v>
      </c>
      <c r="AG1104" t="s">
        <v>977</v>
      </c>
      <c r="AH1104">
        <v>547904993</v>
      </c>
      <c r="AI1104">
        <v>74120</v>
      </c>
      <c r="AJ1104" t="s">
        <v>978</v>
      </c>
      <c r="AK1104" t="s">
        <v>978</v>
      </c>
      <c r="AL1104" t="s">
        <v>978</v>
      </c>
      <c r="AM1104" t="s">
        <v>979</v>
      </c>
      <c r="AN1104">
        <v>0</v>
      </c>
      <c r="AO1104" t="s">
        <v>257</v>
      </c>
      <c r="AP1104">
        <v>0</v>
      </c>
      <c r="AQ1104">
        <v>1</v>
      </c>
      <c r="AR1104">
        <v>69</v>
      </c>
      <c r="AS1104">
        <v>1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>
        <v>1</v>
      </c>
      <c r="AZ1104" t="s">
        <v>257</v>
      </c>
      <c r="BA1104" t="s">
        <v>257</v>
      </c>
      <c r="BB1104" t="s">
        <v>981</v>
      </c>
      <c r="BC1104" t="s">
        <v>257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 t="s">
        <v>998</v>
      </c>
      <c r="BK1104" t="s">
        <v>981</v>
      </c>
      <c r="BL1104" t="s">
        <v>7283</v>
      </c>
      <c r="BM1104">
        <v>20250827</v>
      </c>
      <c r="BN1104">
        <v>20250827</v>
      </c>
      <c r="BO1104">
        <v>0</v>
      </c>
      <c r="BP1104" t="s">
        <v>257</v>
      </c>
      <c r="BQ1104" t="s">
        <v>983</v>
      </c>
      <c r="BR1104" t="s">
        <v>978</v>
      </c>
      <c r="BS1104" t="s">
        <v>979</v>
      </c>
      <c r="BT1104">
        <v>0</v>
      </c>
      <c r="BU1104">
        <v>0</v>
      </c>
      <c r="BV1104" t="s">
        <v>984</v>
      </c>
      <c r="BW1104" t="s">
        <v>257</v>
      </c>
      <c r="BX1104">
        <v>0</v>
      </c>
      <c r="BY1104" t="s">
        <v>980</v>
      </c>
      <c r="BZ1104" t="s">
        <v>257</v>
      </c>
      <c r="CA1104">
        <v>0</v>
      </c>
      <c r="CB1104">
        <v>0</v>
      </c>
      <c r="CC1104" t="s">
        <v>1161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 t="s">
        <v>983</v>
      </c>
      <c r="CJ1104" t="s">
        <v>972</v>
      </c>
      <c r="CK1104" t="s">
        <v>986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 t="s">
        <v>987</v>
      </c>
      <c r="CV1104">
        <v>400011280</v>
      </c>
      <c r="CW1104" t="s">
        <v>987</v>
      </c>
      <c r="CX1104" t="s">
        <v>7286</v>
      </c>
      <c r="CY1104" t="s">
        <v>989</v>
      </c>
    </row>
    <row r="1105" spans="1:103" hidden="1" x14ac:dyDescent="0.25">
      <c r="A1105">
        <v>410001111</v>
      </c>
      <c r="B1105" t="s">
        <v>7300</v>
      </c>
      <c r="C1105" t="s">
        <v>7301</v>
      </c>
      <c r="D1105">
        <v>401100000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1</v>
      </c>
      <c r="Y1105" t="s">
        <v>972</v>
      </c>
      <c r="Z1105" t="s">
        <v>4834</v>
      </c>
      <c r="AA1105" t="s">
        <v>7262</v>
      </c>
      <c r="AB1105" t="s">
        <v>975</v>
      </c>
      <c r="AC1105">
        <v>4000</v>
      </c>
      <c r="AD1105" t="s">
        <v>1019</v>
      </c>
      <c r="AE1105">
        <v>42541454</v>
      </c>
      <c r="AF1105" t="s">
        <v>979</v>
      </c>
      <c r="AG1105" t="s">
        <v>977</v>
      </c>
      <c r="AH1105">
        <v>713915446</v>
      </c>
      <c r="AI1105">
        <v>69101</v>
      </c>
      <c r="AJ1105" t="s">
        <v>978</v>
      </c>
      <c r="AK1105" t="s">
        <v>978</v>
      </c>
      <c r="AL1105" t="s">
        <v>978</v>
      </c>
      <c r="AM1105" t="s">
        <v>979</v>
      </c>
      <c r="AN1105">
        <v>0</v>
      </c>
      <c r="AO1105" t="s">
        <v>257</v>
      </c>
      <c r="AP1105">
        <v>0</v>
      </c>
      <c r="AQ1105">
        <v>1</v>
      </c>
      <c r="AR1105">
        <v>43</v>
      </c>
      <c r="AS1105">
        <v>1</v>
      </c>
      <c r="AT1105">
        <v>0</v>
      </c>
      <c r="AU1105">
        <v>1</v>
      </c>
      <c r="AV1105">
        <v>0</v>
      </c>
      <c r="AW1105">
        <v>0</v>
      </c>
      <c r="AX1105">
        <v>0</v>
      </c>
      <c r="AY1105">
        <v>1</v>
      </c>
      <c r="AZ1105" t="s">
        <v>257</v>
      </c>
      <c r="BA1105" t="s">
        <v>980</v>
      </c>
      <c r="BB1105" t="s">
        <v>981</v>
      </c>
      <c r="BC1105" t="s">
        <v>257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 t="s">
        <v>998</v>
      </c>
      <c r="BK1105" t="s">
        <v>981</v>
      </c>
      <c r="BL1105" t="s">
        <v>7300</v>
      </c>
      <c r="BM1105">
        <v>20250904</v>
      </c>
      <c r="BN1105">
        <v>20250904</v>
      </c>
      <c r="BO1105">
        <v>0</v>
      </c>
      <c r="BP1105" t="s">
        <v>257</v>
      </c>
      <c r="BQ1105" t="s">
        <v>983</v>
      </c>
      <c r="BR1105" t="s">
        <v>978</v>
      </c>
      <c r="BS1105" t="s">
        <v>979</v>
      </c>
      <c r="BT1105">
        <v>0</v>
      </c>
      <c r="BU1105">
        <v>0</v>
      </c>
      <c r="BV1105" t="s">
        <v>984</v>
      </c>
      <c r="BW1105" t="s">
        <v>257</v>
      </c>
      <c r="BX1105">
        <v>0</v>
      </c>
      <c r="BY1105" t="s">
        <v>980</v>
      </c>
      <c r="BZ1105" t="s">
        <v>257</v>
      </c>
      <c r="CA1105">
        <v>0</v>
      </c>
      <c r="CB1105">
        <v>0</v>
      </c>
      <c r="CC1105" t="s">
        <v>1080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 t="s">
        <v>983</v>
      </c>
      <c r="CJ1105" t="s">
        <v>972</v>
      </c>
      <c r="CK1105" t="s">
        <v>986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 t="s">
        <v>987</v>
      </c>
      <c r="CV1105">
        <v>400011297</v>
      </c>
      <c r="CW1105" t="s">
        <v>987</v>
      </c>
      <c r="CX1105" t="s">
        <v>7302</v>
      </c>
      <c r="CY1105" t="s">
        <v>989</v>
      </c>
    </row>
    <row r="1106" spans="1:103" hidden="1" x14ac:dyDescent="0.25">
      <c r="A1106">
        <v>410001112</v>
      </c>
      <c r="B1106" t="s">
        <v>7303</v>
      </c>
      <c r="C1106" t="s">
        <v>7304</v>
      </c>
      <c r="D1106">
        <v>401100000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1</v>
      </c>
      <c r="X1106">
        <v>1</v>
      </c>
      <c r="Y1106" t="s">
        <v>972</v>
      </c>
      <c r="Z1106" t="s">
        <v>987</v>
      </c>
      <c r="AA1106" t="s">
        <v>7305</v>
      </c>
      <c r="AB1106" t="s">
        <v>975</v>
      </c>
      <c r="AC1106">
        <v>4623</v>
      </c>
      <c r="AD1106" t="s">
        <v>1368</v>
      </c>
      <c r="AE1106">
        <v>32497500182</v>
      </c>
      <c r="AF1106" t="s">
        <v>979</v>
      </c>
      <c r="AG1106" t="s">
        <v>977</v>
      </c>
      <c r="AH1106">
        <v>794262625</v>
      </c>
      <c r="AI1106">
        <v>71121</v>
      </c>
      <c r="AJ1106" t="s">
        <v>978</v>
      </c>
      <c r="AK1106" t="s">
        <v>978</v>
      </c>
      <c r="AL1106" t="s">
        <v>978</v>
      </c>
      <c r="AM1106" t="s">
        <v>979</v>
      </c>
      <c r="AN1106">
        <v>0</v>
      </c>
      <c r="AO1106" t="s">
        <v>257</v>
      </c>
      <c r="AP1106">
        <v>0</v>
      </c>
      <c r="AQ1106">
        <v>1</v>
      </c>
      <c r="AR1106">
        <v>69</v>
      </c>
      <c r="AS1106">
        <v>1</v>
      </c>
      <c r="AT1106">
        <v>0</v>
      </c>
      <c r="AU1106">
        <v>1</v>
      </c>
      <c r="AV1106">
        <v>0</v>
      </c>
      <c r="AW1106">
        <v>0</v>
      </c>
      <c r="AX1106">
        <v>0</v>
      </c>
      <c r="AY1106">
        <v>1</v>
      </c>
      <c r="AZ1106" t="s">
        <v>257</v>
      </c>
      <c r="BA1106" t="s">
        <v>257</v>
      </c>
      <c r="BB1106" t="s">
        <v>981</v>
      </c>
      <c r="BC1106" t="s">
        <v>257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 t="s">
        <v>998</v>
      </c>
      <c r="BK1106" t="s">
        <v>981</v>
      </c>
      <c r="BL1106" t="s">
        <v>7303</v>
      </c>
      <c r="BM1106">
        <v>20250909</v>
      </c>
      <c r="BN1106">
        <v>20250910</v>
      </c>
      <c r="BO1106">
        <v>0</v>
      </c>
      <c r="BP1106" t="s">
        <v>257</v>
      </c>
      <c r="BQ1106" t="s">
        <v>983</v>
      </c>
      <c r="BR1106" t="s">
        <v>978</v>
      </c>
      <c r="BS1106" t="s">
        <v>979</v>
      </c>
      <c r="BT1106">
        <v>0</v>
      </c>
      <c r="BU1106">
        <v>0</v>
      </c>
      <c r="BV1106" t="s">
        <v>984</v>
      </c>
      <c r="BW1106" t="s">
        <v>257</v>
      </c>
      <c r="BX1106">
        <v>0</v>
      </c>
      <c r="BY1106" t="s">
        <v>980</v>
      </c>
      <c r="BZ1106" t="s">
        <v>257</v>
      </c>
      <c r="CA1106">
        <v>0</v>
      </c>
      <c r="CB1106">
        <v>0</v>
      </c>
      <c r="CC1106" t="s">
        <v>1572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 t="s">
        <v>983</v>
      </c>
      <c r="CJ1106" t="s">
        <v>972</v>
      </c>
      <c r="CK1106" t="s">
        <v>986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 t="s">
        <v>987</v>
      </c>
      <c r="CV1106">
        <v>400011307</v>
      </c>
      <c r="CW1106" t="s">
        <v>987</v>
      </c>
      <c r="CX1106" t="s">
        <v>7306</v>
      </c>
      <c r="CY1106" t="s">
        <v>989</v>
      </c>
    </row>
    <row r="1107" spans="1:103" hidden="1" x14ac:dyDescent="0.25">
      <c r="A1107">
        <v>410001113</v>
      </c>
      <c r="B1107" t="s">
        <v>7336</v>
      </c>
      <c r="C1107" t="s">
        <v>7337</v>
      </c>
      <c r="D1107">
        <v>401100000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</v>
      </c>
      <c r="W1107">
        <v>1</v>
      </c>
      <c r="X1107">
        <v>1</v>
      </c>
      <c r="Y1107" t="s">
        <v>972</v>
      </c>
      <c r="Z1107" t="s">
        <v>987</v>
      </c>
      <c r="AA1107" t="s">
        <v>7338</v>
      </c>
      <c r="AB1107" t="s">
        <v>1626</v>
      </c>
      <c r="AC1107">
        <v>6550</v>
      </c>
      <c r="AD1107" t="s">
        <v>7339</v>
      </c>
      <c r="AE1107" t="s">
        <v>7340</v>
      </c>
      <c r="AF1107" t="s">
        <v>979</v>
      </c>
      <c r="AG1107" t="s">
        <v>977</v>
      </c>
      <c r="AH1107" t="s">
        <v>7341</v>
      </c>
      <c r="AI1107" t="s">
        <v>7342</v>
      </c>
      <c r="AJ1107" t="s">
        <v>7343</v>
      </c>
      <c r="AK1107" t="s">
        <v>978</v>
      </c>
      <c r="AL1107" t="s">
        <v>978</v>
      </c>
      <c r="AM1107" t="s">
        <v>979</v>
      </c>
      <c r="AN1107">
        <v>0</v>
      </c>
      <c r="AO1107" t="s">
        <v>257</v>
      </c>
      <c r="AP1107">
        <v>0</v>
      </c>
      <c r="AQ1107">
        <v>1</v>
      </c>
      <c r="AR1107">
        <v>43</v>
      </c>
      <c r="AS1107">
        <v>1</v>
      </c>
      <c r="AT1107">
        <v>0</v>
      </c>
      <c r="AU1107">
        <v>1</v>
      </c>
      <c r="AV1107">
        <v>0</v>
      </c>
      <c r="AW1107">
        <v>0</v>
      </c>
      <c r="AX1107">
        <v>0</v>
      </c>
      <c r="AY1107">
        <v>1</v>
      </c>
      <c r="AZ1107" t="s">
        <v>257</v>
      </c>
      <c r="BA1107" t="s">
        <v>257</v>
      </c>
      <c r="BB1107" t="s">
        <v>981</v>
      </c>
      <c r="BC1107" t="s">
        <v>257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 t="s">
        <v>998</v>
      </c>
      <c r="BK1107" t="s">
        <v>981</v>
      </c>
      <c r="BL1107" t="s">
        <v>7336</v>
      </c>
      <c r="BM1107">
        <v>20250911</v>
      </c>
      <c r="BN1107">
        <v>20251028</v>
      </c>
      <c r="BO1107">
        <v>0</v>
      </c>
      <c r="BP1107" t="s">
        <v>257</v>
      </c>
      <c r="BQ1107" t="s">
        <v>983</v>
      </c>
      <c r="BR1107" t="s">
        <v>978</v>
      </c>
      <c r="BS1107" t="s">
        <v>979</v>
      </c>
      <c r="BT1107">
        <v>0</v>
      </c>
      <c r="BU1107">
        <v>0</v>
      </c>
      <c r="BV1107" t="s">
        <v>984</v>
      </c>
      <c r="BW1107" t="s">
        <v>257</v>
      </c>
      <c r="BX1107">
        <v>0</v>
      </c>
      <c r="BY1107" t="s">
        <v>980</v>
      </c>
      <c r="BZ1107" t="s">
        <v>257</v>
      </c>
      <c r="CA1107">
        <v>0</v>
      </c>
      <c r="CB1107">
        <v>0</v>
      </c>
      <c r="CC1107" t="s">
        <v>1901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 t="s">
        <v>983</v>
      </c>
      <c r="CJ1107" t="s">
        <v>972</v>
      </c>
      <c r="CK1107" t="s">
        <v>986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 t="s">
        <v>987</v>
      </c>
      <c r="CV1107">
        <v>400011312</v>
      </c>
      <c r="CW1107" t="s">
        <v>987</v>
      </c>
      <c r="CX1107" t="s">
        <v>7551</v>
      </c>
      <c r="CY1107" t="s">
        <v>989</v>
      </c>
    </row>
    <row r="1108" spans="1:103" hidden="1" x14ac:dyDescent="0.25">
      <c r="A1108">
        <v>410001114</v>
      </c>
      <c r="B1108" t="s">
        <v>7344</v>
      </c>
      <c r="C1108" t="s">
        <v>7345</v>
      </c>
      <c r="D1108">
        <v>401100000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1</v>
      </c>
      <c r="X1108">
        <v>1</v>
      </c>
      <c r="Y1108" t="s">
        <v>972</v>
      </c>
      <c r="Z1108" t="s">
        <v>987</v>
      </c>
      <c r="AA1108" t="s">
        <v>7346</v>
      </c>
      <c r="AB1108" t="s">
        <v>975</v>
      </c>
      <c r="AC1108">
        <v>4841</v>
      </c>
      <c r="AD1108" t="s">
        <v>2284</v>
      </c>
      <c r="AE1108">
        <v>475713382</v>
      </c>
      <c r="AF1108" t="s">
        <v>979</v>
      </c>
      <c r="AG1108" t="s">
        <v>977</v>
      </c>
      <c r="AH1108">
        <v>442021575</v>
      </c>
      <c r="AI1108">
        <v>69201</v>
      </c>
      <c r="AJ1108" t="s">
        <v>978</v>
      </c>
      <c r="AK1108" t="s">
        <v>978</v>
      </c>
      <c r="AL1108" t="s">
        <v>978</v>
      </c>
      <c r="AM1108" t="s">
        <v>979</v>
      </c>
      <c r="AN1108">
        <v>0</v>
      </c>
      <c r="AO1108" t="s">
        <v>257</v>
      </c>
      <c r="AP1108">
        <v>0</v>
      </c>
      <c r="AQ1108">
        <v>1</v>
      </c>
      <c r="AR1108">
        <v>43</v>
      </c>
      <c r="AS1108">
        <v>1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1</v>
      </c>
      <c r="AZ1108" t="s">
        <v>257</v>
      </c>
      <c r="BA1108" t="s">
        <v>257</v>
      </c>
      <c r="BB1108" t="s">
        <v>981</v>
      </c>
      <c r="BC1108" t="s">
        <v>257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 t="s">
        <v>998</v>
      </c>
      <c r="BK1108" t="s">
        <v>981</v>
      </c>
      <c r="BL1108" t="s">
        <v>7344</v>
      </c>
      <c r="BM1108">
        <v>20250911</v>
      </c>
      <c r="BN1108">
        <v>20250911</v>
      </c>
      <c r="BO1108">
        <v>0</v>
      </c>
      <c r="BP1108" t="s">
        <v>257</v>
      </c>
      <c r="BQ1108" t="s">
        <v>983</v>
      </c>
      <c r="BR1108" t="s">
        <v>978</v>
      </c>
      <c r="BS1108" t="s">
        <v>979</v>
      </c>
      <c r="BT1108">
        <v>0</v>
      </c>
      <c r="BU1108">
        <v>0</v>
      </c>
      <c r="BV1108" t="s">
        <v>984</v>
      </c>
      <c r="BW1108" t="s">
        <v>257</v>
      </c>
      <c r="BX1108">
        <v>0</v>
      </c>
      <c r="BY1108" t="s">
        <v>980</v>
      </c>
      <c r="BZ1108" t="s">
        <v>257</v>
      </c>
      <c r="CA1108">
        <v>0</v>
      </c>
      <c r="CB1108">
        <v>0</v>
      </c>
      <c r="CC1108" t="s">
        <v>1329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 t="s">
        <v>983</v>
      </c>
      <c r="CJ1108" t="s">
        <v>972</v>
      </c>
      <c r="CK1108" t="s">
        <v>986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 t="s">
        <v>987</v>
      </c>
      <c r="CV1108">
        <v>400011313</v>
      </c>
      <c r="CW1108" t="s">
        <v>987</v>
      </c>
      <c r="CX1108" t="s">
        <v>7347</v>
      </c>
      <c r="CY1108" t="s">
        <v>989</v>
      </c>
    </row>
    <row r="1109" spans="1:103" hidden="1" x14ac:dyDescent="0.25">
      <c r="A1109">
        <v>410001115</v>
      </c>
      <c r="B1109" t="s">
        <v>7348</v>
      </c>
      <c r="C1109" t="s">
        <v>7349</v>
      </c>
      <c r="D1109">
        <v>401100000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1</v>
      </c>
      <c r="X1109">
        <v>1</v>
      </c>
      <c r="Y1109" t="s">
        <v>972</v>
      </c>
      <c r="Z1109" t="s">
        <v>987</v>
      </c>
      <c r="AA1109" t="s">
        <v>7350</v>
      </c>
      <c r="AB1109" t="s">
        <v>975</v>
      </c>
      <c r="AC1109">
        <v>1410</v>
      </c>
      <c r="AD1109" t="s">
        <v>2472</v>
      </c>
      <c r="AE1109">
        <v>3223548727</v>
      </c>
      <c r="AF1109" t="s">
        <v>979</v>
      </c>
      <c r="AG1109" t="s">
        <v>977</v>
      </c>
      <c r="AH1109">
        <v>412722033</v>
      </c>
      <c r="AI1109">
        <v>81220</v>
      </c>
      <c r="AJ1109" t="s">
        <v>978</v>
      </c>
      <c r="AK1109" t="s">
        <v>978</v>
      </c>
      <c r="AL1109" t="s">
        <v>978</v>
      </c>
      <c r="AM1109" t="s">
        <v>979</v>
      </c>
      <c r="AN1109">
        <v>0</v>
      </c>
      <c r="AO1109" t="s">
        <v>257</v>
      </c>
      <c r="AP1109">
        <v>0</v>
      </c>
      <c r="AQ1109">
        <v>1</v>
      </c>
      <c r="AR1109">
        <v>69</v>
      </c>
      <c r="AS1109">
        <v>1</v>
      </c>
      <c r="AT1109">
        <v>0</v>
      </c>
      <c r="AU1109">
        <v>1</v>
      </c>
      <c r="AV1109">
        <v>0</v>
      </c>
      <c r="AW1109">
        <v>0</v>
      </c>
      <c r="AX1109">
        <v>0</v>
      </c>
      <c r="AY1109">
        <v>1</v>
      </c>
      <c r="AZ1109" t="s">
        <v>257</v>
      </c>
      <c r="BA1109" t="s">
        <v>980</v>
      </c>
      <c r="BB1109" t="s">
        <v>981</v>
      </c>
      <c r="BC1109" t="s">
        <v>257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 t="s">
        <v>998</v>
      </c>
      <c r="BK1109" t="s">
        <v>981</v>
      </c>
      <c r="BL1109" t="s">
        <v>7348</v>
      </c>
      <c r="BM1109">
        <v>20250912</v>
      </c>
      <c r="BN1109">
        <v>20251103</v>
      </c>
      <c r="BO1109">
        <v>0</v>
      </c>
      <c r="BP1109" t="s">
        <v>257</v>
      </c>
      <c r="BQ1109" t="s">
        <v>983</v>
      </c>
      <c r="BR1109" t="s">
        <v>978</v>
      </c>
      <c r="BS1109" t="s">
        <v>979</v>
      </c>
      <c r="BT1109">
        <v>0</v>
      </c>
      <c r="BU1109">
        <v>0</v>
      </c>
      <c r="BV1109" t="s">
        <v>984</v>
      </c>
      <c r="BW1109" t="s">
        <v>257</v>
      </c>
      <c r="BX1109">
        <v>0</v>
      </c>
      <c r="BY1109" t="s">
        <v>980</v>
      </c>
      <c r="BZ1109" t="s">
        <v>257</v>
      </c>
      <c r="CA1109">
        <v>0</v>
      </c>
      <c r="CB1109">
        <v>0</v>
      </c>
      <c r="CC1109" t="s">
        <v>1901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 t="s">
        <v>983</v>
      </c>
      <c r="CJ1109" t="s">
        <v>972</v>
      </c>
      <c r="CK1109" t="s">
        <v>986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 t="s">
        <v>987</v>
      </c>
      <c r="CV1109">
        <v>400011318</v>
      </c>
      <c r="CW1109" t="s">
        <v>987</v>
      </c>
      <c r="CX1109" t="s">
        <v>7351</v>
      </c>
      <c r="CY1109" t="s">
        <v>989</v>
      </c>
    </row>
    <row r="1110" spans="1:103" hidden="1" x14ac:dyDescent="0.25">
      <c r="A1110">
        <v>410001116</v>
      </c>
      <c r="B1110" t="s">
        <v>7352</v>
      </c>
      <c r="C1110" t="s">
        <v>978</v>
      </c>
      <c r="D1110">
        <v>401100000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4</v>
      </c>
      <c r="W1110">
        <v>1</v>
      </c>
      <c r="X1110">
        <v>1</v>
      </c>
      <c r="Y1110" t="s">
        <v>972</v>
      </c>
      <c r="Z1110" t="s">
        <v>987</v>
      </c>
      <c r="AA1110" t="s">
        <v>7353</v>
      </c>
      <c r="AB1110" t="s">
        <v>975</v>
      </c>
      <c r="AC1110">
        <v>4900</v>
      </c>
      <c r="AD1110" t="s">
        <v>1386</v>
      </c>
      <c r="AE1110">
        <v>3287771203</v>
      </c>
      <c r="AF1110" t="s">
        <v>979</v>
      </c>
      <c r="AG1110" t="s">
        <v>977</v>
      </c>
      <c r="AH1110" t="s">
        <v>977</v>
      </c>
      <c r="AI1110" t="s">
        <v>977</v>
      </c>
      <c r="AJ1110" t="s">
        <v>978</v>
      </c>
      <c r="AK1110" t="s">
        <v>978</v>
      </c>
      <c r="AL1110" t="s">
        <v>978</v>
      </c>
      <c r="AM1110" t="s">
        <v>979</v>
      </c>
      <c r="AN1110">
        <v>0</v>
      </c>
      <c r="AO1110" t="s">
        <v>257</v>
      </c>
      <c r="AP1110">
        <v>0</v>
      </c>
      <c r="AQ1110">
        <v>1</v>
      </c>
      <c r="AR1110">
        <v>43</v>
      </c>
      <c r="AS1110">
        <v>1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1</v>
      </c>
      <c r="AZ1110" t="s">
        <v>257</v>
      </c>
      <c r="BA1110" t="s">
        <v>257</v>
      </c>
      <c r="BB1110" t="s">
        <v>981</v>
      </c>
      <c r="BC1110" t="s">
        <v>257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 t="s">
        <v>998</v>
      </c>
      <c r="BK1110" t="s">
        <v>981</v>
      </c>
      <c r="BL1110" t="s">
        <v>7352</v>
      </c>
      <c r="BM1110">
        <v>20250915</v>
      </c>
      <c r="BN1110">
        <v>0</v>
      </c>
      <c r="BO1110">
        <v>0</v>
      </c>
      <c r="BP1110" t="s">
        <v>257</v>
      </c>
      <c r="BQ1110" t="s">
        <v>983</v>
      </c>
      <c r="BR1110" t="s">
        <v>978</v>
      </c>
      <c r="BS1110" t="s">
        <v>979</v>
      </c>
      <c r="BT1110">
        <v>0</v>
      </c>
      <c r="BU1110">
        <v>0</v>
      </c>
      <c r="BV1110" t="s">
        <v>984</v>
      </c>
      <c r="BW1110" t="s">
        <v>257</v>
      </c>
      <c r="BX1110">
        <v>0</v>
      </c>
      <c r="BY1110" t="s">
        <v>980</v>
      </c>
      <c r="BZ1110" t="s">
        <v>257</v>
      </c>
      <c r="CA1110">
        <v>0</v>
      </c>
      <c r="CB1110">
        <v>0</v>
      </c>
      <c r="CC1110" t="s">
        <v>5421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 t="s">
        <v>983</v>
      </c>
      <c r="CJ1110" t="s">
        <v>972</v>
      </c>
      <c r="CK1110" t="s">
        <v>986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 t="s">
        <v>987</v>
      </c>
      <c r="CV1110">
        <v>400011319</v>
      </c>
      <c r="CW1110" t="s">
        <v>987</v>
      </c>
      <c r="CX1110" t="s">
        <v>2034</v>
      </c>
      <c r="CY1110" t="s">
        <v>989</v>
      </c>
    </row>
    <row r="1111" spans="1:103" hidden="1" x14ac:dyDescent="0.25">
      <c r="A1111">
        <v>410001117</v>
      </c>
      <c r="B1111" t="s">
        <v>7354</v>
      </c>
      <c r="C1111" t="s">
        <v>7355</v>
      </c>
      <c r="D1111">
        <v>401100000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1</v>
      </c>
      <c r="Y1111" t="s">
        <v>972</v>
      </c>
      <c r="Z1111" t="s">
        <v>987</v>
      </c>
      <c r="AA1111" t="s">
        <v>7356</v>
      </c>
      <c r="AB1111" t="s">
        <v>975</v>
      </c>
      <c r="AC1111">
        <v>7060</v>
      </c>
      <c r="AD1111" t="s">
        <v>2298</v>
      </c>
      <c r="AE1111">
        <v>67333305</v>
      </c>
      <c r="AF1111" t="s">
        <v>979</v>
      </c>
      <c r="AG1111" t="s">
        <v>977</v>
      </c>
      <c r="AH1111">
        <v>563773007</v>
      </c>
      <c r="AI1111">
        <v>10712</v>
      </c>
      <c r="AJ1111" t="s">
        <v>7357</v>
      </c>
      <c r="AK1111" t="s">
        <v>978</v>
      </c>
      <c r="AL1111" t="s">
        <v>978</v>
      </c>
      <c r="AM1111" t="s">
        <v>979</v>
      </c>
      <c r="AN1111">
        <v>0</v>
      </c>
      <c r="AO1111" t="s">
        <v>257</v>
      </c>
      <c r="AP1111">
        <v>0</v>
      </c>
      <c r="AQ1111">
        <v>1</v>
      </c>
      <c r="AR1111">
        <v>69</v>
      </c>
      <c r="AS1111">
        <v>1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>
        <v>1</v>
      </c>
      <c r="AZ1111" t="s">
        <v>257</v>
      </c>
      <c r="BA1111" t="s">
        <v>257</v>
      </c>
      <c r="BB1111" t="s">
        <v>981</v>
      </c>
      <c r="BC1111" t="s">
        <v>257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 t="s">
        <v>998</v>
      </c>
      <c r="BK1111" t="s">
        <v>981</v>
      </c>
      <c r="BL1111" t="s">
        <v>7354</v>
      </c>
      <c r="BM1111">
        <v>20250916</v>
      </c>
      <c r="BN1111">
        <v>20250916</v>
      </c>
      <c r="BO1111">
        <v>0</v>
      </c>
      <c r="BP1111" t="s">
        <v>257</v>
      </c>
      <c r="BQ1111" t="s">
        <v>983</v>
      </c>
      <c r="BR1111" t="s">
        <v>978</v>
      </c>
      <c r="BS1111" t="s">
        <v>979</v>
      </c>
      <c r="BT1111">
        <v>0</v>
      </c>
      <c r="BU1111">
        <v>0</v>
      </c>
      <c r="BV1111" t="s">
        <v>984</v>
      </c>
      <c r="BW1111" t="s">
        <v>257</v>
      </c>
      <c r="BX1111">
        <v>0</v>
      </c>
      <c r="BY1111" t="s">
        <v>980</v>
      </c>
      <c r="BZ1111" t="s">
        <v>257</v>
      </c>
      <c r="CA1111">
        <v>0</v>
      </c>
      <c r="CB1111">
        <v>0</v>
      </c>
      <c r="CC1111" t="s">
        <v>1901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 t="s">
        <v>983</v>
      </c>
      <c r="CJ1111" t="s">
        <v>972</v>
      </c>
      <c r="CK1111" t="s">
        <v>986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 t="s">
        <v>987</v>
      </c>
      <c r="CV1111">
        <v>400011322</v>
      </c>
      <c r="CW1111" t="s">
        <v>987</v>
      </c>
      <c r="CX1111" t="s">
        <v>7358</v>
      </c>
      <c r="CY1111" t="s">
        <v>989</v>
      </c>
    </row>
    <row r="1112" spans="1:103" hidden="1" x14ac:dyDescent="0.25">
      <c r="A1112">
        <v>410001118</v>
      </c>
      <c r="B1112" t="s">
        <v>7359</v>
      </c>
      <c r="C1112" t="s">
        <v>7360</v>
      </c>
      <c r="D1112">
        <v>401100000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1</v>
      </c>
      <c r="X1112">
        <v>1</v>
      </c>
      <c r="Y1112" t="s">
        <v>972</v>
      </c>
      <c r="Z1112" t="s">
        <v>987</v>
      </c>
      <c r="AA1112" t="s">
        <v>7361</v>
      </c>
      <c r="AB1112" t="s">
        <v>975</v>
      </c>
      <c r="AC1112">
        <v>4340</v>
      </c>
      <c r="AD1112" t="s">
        <v>7362</v>
      </c>
      <c r="AE1112">
        <v>478953768</v>
      </c>
      <c r="AF1112" t="s">
        <v>979</v>
      </c>
      <c r="AG1112" t="s">
        <v>977</v>
      </c>
      <c r="AH1112">
        <v>1007728347</v>
      </c>
      <c r="AI1112" t="s">
        <v>977</v>
      </c>
      <c r="AJ1112" t="s">
        <v>978</v>
      </c>
      <c r="AK1112" t="s">
        <v>978</v>
      </c>
      <c r="AL1112" t="s">
        <v>978</v>
      </c>
      <c r="AM1112" t="s">
        <v>979</v>
      </c>
      <c r="AN1112">
        <v>0</v>
      </c>
      <c r="AO1112" t="s">
        <v>257</v>
      </c>
      <c r="AP1112">
        <v>0</v>
      </c>
      <c r="AQ1112">
        <v>1</v>
      </c>
      <c r="AR1112">
        <v>69</v>
      </c>
      <c r="AS1112">
        <v>1</v>
      </c>
      <c r="AT1112">
        <v>0</v>
      </c>
      <c r="AU1112">
        <v>1</v>
      </c>
      <c r="AV1112">
        <v>0</v>
      </c>
      <c r="AW1112">
        <v>0</v>
      </c>
      <c r="AX1112">
        <v>0</v>
      </c>
      <c r="AY1112">
        <v>1</v>
      </c>
      <c r="AZ1112" t="s">
        <v>257</v>
      </c>
      <c r="BA1112" t="s">
        <v>257</v>
      </c>
      <c r="BB1112" t="s">
        <v>981</v>
      </c>
      <c r="BC1112" t="s">
        <v>257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 t="s">
        <v>998</v>
      </c>
      <c r="BK1112" t="s">
        <v>981</v>
      </c>
      <c r="BL1112" t="s">
        <v>7359</v>
      </c>
      <c r="BM1112">
        <v>20250922</v>
      </c>
      <c r="BN1112">
        <v>20250924</v>
      </c>
      <c r="BO1112">
        <v>0</v>
      </c>
      <c r="BP1112" t="s">
        <v>257</v>
      </c>
      <c r="BQ1112" t="s">
        <v>983</v>
      </c>
      <c r="BR1112" t="s">
        <v>978</v>
      </c>
      <c r="BS1112" t="s">
        <v>979</v>
      </c>
      <c r="BT1112">
        <v>0</v>
      </c>
      <c r="BU1112">
        <v>0</v>
      </c>
      <c r="BV1112" t="s">
        <v>984</v>
      </c>
      <c r="BW1112" t="s">
        <v>257</v>
      </c>
      <c r="BX1112">
        <v>0</v>
      </c>
      <c r="BY1112" t="s">
        <v>980</v>
      </c>
      <c r="BZ1112" t="s">
        <v>257</v>
      </c>
      <c r="CA1112">
        <v>0</v>
      </c>
      <c r="CB1112">
        <v>0</v>
      </c>
      <c r="CC1112" t="s">
        <v>1220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 t="s">
        <v>983</v>
      </c>
      <c r="CJ1112" t="s">
        <v>972</v>
      </c>
      <c r="CK1112" t="s">
        <v>986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 t="s">
        <v>987</v>
      </c>
      <c r="CV1112">
        <v>400011340</v>
      </c>
      <c r="CW1112" t="s">
        <v>987</v>
      </c>
      <c r="CX1112" t="s">
        <v>7363</v>
      </c>
      <c r="CY1112" t="s">
        <v>989</v>
      </c>
    </row>
    <row r="1113" spans="1:103" hidden="1" x14ac:dyDescent="0.25">
      <c r="A1113">
        <v>410001119</v>
      </c>
      <c r="B1113" t="s">
        <v>7382</v>
      </c>
      <c r="C1113" t="s">
        <v>7383</v>
      </c>
      <c r="D1113">
        <v>401100000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1</v>
      </c>
      <c r="X1113">
        <v>1</v>
      </c>
      <c r="Y1113" t="s">
        <v>972</v>
      </c>
      <c r="Z1113" t="s">
        <v>987</v>
      </c>
      <c r="AA1113" t="s">
        <v>7384</v>
      </c>
      <c r="AB1113" t="s">
        <v>975</v>
      </c>
      <c r="AC1113">
        <v>1340</v>
      </c>
      <c r="AD1113" t="s">
        <v>2193</v>
      </c>
      <c r="AE1113" t="s">
        <v>979</v>
      </c>
      <c r="AF1113" t="s">
        <v>979</v>
      </c>
      <c r="AG1113" t="s">
        <v>977</v>
      </c>
      <c r="AH1113" t="s">
        <v>977</v>
      </c>
      <c r="AI1113" t="s">
        <v>977</v>
      </c>
      <c r="AJ1113" t="s">
        <v>7385</v>
      </c>
      <c r="AK1113" t="s">
        <v>978</v>
      </c>
      <c r="AL1113" t="s">
        <v>978</v>
      </c>
      <c r="AM1113" t="s">
        <v>979</v>
      </c>
      <c r="AN1113">
        <v>0</v>
      </c>
      <c r="AO1113" t="s">
        <v>257</v>
      </c>
      <c r="AP1113">
        <v>0</v>
      </c>
      <c r="AQ1113">
        <v>1</v>
      </c>
      <c r="AR1113">
        <v>69</v>
      </c>
      <c r="AS1113">
        <v>1</v>
      </c>
      <c r="AT1113">
        <v>0</v>
      </c>
      <c r="AU1113">
        <v>1</v>
      </c>
      <c r="AV1113">
        <v>0</v>
      </c>
      <c r="AW1113">
        <v>0</v>
      </c>
      <c r="AX1113">
        <v>0</v>
      </c>
      <c r="AY1113">
        <v>1</v>
      </c>
      <c r="AZ1113" t="s">
        <v>257</v>
      </c>
      <c r="BA1113" t="s">
        <v>980</v>
      </c>
      <c r="BB1113" t="s">
        <v>981</v>
      </c>
      <c r="BC1113" t="s">
        <v>257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 t="s">
        <v>998</v>
      </c>
      <c r="BK1113" t="s">
        <v>981</v>
      </c>
      <c r="BL1113" t="s">
        <v>7382</v>
      </c>
      <c r="BM1113">
        <v>20250926</v>
      </c>
      <c r="BN1113">
        <v>20250926</v>
      </c>
      <c r="BO1113">
        <v>0</v>
      </c>
      <c r="BP1113" t="s">
        <v>257</v>
      </c>
      <c r="BQ1113" t="s">
        <v>983</v>
      </c>
      <c r="BR1113" t="s">
        <v>978</v>
      </c>
      <c r="BS1113">
        <v>32472421897</v>
      </c>
      <c r="BT1113">
        <v>0</v>
      </c>
      <c r="BU1113">
        <v>0</v>
      </c>
      <c r="BV1113" t="s">
        <v>984</v>
      </c>
      <c r="BW1113" t="s">
        <v>257</v>
      </c>
      <c r="BX1113">
        <v>0</v>
      </c>
      <c r="BY1113" t="s">
        <v>980</v>
      </c>
      <c r="BZ1113" t="s">
        <v>257</v>
      </c>
      <c r="CA1113">
        <v>0</v>
      </c>
      <c r="CB1113">
        <v>0</v>
      </c>
      <c r="CC1113" t="s">
        <v>1901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 t="s">
        <v>983</v>
      </c>
      <c r="CJ1113" t="s">
        <v>972</v>
      </c>
      <c r="CK1113" t="s">
        <v>986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 t="s">
        <v>987</v>
      </c>
      <c r="CV1113">
        <v>400011355</v>
      </c>
      <c r="CW1113" t="s">
        <v>987</v>
      </c>
      <c r="CX1113" t="s">
        <v>7386</v>
      </c>
      <c r="CY1113" t="s">
        <v>989</v>
      </c>
    </row>
    <row r="1114" spans="1:103" hidden="1" x14ac:dyDescent="0.25">
      <c r="A1114">
        <v>410001120</v>
      </c>
      <c r="B1114" t="s">
        <v>7387</v>
      </c>
      <c r="C1114" t="s">
        <v>7388</v>
      </c>
      <c r="D1114">
        <v>401100000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1</v>
      </c>
      <c r="X1114">
        <v>1</v>
      </c>
      <c r="Y1114" t="s">
        <v>972</v>
      </c>
      <c r="Z1114" t="s">
        <v>987</v>
      </c>
      <c r="AA1114" t="s">
        <v>7389</v>
      </c>
      <c r="AB1114" t="s">
        <v>975</v>
      </c>
      <c r="AC1114">
        <v>4650</v>
      </c>
      <c r="AD1114" t="s">
        <v>1204</v>
      </c>
      <c r="AE1114" t="s">
        <v>979</v>
      </c>
      <c r="AF1114" t="s">
        <v>979</v>
      </c>
      <c r="AG1114" t="s">
        <v>977</v>
      </c>
      <c r="AH1114" t="s">
        <v>977</v>
      </c>
      <c r="AI1114" t="s">
        <v>977</v>
      </c>
      <c r="AJ1114" t="s">
        <v>978</v>
      </c>
      <c r="AK1114" t="s">
        <v>978</v>
      </c>
      <c r="AL1114" t="s">
        <v>978</v>
      </c>
      <c r="AM1114" t="s">
        <v>979</v>
      </c>
      <c r="AN1114">
        <v>0</v>
      </c>
      <c r="AO1114" t="s">
        <v>257</v>
      </c>
      <c r="AP1114">
        <v>0</v>
      </c>
      <c r="AQ1114">
        <v>1</v>
      </c>
      <c r="AR1114">
        <v>43</v>
      </c>
      <c r="AS1114">
        <v>1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>
        <v>1</v>
      </c>
      <c r="AZ1114" t="s">
        <v>257</v>
      </c>
      <c r="BA1114" t="s">
        <v>257</v>
      </c>
      <c r="BB1114" t="s">
        <v>981</v>
      </c>
      <c r="BC1114" t="s">
        <v>257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 t="s">
        <v>998</v>
      </c>
      <c r="BK1114" t="s">
        <v>981</v>
      </c>
      <c r="BL1114" t="s">
        <v>7387</v>
      </c>
      <c r="BM1114">
        <v>20250930</v>
      </c>
      <c r="BN1114">
        <v>20251001</v>
      </c>
      <c r="BO1114">
        <v>0</v>
      </c>
      <c r="BP1114" t="s">
        <v>257</v>
      </c>
      <c r="BQ1114" t="s">
        <v>983</v>
      </c>
      <c r="BR1114" t="s">
        <v>978</v>
      </c>
      <c r="BS1114">
        <v>32487248384</v>
      </c>
      <c r="BT1114">
        <v>0</v>
      </c>
      <c r="BU1114">
        <v>0</v>
      </c>
      <c r="BV1114" t="s">
        <v>984</v>
      </c>
      <c r="BW1114" t="s">
        <v>257</v>
      </c>
      <c r="BX1114">
        <v>0</v>
      </c>
      <c r="BY1114" t="s">
        <v>980</v>
      </c>
      <c r="BZ1114" t="s">
        <v>257</v>
      </c>
      <c r="CA1114">
        <v>0</v>
      </c>
      <c r="CB1114">
        <v>0</v>
      </c>
      <c r="CC1114" t="s">
        <v>2099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 t="s">
        <v>983</v>
      </c>
      <c r="CJ1114" t="s">
        <v>972</v>
      </c>
      <c r="CK1114" t="s">
        <v>986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 t="s">
        <v>987</v>
      </c>
      <c r="CV1114">
        <v>400011363</v>
      </c>
      <c r="CW1114" t="s">
        <v>987</v>
      </c>
      <c r="CX1114" t="s">
        <v>7390</v>
      </c>
      <c r="CY1114" t="s">
        <v>989</v>
      </c>
    </row>
    <row r="1115" spans="1:103" hidden="1" x14ac:dyDescent="0.25">
      <c r="A1115">
        <v>410001121</v>
      </c>
      <c r="B1115" t="s">
        <v>7391</v>
      </c>
      <c r="C1115" t="s">
        <v>7392</v>
      </c>
      <c r="D1115">
        <v>401100000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1</v>
      </c>
      <c r="X1115">
        <v>1</v>
      </c>
      <c r="Y1115" t="s">
        <v>972</v>
      </c>
      <c r="Z1115" t="s">
        <v>987</v>
      </c>
      <c r="AA1115" t="s">
        <v>7393</v>
      </c>
      <c r="AB1115" t="s">
        <v>975</v>
      </c>
      <c r="AC1115">
        <v>4040</v>
      </c>
      <c r="AD1115" t="s">
        <v>976</v>
      </c>
      <c r="AE1115">
        <v>32486358653</v>
      </c>
      <c r="AF1115" t="s">
        <v>979</v>
      </c>
      <c r="AG1115" t="s">
        <v>977</v>
      </c>
      <c r="AH1115" t="s">
        <v>977</v>
      </c>
      <c r="AI1115" t="s">
        <v>977</v>
      </c>
      <c r="AJ1115" t="s">
        <v>978</v>
      </c>
      <c r="AK1115" t="s">
        <v>978</v>
      </c>
      <c r="AL1115" t="s">
        <v>978</v>
      </c>
      <c r="AM1115" t="s">
        <v>979</v>
      </c>
      <c r="AN1115">
        <v>0</v>
      </c>
      <c r="AO1115" t="s">
        <v>257</v>
      </c>
      <c r="AP1115">
        <v>0</v>
      </c>
      <c r="AQ1115">
        <v>1</v>
      </c>
      <c r="AR1115">
        <v>43</v>
      </c>
      <c r="AS1115">
        <v>1</v>
      </c>
      <c r="AT1115">
        <v>0</v>
      </c>
      <c r="AU1115">
        <v>1</v>
      </c>
      <c r="AV1115">
        <v>0</v>
      </c>
      <c r="AW1115">
        <v>0</v>
      </c>
      <c r="AX1115">
        <v>0</v>
      </c>
      <c r="AY1115">
        <v>1</v>
      </c>
      <c r="AZ1115" t="s">
        <v>257</v>
      </c>
      <c r="BA1115" t="s">
        <v>980</v>
      </c>
      <c r="BB1115" t="s">
        <v>981</v>
      </c>
      <c r="BC1115" t="s">
        <v>257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 t="s">
        <v>998</v>
      </c>
      <c r="BK1115" t="s">
        <v>981</v>
      </c>
      <c r="BL1115" t="s">
        <v>7391</v>
      </c>
      <c r="BM1115">
        <v>20251001</v>
      </c>
      <c r="BN1115">
        <v>20251103</v>
      </c>
      <c r="BO1115">
        <v>0</v>
      </c>
      <c r="BP1115" t="s">
        <v>257</v>
      </c>
      <c r="BQ1115" t="s">
        <v>983</v>
      </c>
      <c r="BR1115" t="s">
        <v>978</v>
      </c>
      <c r="BS1115" t="s">
        <v>979</v>
      </c>
      <c r="BT1115">
        <v>0</v>
      </c>
      <c r="BU1115">
        <v>0</v>
      </c>
      <c r="BV1115" t="s">
        <v>984</v>
      </c>
      <c r="BW1115" t="s">
        <v>257</v>
      </c>
      <c r="BX1115">
        <v>0</v>
      </c>
      <c r="BY1115" t="s">
        <v>980</v>
      </c>
      <c r="BZ1115" t="s">
        <v>257</v>
      </c>
      <c r="CA1115">
        <v>0</v>
      </c>
      <c r="CB1115">
        <v>0</v>
      </c>
      <c r="CC1115" t="s">
        <v>3623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s">
        <v>983</v>
      </c>
      <c r="CJ1115" t="s">
        <v>972</v>
      </c>
      <c r="CK1115" t="s">
        <v>986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 t="s">
        <v>987</v>
      </c>
      <c r="CV1115">
        <v>400011366</v>
      </c>
      <c r="CW1115" t="s">
        <v>987</v>
      </c>
      <c r="CX1115" t="s">
        <v>7394</v>
      </c>
      <c r="CY1115" t="s">
        <v>989</v>
      </c>
    </row>
    <row r="1116" spans="1:103" hidden="1" x14ac:dyDescent="0.25">
      <c r="A1116">
        <v>410001122</v>
      </c>
      <c r="B1116" t="s">
        <v>7398</v>
      </c>
      <c r="C1116" t="s">
        <v>7399</v>
      </c>
      <c r="D1116">
        <v>401100000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1</v>
      </c>
      <c r="X1116">
        <v>1</v>
      </c>
      <c r="Y1116" t="s">
        <v>972</v>
      </c>
      <c r="Z1116" t="s">
        <v>987</v>
      </c>
      <c r="AA1116" t="s">
        <v>7400</v>
      </c>
      <c r="AB1116" t="s">
        <v>975</v>
      </c>
      <c r="AC1116">
        <v>5300</v>
      </c>
      <c r="AD1116" t="s">
        <v>5384</v>
      </c>
      <c r="AE1116" t="s">
        <v>7401</v>
      </c>
      <c r="AF1116" t="s">
        <v>979</v>
      </c>
      <c r="AG1116" t="s">
        <v>977</v>
      </c>
      <c r="AH1116" t="s">
        <v>977</v>
      </c>
      <c r="AI1116" t="s">
        <v>977</v>
      </c>
      <c r="AJ1116" t="s">
        <v>978</v>
      </c>
      <c r="AK1116" t="s">
        <v>978</v>
      </c>
      <c r="AL1116" t="s">
        <v>978</v>
      </c>
      <c r="AM1116" t="s">
        <v>979</v>
      </c>
      <c r="AN1116">
        <v>0</v>
      </c>
      <c r="AO1116" t="s">
        <v>257</v>
      </c>
      <c r="AP1116">
        <v>0</v>
      </c>
      <c r="AQ1116">
        <v>1</v>
      </c>
      <c r="AR1116">
        <v>43</v>
      </c>
      <c r="AS1116">
        <v>1</v>
      </c>
      <c r="AT1116">
        <v>0</v>
      </c>
      <c r="AU1116">
        <v>1</v>
      </c>
      <c r="AV1116">
        <v>0</v>
      </c>
      <c r="AW1116">
        <v>0</v>
      </c>
      <c r="AX1116">
        <v>0</v>
      </c>
      <c r="AY1116">
        <v>1</v>
      </c>
      <c r="AZ1116" t="s">
        <v>257</v>
      </c>
      <c r="BA1116" t="s">
        <v>257</v>
      </c>
      <c r="BB1116" t="s">
        <v>981</v>
      </c>
      <c r="BC1116" t="s">
        <v>257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 t="s">
        <v>998</v>
      </c>
      <c r="BK1116" t="s">
        <v>981</v>
      </c>
      <c r="BL1116" t="s">
        <v>7398</v>
      </c>
      <c r="BM1116">
        <v>20251002</v>
      </c>
      <c r="BN1116">
        <v>0</v>
      </c>
      <c r="BO1116">
        <v>0</v>
      </c>
      <c r="BP1116" t="s">
        <v>257</v>
      </c>
      <c r="BQ1116" t="s">
        <v>983</v>
      </c>
      <c r="BR1116" t="s">
        <v>978</v>
      </c>
      <c r="BS1116" t="s">
        <v>979</v>
      </c>
      <c r="BT1116">
        <v>0</v>
      </c>
      <c r="BU1116">
        <v>0</v>
      </c>
      <c r="BV1116" t="s">
        <v>984</v>
      </c>
      <c r="BW1116" t="s">
        <v>257</v>
      </c>
      <c r="BX1116">
        <v>0</v>
      </c>
      <c r="BY1116" t="s">
        <v>980</v>
      </c>
      <c r="BZ1116" t="s">
        <v>257</v>
      </c>
      <c r="CA1116">
        <v>0</v>
      </c>
      <c r="CB1116">
        <v>0</v>
      </c>
      <c r="CC1116" t="s">
        <v>7402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 t="s">
        <v>983</v>
      </c>
      <c r="CJ1116" t="s">
        <v>972</v>
      </c>
      <c r="CK1116" t="s">
        <v>986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 t="s">
        <v>987</v>
      </c>
      <c r="CV1116">
        <v>400011375</v>
      </c>
      <c r="CW1116" t="s">
        <v>987</v>
      </c>
      <c r="CX1116" t="s">
        <v>7403</v>
      </c>
      <c r="CY1116" t="s">
        <v>989</v>
      </c>
    </row>
    <row r="1117" spans="1:103" hidden="1" x14ac:dyDescent="0.25">
      <c r="A1117">
        <v>410001123</v>
      </c>
      <c r="B1117" t="s">
        <v>7404</v>
      </c>
      <c r="C1117" t="s">
        <v>7405</v>
      </c>
      <c r="D1117">
        <v>401100000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1</v>
      </c>
      <c r="X1117">
        <v>1</v>
      </c>
      <c r="Y1117" t="s">
        <v>972</v>
      </c>
      <c r="Z1117" t="s">
        <v>987</v>
      </c>
      <c r="AA1117" t="s">
        <v>7406</v>
      </c>
      <c r="AB1117" t="s">
        <v>975</v>
      </c>
      <c r="AC1117">
        <v>4100</v>
      </c>
      <c r="AD1117" t="s">
        <v>1655</v>
      </c>
      <c r="AE1117">
        <v>32490387551</v>
      </c>
      <c r="AF1117" t="s">
        <v>979</v>
      </c>
      <c r="AG1117" t="s">
        <v>977</v>
      </c>
      <c r="AH1117" t="s">
        <v>977</v>
      </c>
      <c r="AI1117" t="s">
        <v>977</v>
      </c>
      <c r="AJ1117" t="s">
        <v>978</v>
      </c>
      <c r="AK1117" t="s">
        <v>978</v>
      </c>
      <c r="AL1117" t="s">
        <v>978</v>
      </c>
      <c r="AM1117" t="s">
        <v>979</v>
      </c>
      <c r="AN1117">
        <v>0</v>
      </c>
      <c r="AO1117" t="s">
        <v>257</v>
      </c>
      <c r="AP1117">
        <v>0</v>
      </c>
      <c r="AQ1117">
        <v>1</v>
      </c>
      <c r="AR1117">
        <v>69</v>
      </c>
      <c r="AS1117">
        <v>1</v>
      </c>
      <c r="AT1117">
        <v>0</v>
      </c>
      <c r="AU1117">
        <v>1</v>
      </c>
      <c r="AV1117">
        <v>0</v>
      </c>
      <c r="AW1117">
        <v>0</v>
      </c>
      <c r="AX1117">
        <v>0</v>
      </c>
      <c r="AY1117">
        <v>1</v>
      </c>
      <c r="AZ1117" t="s">
        <v>257</v>
      </c>
      <c r="BA1117" t="s">
        <v>980</v>
      </c>
      <c r="BB1117" t="s">
        <v>981</v>
      </c>
      <c r="BC1117" t="s">
        <v>257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 t="s">
        <v>998</v>
      </c>
      <c r="BK1117" t="s">
        <v>981</v>
      </c>
      <c r="BL1117" t="s">
        <v>7404</v>
      </c>
      <c r="BM1117">
        <v>20251008</v>
      </c>
      <c r="BN1117">
        <v>20251103</v>
      </c>
      <c r="BO1117">
        <v>0</v>
      </c>
      <c r="BP1117" t="s">
        <v>257</v>
      </c>
      <c r="BQ1117" t="s">
        <v>983</v>
      </c>
      <c r="BR1117" t="s">
        <v>978</v>
      </c>
      <c r="BS1117" t="s">
        <v>979</v>
      </c>
      <c r="BT1117">
        <v>0</v>
      </c>
      <c r="BU1117">
        <v>0</v>
      </c>
      <c r="BV1117" t="s">
        <v>984</v>
      </c>
      <c r="BW1117" t="s">
        <v>257</v>
      </c>
      <c r="BX1117">
        <v>0</v>
      </c>
      <c r="BY1117" t="s">
        <v>980</v>
      </c>
      <c r="BZ1117" t="s">
        <v>257</v>
      </c>
      <c r="CA1117">
        <v>0</v>
      </c>
      <c r="CB1117">
        <v>0</v>
      </c>
      <c r="CC1117" t="s">
        <v>7407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 t="s">
        <v>983</v>
      </c>
      <c r="CJ1117" t="s">
        <v>972</v>
      </c>
      <c r="CK1117" t="s">
        <v>986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 t="s">
        <v>987</v>
      </c>
      <c r="CV1117">
        <v>400011386</v>
      </c>
      <c r="CW1117" t="s">
        <v>987</v>
      </c>
      <c r="CX1117" t="s">
        <v>7408</v>
      </c>
      <c r="CY1117" t="s">
        <v>989</v>
      </c>
    </row>
    <row r="1118" spans="1:103" hidden="1" x14ac:dyDescent="0.25">
      <c r="A1118">
        <v>410001124</v>
      </c>
      <c r="B1118" t="s">
        <v>7415</v>
      </c>
      <c r="C1118" t="s">
        <v>7416</v>
      </c>
      <c r="D1118">
        <v>401100000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1</v>
      </c>
      <c r="X1118">
        <v>1</v>
      </c>
      <c r="Y1118" t="s">
        <v>972</v>
      </c>
      <c r="Z1118" t="s">
        <v>987</v>
      </c>
      <c r="AA1118" t="s">
        <v>7417</v>
      </c>
      <c r="AB1118" t="s">
        <v>975</v>
      </c>
      <c r="AC1118">
        <v>4000</v>
      </c>
      <c r="AD1118" t="s">
        <v>1019</v>
      </c>
      <c r="AE1118">
        <v>473863822</v>
      </c>
      <c r="AF1118" t="s">
        <v>979</v>
      </c>
      <c r="AG1118" t="s">
        <v>977</v>
      </c>
      <c r="AH1118" t="s">
        <v>977</v>
      </c>
      <c r="AI1118" t="s">
        <v>977</v>
      </c>
      <c r="AJ1118" t="s">
        <v>978</v>
      </c>
      <c r="AK1118" t="s">
        <v>978</v>
      </c>
      <c r="AL1118" t="s">
        <v>978</v>
      </c>
      <c r="AM1118" t="s">
        <v>979</v>
      </c>
      <c r="AN1118">
        <v>0</v>
      </c>
      <c r="AO1118" t="s">
        <v>257</v>
      </c>
      <c r="AP1118">
        <v>0</v>
      </c>
      <c r="AQ1118">
        <v>1</v>
      </c>
      <c r="AR1118">
        <v>69</v>
      </c>
      <c r="AS1118">
        <v>1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1</v>
      </c>
      <c r="AZ1118" t="s">
        <v>257</v>
      </c>
      <c r="BA1118" t="s">
        <v>257</v>
      </c>
      <c r="BB1118" t="s">
        <v>981</v>
      </c>
      <c r="BC1118" t="s">
        <v>257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 t="s">
        <v>998</v>
      </c>
      <c r="BK1118" t="s">
        <v>981</v>
      </c>
      <c r="BL1118" t="s">
        <v>7415</v>
      </c>
      <c r="BM1118">
        <v>20251013</v>
      </c>
      <c r="BN1118">
        <v>20251015</v>
      </c>
      <c r="BO1118">
        <v>0</v>
      </c>
      <c r="BP1118" t="s">
        <v>257</v>
      </c>
      <c r="BQ1118" t="s">
        <v>983</v>
      </c>
      <c r="BR1118" t="s">
        <v>978</v>
      </c>
      <c r="BS1118" t="s">
        <v>979</v>
      </c>
      <c r="BT1118">
        <v>0</v>
      </c>
      <c r="BU1118">
        <v>0</v>
      </c>
      <c r="BV1118" t="s">
        <v>984</v>
      </c>
      <c r="BW1118" t="s">
        <v>257</v>
      </c>
      <c r="BX1118">
        <v>0</v>
      </c>
      <c r="BY1118" t="s">
        <v>980</v>
      </c>
      <c r="BZ1118" t="s">
        <v>257</v>
      </c>
      <c r="CA1118">
        <v>0</v>
      </c>
      <c r="CB1118">
        <v>0</v>
      </c>
      <c r="CC1118" t="s">
        <v>2998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 t="s">
        <v>983</v>
      </c>
      <c r="CJ1118" t="s">
        <v>972</v>
      </c>
      <c r="CK1118" t="s">
        <v>986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 t="s">
        <v>987</v>
      </c>
      <c r="CV1118">
        <v>400011398</v>
      </c>
      <c r="CW1118" t="s">
        <v>987</v>
      </c>
      <c r="CX1118" t="s">
        <v>7418</v>
      </c>
      <c r="CY1118" t="s">
        <v>989</v>
      </c>
    </row>
    <row r="1119" spans="1:103" hidden="1" x14ac:dyDescent="0.25">
      <c r="A1119">
        <v>410001125</v>
      </c>
      <c r="B1119" t="s">
        <v>7419</v>
      </c>
      <c r="C1119" t="s">
        <v>7420</v>
      </c>
      <c r="D1119">
        <v>401100000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1</v>
      </c>
      <c r="X1119">
        <v>1</v>
      </c>
      <c r="Y1119" t="s">
        <v>972</v>
      </c>
      <c r="Z1119" t="s">
        <v>987</v>
      </c>
      <c r="AA1119" t="s">
        <v>7421</v>
      </c>
      <c r="AB1119" t="s">
        <v>975</v>
      </c>
      <c r="AC1119">
        <v>1348</v>
      </c>
      <c r="AD1119" t="s">
        <v>3457</v>
      </c>
      <c r="AE1119">
        <v>10470740</v>
      </c>
      <c r="AF1119" t="s">
        <v>979</v>
      </c>
      <c r="AG1119" t="s">
        <v>977</v>
      </c>
      <c r="AH1119" t="s">
        <v>977</v>
      </c>
      <c r="AI1119" t="s">
        <v>977</v>
      </c>
      <c r="AJ1119" t="s">
        <v>978</v>
      </c>
      <c r="AK1119" t="s">
        <v>7334</v>
      </c>
      <c r="AL1119" t="s">
        <v>978</v>
      </c>
      <c r="AM1119" t="s">
        <v>979</v>
      </c>
      <c r="AN1119">
        <v>0</v>
      </c>
      <c r="AO1119" t="s">
        <v>257</v>
      </c>
      <c r="AP1119">
        <v>0</v>
      </c>
      <c r="AQ1119">
        <v>1</v>
      </c>
      <c r="AR1119">
        <v>69</v>
      </c>
      <c r="AS1119">
        <v>1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1</v>
      </c>
      <c r="AZ1119" t="s">
        <v>257</v>
      </c>
      <c r="BA1119" t="s">
        <v>980</v>
      </c>
      <c r="BB1119" t="s">
        <v>981</v>
      </c>
      <c r="BC1119" t="s">
        <v>257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 t="s">
        <v>998</v>
      </c>
      <c r="BK1119" t="s">
        <v>981</v>
      </c>
      <c r="BL1119" t="s">
        <v>7419</v>
      </c>
      <c r="BM1119">
        <v>20251013</v>
      </c>
      <c r="BN1119">
        <v>20251013</v>
      </c>
      <c r="BO1119">
        <v>0</v>
      </c>
      <c r="BP1119" t="s">
        <v>257</v>
      </c>
      <c r="BQ1119" t="s">
        <v>983</v>
      </c>
      <c r="BR1119" t="s">
        <v>978</v>
      </c>
      <c r="BS1119" t="s">
        <v>979</v>
      </c>
      <c r="BT1119">
        <v>0</v>
      </c>
      <c r="BU1119">
        <v>0</v>
      </c>
      <c r="BV1119" t="s">
        <v>984</v>
      </c>
      <c r="BW1119" t="s">
        <v>257</v>
      </c>
      <c r="BX1119">
        <v>0</v>
      </c>
      <c r="BY1119" t="s">
        <v>980</v>
      </c>
      <c r="BZ1119" t="s">
        <v>257</v>
      </c>
      <c r="CA1119">
        <v>0</v>
      </c>
      <c r="CB1119">
        <v>0</v>
      </c>
      <c r="CC1119" t="s">
        <v>1901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 t="s">
        <v>983</v>
      </c>
      <c r="CJ1119" t="s">
        <v>972</v>
      </c>
      <c r="CK1119" t="s">
        <v>986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 t="s">
        <v>987</v>
      </c>
      <c r="CV1119">
        <v>400011399</v>
      </c>
      <c r="CW1119" t="s">
        <v>987</v>
      </c>
      <c r="CX1119" t="s">
        <v>7422</v>
      </c>
      <c r="CY1119" t="s">
        <v>989</v>
      </c>
    </row>
    <row r="1120" spans="1:103" hidden="1" x14ac:dyDescent="0.25">
      <c r="A1120">
        <v>410001126</v>
      </c>
      <c r="B1120" t="s">
        <v>7423</v>
      </c>
      <c r="C1120" t="s">
        <v>7424</v>
      </c>
      <c r="D1120">
        <v>401100000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1</v>
      </c>
      <c r="X1120">
        <v>1</v>
      </c>
      <c r="Y1120" t="s">
        <v>972</v>
      </c>
      <c r="Z1120" t="s">
        <v>987</v>
      </c>
      <c r="AA1120" t="s">
        <v>7425</v>
      </c>
      <c r="AB1120" t="s">
        <v>975</v>
      </c>
      <c r="AC1120">
        <v>1348</v>
      </c>
      <c r="AD1120" t="s">
        <v>3457</v>
      </c>
      <c r="AE1120">
        <v>10244999</v>
      </c>
      <c r="AF1120" t="s">
        <v>979</v>
      </c>
      <c r="AG1120" t="s">
        <v>977</v>
      </c>
      <c r="AH1120" t="s">
        <v>977</v>
      </c>
      <c r="AI1120" t="s">
        <v>977</v>
      </c>
      <c r="AJ1120" t="s">
        <v>7334</v>
      </c>
      <c r="AK1120" t="s">
        <v>978</v>
      </c>
      <c r="AL1120" t="s">
        <v>978</v>
      </c>
      <c r="AM1120" t="s">
        <v>979</v>
      </c>
      <c r="AN1120">
        <v>0</v>
      </c>
      <c r="AO1120" t="s">
        <v>257</v>
      </c>
      <c r="AP1120">
        <v>0</v>
      </c>
      <c r="AQ1120">
        <v>1</v>
      </c>
      <c r="AR1120">
        <v>69</v>
      </c>
      <c r="AS1120">
        <v>1</v>
      </c>
      <c r="AT1120">
        <v>0</v>
      </c>
      <c r="AU1120">
        <v>1</v>
      </c>
      <c r="AV1120">
        <v>0</v>
      </c>
      <c r="AW1120">
        <v>0</v>
      </c>
      <c r="AX1120">
        <v>0</v>
      </c>
      <c r="AY1120">
        <v>1</v>
      </c>
      <c r="AZ1120" t="s">
        <v>257</v>
      </c>
      <c r="BA1120" t="s">
        <v>980</v>
      </c>
      <c r="BB1120" t="s">
        <v>981</v>
      </c>
      <c r="BC1120" t="s">
        <v>257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 t="s">
        <v>998</v>
      </c>
      <c r="BK1120" t="s">
        <v>981</v>
      </c>
      <c r="BL1120" t="s">
        <v>7423</v>
      </c>
      <c r="BM1120">
        <v>20251013</v>
      </c>
      <c r="BN1120">
        <v>0</v>
      </c>
      <c r="BO1120">
        <v>0</v>
      </c>
      <c r="BP1120" t="s">
        <v>257</v>
      </c>
      <c r="BQ1120" t="s">
        <v>983</v>
      </c>
      <c r="BR1120" t="s">
        <v>978</v>
      </c>
      <c r="BS1120" t="s">
        <v>979</v>
      </c>
      <c r="BT1120">
        <v>0</v>
      </c>
      <c r="BU1120">
        <v>0</v>
      </c>
      <c r="BV1120" t="s">
        <v>984</v>
      </c>
      <c r="BW1120" t="s">
        <v>257</v>
      </c>
      <c r="BX1120">
        <v>0</v>
      </c>
      <c r="BY1120" t="s">
        <v>980</v>
      </c>
      <c r="BZ1120" t="s">
        <v>257</v>
      </c>
      <c r="CA1120">
        <v>0</v>
      </c>
      <c r="CB1120">
        <v>0</v>
      </c>
      <c r="CC1120" t="s">
        <v>1901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 t="s">
        <v>983</v>
      </c>
      <c r="CJ1120" t="s">
        <v>972</v>
      </c>
      <c r="CK1120" t="s">
        <v>986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 t="s">
        <v>987</v>
      </c>
      <c r="CV1120">
        <v>400011400</v>
      </c>
      <c r="CW1120" t="s">
        <v>987</v>
      </c>
      <c r="CX1120" t="s">
        <v>7426</v>
      </c>
      <c r="CY1120" t="s">
        <v>989</v>
      </c>
    </row>
    <row r="1121" spans="1:103" hidden="1" x14ac:dyDescent="0.25">
      <c r="A1121">
        <v>410001127</v>
      </c>
      <c r="B1121" t="s">
        <v>7427</v>
      </c>
      <c r="C1121" t="s">
        <v>7428</v>
      </c>
      <c r="D1121">
        <v>401100000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1</v>
      </c>
      <c r="X1121">
        <v>1</v>
      </c>
      <c r="Y1121" t="s">
        <v>972</v>
      </c>
      <c r="Z1121" t="s">
        <v>987</v>
      </c>
      <c r="AA1121" t="s">
        <v>7429</v>
      </c>
      <c r="AB1121" t="s">
        <v>975</v>
      </c>
      <c r="AC1121">
        <v>1340</v>
      </c>
      <c r="AD1121" t="s">
        <v>7430</v>
      </c>
      <c r="AE1121">
        <v>10437070</v>
      </c>
      <c r="AF1121" t="s">
        <v>979</v>
      </c>
      <c r="AG1121" t="s">
        <v>977</v>
      </c>
      <c r="AH1121" t="s">
        <v>977</v>
      </c>
      <c r="AI1121" t="s">
        <v>977</v>
      </c>
      <c r="AJ1121" t="s">
        <v>7334</v>
      </c>
      <c r="AK1121" t="s">
        <v>978</v>
      </c>
      <c r="AL1121" t="s">
        <v>978</v>
      </c>
      <c r="AM1121" t="s">
        <v>979</v>
      </c>
      <c r="AN1121">
        <v>0</v>
      </c>
      <c r="AO1121" t="s">
        <v>257</v>
      </c>
      <c r="AP1121">
        <v>0</v>
      </c>
      <c r="AQ1121">
        <v>1</v>
      </c>
      <c r="AR1121">
        <v>69</v>
      </c>
      <c r="AS1121">
        <v>1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>
        <v>1</v>
      </c>
      <c r="AZ1121" t="s">
        <v>257</v>
      </c>
      <c r="BA1121" t="s">
        <v>980</v>
      </c>
      <c r="BB1121" t="s">
        <v>981</v>
      </c>
      <c r="BC1121" t="s">
        <v>257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 t="s">
        <v>998</v>
      </c>
      <c r="BK1121" t="s">
        <v>981</v>
      </c>
      <c r="BL1121" t="s">
        <v>7427</v>
      </c>
      <c r="BM1121">
        <v>20251013</v>
      </c>
      <c r="BN1121">
        <v>0</v>
      </c>
      <c r="BO1121">
        <v>0</v>
      </c>
      <c r="BP1121" t="s">
        <v>257</v>
      </c>
      <c r="BQ1121" t="s">
        <v>983</v>
      </c>
      <c r="BR1121" t="s">
        <v>978</v>
      </c>
      <c r="BS1121" t="s">
        <v>979</v>
      </c>
      <c r="BT1121">
        <v>0</v>
      </c>
      <c r="BU1121">
        <v>0</v>
      </c>
      <c r="BV1121" t="s">
        <v>984</v>
      </c>
      <c r="BW1121" t="s">
        <v>257</v>
      </c>
      <c r="BX1121">
        <v>0</v>
      </c>
      <c r="BY1121" t="s">
        <v>980</v>
      </c>
      <c r="BZ1121" t="s">
        <v>257</v>
      </c>
      <c r="CA1121">
        <v>0</v>
      </c>
      <c r="CB1121">
        <v>0</v>
      </c>
      <c r="CC1121" t="s">
        <v>1901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 t="s">
        <v>983</v>
      </c>
      <c r="CJ1121" t="s">
        <v>972</v>
      </c>
      <c r="CK1121" t="s">
        <v>986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 t="s">
        <v>987</v>
      </c>
      <c r="CV1121">
        <v>400011401</v>
      </c>
      <c r="CW1121" t="s">
        <v>987</v>
      </c>
      <c r="CX1121" t="s">
        <v>7431</v>
      </c>
      <c r="CY1121" t="s">
        <v>989</v>
      </c>
    </row>
    <row r="1122" spans="1:103" hidden="1" x14ac:dyDescent="0.25">
      <c r="A1122">
        <v>410001128</v>
      </c>
      <c r="B1122" t="s">
        <v>7432</v>
      </c>
      <c r="C1122" t="s">
        <v>7433</v>
      </c>
      <c r="D1122">
        <v>401100000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1</v>
      </c>
      <c r="Y1122" t="s">
        <v>972</v>
      </c>
      <c r="Z1122" t="s">
        <v>7434</v>
      </c>
      <c r="AA1122" t="s">
        <v>7435</v>
      </c>
      <c r="AB1122" t="s">
        <v>975</v>
      </c>
      <c r="AC1122">
        <v>1851</v>
      </c>
      <c r="AD1122" t="s">
        <v>7436</v>
      </c>
      <c r="AE1122">
        <v>25211888</v>
      </c>
      <c r="AF1122" t="s">
        <v>979</v>
      </c>
      <c r="AG1122" t="s">
        <v>977</v>
      </c>
      <c r="AH1122" t="s">
        <v>977</v>
      </c>
      <c r="AI1122" t="s">
        <v>977</v>
      </c>
      <c r="AJ1122" t="s">
        <v>978</v>
      </c>
      <c r="AK1122" t="s">
        <v>4889</v>
      </c>
      <c r="AL1122" t="s">
        <v>978</v>
      </c>
      <c r="AM1122" t="s">
        <v>979</v>
      </c>
      <c r="AN1122">
        <v>0</v>
      </c>
      <c r="AO1122" t="s">
        <v>257</v>
      </c>
      <c r="AP1122">
        <v>0</v>
      </c>
      <c r="AQ1122">
        <v>1</v>
      </c>
      <c r="AR1122">
        <v>64</v>
      </c>
      <c r="AS1122">
        <v>1</v>
      </c>
      <c r="AT1122">
        <v>0</v>
      </c>
      <c r="AU1122">
        <v>1</v>
      </c>
      <c r="AV1122">
        <v>0</v>
      </c>
      <c r="AW1122">
        <v>0</v>
      </c>
      <c r="AX1122">
        <v>0</v>
      </c>
      <c r="AY1122">
        <v>1</v>
      </c>
      <c r="AZ1122" t="s">
        <v>257</v>
      </c>
      <c r="BA1122" t="s">
        <v>257</v>
      </c>
      <c r="BB1122" t="s">
        <v>981</v>
      </c>
      <c r="BC1122" t="s">
        <v>257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 t="s">
        <v>998</v>
      </c>
      <c r="BK1122" t="s">
        <v>981</v>
      </c>
      <c r="BL1122" t="s">
        <v>7432</v>
      </c>
      <c r="BM1122">
        <v>20251014</v>
      </c>
      <c r="BN1122">
        <v>20251014</v>
      </c>
      <c r="BO1122">
        <v>0</v>
      </c>
      <c r="BP1122" t="s">
        <v>257</v>
      </c>
      <c r="BQ1122" t="s">
        <v>983</v>
      </c>
      <c r="BR1122" t="s">
        <v>978</v>
      </c>
      <c r="BS1122">
        <v>487895435</v>
      </c>
      <c r="BT1122">
        <v>0</v>
      </c>
      <c r="BU1122">
        <v>0</v>
      </c>
      <c r="BV1122" t="s">
        <v>984</v>
      </c>
      <c r="BW1122" t="s">
        <v>257</v>
      </c>
      <c r="BX1122">
        <v>0</v>
      </c>
      <c r="BY1122" t="s">
        <v>980</v>
      </c>
      <c r="BZ1122" t="s">
        <v>257</v>
      </c>
      <c r="CA1122">
        <v>0</v>
      </c>
      <c r="CB1122">
        <v>0</v>
      </c>
      <c r="CC1122" t="s">
        <v>1901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 t="s">
        <v>983</v>
      </c>
      <c r="CJ1122" t="s">
        <v>972</v>
      </c>
      <c r="CK1122" t="s">
        <v>986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 t="s">
        <v>987</v>
      </c>
      <c r="CV1122">
        <v>400011407</v>
      </c>
      <c r="CW1122" t="s">
        <v>987</v>
      </c>
      <c r="CX1122" t="s">
        <v>7437</v>
      </c>
      <c r="CY1122" t="s">
        <v>989</v>
      </c>
    </row>
    <row r="1123" spans="1:103" hidden="1" x14ac:dyDescent="0.25">
      <c r="A1123">
        <v>410001129</v>
      </c>
      <c r="B1123" t="s">
        <v>7438</v>
      </c>
      <c r="C1123" t="s">
        <v>7439</v>
      </c>
      <c r="D1123">
        <v>401100000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1</v>
      </c>
      <c r="X1123">
        <v>1</v>
      </c>
      <c r="Y1123" t="s">
        <v>972</v>
      </c>
      <c r="Z1123" t="s">
        <v>987</v>
      </c>
      <c r="AA1123" t="s">
        <v>7440</v>
      </c>
      <c r="AB1123" t="s">
        <v>975</v>
      </c>
      <c r="AC1123">
        <v>1401</v>
      </c>
      <c r="AD1123" t="s">
        <v>3855</v>
      </c>
      <c r="AE1123" t="s">
        <v>979</v>
      </c>
      <c r="AF1123" t="s">
        <v>979</v>
      </c>
      <c r="AG1123" t="s">
        <v>977</v>
      </c>
      <c r="AH1123" t="s">
        <v>977</v>
      </c>
      <c r="AI1123" t="s">
        <v>977</v>
      </c>
      <c r="AJ1123" t="s">
        <v>978</v>
      </c>
      <c r="AK1123" t="s">
        <v>978</v>
      </c>
      <c r="AL1123" t="s">
        <v>978</v>
      </c>
      <c r="AM1123" t="s">
        <v>979</v>
      </c>
      <c r="AN1123">
        <v>0</v>
      </c>
      <c r="AO1123" t="s">
        <v>257</v>
      </c>
      <c r="AP1123">
        <v>0</v>
      </c>
      <c r="AQ1123">
        <v>1</v>
      </c>
      <c r="AR1123">
        <v>43</v>
      </c>
      <c r="AS1123">
        <v>1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1</v>
      </c>
      <c r="AZ1123" t="s">
        <v>257</v>
      </c>
      <c r="BA1123" t="s">
        <v>980</v>
      </c>
      <c r="BB1123" t="s">
        <v>981</v>
      </c>
      <c r="BC1123" t="s">
        <v>257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 t="s">
        <v>998</v>
      </c>
      <c r="BK1123" t="s">
        <v>981</v>
      </c>
      <c r="BL1123" t="s">
        <v>7438</v>
      </c>
      <c r="BM1123">
        <v>20251015</v>
      </c>
      <c r="BN1123">
        <v>20251215</v>
      </c>
      <c r="BO1123">
        <v>0</v>
      </c>
      <c r="BP1123" t="s">
        <v>257</v>
      </c>
      <c r="BQ1123" t="s">
        <v>983</v>
      </c>
      <c r="BR1123" t="s">
        <v>978</v>
      </c>
      <c r="BS1123" t="s">
        <v>979</v>
      </c>
      <c r="BT1123">
        <v>0</v>
      </c>
      <c r="BU1123">
        <v>0</v>
      </c>
      <c r="BV1123" t="s">
        <v>984</v>
      </c>
      <c r="BW1123" t="s">
        <v>257</v>
      </c>
      <c r="BX1123">
        <v>0</v>
      </c>
      <c r="BY1123" t="s">
        <v>980</v>
      </c>
      <c r="BZ1123" t="s">
        <v>257</v>
      </c>
      <c r="CA1123">
        <v>0</v>
      </c>
      <c r="CB1123">
        <v>0</v>
      </c>
      <c r="CC1123" t="s">
        <v>1901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 t="s">
        <v>983</v>
      </c>
      <c r="CJ1123" t="s">
        <v>972</v>
      </c>
      <c r="CK1123" t="s">
        <v>986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 t="s">
        <v>987</v>
      </c>
      <c r="CV1123">
        <v>400011409</v>
      </c>
      <c r="CW1123" t="s">
        <v>987</v>
      </c>
      <c r="CX1123" t="s">
        <v>5924</v>
      </c>
      <c r="CY1123" t="s">
        <v>989</v>
      </c>
    </row>
    <row r="1124" spans="1:103" hidden="1" x14ac:dyDescent="0.25">
      <c r="A1124">
        <v>410001130</v>
      </c>
      <c r="B1124" t="s">
        <v>7448</v>
      </c>
      <c r="C1124" t="s">
        <v>7449</v>
      </c>
      <c r="D1124">
        <v>401100000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4</v>
      </c>
      <c r="W1124">
        <v>1</v>
      </c>
      <c r="X1124">
        <v>1</v>
      </c>
      <c r="Y1124" t="s">
        <v>972</v>
      </c>
      <c r="Z1124" t="s">
        <v>987</v>
      </c>
      <c r="AA1124" t="s">
        <v>7450</v>
      </c>
      <c r="AB1124" t="s">
        <v>975</v>
      </c>
      <c r="AC1124">
        <v>5670</v>
      </c>
      <c r="AD1124" t="s">
        <v>7451</v>
      </c>
      <c r="AE1124">
        <v>32467339597</v>
      </c>
      <c r="AF1124" t="s">
        <v>979</v>
      </c>
      <c r="AG1124" t="s">
        <v>977</v>
      </c>
      <c r="AH1124" t="s">
        <v>977</v>
      </c>
      <c r="AI1124" t="s">
        <v>977</v>
      </c>
      <c r="AJ1124" t="s">
        <v>7452</v>
      </c>
      <c r="AK1124" t="s">
        <v>978</v>
      </c>
      <c r="AL1124" t="s">
        <v>978</v>
      </c>
      <c r="AM1124" t="s">
        <v>979</v>
      </c>
      <c r="AN1124">
        <v>0</v>
      </c>
      <c r="AO1124" t="s">
        <v>257</v>
      </c>
      <c r="AP1124">
        <v>0</v>
      </c>
      <c r="AQ1124">
        <v>1</v>
      </c>
      <c r="AR1124">
        <v>69</v>
      </c>
      <c r="AS1124">
        <v>1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1</v>
      </c>
      <c r="AZ1124" t="s">
        <v>257</v>
      </c>
      <c r="BA1124" t="s">
        <v>980</v>
      </c>
      <c r="BB1124" t="s">
        <v>981</v>
      </c>
      <c r="BC1124" t="s">
        <v>257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 t="s">
        <v>998</v>
      </c>
      <c r="BK1124" t="s">
        <v>981</v>
      </c>
      <c r="BL1124" t="s">
        <v>7448</v>
      </c>
      <c r="BM1124">
        <v>20251015</v>
      </c>
      <c r="BN1124">
        <v>20251015</v>
      </c>
      <c r="BO1124">
        <v>0</v>
      </c>
      <c r="BP1124" t="s">
        <v>257</v>
      </c>
      <c r="BQ1124" t="s">
        <v>983</v>
      </c>
      <c r="BR1124" t="s">
        <v>978</v>
      </c>
      <c r="BS1124" t="s">
        <v>979</v>
      </c>
      <c r="BT1124">
        <v>0</v>
      </c>
      <c r="BU1124">
        <v>0</v>
      </c>
      <c r="BV1124" t="s">
        <v>984</v>
      </c>
      <c r="BW1124" t="s">
        <v>257</v>
      </c>
      <c r="BX1124">
        <v>0</v>
      </c>
      <c r="BY1124" t="s">
        <v>980</v>
      </c>
      <c r="BZ1124" t="s">
        <v>257</v>
      </c>
      <c r="CA1124">
        <v>0</v>
      </c>
      <c r="CB1124">
        <v>0</v>
      </c>
      <c r="CC1124" t="s">
        <v>1901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 t="s">
        <v>983</v>
      </c>
      <c r="CJ1124" t="s">
        <v>972</v>
      </c>
      <c r="CK1124" t="s">
        <v>986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 t="s">
        <v>987</v>
      </c>
      <c r="CV1124">
        <v>400011410</v>
      </c>
      <c r="CW1124" t="s">
        <v>987</v>
      </c>
      <c r="CX1124" t="s">
        <v>7453</v>
      </c>
      <c r="CY1124" t="s">
        <v>989</v>
      </c>
    </row>
    <row r="1125" spans="1:103" hidden="1" x14ac:dyDescent="0.25">
      <c r="A1125">
        <v>410001131</v>
      </c>
      <c r="B1125" t="s">
        <v>7454</v>
      </c>
      <c r="C1125" t="s">
        <v>7455</v>
      </c>
      <c r="D1125">
        <v>401100000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1</v>
      </c>
      <c r="Y1125" t="s">
        <v>972</v>
      </c>
      <c r="Z1125" t="s">
        <v>987</v>
      </c>
      <c r="AA1125" t="s">
        <v>7456</v>
      </c>
      <c r="AB1125" t="s">
        <v>975</v>
      </c>
      <c r="AC1125">
        <v>7070</v>
      </c>
      <c r="AD1125" t="s">
        <v>4909</v>
      </c>
      <c r="AE1125">
        <v>32491566785</v>
      </c>
      <c r="AF1125" t="s">
        <v>979</v>
      </c>
      <c r="AG1125" t="s">
        <v>977</v>
      </c>
      <c r="AH1125" t="s">
        <v>977</v>
      </c>
      <c r="AI1125" t="s">
        <v>977</v>
      </c>
      <c r="AJ1125" t="s">
        <v>7457</v>
      </c>
      <c r="AK1125" t="s">
        <v>978</v>
      </c>
      <c r="AL1125" t="s">
        <v>978</v>
      </c>
      <c r="AM1125" t="s">
        <v>979</v>
      </c>
      <c r="AN1125">
        <v>0</v>
      </c>
      <c r="AO1125" t="s">
        <v>257</v>
      </c>
      <c r="AP1125">
        <v>0</v>
      </c>
      <c r="AQ1125">
        <v>1</v>
      </c>
      <c r="AR1125">
        <v>69</v>
      </c>
      <c r="AS1125">
        <v>1</v>
      </c>
      <c r="AT1125">
        <v>0</v>
      </c>
      <c r="AU1125">
        <v>1</v>
      </c>
      <c r="AV1125">
        <v>0</v>
      </c>
      <c r="AW1125">
        <v>0</v>
      </c>
      <c r="AX1125">
        <v>0</v>
      </c>
      <c r="AY1125">
        <v>1</v>
      </c>
      <c r="AZ1125" t="s">
        <v>257</v>
      </c>
      <c r="BA1125" t="s">
        <v>980</v>
      </c>
      <c r="BB1125" t="s">
        <v>981</v>
      </c>
      <c r="BC1125" t="s">
        <v>257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 t="s">
        <v>998</v>
      </c>
      <c r="BK1125" t="s">
        <v>981</v>
      </c>
      <c r="BL1125" t="s">
        <v>7454</v>
      </c>
      <c r="BM1125">
        <v>20251017</v>
      </c>
      <c r="BN1125">
        <v>20251017</v>
      </c>
      <c r="BO1125">
        <v>0</v>
      </c>
      <c r="BP1125" t="s">
        <v>257</v>
      </c>
      <c r="BQ1125" t="s">
        <v>983</v>
      </c>
      <c r="BR1125" t="s">
        <v>978</v>
      </c>
      <c r="BS1125" t="s">
        <v>979</v>
      </c>
      <c r="BT1125">
        <v>0</v>
      </c>
      <c r="BU1125">
        <v>0</v>
      </c>
      <c r="BV1125" t="s">
        <v>984</v>
      </c>
      <c r="BW1125" t="s">
        <v>257</v>
      </c>
      <c r="BX1125">
        <v>0</v>
      </c>
      <c r="BY1125" t="s">
        <v>980</v>
      </c>
      <c r="BZ1125" t="s">
        <v>257</v>
      </c>
      <c r="CA1125">
        <v>0</v>
      </c>
      <c r="CB1125">
        <v>0</v>
      </c>
      <c r="CC1125" t="s">
        <v>1901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 t="s">
        <v>983</v>
      </c>
      <c r="CJ1125" t="s">
        <v>972</v>
      </c>
      <c r="CK1125" t="s">
        <v>986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 t="s">
        <v>987</v>
      </c>
      <c r="CV1125">
        <v>400011414</v>
      </c>
      <c r="CW1125" t="s">
        <v>987</v>
      </c>
      <c r="CX1125" t="s">
        <v>7458</v>
      </c>
      <c r="CY1125" t="s">
        <v>989</v>
      </c>
    </row>
    <row r="1126" spans="1:103" hidden="1" x14ac:dyDescent="0.25">
      <c r="A1126">
        <v>410001132</v>
      </c>
      <c r="B1126" t="s">
        <v>7459</v>
      </c>
      <c r="C1126" t="s">
        <v>7460</v>
      </c>
      <c r="D1126">
        <v>401100000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1</v>
      </c>
      <c r="Y1126" t="s">
        <v>972</v>
      </c>
      <c r="Z1126" t="s">
        <v>987</v>
      </c>
      <c r="AA1126" t="s">
        <v>7461</v>
      </c>
      <c r="AB1126" t="s">
        <v>975</v>
      </c>
      <c r="AC1126">
        <v>6220</v>
      </c>
      <c r="AD1126" t="s">
        <v>7101</v>
      </c>
      <c r="AE1126">
        <v>499055983</v>
      </c>
      <c r="AF1126" t="s">
        <v>979</v>
      </c>
      <c r="AG1126" t="s">
        <v>977</v>
      </c>
      <c r="AH1126" t="s">
        <v>977</v>
      </c>
      <c r="AI1126" t="s">
        <v>977</v>
      </c>
      <c r="AJ1126" t="s">
        <v>978</v>
      </c>
      <c r="AK1126" t="s">
        <v>7462</v>
      </c>
      <c r="AL1126" t="s">
        <v>978</v>
      </c>
      <c r="AM1126" t="s">
        <v>979</v>
      </c>
      <c r="AN1126">
        <v>0</v>
      </c>
      <c r="AO1126" t="s">
        <v>257</v>
      </c>
      <c r="AP1126">
        <v>0</v>
      </c>
      <c r="AQ1126">
        <v>1</v>
      </c>
      <c r="AR1126">
        <v>69</v>
      </c>
      <c r="AS1126">
        <v>1</v>
      </c>
      <c r="AT1126">
        <v>0</v>
      </c>
      <c r="AU1126">
        <v>1</v>
      </c>
      <c r="AV1126">
        <v>0</v>
      </c>
      <c r="AW1126">
        <v>0</v>
      </c>
      <c r="AX1126">
        <v>0</v>
      </c>
      <c r="AY1126">
        <v>1</v>
      </c>
      <c r="AZ1126" t="s">
        <v>257</v>
      </c>
      <c r="BA1126" t="s">
        <v>980</v>
      </c>
      <c r="BB1126" t="s">
        <v>981</v>
      </c>
      <c r="BC1126" t="s">
        <v>257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 t="s">
        <v>998</v>
      </c>
      <c r="BK1126" t="s">
        <v>981</v>
      </c>
      <c r="BL1126" t="s">
        <v>7459</v>
      </c>
      <c r="BM1126">
        <v>20251020</v>
      </c>
      <c r="BN1126">
        <v>20251020</v>
      </c>
      <c r="BO1126">
        <v>0</v>
      </c>
      <c r="BP1126" t="s">
        <v>257</v>
      </c>
      <c r="BQ1126" t="s">
        <v>983</v>
      </c>
      <c r="BR1126" t="s">
        <v>978</v>
      </c>
      <c r="BS1126" t="s">
        <v>979</v>
      </c>
      <c r="BT1126">
        <v>0</v>
      </c>
      <c r="BU1126">
        <v>0</v>
      </c>
      <c r="BV1126" t="s">
        <v>984</v>
      </c>
      <c r="BW1126" t="s">
        <v>257</v>
      </c>
      <c r="BX1126">
        <v>0</v>
      </c>
      <c r="BY1126" t="s">
        <v>980</v>
      </c>
      <c r="BZ1126" t="s">
        <v>257</v>
      </c>
      <c r="CA1126">
        <v>0</v>
      </c>
      <c r="CB1126">
        <v>0</v>
      </c>
      <c r="CC1126" t="s">
        <v>1901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 t="s">
        <v>983</v>
      </c>
      <c r="CJ1126" t="s">
        <v>972</v>
      </c>
      <c r="CK1126" t="s">
        <v>986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 t="s">
        <v>987</v>
      </c>
      <c r="CV1126">
        <v>400011418</v>
      </c>
      <c r="CW1126" t="s">
        <v>987</v>
      </c>
      <c r="CX1126" t="s">
        <v>7463</v>
      </c>
      <c r="CY1126" t="s">
        <v>989</v>
      </c>
    </row>
    <row r="1127" spans="1:103" hidden="1" x14ac:dyDescent="0.25">
      <c r="A1127">
        <v>410001133</v>
      </c>
      <c r="B1127" t="s">
        <v>7464</v>
      </c>
      <c r="C1127" t="s">
        <v>7465</v>
      </c>
      <c r="D1127">
        <v>401100000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1</v>
      </c>
      <c r="Y1127" t="s">
        <v>972</v>
      </c>
      <c r="Z1127" t="s">
        <v>987</v>
      </c>
      <c r="AA1127" t="s">
        <v>7466</v>
      </c>
      <c r="AB1127" t="s">
        <v>975</v>
      </c>
      <c r="AC1127">
        <v>4671</v>
      </c>
      <c r="AD1127" t="s">
        <v>3208</v>
      </c>
      <c r="AE1127">
        <v>473892510</v>
      </c>
      <c r="AF1127" t="s">
        <v>979</v>
      </c>
      <c r="AG1127" t="s">
        <v>977</v>
      </c>
      <c r="AH1127" t="s">
        <v>977</v>
      </c>
      <c r="AI1127" t="s">
        <v>977</v>
      </c>
      <c r="AJ1127" t="s">
        <v>978</v>
      </c>
      <c r="AK1127" t="s">
        <v>978</v>
      </c>
      <c r="AL1127" t="s">
        <v>978</v>
      </c>
      <c r="AM1127" t="s">
        <v>979</v>
      </c>
      <c r="AN1127">
        <v>0</v>
      </c>
      <c r="AO1127" t="s">
        <v>257</v>
      </c>
      <c r="AP1127">
        <v>0</v>
      </c>
      <c r="AQ1127">
        <v>1</v>
      </c>
      <c r="AR1127">
        <v>69</v>
      </c>
      <c r="AS1127">
        <v>1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1</v>
      </c>
      <c r="AZ1127" t="s">
        <v>257</v>
      </c>
      <c r="BA1127" t="s">
        <v>980</v>
      </c>
      <c r="BB1127" t="s">
        <v>981</v>
      </c>
      <c r="BC1127" t="s">
        <v>257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 t="s">
        <v>998</v>
      </c>
      <c r="BK1127" t="s">
        <v>981</v>
      </c>
      <c r="BL1127" t="s">
        <v>7464</v>
      </c>
      <c r="BM1127">
        <v>20251020</v>
      </c>
      <c r="BN1127">
        <v>0</v>
      </c>
      <c r="BO1127">
        <v>0</v>
      </c>
      <c r="BP1127" t="s">
        <v>257</v>
      </c>
      <c r="BQ1127" t="s">
        <v>983</v>
      </c>
      <c r="BR1127" t="s">
        <v>978</v>
      </c>
      <c r="BS1127" t="s">
        <v>979</v>
      </c>
      <c r="BT1127">
        <v>0</v>
      </c>
      <c r="BU1127">
        <v>0</v>
      </c>
      <c r="BV1127" t="s">
        <v>984</v>
      </c>
      <c r="BW1127" t="s">
        <v>257</v>
      </c>
      <c r="BX1127">
        <v>0</v>
      </c>
      <c r="BY1127" t="s">
        <v>980</v>
      </c>
      <c r="BZ1127" t="s">
        <v>257</v>
      </c>
      <c r="CA1127">
        <v>0</v>
      </c>
      <c r="CB1127">
        <v>0</v>
      </c>
      <c r="CC1127" t="s">
        <v>2448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 t="s">
        <v>983</v>
      </c>
      <c r="CJ1127" t="s">
        <v>972</v>
      </c>
      <c r="CK1127" t="s">
        <v>986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 t="s">
        <v>987</v>
      </c>
      <c r="CV1127">
        <v>400011419</v>
      </c>
      <c r="CW1127" t="s">
        <v>987</v>
      </c>
      <c r="CX1127" t="s">
        <v>7467</v>
      </c>
      <c r="CY1127" t="s">
        <v>989</v>
      </c>
    </row>
    <row r="1128" spans="1:103" hidden="1" x14ac:dyDescent="0.25">
      <c r="A1128">
        <v>410001134</v>
      </c>
      <c r="B1128" t="s">
        <v>7552</v>
      </c>
      <c r="C1128" t="s">
        <v>7553</v>
      </c>
      <c r="D1128">
        <v>401100000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1</v>
      </c>
      <c r="Y1128" t="s">
        <v>972</v>
      </c>
      <c r="Z1128" t="s">
        <v>7554</v>
      </c>
      <c r="AA1128" t="s">
        <v>7555</v>
      </c>
      <c r="AB1128" t="s">
        <v>975</v>
      </c>
      <c r="AC1128">
        <v>4053</v>
      </c>
      <c r="AD1128" t="s">
        <v>2739</v>
      </c>
      <c r="AE1128">
        <v>3242293811</v>
      </c>
      <c r="AF1128" t="s">
        <v>979</v>
      </c>
      <c r="AG1128" t="s">
        <v>977</v>
      </c>
      <c r="AH1128" t="s">
        <v>977</v>
      </c>
      <c r="AI1128" t="s">
        <v>977</v>
      </c>
      <c r="AJ1128" t="s">
        <v>978</v>
      </c>
      <c r="AK1128" t="s">
        <v>978</v>
      </c>
      <c r="AL1128" t="s">
        <v>978</v>
      </c>
      <c r="AM1128" t="s">
        <v>979</v>
      </c>
      <c r="AN1128">
        <v>0</v>
      </c>
      <c r="AO1128" t="s">
        <v>257</v>
      </c>
      <c r="AP1128">
        <v>0</v>
      </c>
      <c r="AQ1128">
        <v>1</v>
      </c>
      <c r="AR1128">
        <v>69</v>
      </c>
      <c r="AS1128">
        <v>1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1</v>
      </c>
      <c r="AZ1128" t="s">
        <v>257</v>
      </c>
      <c r="BA1128" t="s">
        <v>980</v>
      </c>
      <c r="BB1128" t="s">
        <v>981</v>
      </c>
      <c r="BC1128" t="s">
        <v>257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 t="s">
        <v>998</v>
      </c>
      <c r="BK1128" t="s">
        <v>981</v>
      </c>
      <c r="BL1128" t="s">
        <v>7552</v>
      </c>
      <c r="BM1128">
        <v>20251029</v>
      </c>
      <c r="BN1128">
        <v>20251029</v>
      </c>
      <c r="BO1128">
        <v>0</v>
      </c>
      <c r="BP1128" t="s">
        <v>257</v>
      </c>
      <c r="BQ1128" t="s">
        <v>983</v>
      </c>
      <c r="BR1128" t="s">
        <v>978</v>
      </c>
      <c r="BS1128" t="s">
        <v>979</v>
      </c>
      <c r="BT1128">
        <v>0</v>
      </c>
      <c r="BU1128">
        <v>0</v>
      </c>
      <c r="BV1128" t="s">
        <v>984</v>
      </c>
      <c r="BW1128" t="s">
        <v>257</v>
      </c>
      <c r="BX1128">
        <v>0</v>
      </c>
      <c r="BY1128" t="s">
        <v>980</v>
      </c>
      <c r="BZ1128" t="s">
        <v>257</v>
      </c>
      <c r="CA1128">
        <v>0</v>
      </c>
      <c r="CB1128">
        <v>0</v>
      </c>
      <c r="CC1128" t="s">
        <v>2293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s">
        <v>983</v>
      </c>
      <c r="CJ1128" t="s">
        <v>972</v>
      </c>
      <c r="CK1128" t="s">
        <v>986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 t="s">
        <v>987</v>
      </c>
      <c r="CV1128">
        <v>400011134</v>
      </c>
      <c r="CW1128" t="s">
        <v>987</v>
      </c>
      <c r="CX1128" t="s">
        <v>7556</v>
      </c>
      <c r="CY1128" t="s">
        <v>989</v>
      </c>
    </row>
    <row r="1129" spans="1:103" hidden="1" x14ac:dyDescent="0.25">
      <c r="A1129">
        <v>410001135</v>
      </c>
      <c r="B1129" t="s">
        <v>7557</v>
      </c>
      <c r="C1129" t="s">
        <v>7558</v>
      </c>
      <c r="D1129">
        <v>401100000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1</v>
      </c>
      <c r="X1129">
        <v>1</v>
      </c>
      <c r="Y1129" t="s">
        <v>972</v>
      </c>
      <c r="Z1129" t="s">
        <v>987</v>
      </c>
      <c r="AA1129" t="s">
        <v>7559</v>
      </c>
      <c r="AB1129" t="s">
        <v>975</v>
      </c>
      <c r="AC1129">
        <v>4960</v>
      </c>
      <c r="AD1129" t="s">
        <v>1548</v>
      </c>
      <c r="AE1129">
        <v>3280570040</v>
      </c>
      <c r="AF1129" t="s">
        <v>979</v>
      </c>
      <c r="AG1129" t="s">
        <v>977</v>
      </c>
      <c r="AH1129" t="s">
        <v>977</v>
      </c>
      <c r="AI1129" t="s">
        <v>977</v>
      </c>
      <c r="AJ1129" t="s">
        <v>7560</v>
      </c>
      <c r="AK1129" t="s">
        <v>978</v>
      </c>
      <c r="AL1129" t="s">
        <v>978</v>
      </c>
      <c r="AM1129" t="s">
        <v>979</v>
      </c>
      <c r="AN1129">
        <v>0</v>
      </c>
      <c r="AO1129" t="s">
        <v>257</v>
      </c>
      <c r="AP1129">
        <v>0</v>
      </c>
      <c r="AQ1129">
        <v>1</v>
      </c>
      <c r="AR1129">
        <v>43</v>
      </c>
      <c r="AS1129">
        <v>1</v>
      </c>
      <c r="AT1129">
        <v>0</v>
      </c>
      <c r="AU1129">
        <v>1</v>
      </c>
      <c r="AV1129">
        <v>0</v>
      </c>
      <c r="AW1129">
        <v>0</v>
      </c>
      <c r="AX1129">
        <v>0</v>
      </c>
      <c r="AY1129">
        <v>1</v>
      </c>
      <c r="AZ1129" t="s">
        <v>257</v>
      </c>
      <c r="BA1129" t="s">
        <v>980</v>
      </c>
      <c r="BB1129" t="s">
        <v>981</v>
      </c>
      <c r="BC1129" t="s">
        <v>257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 t="s">
        <v>998</v>
      </c>
      <c r="BK1129" t="s">
        <v>981</v>
      </c>
      <c r="BL1129" t="s">
        <v>7557</v>
      </c>
      <c r="BM1129">
        <v>20251031</v>
      </c>
      <c r="BN1129">
        <v>20251031</v>
      </c>
      <c r="BO1129">
        <v>0</v>
      </c>
      <c r="BP1129" t="s">
        <v>257</v>
      </c>
      <c r="BQ1129" t="s">
        <v>983</v>
      </c>
      <c r="BR1129" t="s">
        <v>978</v>
      </c>
      <c r="BS1129" t="s">
        <v>979</v>
      </c>
      <c r="BT1129">
        <v>0</v>
      </c>
      <c r="BU1129">
        <v>0</v>
      </c>
      <c r="BV1129" t="s">
        <v>984</v>
      </c>
      <c r="BW1129" t="s">
        <v>257</v>
      </c>
      <c r="BX1129">
        <v>0</v>
      </c>
      <c r="BY1129" t="s">
        <v>980</v>
      </c>
      <c r="BZ1129" t="s">
        <v>257</v>
      </c>
      <c r="CA1129">
        <v>0</v>
      </c>
      <c r="CB1129">
        <v>0</v>
      </c>
      <c r="CC1129" t="s">
        <v>1901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 t="s">
        <v>983</v>
      </c>
      <c r="CJ1129" t="s">
        <v>972</v>
      </c>
      <c r="CK1129" t="s">
        <v>986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 t="s">
        <v>987</v>
      </c>
      <c r="CV1129">
        <v>400011437</v>
      </c>
      <c r="CW1129" t="s">
        <v>987</v>
      </c>
      <c r="CX1129" t="s">
        <v>7561</v>
      </c>
      <c r="CY1129" t="s">
        <v>989</v>
      </c>
    </row>
    <row r="1130" spans="1:103" hidden="1" x14ac:dyDescent="0.25">
      <c r="A1130">
        <v>410001136</v>
      </c>
      <c r="B1130" t="s">
        <v>7562</v>
      </c>
      <c r="C1130" t="s">
        <v>7563</v>
      </c>
      <c r="D1130">
        <v>401100000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1</v>
      </c>
      <c r="Y1130" t="s">
        <v>972</v>
      </c>
      <c r="Z1130" t="s">
        <v>987</v>
      </c>
      <c r="AA1130" t="s">
        <v>7564</v>
      </c>
      <c r="AB1130" t="s">
        <v>975</v>
      </c>
      <c r="AC1130">
        <v>4684</v>
      </c>
      <c r="AD1130" t="s">
        <v>7565</v>
      </c>
      <c r="AE1130">
        <v>3243748686</v>
      </c>
      <c r="AF1130" t="s">
        <v>979</v>
      </c>
      <c r="AG1130" t="s">
        <v>977</v>
      </c>
      <c r="AH1130" t="s">
        <v>977</v>
      </c>
      <c r="AI1130" t="s">
        <v>977</v>
      </c>
      <c r="AJ1130" t="s">
        <v>978</v>
      </c>
      <c r="AK1130" t="s">
        <v>978</v>
      </c>
      <c r="AL1130" t="s">
        <v>978</v>
      </c>
      <c r="AM1130" t="s">
        <v>979</v>
      </c>
      <c r="AN1130">
        <v>0</v>
      </c>
      <c r="AO1130" t="s">
        <v>257</v>
      </c>
      <c r="AP1130">
        <v>0</v>
      </c>
      <c r="AQ1130">
        <v>1</v>
      </c>
      <c r="AR1130">
        <v>43</v>
      </c>
      <c r="AS1130">
        <v>1</v>
      </c>
      <c r="AT1130">
        <v>0</v>
      </c>
      <c r="AU1130">
        <v>1</v>
      </c>
      <c r="AV1130">
        <v>0</v>
      </c>
      <c r="AW1130">
        <v>0</v>
      </c>
      <c r="AX1130">
        <v>0</v>
      </c>
      <c r="AY1130">
        <v>1</v>
      </c>
      <c r="AZ1130" t="s">
        <v>257</v>
      </c>
      <c r="BA1130" t="s">
        <v>980</v>
      </c>
      <c r="BB1130" t="s">
        <v>259</v>
      </c>
      <c r="BC1130" t="s">
        <v>257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 t="s">
        <v>998</v>
      </c>
      <c r="BK1130" t="s">
        <v>981</v>
      </c>
      <c r="BL1130" t="s">
        <v>7562</v>
      </c>
      <c r="BM1130">
        <v>20251031</v>
      </c>
      <c r="BN1130">
        <v>20251202</v>
      </c>
      <c r="BO1130">
        <v>20251202</v>
      </c>
      <c r="BP1130" t="s">
        <v>257</v>
      </c>
      <c r="BQ1130" t="s">
        <v>983</v>
      </c>
      <c r="BR1130" t="s">
        <v>978</v>
      </c>
      <c r="BS1130" t="s">
        <v>979</v>
      </c>
      <c r="BT1130">
        <v>0</v>
      </c>
      <c r="BU1130">
        <v>0</v>
      </c>
      <c r="BV1130" t="s">
        <v>984</v>
      </c>
      <c r="BW1130" t="s">
        <v>257</v>
      </c>
      <c r="BX1130">
        <v>0</v>
      </c>
      <c r="BY1130" t="s">
        <v>980</v>
      </c>
      <c r="BZ1130" t="s">
        <v>257</v>
      </c>
      <c r="CA1130">
        <v>0</v>
      </c>
      <c r="CB1130">
        <v>0</v>
      </c>
      <c r="CC1130" t="s">
        <v>1507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 t="s">
        <v>983</v>
      </c>
      <c r="CJ1130" t="s">
        <v>972</v>
      </c>
      <c r="CK1130" t="s">
        <v>986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 t="s">
        <v>987</v>
      </c>
      <c r="CV1130">
        <v>400011439</v>
      </c>
      <c r="CW1130" t="s">
        <v>987</v>
      </c>
      <c r="CX1130" t="s">
        <v>7566</v>
      </c>
      <c r="CY1130" t="s">
        <v>989</v>
      </c>
    </row>
    <row r="1131" spans="1:103" hidden="1" x14ac:dyDescent="0.25">
      <c r="A1131">
        <v>410001137</v>
      </c>
      <c r="B1131" t="s">
        <v>7577</v>
      </c>
      <c r="C1131" t="s">
        <v>7578</v>
      </c>
      <c r="D1131">
        <v>401100000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1</v>
      </c>
      <c r="X1131">
        <v>1</v>
      </c>
      <c r="Y1131" t="s">
        <v>972</v>
      </c>
      <c r="Z1131" t="s">
        <v>987</v>
      </c>
      <c r="AA1131" t="s">
        <v>7579</v>
      </c>
      <c r="AB1131" t="s">
        <v>975</v>
      </c>
      <c r="AC1131">
        <v>4031</v>
      </c>
      <c r="AD1131" t="s">
        <v>1283</v>
      </c>
      <c r="AE1131">
        <v>3243653968</v>
      </c>
      <c r="AF1131" t="s">
        <v>979</v>
      </c>
      <c r="AG1131" t="s">
        <v>977</v>
      </c>
      <c r="AH1131" t="s">
        <v>977</v>
      </c>
      <c r="AI1131" t="s">
        <v>977</v>
      </c>
      <c r="AJ1131" t="s">
        <v>978</v>
      </c>
      <c r="AK1131" t="s">
        <v>978</v>
      </c>
      <c r="AL1131" t="s">
        <v>978</v>
      </c>
      <c r="AM1131" t="s">
        <v>979</v>
      </c>
      <c r="AN1131">
        <v>0</v>
      </c>
      <c r="AO1131" t="s">
        <v>257</v>
      </c>
      <c r="AP1131">
        <v>0</v>
      </c>
      <c r="AQ1131">
        <v>1</v>
      </c>
      <c r="AR1131">
        <v>69</v>
      </c>
      <c r="AS1131">
        <v>1</v>
      </c>
      <c r="AT1131">
        <v>0</v>
      </c>
      <c r="AU1131">
        <v>1</v>
      </c>
      <c r="AV1131">
        <v>0</v>
      </c>
      <c r="AW1131">
        <v>0</v>
      </c>
      <c r="AX1131">
        <v>0</v>
      </c>
      <c r="AY1131">
        <v>1</v>
      </c>
      <c r="AZ1131" t="s">
        <v>257</v>
      </c>
      <c r="BA1131" t="s">
        <v>257</v>
      </c>
      <c r="BB1131" t="s">
        <v>981</v>
      </c>
      <c r="BC1131" t="s">
        <v>257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 t="s">
        <v>998</v>
      </c>
      <c r="BK1131" t="s">
        <v>981</v>
      </c>
      <c r="BL1131" t="s">
        <v>7577</v>
      </c>
      <c r="BM1131">
        <v>20251105</v>
      </c>
      <c r="BN1131">
        <v>20251106</v>
      </c>
      <c r="BO1131">
        <v>0</v>
      </c>
      <c r="BP1131" t="s">
        <v>257</v>
      </c>
      <c r="BQ1131" t="s">
        <v>983</v>
      </c>
      <c r="BR1131" t="s">
        <v>978</v>
      </c>
      <c r="BS1131" t="s">
        <v>979</v>
      </c>
      <c r="BT1131">
        <v>0</v>
      </c>
      <c r="BU1131">
        <v>0</v>
      </c>
      <c r="BV1131" t="s">
        <v>984</v>
      </c>
      <c r="BW1131" t="s">
        <v>257</v>
      </c>
      <c r="BX1131">
        <v>0</v>
      </c>
      <c r="BY1131" t="s">
        <v>980</v>
      </c>
      <c r="BZ1131" t="s">
        <v>257</v>
      </c>
      <c r="CA1131">
        <v>0</v>
      </c>
      <c r="CB1131">
        <v>0</v>
      </c>
      <c r="CC1131" t="s">
        <v>1391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 t="s">
        <v>983</v>
      </c>
      <c r="CJ1131" t="s">
        <v>972</v>
      </c>
      <c r="CK1131" t="s">
        <v>986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 t="s">
        <v>987</v>
      </c>
      <c r="CV1131">
        <v>400011450</v>
      </c>
      <c r="CW1131" t="s">
        <v>987</v>
      </c>
      <c r="CX1131" t="s">
        <v>7580</v>
      </c>
      <c r="CY1131" t="s">
        <v>989</v>
      </c>
    </row>
    <row r="1132" spans="1:103" hidden="1" x14ac:dyDescent="0.25">
      <c r="A1132">
        <v>410001138</v>
      </c>
      <c r="B1132" t="s">
        <v>7581</v>
      </c>
      <c r="C1132" t="s">
        <v>7582</v>
      </c>
      <c r="D1132">
        <v>401100000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4</v>
      </c>
      <c r="W1132">
        <v>1</v>
      </c>
      <c r="X1132">
        <v>1</v>
      </c>
      <c r="Y1132" t="s">
        <v>972</v>
      </c>
      <c r="Z1132" t="s">
        <v>987</v>
      </c>
      <c r="AA1132" t="s">
        <v>7583</v>
      </c>
      <c r="AB1132" t="s">
        <v>975</v>
      </c>
      <c r="AC1132">
        <v>1060</v>
      </c>
      <c r="AD1132" t="s">
        <v>3708</v>
      </c>
      <c r="AE1132">
        <v>3222120221</v>
      </c>
      <c r="AF1132" t="s">
        <v>979</v>
      </c>
      <c r="AG1132" t="s">
        <v>977</v>
      </c>
      <c r="AH1132" t="s">
        <v>977</v>
      </c>
      <c r="AI1132" t="s">
        <v>977</v>
      </c>
      <c r="AJ1132" t="s">
        <v>7584</v>
      </c>
      <c r="AK1132" t="s">
        <v>978</v>
      </c>
      <c r="AL1132" t="s">
        <v>978</v>
      </c>
      <c r="AM1132" t="s">
        <v>979</v>
      </c>
      <c r="AN1132">
        <v>0</v>
      </c>
      <c r="AO1132" t="s">
        <v>257</v>
      </c>
      <c r="AP1132">
        <v>0</v>
      </c>
      <c r="AQ1132">
        <v>1</v>
      </c>
      <c r="AR1132">
        <v>69</v>
      </c>
      <c r="AS1132">
        <v>1</v>
      </c>
      <c r="AT1132">
        <v>0</v>
      </c>
      <c r="AU1132">
        <v>1</v>
      </c>
      <c r="AV1132">
        <v>0</v>
      </c>
      <c r="AW1132">
        <v>0</v>
      </c>
      <c r="AX1132">
        <v>0</v>
      </c>
      <c r="AY1132">
        <v>1</v>
      </c>
      <c r="AZ1132" t="s">
        <v>257</v>
      </c>
      <c r="BA1132" t="s">
        <v>980</v>
      </c>
      <c r="BB1132" t="s">
        <v>981</v>
      </c>
      <c r="BC1132" t="s">
        <v>257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 t="s">
        <v>998</v>
      </c>
      <c r="BK1132" t="s">
        <v>981</v>
      </c>
      <c r="BL1132" t="s">
        <v>7581</v>
      </c>
      <c r="BM1132">
        <v>20251105</v>
      </c>
      <c r="BN1132">
        <v>20251106</v>
      </c>
      <c r="BO1132">
        <v>0</v>
      </c>
      <c r="BP1132" t="s">
        <v>257</v>
      </c>
      <c r="BQ1132" t="s">
        <v>983</v>
      </c>
      <c r="BR1132" t="s">
        <v>978</v>
      </c>
      <c r="BS1132" t="s">
        <v>979</v>
      </c>
      <c r="BT1132">
        <v>0</v>
      </c>
      <c r="BU1132">
        <v>0</v>
      </c>
      <c r="BV1132" t="s">
        <v>984</v>
      </c>
      <c r="BW1132" t="s">
        <v>257</v>
      </c>
      <c r="BX1132">
        <v>0</v>
      </c>
      <c r="BY1132" t="s">
        <v>980</v>
      </c>
      <c r="BZ1132" t="s">
        <v>257</v>
      </c>
      <c r="CA1132">
        <v>0</v>
      </c>
      <c r="CB1132">
        <v>0</v>
      </c>
      <c r="CC1132" t="s">
        <v>1901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 t="s">
        <v>983</v>
      </c>
      <c r="CJ1132" t="s">
        <v>972</v>
      </c>
      <c r="CK1132" t="s">
        <v>986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 t="s">
        <v>987</v>
      </c>
      <c r="CV1132">
        <v>400011451</v>
      </c>
      <c r="CW1132" t="s">
        <v>987</v>
      </c>
      <c r="CX1132" t="s">
        <v>7585</v>
      </c>
      <c r="CY1132" t="s">
        <v>989</v>
      </c>
    </row>
    <row r="1133" spans="1:103" hidden="1" x14ac:dyDescent="0.25">
      <c r="A1133">
        <v>410001139</v>
      </c>
      <c r="B1133" t="s">
        <v>7586</v>
      </c>
      <c r="C1133" t="s">
        <v>7587</v>
      </c>
      <c r="D1133">
        <v>401100000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1</v>
      </c>
      <c r="Y1133" t="s">
        <v>972</v>
      </c>
      <c r="Z1133" t="s">
        <v>4834</v>
      </c>
      <c r="AA1133" t="s">
        <v>7588</v>
      </c>
      <c r="AB1133" t="s">
        <v>975</v>
      </c>
      <c r="AC1133">
        <v>4671</v>
      </c>
      <c r="AD1133" t="s">
        <v>3208</v>
      </c>
      <c r="AE1133">
        <v>32483088728</v>
      </c>
      <c r="AF1133" t="s">
        <v>979</v>
      </c>
      <c r="AG1133" t="s">
        <v>977</v>
      </c>
      <c r="AH1133" t="s">
        <v>977</v>
      </c>
      <c r="AI1133" t="s">
        <v>977</v>
      </c>
      <c r="AJ1133" t="s">
        <v>978</v>
      </c>
      <c r="AK1133" t="s">
        <v>978</v>
      </c>
      <c r="AL1133" t="s">
        <v>978</v>
      </c>
      <c r="AM1133" t="s">
        <v>979</v>
      </c>
      <c r="AN1133">
        <v>0</v>
      </c>
      <c r="AO1133" t="s">
        <v>257</v>
      </c>
      <c r="AP1133">
        <v>0</v>
      </c>
      <c r="AQ1133">
        <v>1</v>
      </c>
      <c r="AR1133">
        <v>43</v>
      </c>
      <c r="AS1133">
        <v>1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1</v>
      </c>
      <c r="AZ1133" t="s">
        <v>257</v>
      </c>
      <c r="BA1133" t="s">
        <v>980</v>
      </c>
      <c r="BB1133" t="s">
        <v>981</v>
      </c>
      <c r="BC1133" t="s">
        <v>257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 t="s">
        <v>998</v>
      </c>
      <c r="BK1133" t="s">
        <v>981</v>
      </c>
      <c r="BL1133" t="s">
        <v>7586</v>
      </c>
      <c r="BM1133">
        <v>20251106</v>
      </c>
      <c r="BN1133">
        <v>0</v>
      </c>
      <c r="BO1133">
        <v>0</v>
      </c>
      <c r="BP1133" t="s">
        <v>257</v>
      </c>
      <c r="BQ1133" t="s">
        <v>983</v>
      </c>
      <c r="BR1133" t="s">
        <v>978</v>
      </c>
      <c r="BS1133" t="s">
        <v>979</v>
      </c>
      <c r="BT1133">
        <v>0</v>
      </c>
      <c r="BU1133">
        <v>0</v>
      </c>
      <c r="BV1133" t="s">
        <v>984</v>
      </c>
      <c r="BW1133" t="s">
        <v>257</v>
      </c>
      <c r="BX1133">
        <v>0</v>
      </c>
      <c r="BY1133" t="s">
        <v>980</v>
      </c>
      <c r="BZ1133" t="s">
        <v>257</v>
      </c>
      <c r="CA1133">
        <v>0</v>
      </c>
      <c r="CB1133">
        <v>0</v>
      </c>
      <c r="CC1133" t="s">
        <v>2498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s">
        <v>983</v>
      </c>
      <c r="CJ1133" t="s">
        <v>972</v>
      </c>
      <c r="CK1133" t="s">
        <v>986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 t="s">
        <v>987</v>
      </c>
      <c r="CV1133">
        <v>400011453</v>
      </c>
      <c r="CW1133" t="s">
        <v>987</v>
      </c>
      <c r="CX1133" t="s">
        <v>7589</v>
      </c>
      <c r="CY1133" t="s">
        <v>989</v>
      </c>
    </row>
    <row r="1134" spans="1:103" hidden="1" x14ac:dyDescent="0.25">
      <c r="A1134">
        <v>410001140</v>
      </c>
      <c r="B1134" t="s">
        <v>7590</v>
      </c>
      <c r="C1134" t="s">
        <v>978</v>
      </c>
      <c r="D1134">
        <v>401100000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4</v>
      </c>
      <c r="W1134">
        <v>1</v>
      </c>
      <c r="X1134">
        <v>1</v>
      </c>
      <c r="Y1134" t="s">
        <v>972</v>
      </c>
      <c r="Z1134" t="s">
        <v>987</v>
      </c>
      <c r="AA1134" t="s">
        <v>7591</v>
      </c>
      <c r="AB1134" t="s">
        <v>975</v>
      </c>
      <c r="AC1134">
        <v>4400</v>
      </c>
      <c r="AD1134" t="s">
        <v>1237</v>
      </c>
      <c r="AE1134" t="s">
        <v>979</v>
      </c>
      <c r="AF1134" t="s">
        <v>979</v>
      </c>
      <c r="AG1134" t="s">
        <v>977</v>
      </c>
      <c r="AH1134" t="s">
        <v>977</v>
      </c>
      <c r="AI1134" t="s">
        <v>977</v>
      </c>
      <c r="AJ1134" t="s">
        <v>978</v>
      </c>
      <c r="AK1134" t="s">
        <v>978</v>
      </c>
      <c r="AL1134" t="s">
        <v>978</v>
      </c>
      <c r="AM1134" t="s">
        <v>979</v>
      </c>
      <c r="AN1134">
        <v>0</v>
      </c>
      <c r="AO1134" t="s">
        <v>257</v>
      </c>
      <c r="AP1134">
        <v>0</v>
      </c>
      <c r="AQ1134">
        <v>1</v>
      </c>
      <c r="AR1134">
        <v>43</v>
      </c>
      <c r="AS1134">
        <v>1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>
        <v>1</v>
      </c>
      <c r="AZ1134" t="s">
        <v>257</v>
      </c>
      <c r="BA1134" t="s">
        <v>980</v>
      </c>
      <c r="BB1134" t="s">
        <v>981</v>
      </c>
      <c r="BC1134" t="s">
        <v>257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 t="s">
        <v>998</v>
      </c>
      <c r="BK1134" t="s">
        <v>981</v>
      </c>
      <c r="BL1134" t="s">
        <v>7590</v>
      </c>
      <c r="BM1134">
        <v>20251106</v>
      </c>
      <c r="BN1134">
        <v>20251110</v>
      </c>
      <c r="BO1134">
        <v>0</v>
      </c>
      <c r="BP1134" t="s">
        <v>257</v>
      </c>
      <c r="BQ1134" t="s">
        <v>983</v>
      </c>
      <c r="BR1134" t="s">
        <v>978</v>
      </c>
      <c r="BS1134" t="s">
        <v>979</v>
      </c>
      <c r="BT1134">
        <v>0</v>
      </c>
      <c r="BU1134">
        <v>0</v>
      </c>
      <c r="BV1134" t="s">
        <v>984</v>
      </c>
      <c r="BW1134" t="s">
        <v>257</v>
      </c>
      <c r="BX1134">
        <v>0</v>
      </c>
      <c r="BY1134" t="s">
        <v>980</v>
      </c>
      <c r="BZ1134" t="s">
        <v>257</v>
      </c>
      <c r="CA1134">
        <v>0</v>
      </c>
      <c r="CB1134">
        <v>0</v>
      </c>
      <c r="CC1134" t="s">
        <v>985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 t="s">
        <v>983</v>
      </c>
      <c r="CJ1134" t="s">
        <v>972</v>
      </c>
      <c r="CK1134" t="s">
        <v>986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 t="s">
        <v>987</v>
      </c>
      <c r="CV1134">
        <v>400011456</v>
      </c>
      <c r="CW1134" t="s">
        <v>987</v>
      </c>
      <c r="CX1134" t="s">
        <v>7592</v>
      </c>
      <c r="CY1134" t="s">
        <v>989</v>
      </c>
    </row>
    <row r="1135" spans="1:103" hidden="1" x14ac:dyDescent="0.25">
      <c r="A1135">
        <v>410001141</v>
      </c>
      <c r="B1135" t="s">
        <v>7594</v>
      </c>
      <c r="C1135" t="s">
        <v>7595</v>
      </c>
      <c r="D1135">
        <v>401100000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1</v>
      </c>
      <c r="X1135">
        <v>1</v>
      </c>
      <c r="Y1135" t="s">
        <v>972</v>
      </c>
      <c r="Z1135" t="s">
        <v>987</v>
      </c>
      <c r="AA1135" t="s">
        <v>7596</v>
      </c>
      <c r="AB1135" t="s">
        <v>975</v>
      </c>
      <c r="AC1135">
        <v>4280</v>
      </c>
      <c r="AD1135" t="s">
        <v>1743</v>
      </c>
      <c r="AE1135" t="s">
        <v>979</v>
      </c>
      <c r="AF1135" t="s">
        <v>979</v>
      </c>
      <c r="AG1135" t="s">
        <v>977</v>
      </c>
      <c r="AH1135" t="s">
        <v>7597</v>
      </c>
      <c r="AI1135">
        <v>46160</v>
      </c>
      <c r="AJ1135" t="s">
        <v>978</v>
      </c>
      <c r="AK1135" t="s">
        <v>7598</v>
      </c>
      <c r="AL1135" t="s">
        <v>978</v>
      </c>
      <c r="AM1135" t="s">
        <v>979</v>
      </c>
      <c r="AN1135">
        <v>0</v>
      </c>
      <c r="AO1135" t="s">
        <v>257</v>
      </c>
      <c r="AP1135">
        <v>0</v>
      </c>
      <c r="AQ1135">
        <v>1</v>
      </c>
      <c r="AR1135">
        <v>69</v>
      </c>
      <c r="AS1135">
        <v>1</v>
      </c>
      <c r="AT1135">
        <v>0</v>
      </c>
      <c r="AU1135">
        <v>1</v>
      </c>
      <c r="AV1135">
        <v>0</v>
      </c>
      <c r="AW1135">
        <v>0</v>
      </c>
      <c r="AX1135">
        <v>0</v>
      </c>
      <c r="AY1135">
        <v>1</v>
      </c>
      <c r="AZ1135" t="s">
        <v>257</v>
      </c>
      <c r="BA1135" t="s">
        <v>980</v>
      </c>
      <c r="BB1135" t="s">
        <v>981</v>
      </c>
      <c r="BC1135" t="s">
        <v>257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 t="s">
        <v>998</v>
      </c>
      <c r="BK1135" t="s">
        <v>981</v>
      </c>
      <c r="BL1135" t="s">
        <v>7594</v>
      </c>
      <c r="BM1135">
        <v>20251110</v>
      </c>
      <c r="BN1135">
        <v>20251111</v>
      </c>
      <c r="BO1135">
        <v>0</v>
      </c>
      <c r="BP1135" t="s">
        <v>257</v>
      </c>
      <c r="BQ1135" t="s">
        <v>983</v>
      </c>
      <c r="BR1135" t="s">
        <v>978</v>
      </c>
      <c r="BS1135" t="s">
        <v>979</v>
      </c>
      <c r="BT1135">
        <v>0</v>
      </c>
      <c r="BU1135">
        <v>0</v>
      </c>
      <c r="BV1135" t="s">
        <v>984</v>
      </c>
      <c r="BW1135" t="s">
        <v>257</v>
      </c>
      <c r="BX1135">
        <v>0</v>
      </c>
      <c r="BY1135" t="s">
        <v>980</v>
      </c>
      <c r="BZ1135" t="s">
        <v>257</v>
      </c>
      <c r="CA1135">
        <v>0</v>
      </c>
      <c r="CB1135">
        <v>0</v>
      </c>
      <c r="CC1135" t="s">
        <v>1901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 t="s">
        <v>983</v>
      </c>
      <c r="CJ1135" t="s">
        <v>972</v>
      </c>
      <c r="CK1135" t="s">
        <v>986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 t="s">
        <v>987</v>
      </c>
      <c r="CV1135">
        <v>400011460</v>
      </c>
      <c r="CW1135" t="s">
        <v>987</v>
      </c>
      <c r="CX1135" t="s">
        <v>7599</v>
      </c>
      <c r="CY1135" t="s">
        <v>989</v>
      </c>
    </row>
    <row r="1136" spans="1:103" hidden="1" x14ac:dyDescent="0.25">
      <c r="A1136">
        <v>410001142</v>
      </c>
      <c r="B1136" t="s">
        <v>7602</v>
      </c>
      <c r="C1136" t="s">
        <v>7603</v>
      </c>
      <c r="D1136">
        <v>401100000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1</v>
      </c>
      <c r="X1136">
        <v>1</v>
      </c>
      <c r="Y1136" t="s">
        <v>972</v>
      </c>
      <c r="Z1136" t="s">
        <v>987</v>
      </c>
      <c r="AA1136" t="s">
        <v>7604</v>
      </c>
      <c r="AB1136" t="s">
        <v>975</v>
      </c>
      <c r="AC1136">
        <v>4877</v>
      </c>
      <c r="AD1136" t="s">
        <v>1322</v>
      </c>
      <c r="AE1136">
        <v>478737194</v>
      </c>
      <c r="AF1136" t="s">
        <v>979</v>
      </c>
      <c r="AG1136" t="s">
        <v>977</v>
      </c>
      <c r="AH1136">
        <v>744876559</v>
      </c>
      <c r="AI1136">
        <v>62900</v>
      </c>
      <c r="AJ1136" t="s">
        <v>978</v>
      </c>
      <c r="AK1136" t="s">
        <v>978</v>
      </c>
      <c r="AL1136" t="s">
        <v>978</v>
      </c>
      <c r="AM1136" t="s">
        <v>979</v>
      </c>
      <c r="AN1136">
        <v>0</v>
      </c>
      <c r="AO1136" t="s">
        <v>257</v>
      </c>
      <c r="AP1136">
        <v>0</v>
      </c>
      <c r="AQ1136">
        <v>1</v>
      </c>
      <c r="AR1136">
        <v>11</v>
      </c>
      <c r="AS1136">
        <v>1</v>
      </c>
      <c r="AT1136">
        <v>0</v>
      </c>
      <c r="AU1136">
        <v>1</v>
      </c>
      <c r="AV1136">
        <v>0</v>
      </c>
      <c r="AW1136">
        <v>0</v>
      </c>
      <c r="AX1136">
        <v>0</v>
      </c>
      <c r="AY1136">
        <v>1</v>
      </c>
      <c r="AZ1136" t="s">
        <v>257</v>
      </c>
      <c r="BA1136" t="s">
        <v>257</v>
      </c>
      <c r="BB1136" t="s">
        <v>981</v>
      </c>
      <c r="BC1136" t="s">
        <v>257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 t="s">
        <v>998</v>
      </c>
      <c r="BK1136" t="s">
        <v>981</v>
      </c>
      <c r="BL1136" t="s">
        <v>7602</v>
      </c>
      <c r="BM1136">
        <v>20251114</v>
      </c>
      <c r="BN1136">
        <v>20251114</v>
      </c>
      <c r="BO1136">
        <v>0</v>
      </c>
      <c r="BP1136" t="s">
        <v>257</v>
      </c>
      <c r="BQ1136" t="s">
        <v>983</v>
      </c>
      <c r="BR1136" t="s">
        <v>978</v>
      </c>
      <c r="BS1136" t="s">
        <v>979</v>
      </c>
      <c r="BT1136">
        <v>0</v>
      </c>
      <c r="BU1136">
        <v>0</v>
      </c>
      <c r="BV1136" t="s">
        <v>984</v>
      </c>
      <c r="BW1136" t="s">
        <v>257</v>
      </c>
      <c r="BX1136">
        <v>0</v>
      </c>
      <c r="BY1136" t="s">
        <v>980</v>
      </c>
      <c r="BZ1136" t="s">
        <v>257</v>
      </c>
      <c r="CA1136">
        <v>0</v>
      </c>
      <c r="CB1136">
        <v>0</v>
      </c>
      <c r="CC1136" t="s">
        <v>1391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 t="s">
        <v>983</v>
      </c>
      <c r="CJ1136" t="s">
        <v>972</v>
      </c>
      <c r="CK1136" t="s">
        <v>986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 t="s">
        <v>987</v>
      </c>
      <c r="CV1136">
        <v>400011471</v>
      </c>
      <c r="CW1136" t="s">
        <v>987</v>
      </c>
      <c r="CX1136" t="s">
        <v>7605</v>
      </c>
      <c r="CY1136" t="s">
        <v>989</v>
      </c>
    </row>
    <row r="1137" spans="1:103" hidden="1" x14ac:dyDescent="0.25">
      <c r="A1137">
        <v>410001143</v>
      </c>
      <c r="B1137" t="s">
        <v>7627</v>
      </c>
      <c r="C1137" t="s">
        <v>7606</v>
      </c>
      <c r="D1137">
        <v>401100000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1</v>
      </c>
      <c r="X1137">
        <v>1</v>
      </c>
      <c r="Y1137" t="s">
        <v>972</v>
      </c>
      <c r="Z1137" t="s">
        <v>987</v>
      </c>
      <c r="AA1137" t="s">
        <v>7607</v>
      </c>
      <c r="AB1137" t="s">
        <v>975</v>
      </c>
      <c r="AC1137">
        <v>4800</v>
      </c>
      <c r="AD1137" t="s">
        <v>1124</v>
      </c>
      <c r="AE1137">
        <v>472620087</v>
      </c>
      <c r="AF1137" t="s">
        <v>979</v>
      </c>
      <c r="AG1137" t="s">
        <v>977</v>
      </c>
      <c r="AH1137">
        <v>692679572</v>
      </c>
      <c r="AI1137">
        <v>47120</v>
      </c>
      <c r="AJ1137" t="s">
        <v>978</v>
      </c>
      <c r="AK1137" t="s">
        <v>978</v>
      </c>
      <c r="AL1137" t="s">
        <v>978</v>
      </c>
      <c r="AM1137" t="s">
        <v>979</v>
      </c>
      <c r="AN1137">
        <v>0</v>
      </c>
      <c r="AO1137" t="s">
        <v>257</v>
      </c>
      <c r="AP1137">
        <v>0</v>
      </c>
      <c r="AQ1137">
        <v>1</v>
      </c>
      <c r="AR1137">
        <v>69</v>
      </c>
      <c r="AS1137">
        <v>1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1</v>
      </c>
      <c r="AZ1137" t="s">
        <v>257</v>
      </c>
      <c r="BA1137" t="s">
        <v>257</v>
      </c>
      <c r="BB1137" t="s">
        <v>981</v>
      </c>
      <c r="BC1137" t="s">
        <v>257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 t="s">
        <v>998</v>
      </c>
      <c r="BK1137" t="s">
        <v>981</v>
      </c>
      <c r="BL1137" t="s">
        <v>7627</v>
      </c>
      <c r="BM1137">
        <v>20251114</v>
      </c>
      <c r="BN1137">
        <v>20251120</v>
      </c>
      <c r="BO1137">
        <v>0</v>
      </c>
      <c r="BP1137" t="s">
        <v>257</v>
      </c>
      <c r="BQ1137" t="s">
        <v>983</v>
      </c>
      <c r="BR1137" t="s">
        <v>978</v>
      </c>
      <c r="BS1137" t="s">
        <v>979</v>
      </c>
      <c r="BT1137">
        <v>0</v>
      </c>
      <c r="BU1137">
        <v>0</v>
      </c>
      <c r="BV1137" t="s">
        <v>984</v>
      </c>
      <c r="BW1137" t="s">
        <v>257</v>
      </c>
      <c r="BX1137">
        <v>0</v>
      </c>
      <c r="BY1137" t="s">
        <v>980</v>
      </c>
      <c r="BZ1137" t="s">
        <v>257</v>
      </c>
      <c r="CA1137">
        <v>0</v>
      </c>
      <c r="CB1137">
        <v>0</v>
      </c>
      <c r="CC1137" t="s">
        <v>1161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 t="s">
        <v>983</v>
      </c>
      <c r="CJ1137" t="s">
        <v>972</v>
      </c>
      <c r="CK1137" t="s">
        <v>986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 t="s">
        <v>987</v>
      </c>
      <c r="CV1137">
        <v>400011473</v>
      </c>
      <c r="CW1137" t="s">
        <v>987</v>
      </c>
      <c r="CX1137" t="s">
        <v>7608</v>
      </c>
      <c r="CY1137" t="s">
        <v>989</v>
      </c>
    </row>
    <row r="1138" spans="1:103" hidden="1" x14ac:dyDescent="0.25">
      <c r="A1138">
        <v>410001144</v>
      </c>
      <c r="B1138" t="s">
        <v>7610</v>
      </c>
      <c r="C1138" t="s">
        <v>7611</v>
      </c>
      <c r="D1138">
        <v>401100000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1</v>
      </c>
      <c r="X1138">
        <v>1</v>
      </c>
      <c r="Y1138" t="s">
        <v>972</v>
      </c>
      <c r="Z1138" t="s">
        <v>987</v>
      </c>
      <c r="AA1138" t="s">
        <v>7258</v>
      </c>
      <c r="AB1138" t="s">
        <v>975</v>
      </c>
      <c r="AC1138">
        <v>4000</v>
      </c>
      <c r="AD1138" t="s">
        <v>1019</v>
      </c>
      <c r="AE1138">
        <v>497212471</v>
      </c>
      <c r="AF1138" t="s">
        <v>979</v>
      </c>
      <c r="AG1138" t="s">
        <v>977</v>
      </c>
      <c r="AH1138" t="s">
        <v>977</v>
      </c>
      <c r="AI1138" t="s">
        <v>977</v>
      </c>
      <c r="AJ1138" t="s">
        <v>978</v>
      </c>
      <c r="AK1138" t="s">
        <v>978</v>
      </c>
      <c r="AL1138" t="s">
        <v>978</v>
      </c>
      <c r="AM1138" t="s">
        <v>979</v>
      </c>
      <c r="AN1138">
        <v>0</v>
      </c>
      <c r="AO1138" t="s">
        <v>257</v>
      </c>
      <c r="AP1138">
        <v>0</v>
      </c>
      <c r="AQ1138">
        <v>1</v>
      </c>
      <c r="AR1138">
        <v>69</v>
      </c>
      <c r="AS1138">
        <v>1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1</v>
      </c>
      <c r="AZ1138" t="s">
        <v>257</v>
      </c>
      <c r="BA1138" t="s">
        <v>980</v>
      </c>
      <c r="BB1138" t="s">
        <v>981</v>
      </c>
      <c r="BC1138" t="s">
        <v>257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 t="s">
        <v>998</v>
      </c>
      <c r="BK1138" t="s">
        <v>981</v>
      </c>
      <c r="BL1138" t="s">
        <v>7610</v>
      </c>
      <c r="BM1138">
        <v>20251118</v>
      </c>
      <c r="BN1138">
        <v>20251118</v>
      </c>
      <c r="BO1138">
        <v>0</v>
      </c>
      <c r="BP1138" t="s">
        <v>257</v>
      </c>
      <c r="BQ1138" t="s">
        <v>983</v>
      </c>
      <c r="BR1138" t="s">
        <v>978</v>
      </c>
      <c r="BS1138" t="s">
        <v>979</v>
      </c>
      <c r="BT1138">
        <v>0</v>
      </c>
      <c r="BU1138">
        <v>0</v>
      </c>
      <c r="BV1138" t="s">
        <v>984</v>
      </c>
      <c r="BW1138" t="s">
        <v>257</v>
      </c>
      <c r="BX1138">
        <v>0</v>
      </c>
      <c r="BY1138" t="s">
        <v>980</v>
      </c>
      <c r="BZ1138" t="s">
        <v>257</v>
      </c>
      <c r="CA1138">
        <v>0</v>
      </c>
      <c r="CB1138">
        <v>0</v>
      </c>
      <c r="CC1138" t="s">
        <v>1848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 t="s">
        <v>983</v>
      </c>
      <c r="CJ1138" t="s">
        <v>972</v>
      </c>
      <c r="CK1138" t="s">
        <v>986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 t="s">
        <v>987</v>
      </c>
      <c r="CV1138">
        <v>400011474</v>
      </c>
      <c r="CW1138" t="s">
        <v>987</v>
      </c>
      <c r="CX1138" t="s">
        <v>7612</v>
      </c>
      <c r="CY1138" t="s">
        <v>989</v>
      </c>
    </row>
    <row r="1139" spans="1:103" hidden="1" x14ac:dyDescent="0.25">
      <c r="A1139">
        <v>410001145</v>
      </c>
      <c r="B1139" t="s">
        <v>7613</v>
      </c>
      <c r="C1139" t="s">
        <v>7614</v>
      </c>
      <c r="D1139">
        <v>401100000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1</v>
      </c>
      <c r="Y1139" t="s">
        <v>972</v>
      </c>
      <c r="Z1139" t="s">
        <v>987</v>
      </c>
      <c r="AA1139" t="s">
        <v>7615</v>
      </c>
      <c r="AB1139" t="s">
        <v>975</v>
      </c>
      <c r="AC1139">
        <v>5300</v>
      </c>
      <c r="AD1139" t="s">
        <v>5384</v>
      </c>
      <c r="AE1139">
        <v>85514674</v>
      </c>
      <c r="AF1139" t="s">
        <v>979</v>
      </c>
      <c r="AG1139" t="s">
        <v>977</v>
      </c>
      <c r="AH1139">
        <v>1030299158</v>
      </c>
      <c r="AI1139" t="s">
        <v>977</v>
      </c>
      <c r="AJ1139" t="s">
        <v>978</v>
      </c>
      <c r="AK1139" t="s">
        <v>978</v>
      </c>
      <c r="AL1139" t="s">
        <v>978</v>
      </c>
      <c r="AM1139" t="s">
        <v>979</v>
      </c>
      <c r="AN1139">
        <v>0</v>
      </c>
      <c r="AO1139" t="s">
        <v>257</v>
      </c>
      <c r="AP1139">
        <v>0</v>
      </c>
      <c r="AQ1139">
        <v>1</v>
      </c>
      <c r="AR1139">
        <v>43</v>
      </c>
      <c r="AS1139">
        <v>1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1</v>
      </c>
      <c r="AZ1139" t="s">
        <v>257</v>
      </c>
      <c r="BA1139" t="s">
        <v>980</v>
      </c>
      <c r="BB1139" t="s">
        <v>981</v>
      </c>
      <c r="BC1139" t="s">
        <v>257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 t="s">
        <v>998</v>
      </c>
      <c r="BK1139" t="s">
        <v>981</v>
      </c>
      <c r="BL1139" t="s">
        <v>7613</v>
      </c>
      <c r="BM1139">
        <v>20251118</v>
      </c>
      <c r="BN1139">
        <v>20251118</v>
      </c>
      <c r="BO1139">
        <v>0</v>
      </c>
      <c r="BP1139" t="s">
        <v>257</v>
      </c>
      <c r="BQ1139" t="s">
        <v>983</v>
      </c>
      <c r="BR1139" t="s">
        <v>978</v>
      </c>
      <c r="BS1139" t="s">
        <v>979</v>
      </c>
      <c r="BT1139">
        <v>0</v>
      </c>
      <c r="BU1139">
        <v>0</v>
      </c>
      <c r="BV1139" t="s">
        <v>984</v>
      </c>
      <c r="BW1139" t="s">
        <v>257</v>
      </c>
      <c r="BX1139">
        <v>0</v>
      </c>
      <c r="BY1139" t="s">
        <v>980</v>
      </c>
      <c r="BZ1139" t="s">
        <v>257</v>
      </c>
      <c r="CA1139">
        <v>0</v>
      </c>
      <c r="CB1139">
        <v>0</v>
      </c>
      <c r="CC1139" t="s">
        <v>1901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 t="s">
        <v>983</v>
      </c>
      <c r="CJ1139" t="s">
        <v>972</v>
      </c>
      <c r="CK1139" t="s">
        <v>986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 t="s">
        <v>987</v>
      </c>
      <c r="CV1139">
        <v>400011475</v>
      </c>
      <c r="CW1139" t="s">
        <v>987</v>
      </c>
      <c r="CX1139" t="s">
        <v>5385</v>
      </c>
      <c r="CY1139" t="s">
        <v>989</v>
      </c>
    </row>
    <row r="1140" spans="1:103" hidden="1" x14ac:dyDescent="0.25">
      <c r="A1140">
        <v>410001146</v>
      </c>
      <c r="B1140" t="s">
        <v>7616</v>
      </c>
      <c r="C1140" t="s">
        <v>7617</v>
      </c>
      <c r="D1140">
        <v>401100000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1</v>
      </c>
      <c r="X1140">
        <v>1</v>
      </c>
      <c r="Y1140" t="s">
        <v>972</v>
      </c>
      <c r="Z1140" t="s">
        <v>4834</v>
      </c>
      <c r="AA1140" t="s">
        <v>7618</v>
      </c>
      <c r="AB1140" t="s">
        <v>975</v>
      </c>
      <c r="AC1140">
        <v>4870</v>
      </c>
      <c r="AD1140" t="s">
        <v>5755</v>
      </c>
      <c r="AE1140">
        <v>32479891950</v>
      </c>
      <c r="AF1140" t="s">
        <v>979</v>
      </c>
      <c r="AG1140" t="s">
        <v>977</v>
      </c>
      <c r="AH1140">
        <v>888274035</v>
      </c>
      <c r="AI1140">
        <v>47252</v>
      </c>
      <c r="AJ1140" t="s">
        <v>978</v>
      </c>
      <c r="AK1140" t="s">
        <v>978</v>
      </c>
      <c r="AL1140" t="s">
        <v>978</v>
      </c>
      <c r="AM1140" t="s">
        <v>979</v>
      </c>
      <c r="AN1140">
        <v>0</v>
      </c>
      <c r="AO1140" t="s">
        <v>257</v>
      </c>
      <c r="AP1140">
        <v>0</v>
      </c>
      <c r="AQ1140">
        <v>1</v>
      </c>
      <c r="AR1140">
        <v>69</v>
      </c>
      <c r="AS1140">
        <v>1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1</v>
      </c>
      <c r="AZ1140" t="s">
        <v>257</v>
      </c>
      <c r="BA1140" t="s">
        <v>980</v>
      </c>
      <c r="BB1140" t="s">
        <v>981</v>
      </c>
      <c r="BC1140" t="s">
        <v>257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 t="s">
        <v>998</v>
      </c>
      <c r="BK1140" t="s">
        <v>981</v>
      </c>
      <c r="BL1140" t="s">
        <v>7616</v>
      </c>
      <c r="BM1140">
        <v>20251119</v>
      </c>
      <c r="BN1140">
        <v>20251119</v>
      </c>
      <c r="BO1140">
        <v>0</v>
      </c>
      <c r="BP1140" t="s">
        <v>257</v>
      </c>
      <c r="BQ1140" t="s">
        <v>983</v>
      </c>
      <c r="BR1140" t="s">
        <v>978</v>
      </c>
      <c r="BS1140" t="s">
        <v>979</v>
      </c>
      <c r="BT1140">
        <v>0</v>
      </c>
      <c r="BU1140">
        <v>0</v>
      </c>
      <c r="BV1140" t="s">
        <v>984</v>
      </c>
      <c r="BW1140" t="s">
        <v>257</v>
      </c>
      <c r="BX1140">
        <v>0</v>
      </c>
      <c r="BY1140" t="s">
        <v>980</v>
      </c>
      <c r="BZ1140" t="s">
        <v>257</v>
      </c>
      <c r="CA1140">
        <v>0</v>
      </c>
      <c r="CB1140">
        <v>0</v>
      </c>
      <c r="CC1140" t="s">
        <v>2293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 t="s">
        <v>983</v>
      </c>
      <c r="CJ1140" t="s">
        <v>972</v>
      </c>
      <c r="CK1140" t="s">
        <v>986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 t="s">
        <v>987</v>
      </c>
      <c r="CV1140">
        <v>400011476</v>
      </c>
      <c r="CW1140" t="s">
        <v>987</v>
      </c>
      <c r="CX1140" t="s">
        <v>7619</v>
      </c>
      <c r="CY1140" t="s">
        <v>989</v>
      </c>
    </row>
    <row r="1141" spans="1:103" hidden="1" x14ac:dyDescent="0.25">
      <c r="A1141">
        <v>410001147</v>
      </c>
      <c r="B1141" t="s">
        <v>7628</v>
      </c>
      <c r="C1141" t="s">
        <v>7644</v>
      </c>
      <c r="D1141">
        <v>401100000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1</v>
      </c>
      <c r="X1141">
        <v>1</v>
      </c>
      <c r="Y1141" t="s">
        <v>972</v>
      </c>
      <c r="Z1141" t="s">
        <v>987</v>
      </c>
      <c r="AA1141" t="s">
        <v>7629</v>
      </c>
      <c r="AB1141" t="s">
        <v>975</v>
      </c>
      <c r="AC1141">
        <v>6500</v>
      </c>
      <c r="AD1141" t="s">
        <v>7630</v>
      </c>
      <c r="AE1141" t="s">
        <v>979</v>
      </c>
      <c r="AF1141" t="s">
        <v>979</v>
      </c>
      <c r="AG1141" t="s">
        <v>977</v>
      </c>
      <c r="AH1141" t="s">
        <v>977</v>
      </c>
      <c r="AI1141" t="s">
        <v>977</v>
      </c>
      <c r="AJ1141" t="s">
        <v>978</v>
      </c>
      <c r="AK1141" t="s">
        <v>978</v>
      </c>
      <c r="AL1141" t="s">
        <v>978</v>
      </c>
      <c r="AM1141" t="s">
        <v>979</v>
      </c>
      <c r="AN1141">
        <v>0</v>
      </c>
      <c r="AO1141" t="s">
        <v>257</v>
      </c>
      <c r="AP1141">
        <v>0</v>
      </c>
      <c r="AQ1141">
        <v>1</v>
      </c>
      <c r="AR1141">
        <v>43</v>
      </c>
      <c r="AS1141">
        <v>1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1</v>
      </c>
      <c r="AZ1141" t="s">
        <v>257</v>
      </c>
      <c r="BA1141" t="s">
        <v>257</v>
      </c>
      <c r="BB1141" t="s">
        <v>981</v>
      </c>
      <c r="BC1141" t="s">
        <v>257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 t="s">
        <v>998</v>
      </c>
      <c r="BK1141" t="s">
        <v>981</v>
      </c>
      <c r="BL1141" t="s">
        <v>7628</v>
      </c>
      <c r="BM1141">
        <v>20251125</v>
      </c>
      <c r="BN1141">
        <v>20251203</v>
      </c>
      <c r="BO1141">
        <v>0</v>
      </c>
      <c r="BP1141" t="s">
        <v>257</v>
      </c>
      <c r="BQ1141" t="s">
        <v>983</v>
      </c>
      <c r="BR1141" t="s">
        <v>978</v>
      </c>
      <c r="BS1141" t="s">
        <v>979</v>
      </c>
      <c r="BT1141">
        <v>0</v>
      </c>
      <c r="BU1141">
        <v>0</v>
      </c>
      <c r="BV1141" t="s">
        <v>984</v>
      </c>
      <c r="BW1141" t="s">
        <v>257</v>
      </c>
      <c r="BX1141">
        <v>0</v>
      </c>
      <c r="BY1141" t="s">
        <v>980</v>
      </c>
      <c r="BZ1141" t="s">
        <v>257</v>
      </c>
      <c r="CA1141">
        <v>0</v>
      </c>
      <c r="CB1141">
        <v>0</v>
      </c>
      <c r="CC1141" t="s">
        <v>1901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 t="s">
        <v>983</v>
      </c>
      <c r="CJ1141" t="s">
        <v>972</v>
      </c>
      <c r="CK1141" t="s">
        <v>986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 t="s">
        <v>987</v>
      </c>
      <c r="CV1141">
        <v>400011479</v>
      </c>
      <c r="CW1141" t="s">
        <v>987</v>
      </c>
      <c r="CX1141" t="s">
        <v>4570</v>
      </c>
      <c r="CY1141" t="s">
        <v>989</v>
      </c>
    </row>
    <row r="1142" spans="1:103" hidden="1" x14ac:dyDescent="0.25">
      <c r="A1142">
        <v>410001148</v>
      </c>
      <c r="B1142" t="s">
        <v>7631</v>
      </c>
      <c r="C1142" t="s">
        <v>7632</v>
      </c>
      <c r="D1142">
        <v>401100000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1</v>
      </c>
      <c r="X1142">
        <v>1</v>
      </c>
      <c r="Y1142" t="s">
        <v>972</v>
      </c>
      <c r="Z1142" t="s">
        <v>987</v>
      </c>
      <c r="AA1142" t="s">
        <v>7633</v>
      </c>
      <c r="AB1142" t="s">
        <v>975</v>
      </c>
      <c r="AC1142">
        <v>1560</v>
      </c>
      <c r="AD1142" t="s">
        <v>5294</v>
      </c>
      <c r="AE1142">
        <v>323113512</v>
      </c>
      <c r="AF1142" t="s">
        <v>979</v>
      </c>
      <c r="AG1142" t="s">
        <v>977</v>
      </c>
      <c r="AH1142">
        <v>732987527</v>
      </c>
      <c r="AI1142">
        <v>69201</v>
      </c>
      <c r="AJ1142" t="s">
        <v>7634</v>
      </c>
      <c r="AK1142" t="s">
        <v>978</v>
      </c>
      <c r="AL1142" t="s">
        <v>978</v>
      </c>
      <c r="AM1142" t="s">
        <v>979</v>
      </c>
      <c r="AN1142">
        <v>0</v>
      </c>
      <c r="AO1142" t="s">
        <v>257</v>
      </c>
      <c r="AP1142">
        <v>0</v>
      </c>
      <c r="AQ1142">
        <v>1</v>
      </c>
      <c r="AR1142">
        <v>69</v>
      </c>
      <c r="AS1142">
        <v>1</v>
      </c>
      <c r="AT1142">
        <v>0</v>
      </c>
      <c r="AU1142">
        <v>1</v>
      </c>
      <c r="AV1142">
        <v>0</v>
      </c>
      <c r="AW1142">
        <v>0</v>
      </c>
      <c r="AX1142">
        <v>0</v>
      </c>
      <c r="AY1142">
        <v>1</v>
      </c>
      <c r="AZ1142" t="s">
        <v>257</v>
      </c>
      <c r="BA1142" t="s">
        <v>257</v>
      </c>
      <c r="BB1142" t="s">
        <v>981</v>
      </c>
      <c r="BC1142" t="s">
        <v>257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 t="s">
        <v>998</v>
      </c>
      <c r="BK1142" t="s">
        <v>981</v>
      </c>
      <c r="BL1142" t="s">
        <v>7631</v>
      </c>
      <c r="BM1142">
        <v>20251127</v>
      </c>
      <c r="BN1142">
        <v>20251127</v>
      </c>
      <c r="BO1142">
        <v>0</v>
      </c>
      <c r="BP1142" t="s">
        <v>257</v>
      </c>
      <c r="BQ1142" t="s">
        <v>983</v>
      </c>
      <c r="BR1142" t="s">
        <v>978</v>
      </c>
      <c r="BS1142" t="s">
        <v>979</v>
      </c>
      <c r="BT1142">
        <v>0</v>
      </c>
      <c r="BU1142">
        <v>0</v>
      </c>
      <c r="BV1142" t="s">
        <v>984</v>
      </c>
      <c r="BW1142" t="s">
        <v>257</v>
      </c>
      <c r="BX1142">
        <v>0</v>
      </c>
      <c r="BY1142" t="s">
        <v>980</v>
      </c>
      <c r="BZ1142" t="s">
        <v>257</v>
      </c>
      <c r="CA1142">
        <v>0</v>
      </c>
      <c r="CB1142">
        <v>0</v>
      </c>
      <c r="CC1142" t="s">
        <v>1901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 t="s">
        <v>983</v>
      </c>
      <c r="CJ1142" t="s">
        <v>972</v>
      </c>
      <c r="CK1142" t="s">
        <v>986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 t="s">
        <v>987</v>
      </c>
      <c r="CV1142">
        <v>400011484</v>
      </c>
      <c r="CW1142" t="s">
        <v>987</v>
      </c>
      <c r="CX1142" t="s">
        <v>7635</v>
      </c>
      <c r="CY1142" t="s">
        <v>989</v>
      </c>
    </row>
    <row r="1143" spans="1:103" hidden="1" x14ac:dyDescent="0.25">
      <c r="A1143">
        <v>410001149</v>
      </c>
      <c r="B1143" t="s">
        <v>7638</v>
      </c>
      <c r="C1143" t="s">
        <v>7639</v>
      </c>
      <c r="D1143">
        <v>401100000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1</v>
      </c>
      <c r="Y1143" t="s">
        <v>972</v>
      </c>
      <c r="Z1143" t="s">
        <v>987</v>
      </c>
      <c r="AA1143" t="s">
        <v>7640</v>
      </c>
      <c r="AB1143" t="s">
        <v>975</v>
      </c>
      <c r="AC1143">
        <v>6790</v>
      </c>
      <c r="AD1143" t="s">
        <v>7641</v>
      </c>
      <c r="AE1143">
        <v>3263219600</v>
      </c>
      <c r="AF1143" t="s">
        <v>979</v>
      </c>
      <c r="AG1143" t="s">
        <v>977</v>
      </c>
      <c r="AH1143" t="s">
        <v>977</v>
      </c>
      <c r="AI1143" t="s">
        <v>977</v>
      </c>
      <c r="AJ1143" t="s">
        <v>978</v>
      </c>
      <c r="AK1143" t="s">
        <v>978</v>
      </c>
      <c r="AL1143" t="s">
        <v>978</v>
      </c>
      <c r="AM1143" t="s">
        <v>979</v>
      </c>
      <c r="AN1143">
        <v>0</v>
      </c>
      <c r="AO1143" t="s">
        <v>257</v>
      </c>
      <c r="AP1143">
        <v>0</v>
      </c>
      <c r="AQ1143">
        <v>1</v>
      </c>
      <c r="AR1143">
        <v>58</v>
      </c>
      <c r="AS1143">
        <v>2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1</v>
      </c>
      <c r="AZ1143" t="s">
        <v>257</v>
      </c>
      <c r="BA1143" t="s">
        <v>980</v>
      </c>
      <c r="BB1143" t="s">
        <v>981</v>
      </c>
      <c r="BC1143" t="s">
        <v>257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 t="s">
        <v>998</v>
      </c>
      <c r="BK1143" t="s">
        <v>981</v>
      </c>
      <c r="BL1143" t="s">
        <v>7638</v>
      </c>
      <c r="BM1143">
        <v>20251202</v>
      </c>
      <c r="BN1143">
        <v>0</v>
      </c>
      <c r="BO1143">
        <v>0</v>
      </c>
      <c r="BP1143" t="s">
        <v>257</v>
      </c>
      <c r="BQ1143" t="s">
        <v>983</v>
      </c>
      <c r="BR1143" t="s">
        <v>978</v>
      </c>
      <c r="BS1143" t="s">
        <v>979</v>
      </c>
      <c r="BT1143">
        <v>0</v>
      </c>
      <c r="BU1143">
        <v>0</v>
      </c>
      <c r="BV1143" t="s">
        <v>984</v>
      </c>
      <c r="BW1143" t="s">
        <v>257</v>
      </c>
      <c r="BX1143">
        <v>0</v>
      </c>
      <c r="BY1143" t="s">
        <v>980</v>
      </c>
      <c r="BZ1143" t="s">
        <v>257</v>
      </c>
      <c r="CA1143">
        <v>0</v>
      </c>
      <c r="CB1143">
        <v>0</v>
      </c>
      <c r="CC1143" t="s">
        <v>985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 t="s">
        <v>983</v>
      </c>
      <c r="CJ1143" t="s">
        <v>972</v>
      </c>
      <c r="CK1143" t="s">
        <v>986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 t="s">
        <v>987</v>
      </c>
      <c r="CV1143">
        <v>400011492</v>
      </c>
      <c r="CW1143" t="s">
        <v>987</v>
      </c>
      <c r="CX1143" t="s">
        <v>7642</v>
      </c>
      <c r="CY1143" t="s">
        <v>989</v>
      </c>
    </row>
    <row r="1144" spans="1:103" hidden="1" x14ac:dyDescent="0.25">
      <c r="A1144">
        <v>410001150</v>
      </c>
      <c r="B1144" t="s">
        <v>7645</v>
      </c>
      <c r="C1144" t="s">
        <v>7646</v>
      </c>
      <c r="D1144">
        <v>401100000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1</v>
      </c>
      <c r="X1144">
        <v>1</v>
      </c>
      <c r="Y1144" t="s">
        <v>972</v>
      </c>
      <c r="Z1144" t="s">
        <v>4834</v>
      </c>
      <c r="AA1144" t="s">
        <v>7647</v>
      </c>
      <c r="AB1144" t="s">
        <v>975</v>
      </c>
      <c r="AC1144">
        <v>5140</v>
      </c>
      <c r="AD1144" t="s">
        <v>7648</v>
      </c>
      <c r="AE1144" t="s">
        <v>979</v>
      </c>
      <c r="AF1144" t="s">
        <v>979</v>
      </c>
      <c r="AG1144" t="s">
        <v>977</v>
      </c>
      <c r="AH1144">
        <v>803959061</v>
      </c>
      <c r="AI1144">
        <v>1480</v>
      </c>
      <c r="AJ1144" t="s">
        <v>7649</v>
      </c>
      <c r="AK1144" t="s">
        <v>978</v>
      </c>
      <c r="AL1144" t="s">
        <v>978</v>
      </c>
      <c r="AM1144" t="s">
        <v>979</v>
      </c>
      <c r="AN1144">
        <v>0</v>
      </c>
      <c r="AO1144" t="s">
        <v>257</v>
      </c>
      <c r="AP1144">
        <v>0</v>
      </c>
      <c r="AQ1144">
        <v>1</v>
      </c>
      <c r="AR1144">
        <v>69</v>
      </c>
      <c r="AS1144">
        <v>1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1</v>
      </c>
      <c r="AZ1144" t="s">
        <v>257</v>
      </c>
      <c r="BA1144" t="s">
        <v>980</v>
      </c>
      <c r="BB1144" t="s">
        <v>981</v>
      </c>
      <c r="BC1144" t="s">
        <v>257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 t="s">
        <v>998</v>
      </c>
      <c r="BK1144" t="s">
        <v>981</v>
      </c>
      <c r="BL1144" t="s">
        <v>7645</v>
      </c>
      <c r="BM1144">
        <v>20251204</v>
      </c>
      <c r="BN1144">
        <v>20251210</v>
      </c>
      <c r="BO1144">
        <v>0</v>
      </c>
      <c r="BP1144" t="s">
        <v>257</v>
      </c>
      <c r="BQ1144" t="s">
        <v>983</v>
      </c>
      <c r="BR1144" t="s">
        <v>978</v>
      </c>
      <c r="BS1144">
        <v>32474990030</v>
      </c>
      <c r="BT1144">
        <v>0</v>
      </c>
      <c r="BU1144">
        <v>0</v>
      </c>
      <c r="BV1144" t="s">
        <v>984</v>
      </c>
      <c r="BW1144" t="s">
        <v>257</v>
      </c>
      <c r="BX1144">
        <v>0</v>
      </c>
      <c r="BY1144" t="s">
        <v>980</v>
      </c>
      <c r="BZ1144" t="s">
        <v>257</v>
      </c>
      <c r="CA1144">
        <v>0</v>
      </c>
      <c r="CB1144">
        <v>0</v>
      </c>
      <c r="CC1144" t="s">
        <v>1901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 t="s">
        <v>983</v>
      </c>
      <c r="CJ1144" t="s">
        <v>972</v>
      </c>
      <c r="CK1144" t="s">
        <v>986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 t="s">
        <v>987</v>
      </c>
      <c r="CV1144">
        <v>400011494</v>
      </c>
      <c r="CW1144" t="s">
        <v>987</v>
      </c>
      <c r="CX1144" t="s">
        <v>7650</v>
      </c>
      <c r="CY1144" t="s">
        <v>989</v>
      </c>
    </row>
    <row r="1145" spans="1:103" hidden="1" x14ac:dyDescent="0.25">
      <c r="A1145">
        <v>410001151</v>
      </c>
      <c r="B1145" t="s">
        <v>7651</v>
      </c>
      <c r="C1145" t="s">
        <v>7652</v>
      </c>
      <c r="D1145">
        <v>401100000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1</v>
      </c>
      <c r="X1145">
        <v>1</v>
      </c>
      <c r="Y1145" t="s">
        <v>972</v>
      </c>
      <c r="Z1145" t="s">
        <v>7653</v>
      </c>
      <c r="AA1145" t="s">
        <v>7654</v>
      </c>
      <c r="AB1145" t="s">
        <v>975</v>
      </c>
      <c r="AC1145">
        <v>4050</v>
      </c>
      <c r="AD1145" t="s">
        <v>2739</v>
      </c>
      <c r="AE1145">
        <v>3243687015</v>
      </c>
      <c r="AF1145" t="s">
        <v>979</v>
      </c>
      <c r="AG1145" t="s">
        <v>977</v>
      </c>
      <c r="AH1145">
        <v>433635431</v>
      </c>
      <c r="AI1145">
        <v>69201</v>
      </c>
      <c r="AJ1145" t="s">
        <v>978</v>
      </c>
      <c r="AK1145" t="s">
        <v>978</v>
      </c>
      <c r="AL1145" t="s">
        <v>978</v>
      </c>
      <c r="AM1145" t="s">
        <v>979</v>
      </c>
      <c r="AN1145">
        <v>0</v>
      </c>
      <c r="AO1145" t="s">
        <v>257</v>
      </c>
      <c r="AP1145">
        <v>0</v>
      </c>
      <c r="AQ1145">
        <v>1</v>
      </c>
      <c r="AR1145">
        <v>69</v>
      </c>
      <c r="AS1145">
        <v>1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1</v>
      </c>
      <c r="AZ1145" t="s">
        <v>257</v>
      </c>
      <c r="BA1145" t="s">
        <v>980</v>
      </c>
      <c r="BB1145" t="s">
        <v>981</v>
      </c>
      <c r="BC1145" t="s">
        <v>257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 t="s">
        <v>998</v>
      </c>
      <c r="BK1145" t="s">
        <v>981</v>
      </c>
      <c r="BL1145" t="s">
        <v>7651</v>
      </c>
      <c r="BM1145">
        <v>20251204</v>
      </c>
      <c r="BN1145">
        <v>20251210</v>
      </c>
      <c r="BO1145">
        <v>0</v>
      </c>
      <c r="BP1145" t="s">
        <v>257</v>
      </c>
      <c r="BQ1145" t="s">
        <v>983</v>
      </c>
      <c r="BR1145" t="s">
        <v>978</v>
      </c>
      <c r="BS1145" t="s">
        <v>979</v>
      </c>
      <c r="BT1145">
        <v>0</v>
      </c>
      <c r="BU1145">
        <v>0</v>
      </c>
      <c r="BV1145" t="s">
        <v>984</v>
      </c>
      <c r="BW1145" t="s">
        <v>257</v>
      </c>
      <c r="BX1145">
        <v>0</v>
      </c>
      <c r="BY1145" t="s">
        <v>980</v>
      </c>
      <c r="BZ1145" t="s">
        <v>257</v>
      </c>
      <c r="CA1145">
        <v>0</v>
      </c>
      <c r="CB1145">
        <v>0</v>
      </c>
      <c r="CC1145" t="s">
        <v>1128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 t="s">
        <v>983</v>
      </c>
      <c r="CJ1145" t="s">
        <v>972</v>
      </c>
      <c r="CK1145" t="s">
        <v>986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 t="s">
        <v>987</v>
      </c>
      <c r="CV1145">
        <v>400011495</v>
      </c>
      <c r="CW1145" t="s">
        <v>987</v>
      </c>
      <c r="CX1145" t="s">
        <v>7655</v>
      </c>
      <c r="CY1145" t="s">
        <v>989</v>
      </c>
    </row>
    <row r="1146" spans="1:103" hidden="1" x14ac:dyDescent="0.25">
      <c r="A1146">
        <v>410001152</v>
      </c>
      <c r="B1146" t="s">
        <v>7656</v>
      </c>
      <c r="C1146" t="s">
        <v>7657</v>
      </c>
      <c r="D1146">
        <v>401100000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1</v>
      </c>
      <c r="Y1146" t="s">
        <v>972</v>
      </c>
      <c r="Z1146" t="s">
        <v>987</v>
      </c>
      <c r="AA1146" t="s">
        <v>7658</v>
      </c>
      <c r="AB1146" t="s">
        <v>975</v>
      </c>
      <c r="AC1146">
        <v>1050</v>
      </c>
      <c r="AD1146" t="s">
        <v>2200</v>
      </c>
      <c r="AE1146" t="s">
        <v>979</v>
      </c>
      <c r="AF1146" t="s">
        <v>979</v>
      </c>
      <c r="AG1146" t="s">
        <v>977</v>
      </c>
      <c r="AH1146">
        <v>478381729</v>
      </c>
      <c r="AI1146">
        <v>46820</v>
      </c>
      <c r="AJ1146" t="s">
        <v>7659</v>
      </c>
      <c r="AK1146" t="s">
        <v>978</v>
      </c>
      <c r="AL1146" t="s">
        <v>978</v>
      </c>
      <c r="AM1146" t="s">
        <v>979</v>
      </c>
      <c r="AN1146">
        <v>0</v>
      </c>
      <c r="AO1146" t="s">
        <v>257</v>
      </c>
      <c r="AP1146">
        <v>0</v>
      </c>
      <c r="AQ1146">
        <v>1</v>
      </c>
      <c r="AR1146">
        <v>69</v>
      </c>
      <c r="AS1146">
        <v>1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1</v>
      </c>
      <c r="AZ1146" t="s">
        <v>257</v>
      </c>
      <c r="BA1146" t="s">
        <v>980</v>
      </c>
      <c r="BB1146" t="s">
        <v>981</v>
      </c>
      <c r="BC1146" t="s">
        <v>257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 t="s">
        <v>998</v>
      </c>
      <c r="BK1146" t="s">
        <v>981</v>
      </c>
      <c r="BL1146" t="s">
        <v>7656</v>
      </c>
      <c r="BM1146">
        <v>20251208</v>
      </c>
      <c r="BN1146">
        <v>20251208</v>
      </c>
      <c r="BO1146">
        <v>0</v>
      </c>
      <c r="BP1146" t="s">
        <v>257</v>
      </c>
      <c r="BQ1146" t="s">
        <v>983</v>
      </c>
      <c r="BR1146" t="s">
        <v>978</v>
      </c>
      <c r="BS1146">
        <v>32473643854</v>
      </c>
      <c r="BT1146">
        <v>0</v>
      </c>
      <c r="BU1146">
        <v>0</v>
      </c>
      <c r="BV1146" t="s">
        <v>984</v>
      </c>
      <c r="BW1146" t="s">
        <v>257</v>
      </c>
      <c r="BX1146">
        <v>0</v>
      </c>
      <c r="BY1146" t="s">
        <v>980</v>
      </c>
      <c r="BZ1146" t="s">
        <v>257</v>
      </c>
      <c r="CA1146">
        <v>0</v>
      </c>
      <c r="CB1146">
        <v>0</v>
      </c>
      <c r="CC1146" t="s">
        <v>1901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 t="s">
        <v>983</v>
      </c>
      <c r="CJ1146" t="s">
        <v>972</v>
      </c>
      <c r="CK1146" t="s">
        <v>986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 t="s">
        <v>987</v>
      </c>
      <c r="CV1146">
        <v>400011502</v>
      </c>
      <c r="CW1146" t="s">
        <v>987</v>
      </c>
      <c r="CX1146" t="s">
        <v>7660</v>
      </c>
      <c r="CY1146" t="s">
        <v>989</v>
      </c>
    </row>
    <row r="1147" spans="1:103" hidden="1" x14ac:dyDescent="0.25">
      <c r="A1147">
        <v>410001153</v>
      </c>
      <c r="B1147" t="s">
        <v>7661</v>
      </c>
      <c r="C1147" t="s">
        <v>7662</v>
      </c>
      <c r="D1147">
        <v>401100000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1</v>
      </c>
      <c r="Y1147" t="s">
        <v>972</v>
      </c>
      <c r="Z1147" t="s">
        <v>987</v>
      </c>
      <c r="AA1147" t="s">
        <v>7663</v>
      </c>
      <c r="AB1147" t="s">
        <v>975</v>
      </c>
      <c r="AC1147">
        <v>6032</v>
      </c>
      <c r="AD1147" t="s">
        <v>993</v>
      </c>
      <c r="AE1147" t="s">
        <v>979</v>
      </c>
      <c r="AF1147" t="s">
        <v>979</v>
      </c>
      <c r="AG1147" t="s">
        <v>977</v>
      </c>
      <c r="AH1147">
        <v>1031237682</v>
      </c>
      <c r="AI1147" t="s">
        <v>977</v>
      </c>
      <c r="AJ1147" t="s">
        <v>7664</v>
      </c>
      <c r="AK1147" t="s">
        <v>978</v>
      </c>
      <c r="AL1147" t="s">
        <v>978</v>
      </c>
      <c r="AM1147" t="s">
        <v>979</v>
      </c>
      <c r="AN1147">
        <v>0</v>
      </c>
      <c r="AO1147" t="s">
        <v>257</v>
      </c>
      <c r="AP1147">
        <v>30</v>
      </c>
      <c r="AQ1147">
        <v>1</v>
      </c>
      <c r="AR1147">
        <v>69</v>
      </c>
      <c r="AS1147">
        <v>1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1</v>
      </c>
      <c r="AZ1147" t="s">
        <v>257</v>
      </c>
      <c r="BA1147" t="s">
        <v>980</v>
      </c>
      <c r="BB1147" t="s">
        <v>981</v>
      </c>
      <c r="BC1147" t="s">
        <v>257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 t="s">
        <v>998</v>
      </c>
      <c r="BK1147" t="s">
        <v>981</v>
      </c>
      <c r="BL1147" t="s">
        <v>7665</v>
      </c>
      <c r="BM1147">
        <v>20251208</v>
      </c>
      <c r="BN1147">
        <v>20251208</v>
      </c>
      <c r="BO1147">
        <v>0</v>
      </c>
      <c r="BP1147" t="s">
        <v>257</v>
      </c>
      <c r="BQ1147" t="s">
        <v>983</v>
      </c>
      <c r="BR1147" t="s">
        <v>978</v>
      </c>
      <c r="BS1147" t="s">
        <v>979</v>
      </c>
      <c r="BT1147">
        <v>0</v>
      </c>
      <c r="BU1147">
        <v>0</v>
      </c>
      <c r="BV1147" t="s">
        <v>984</v>
      </c>
      <c r="BW1147" t="s">
        <v>257</v>
      </c>
      <c r="BX1147">
        <v>0</v>
      </c>
      <c r="BY1147" t="s">
        <v>980</v>
      </c>
      <c r="BZ1147" t="s">
        <v>257</v>
      </c>
      <c r="CA1147">
        <v>0</v>
      </c>
      <c r="CB1147">
        <v>0</v>
      </c>
      <c r="CC1147" t="s">
        <v>1901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 t="s">
        <v>983</v>
      </c>
      <c r="CJ1147" t="s">
        <v>972</v>
      </c>
      <c r="CK1147" t="s">
        <v>986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 t="s">
        <v>987</v>
      </c>
      <c r="CV1147">
        <v>400011504</v>
      </c>
      <c r="CW1147" t="s">
        <v>987</v>
      </c>
      <c r="CX1147" t="s">
        <v>6834</v>
      </c>
      <c r="CY1147" t="s">
        <v>989</v>
      </c>
    </row>
    <row r="1148" spans="1:103" hidden="1" x14ac:dyDescent="0.25">
      <c r="A1148">
        <v>410001154</v>
      </c>
      <c r="B1148" t="s">
        <v>7675</v>
      </c>
      <c r="C1148" t="s">
        <v>7676</v>
      </c>
      <c r="D1148">
        <v>401100000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1</v>
      </c>
      <c r="Y1148" t="s">
        <v>972</v>
      </c>
      <c r="Z1148" t="s">
        <v>987</v>
      </c>
      <c r="AA1148" t="s">
        <v>7677</v>
      </c>
      <c r="AB1148" t="s">
        <v>975</v>
      </c>
      <c r="AC1148">
        <v>4030</v>
      </c>
      <c r="AD1148" t="s">
        <v>2522</v>
      </c>
      <c r="AE1148" t="s">
        <v>979</v>
      </c>
      <c r="AF1148" t="s">
        <v>979</v>
      </c>
      <c r="AG1148" t="s">
        <v>977</v>
      </c>
      <c r="AH1148" t="s">
        <v>977</v>
      </c>
      <c r="AI1148" t="s">
        <v>977</v>
      </c>
      <c r="AJ1148" t="s">
        <v>978</v>
      </c>
      <c r="AK1148" t="s">
        <v>978</v>
      </c>
      <c r="AL1148" t="s">
        <v>978</v>
      </c>
      <c r="AM1148" t="s">
        <v>979</v>
      </c>
      <c r="AN1148">
        <v>0</v>
      </c>
      <c r="AO1148" t="s">
        <v>257</v>
      </c>
      <c r="AP1148">
        <v>0</v>
      </c>
      <c r="AQ1148">
        <v>1</v>
      </c>
      <c r="AR1148">
        <v>69</v>
      </c>
      <c r="AS1148">
        <v>1</v>
      </c>
      <c r="AT1148">
        <v>0</v>
      </c>
      <c r="AU1148">
        <v>1</v>
      </c>
      <c r="AV1148">
        <v>0</v>
      </c>
      <c r="AW1148">
        <v>0</v>
      </c>
      <c r="AX1148">
        <v>0</v>
      </c>
      <c r="AY1148">
        <v>1</v>
      </c>
      <c r="AZ1148" t="s">
        <v>257</v>
      </c>
      <c r="BA1148" t="s">
        <v>980</v>
      </c>
      <c r="BB1148" t="s">
        <v>981</v>
      </c>
      <c r="BC1148" t="s">
        <v>257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 t="s">
        <v>998</v>
      </c>
      <c r="BK1148" t="s">
        <v>981</v>
      </c>
      <c r="BL1148" t="s">
        <v>7675</v>
      </c>
      <c r="BM1148">
        <v>20251209</v>
      </c>
      <c r="BN1148">
        <v>20251209</v>
      </c>
      <c r="BO1148">
        <v>0</v>
      </c>
      <c r="BP1148" t="s">
        <v>257</v>
      </c>
      <c r="BQ1148" t="s">
        <v>983</v>
      </c>
      <c r="BR1148" t="s">
        <v>978</v>
      </c>
      <c r="BS1148">
        <v>32475708055</v>
      </c>
      <c r="BT1148">
        <v>0</v>
      </c>
      <c r="BU1148">
        <v>0</v>
      </c>
      <c r="BV1148" t="s">
        <v>984</v>
      </c>
      <c r="BW1148" t="s">
        <v>257</v>
      </c>
      <c r="BX1148">
        <v>0</v>
      </c>
      <c r="BY1148" t="s">
        <v>980</v>
      </c>
      <c r="BZ1148" t="s">
        <v>257</v>
      </c>
      <c r="CA1148">
        <v>0</v>
      </c>
      <c r="CB1148">
        <v>0</v>
      </c>
      <c r="CC1148" t="s">
        <v>1371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 t="s">
        <v>983</v>
      </c>
      <c r="CJ1148" t="s">
        <v>972</v>
      </c>
      <c r="CK1148" t="s">
        <v>986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 t="s">
        <v>987</v>
      </c>
      <c r="CV1148">
        <v>400011505</v>
      </c>
      <c r="CW1148" t="s">
        <v>987</v>
      </c>
      <c r="CX1148" t="s">
        <v>7678</v>
      </c>
      <c r="CY1148" t="s">
        <v>989</v>
      </c>
    </row>
    <row r="1149" spans="1:103" hidden="1" x14ac:dyDescent="0.25">
      <c r="A1149">
        <v>410001155</v>
      </c>
      <c r="B1149" t="s">
        <v>7679</v>
      </c>
      <c r="C1149" t="s">
        <v>7680</v>
      </c>
      <c r="D1149">
        <v>401100000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1</v>
      </c>
      <c r="X1149">
        <v>1</v>
      </c>
      <c r="Y1149" t="s">
        <v>972</v>
      </c>
      <c r="Z1149" t="s">
        <v>987</v>
      </c>
      <c r="AA1149" t="s">
        <v>7681</v>
      </c>
      <c r="AB1149" t="s">
        <v>975</v>
      </c>
      <c r="AC1149">
        <v>1495</v>
      </c>
      <c r="AD1149" t="s">
        <v>7682</v>
      </c>
      <c r="AE1149" t="s">
        <v>979</v>
      </c>
      <c r="AF1149" t="s">
        <v>979</v>
      </c>
      <c r="AG1149" t="s">
        <v>977</v>
      </c>
      <c r="AH1149" t="s">
        <v>977</v>
      </c>
      <c r="AI1149" t="s">
        <v>977</v>
      </c>
      <c r="AJ1149" t="s">
        <v>7683</v>
      </c>
      <c r="AK1149" t="s">
        <v>978</v>
      </c>
      <c r="AL1149" t="s">
        <v>978</v>
      </c>
      <c r="AM1149" t="s">
        <v>979</v>
      </c>
      <c r="AN1149">
        <v>0</v>
      </c>
      <c r="AO1149" t="s">
        <v>257</v>
      </c>
      <c r="AP1149">
        <v>0</v>
      </c>
      <c r="AQ1149">
        <v>1</v>
      </c>
      <c r="AR1149">
        <v>69</v>
      </c>
      <c r="AS1149">
        <v>1</v>
      </c>
      <c r="AT1149">
        <v>0</v>
      </c>
      <c r="AU1149">
        <v>1</v>
      </c>
      <c r="AV1149">
        <v>0</v>
      </c>
      <c r="AW1149">
        <v>0</v>
      </c>
      <c r="AX1149">
        <v>0</v>
      </c>
      <c r="AY1149">
        <v>1</v>
      </c>
      <c r="AZ1149" t="s">
        <v>257</v>
      </c>
      <c r="BA1149" t="s">
        <v>980</v>
      </c>
      <c r="BB1149" t="s">
        <v>981</v>
      </c>
      <c r="BC1149" t="s">
        <v>257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 t="s">
        <v>998</v>
      </c>
      <c r="BK1149" t="s">
        <v>981</v>
      </c>
      <c r="BL1149" t="s">
        <v>7679</v>
      </c>
      <c r="BM1149">
        <v>20251215</v>
      </c>
      <c r="BN1149">
        <v>20251215</v>
      </c>
      <c r="BO1149">
        <v>0</v>
      </c>
      <c r="BP1149" t="s">
        <v>257</v>
      </c>
      <c r="BQ1149" t="s">
        <v>983</v>
      </c>
      <c r="BR1149" t="s">
        <v>978</v>
      </c>
      <c r="BS1149">
        <v>32491498346</v>
      </c>
      <c r="BT1149">
        <v>0</v>
      </c>
      <c r="BU1149">
        <v>0</v>
      </c>
      <c r="BV1149" t="s">
        <v>984</v>
      </c>
      <c r="BW1149" t="s">
        <v>257</v>
      </c>
      <c r="BX1149">
        <v>0</v>
      </c>
      <c r="BY1149" t="s">
        <v>980</v>
      </c>
      <c r="BZ1149" t="s">
        <v>257</v>
      </c>
      <c r="CA1149">
        <v>0</v>
      </c>
      <c r="CB1149">
        <v>0</v>
      </c>
      <c r="CC1149" t="s">
        <v>1901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 t="s">
        <v>983</v>
      </c>
      <c r="CJ1149" t="s">
        <v>972</v>
      </c>
      <c r="CK1149" t="s">
        <v>986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 t="s">
        <v>987</v>
      </c>
      <c r="CV1149">
        <v>400011512</v>
      </c>
      <c r="CW1149" t="s">
        <v>987</v>
      </c>
      <c r="CX1149" t="s">
        <v>7684</v>
      </c>
      <c r="CY1149" t="s">
        <v>989</v>
      </c>
    </row>
    <row r="1150" spans="1:103" hidden="1" x14ac:dyDescent="0.25">
      <c r="A1150">
        <v>410001156</v>
      </c>
      <c r="B1150" t="s">
        <v>7685</v>
      </c>
      <c r="C1150" t="s">
        <v>7673</v>
      </c>
      <c r="D1150">
        <v>401100000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1</v>
      </c>
      <c r="X1150">
        <v>1</v>
      </c>
      <c r="Y1150" t="s">
        <v>972</v>
      </c>
      <c r="Z1150" t="s">
        <v>987</v>
      </c>
      <c r="AA1150" t="s">
        <v>7686</v>
      </c>
      <c r="AB1150" t="s">
        <v>975</v>
      </c>
      <c r="AC1150">
        <v>1700</v>
      </c>
      <c r="AD1150" t="s">
        <v>5609</v>
      </c>
      <c r="AE1150">
        <v>32497395576</v>
      </c>
      <c r="AF1150" t="s">
        <v>979</v>
      </c>
      <c r="AG1150" t="s">
        <v>977</v>
      </c>
      <c r="AH1150" t="s">
        <v>977</v>
      </c>
      <c r="AI1150" t="s">
        <v>977</v>
      </c>
      <c r="AJ1150" t="s">
        <v>978</v>
      </c>
      <c r="AK1150" t="s">
        <v>978</v>
      </c>
      <c r="AL1150" t="s">
        <v>978</v>
      </c>
      <c r="AM1150" t="s">
        <v>979</v>
      </c>
      <c r="AN1150">
        <v>0</v>
      </c>
      <c r="AO1150" t="s">
        <v>257</v>
      </c>
      <c r="AP1150">
        <v>0</v>
      </c>
      <c r="AQ1150">
        <v>1</v>
      </c>
      <c r="AR1150">
        <v>43</v>
      </c>
      <c r="AS1150">
        <v>1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1</v>
      </c>
      <c r="AZ1150" t="s">
        <v>257</v>
      </c>
      <c r="BA1150" t="s">
        <v>980</v>
      </c>
      <c r="BB1150" t="s">
        <v>981</v>
      </c>
      <c r="BC1150" t="s">
        <v>257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 t="s">
        <v>998</v>
      </c>
      <c r="BK1150" t="s">
        <v>981</v>
      </c>
      <c r="BL1150" t="s">
        <v>7685</v>
      </c>
      <c r="BM1150">
        <v>20251218</v>
      </c>
      <c r="BN1150">
        <v>20251218</v>
      </c>
      <c r="BO1150">
        <v>0</v>
      </c>
      <c r="BP1150" t="s">
        <v>257</v>
      </c>
      <c r="BQ1150" t="s">
        <v>983</v>
      </c>
      <c r="BR1150" t="s">
        <v>978</v>
      </c>
      <c r="BS1150" t="s">
        <v>979</v>
      </c>
      <c r="BT1150">
        <v>0</v>
      </c>
      <c r="BU1150">
        <v>0</v>
      </c>
      <c r="BV1150" t="s">
        <v>984</v>
      </c>
      <c r="BW1150" t="s">
        <v>257</v>
      </c>
      <c r="BX1150">
        <v>0</v>
      </c>
      <c r="BY1150" t="s">
        <v>980</v>
      </c>
      <c r="BZ1150" t="s">
        <v>257</v>
      </c>
      <c r="CA1150">
        <v>0</v>
      </c>
      <c r="CB1150">
        <v>0</v>
      </c>
      <c r="CC1150" t="s">
        <v>1901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 t="s">
        <v>983</v>
      </c>
      <c r="CJ1150" t="s">
        <v>972</v>
      </c>
      <c r="CK1150" t="s">
        <v>986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 t="s">
        <v>987</v>
      </c>
      <c r="CV1150">
        <v>400011518</v>
      </c>
      <c r="CW1150" t="s">
        <v>987</v>
      </c>
      <c r="CX1150" t="s">
        <v>5612</v>
      </c>
      <c r="CY1150" t="s">
        <v>989</v>
      </c>
    </row>
    <row r="1151" spans="1:103" hidden="1" x14ac:dyDescent="0.25">
      <c r="A1151">
        <v>410001157</v>
      </c>
      <c r="B1151" t="s">
        <v>7692</v>
      </c>
      <c r="C1151" t="s">
        <v>7693</v>
      </c>
      <c r="D1151">
        <v>401100000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1</v>
      </c>
      <c r="X1151">
        <v>1</v>
      </c>
      <c r="Y1151" t="s">
        <v>972</v>
      </c>
      <c r="Z1151" t="s">
        <v>987</v>
      </c>
      <c r="AA1151" t="s">
        <v>7694</v>
      </c>
      <c r="AB1151" t="s">
        <v>975</v>
      </c>
      <c r="AC1151">
        <v>4800</v>
      </c>
      <c r="AD1151" t="s">
        <v>1124</v>
      </c>
      <c r="AE1151">
        <v>87232012</v>
      </c>
      <c r="AF1151" t="s">
        <v>979</v>
      </c>
      <c r="AG1151" t="s">
        <v>977</v>
      </c>
      <c r="AH1151">
        <v>478368366</v>
      </c>
      <c r="AI1151">
        <v>69201</v>
      </c>
      <c r="AJ1151" t="s">
        <v>978</v>
      </c>
      <c r="AK1151" t="s">
        <v>978</v>
      </c>
      <c r="AL1151" t="s">
        <v>978</v>
      </c>
      <c r="AM1151" t="s">
        <v>979</v>
      </c>
      <c r="AN1151">
        <v>0</v>
      </c>
      <c r="AO1151" t="s">
        <v>257</v>
      </c>
      <c r="AP1151">
        <v>0</v>
      </c>
      <c r="AQ1151">
        <v>1</v>
      </c>
      <c r="AR1151">
        <v>43</v>
      </c>
      <c r="AS1151">
        <v>1</v>
      </c>
      <c r="AT1151">
        <v>0</v>
      </c>
      <c r="AU1151">
        <v>1</v>
      </c>
      <c r="AV1151">
        <v>0</v>
      </c>
      <c r="AW1151">
        <v>0</v>
      </c>
      <c r="AX1151">
        <v>0</v>
      </c>
      <c r="AY1151">
        <v>1</v>
      </c>
      <c r="AZ1151" t="s">
        <v>257</v>
      </c>
      <c r="BA1151" t="s">
        <v>980</v>
      </c>
      <c r="BB1151" t="s">
        <v>981</v>
      </c>
      <c r="BC1151" t="s">
        <v>257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 t="s">
        <v>998</v>
      </c>
      <c r="BK1151" t="s">
        <v>981</v>
      </c>
      <c r="BL1151" t="s">
        <v>7692</v>
      </c>
      <c r="BM1151">
        <v>20251230</v>
      </c>
      <c r="BN1151">
        <v>20260104</v>
      </c>
      <c r="BO1151">
        <v>0</v>
      </c>
      <c r="BP1151" t="s">
        <v>257</v>
      </c>
      <c r="BQ1151" t="s">
        <v>983</v>
      </c>
      <c r="BR1151" t="s">
        <v>978</v>
      </c>
      <c r="BS1151" t="s">
        <v>979</v>
      </c>
      <c r="BT1151">
        <v>0</v>
      </c>
      <c r="BU1151">
        <v>0</v>
      </c>
      <c r="BV1151" t="s">
        <v>984</v>
      </c>
      <c r="BW1151" t="s">
        <v>257</v>
      </c>
      <c r="BX1151">
        <v>0</v>
      </c>
      <c r="BY1151" t="s">
        <v>980</v>
      </c>
      <c r="BZ1151" t="s">
        <v>257</v>
      </c>
      <c r="CA1151">
        <v>0</v>
      </c>
      <c r="CB1151">
        <v>0</v>
      </c>
      <c r="CC1151" t="s">
        <v>1469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s">
        <v>983</v>
      </c>
      <c r="CJ1151" t="s">
        <v>972</v>
      </c>
      <c r="CK1151" t="s">
        <v>986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 t="s">
        <v>987</v>
      </c>
      <c r="CV1151">
        <v>400011526</v>
      </c>
      <c r="CW1151" t="s">
        <v>987</v>
      </c>
      <c r="CX1151" t="s">
        <v>7695</v>
      </c>
      <c r="CY1151" t="s">
        <v>989</v>
      </c>
    </row>
    <row r="1152" spans="1:103" hidden="1" x14ac:dyDescent="0.25">
      <c r="A1152">
        <v>410001158</v>
      </c>
      <c r="B1152" t="s">
        <v>7701</v>
      </c>
      <c r="C1152" t="s">
        <v>7702</v>
      </c>
      <c r="D1152">
        <v>401100000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1</v>
      </c>
      <c r="X1152">
        <v>1</v>
      </c>
      <c r="Y1152" t="s">
        <v>972</v>
      </c>
      <c r="Z1152" t="s">
        <v>7703</v>
      </c>
      <c r="AA1152" t="s">
        <v>7704</v>
      </c>
      <c r="AB1152" t="s">
        <v>975</v>
      </c>
      <c r="AC1152">
        <v>7320</v>
      </c>
      <c r="AD1152" t="s">
        <v>7705</v>
      </c>
      <c r="AE1152" t="s">
        <v>979</v>
      </c>
      <c r="AF1152" t="s">
        <v>979</v>
      </c>
      <c r="AG1152" t="s">
        <v>977</v>
      </c>
      <c r="AH1152" t="s">
        <v>977</v>
      </c>
      <c r="AI1152" t="s">
        <v>977</v>
      </c>
      <c r="AJ1152" t="s">
        <v>978</v>
      </c>
      <c r="AK1152" t="s">
        <v>7706</v>
      </c>
      <c r="AL1152" t="s">
        <v>978</v>
      </c>
      <c r="AM1152" t="s">
        <v>979</v>
      </c>
      <c r="AN1152">
        <v>0</v>
      </c>
      <c r="AO1152" t="s">
        <v>257</v>
      </c>
      <c r="AP1152">
        <v>0</v>
      </c>
      <c r="AQ1152">
        <v>1</v>
      </c>
      <c r="AR1152">
        <v>69</v>
      </c>
      <c r="AS1152">
        <v>1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1</v>
      </c>
      <c r="AZ1152" t="s">
        <v>257</v>
      </c>
      <c r="BA1152" t="s">
        <v>980</v>
      </c>
      <c r="BB1152" t="s">
        <v>981</v>
      </c>
      <c r="BC1152" t="s">
        <v>257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 t="s">
        <v>998</v>
      </c>
      <c r="BK1152" t="s">
        <v>981</v>
      </c>
      <c r="BL1152" t="s">
        <v>7701</v>
      </c>
      <c r="BM1152">
        <v>20260105</v>
      </c>
      <c r="BN1152">
        <v>20260105</v>
      </c>
      <c r="BO1152">
        <v>0</v>
      </c>
      <c r="BP1152" t="s">
        <v>257</v>
      </c>
      <c r="BQ1152" t="s">
        <v>983</v>
      </c>
      <c r="BR1152" t="s">
        <v>978</v>
      </c>
      <c r="BS1152" t="s">
        <v>979</v>
      </c>
      <c r="BT1152">
        <v>0</v>
      </c>
      <c r="BU1152">
        <v>0</v>
      </c>
      <c r="BV1152" t="s">
        <v>984</v>
      </c>
      <c r="BW1152" t="s">
        <v>257</v>
      </c>
      <c r="BX1152">
        <v>0</v>
      </c>
      <c r="BY1152" t="s">
        <v>980</v>
      </c>
      <c r="BZ1152" t="s">
        <v>257</v>
      </c>
      <c r="CA1152">
        <v>0</v>
      </c>
      <c r="CB1152">
        <v>0</v>
      </c>
      <c r="CC1152" t="s">
        <v>1901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 t="s">
        <v>983</v>
      </c>
      <c r="CJ1152" t="s">
        <v>972</v>
      </c>
      <c r="CK1152" t="s">
        <v>986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 t="s">
        <v>987</v>
      </c>
      <c r="CV1152">
        <v>400011530</v>
      </c>
      <c r="CW1152" t="s">
        <v>987</v>
      </c>
      <c r="CX1152" t="s">
        <v>7707</v>
      </c>
      <c r="CY1152" t="s">
        <v>989</v>
      </c>
    </row>
    <row r="1153" spans="1:103" hidden="1" x14ac:dyDescent="0.25">
      <c r="A1153">
        <v>410001159</v>
      </c>
      <c r="B1153" t="s">
        <v>7708</v>
      </c>
      <c r="C1153" t="s">
        <v>7709</v>
      </c>
      <c r="D1153">
        <v>401100000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1</v>
      </c>
      <c r="Y1153" t="s">
        <v>972</v>
      </c>
      <c r="Z1153" t="s">
        <v>987</v>
      </c>
      <c r="AA1153" t="s">
        <v>7710</v>
      </c>
      <c r="AB1153" t="s">
        <v>975</v>
      </c>
      <c r="AC1153">
        <v>4870</v>
      </c>
      <c r="AD1153" t="s">
        <v>5755</v>
      </c>
      <c r="AE1153">
        <v>478563140</v>
      </c>
      <c r="AF1153" t="s">
        <v>979</v>
      </c>
      <c r="AG1153" t="s">
        <v>977</v>
      </c>
      <c r="AH1153" t="s">
        <v>977</v>
      </c>
      <c r="AI1153" t="s">
        <v>977</v>
      </c>
      <c r="AJ1153" t="s">
        <v>978</v>
      </c>
      <c r="AK1153" t="s">
        <v>978</v>
      </c>
      <c r="AL1153" t="s">
        <v>978</v>
      </c>
      <c r="AM1153" t="s">
        <v>979</v>
      </c>
      <c r="AN1153">
        <v>0</v>
      </c>
      <c r="AO1153" t="s">
        <v>257</v>
      </c>
      <c r="AP1153">
        <v>0</v>
      </c>
      <c r="AQ1153">
        <v>1</v>
      </c>
      <c r="AR1153">
        <v>43</v>
      </c>
      <c r="AS1153">
        <v>1</v>
      </c>
      <c r="AT1153">
        <v>0</v>
      </c>
      <c r="AU1153">
        <v>1</v>
      </c>
      <c r="AV1153">
        <v>0</v>
      </c>
      <c r="AW1153">
        <v>0</v>
      </c>
      <c r="AX1153">
        <v>0</v>
      </c>
      <c r="AY1153">
        <v>1</v>
      </c>
      <c r="AZ1153" t="s">
        <v>257</v>
      </c>
      <c r="BA1153" t="s">
        <v>980</v>
      </c>
      <c r="BB1153" t="s">
        <v>981</v>
      </c>
      <c r="BC1153" t="s">
        <v>257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 t="s">
        <v>998</v>
      </c>
      <c r="BK1153" t="s">
        <v>981</v>
      </c>
      <c r="BL1153" t="s">
        <v>7708</v>
      </c>
      <c r="BM1153">
        <v>20260105</v>
      </c>
      <c r="BN1153">
        <v>0</v>
      </c>
      <c r="BO1153">
        <v>0</v>
      </c>
      <c r="BP1153" t="s">
        <v>257</v>
      </c>
      <c r="BQ1153" t="s">
        <v>983</v>
      </c>
      <c r="BR1153" t="s">
        <v>978</v>
      </c>
      <c r="BS1153" t="s">
        <v>979</v>
      </c>
      <c r="BT1153">
        <v>0</v>
      </c>
      <c r="BU1153">
        <v>0</v>
      </c>
      <c r="BV1153" t="s">
        <v>984</v>
      </c>
      <c r="BW1153" t="s">
        <v>257</v>
      </c>
      <c r="BX1153">
        <v>0</v>
      </c>
      <c r="BY1153" t="s">
        <v>980</v>
      </c>
      <c r="BZ1153" t="s">
        <v>257</v>
      </c>
      <c r="CA1153">
        <v>0</v>
      </c>
      <c r="CB1153">
        <v>0</v>
      </c>
      <c r="CC1153" t="s">
        <v>1220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 t="s">
        <v>983</v>
      </c>
      <c r="CJ1153" t="s">
        <v>972</v>
      </c>
      <c r="CK1153" t="s">
        <v>986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 t="s">
        <v>987</v>
      </c>
      <c r="CV1153">
        <v>400011535</v>
      </c>
      <c r="CW1153" t="s">
        <v>987</v>
      </c>
      <c r="CX1153" t="s">
        <v>7711</v>
      </c>
      <c r="CY1153" t="s">
        <v>989</v>
      </c>
    </row>
    <row r="1154" spans="1:103" hidden="1" x14ac:dyDescent="0.25">
      <c r="A1154">
        <v>410001160</v>
      </c>
      <c r="B1154" t="s">
        <v>7712</v>
      </c>
      <c r="C1154" t="s">
        <v>7713</v>
      </c>
      <c r="D1154">
        <v>401100000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1</v>
      </c>
      <c r="Y1154" t="s">
        <v>972</v>
      </c>
      <c r="Z1154" t="s">
        <v>987</v>
      </c>
      <c r="AA1154" t="s">
        <v>7714</v>
      </c>
      <c r="AB1154" t="s">
        <v>975</v>
      </c>
      <c r="AC1154">
        <v>4801</v>
      </c>
      <c r="AD1154" t="s">
        <v>1124</v>
      </c>
      <c r="AE1154">
        <v>87315540</v>
      </c>
      <c r="AF1154" t="s">
        <v>979</v>
      </c>
      <c r="AG1154" t="s">
        <v>977</v>
      </c>
      <c r="AH1154" t="s">
        <v>977</v>
      </c>
      <c r="AI1154" t="s">
        <v>977</v>
      </c>
      <c r="AJ1154" t="s">
        <v>978</v>
      </c>
      <c r="AK1154" t="s">
        <v>978</v>
      </c>
      <c r="AL1154" t="s">
        <v>978</v>
      </c>
      <c r="AM1154" t="s">
        <v>979</v>
      </c>
      <c r="AN1154">
        <v>0</v>
      </c>
      <c r="AO1154" t="s">
        <v>257</v>
      </c>
      <c r="AP1154">
        <v>0</v>
      </c>
      <c r="AQ1154">
        <v>1</v>
      </c>
      <c r="AR1154">
        <v>43</v>
      </c>
      <c r="AS1154">
        <v>1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1</v>
      </c>
      <c r="AZ1154" t="s">
        <v>257</v>
      </c>
      <c r="BA1154" t="s">
        <v>980</v>
      </c>
      <c r="BB1154" t="s">
        <v>981</v>
      </c>
      <c r="BC1154" t="s">
        <v>257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 t="s">
        <v>998</v>
      </c>
      <c r="BK1154" t="s">
        <v>981</v>
      </c>
      <c r="BL1154" t="s">
        <v>7712</v>
      </c>
      <c r="BM1154">
        <v>20260106</v>
      </c>
      <c r="BN1154">
        <v>0</v>
      </c>
      <c r="BO1154">
        <v>0</v>
      </c>
      <c r="BP1154" t="s">
        <v>257</v>
      </c>
      <c r="BQ1154" t="s">
        <v>983</v>
      </c>
      <c r="BR1154" t="s">
        <v>978</v>
      </c>
      <c r="BS1154" t="s">
        <v>979</v>
      </c>
      <c r="BT1154">
        <v>0</v>
      </c>
      <c r="BU1154">
        <v>0</v>
      </c>
      <c r="BV1154" t="s">
        <v>984</v>
      </c>
      <c r="BW1154" t="s">
        <v>257</v>
      </c>
      <c r="BX1154">
        <v>0</v>
      </c>
      <c r="BY1154" t="s">
        <v>980</v>
      </c>
      <c r="BZ1154" t="s">
        <v>257</v>
      </c>
      <c r="CA1154">
        <v>0</v>
      </c>
      <c r="CB1154">
        <v>0</v>
      </c>
      <c r="CC1154" t="s">
        <v>1499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 t="s">
        <v>983</v>
      </c>
      <c r="CJ1154" t="s">
        <v>972</v>
      </c>
      <c r="CK1154" t="s">
        <v>986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 t="s">
        <v>987</v>
      </c>
      <c r="CV1154">
        <v>400011538</v>
      </c>
      <c r="CW1154" t="s">
        <v>987</v>
      </c>
      <c r="CX1154" t="s">
        <v>7715</v>
      </c>
      <c r="CY1154" t="s">
        <v>989</v>
      </c>
    </row>
    <row r="1155" spans="1:103" hidden="1" x14ac:dyDescent="0.25">
      <c r="A1155">
        <v>410001162</v>
      </c>
      <c r="B1155" t="s">
        <v>7741</v>
      </c>
      <c r="C1155" t="s">
        <v>7787</v>
      </c>
      <c r="D1155">
        <v>401100000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1</v>
      </c>
      <c r="AA1155" t="s">
        <v>7778</v>
      </c>
      <c r="AB1155" t="s">
        <v>975</v>
      </c>
      <c r="AC1155">
        <v>4671</v>
      </c>
      <c r="AD1155" t="s">
        <v>3208</v>
      </c>
      <c r="BJ1155" t="s">
        <v>998</v>
      </c>
      <c r="BL1155" t="s">
        <v>7741</v>
      </c>
      <c r="CV1155">
        <v>410001162</v>
      </c>
    </row>
    <row r="1156" spans="1:103" hidden="1" x14ac:dyDescent="0.25">
      <c r="A1156">
        <v>410001163</v>
      </c>
      <c r="B1156" t="s">
        <v>7827</v>
      </c>
      <c r="C1156" t="s">
        <v>7832</v>
      </c>
      <c r="D1156">
        <v>401100000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1</v>
      </c>
      <c r="X1156">
        <v>1</v>
      </c>
      <c r="AA1156" t="s">
        <v>7833</v>
      </c>
      <c r="AB1156" t="s">
        <v>975</v>
      </c>
      <c r="AC1156">
        <v>5650</v>
      </c>
      <c r="AD1156" t="s">
        <v>7834</v>
      </c>
      <c r="BJ1156" t="s">
        <v>998</v>
      </c>
      <c r="BL1156" t="s">
        <v>7827</v>
      </c>
      <c r="CV1156">
        <v>410001163</v>
      </c>
    </row>
    <row r="1157" spans="1:103" hidden="1" x14ac:dyDescent="0.25">
      <c r="A1157">
        <v>410001164</v>
      </c>
      <c r="B1157" t="s">
        <v>7853</v>
      </c>
      <c r="C1157" t="s">
        <v>7851</v>
      </c>
      <c r="D1157">
        <v>401100000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1</v>
      </c>
      <c r="X1157">
        <v>1</v>
      </c>
      <c r="AA1157" t="s">
        <v>7852</v>
      </c>
      <c r="AB1157" t="s">
        <v>975</v>
      </c>
      <c r="AC1157">
        <v>4040</v>
      </c>
      <c r="AD1157" t="s">
        <v>976</v>
      </c>
      <c r="BJ1157" t="s">
        <v>998</v>
      </c>
      <c r="BL1157" t="s">
        <v>7853</v>
      </c>
      <c r="CV1157">
        <v>400011164</v>
      </c>
    </row>
    <row r="1158" spans="1:103" hidden="1" x14ac:dyDescent="0.25">
      <c r="A1158">
        <v>410001170</v>
      </c>
      <c r="B1158" t="s">
        <v>7737</v>
      </c>
      <c r="D1158">
        <v>401100000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4</v>
      </c>
      <c r="W1158">
        <v>1</v>
      </c>
      <c r="X1158">
        <v>1</v>
      </c>
      <c r="AA1158" t="s">
        <v>7804</v>
      </c>
      <c r="AB1158" t="s">
        <v>975</v>
      </c>
      <c r="AC1158">
        <v>4000</v>
      </c>
      <c r="AD1158" t="s">
        <v>1019</v>
      </c>
      <c r="BJ1158" t="s">
        <v>998</v>
      </c>
      <c r="BL1158" t="s">
        <v>7737</v>
      </c>
      <c r="CV1158">
        <v>410001170</v>
      </c>
    </row>
    <row r="1159" spans="1:103" hidden="1" x14ac:dyDescent="0.25">
      <c r="A1159">
        <v>410001174</v>
      </c>
      <c r="B1159" t="s">
        <v>7792</v>
      </c>
      <c r="C1159" t="s">
        <v>7793</v>
      </c>
      <c r="D1159">
        <v>401100000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1</v>
      </c>
      <c r="AA1159" t="s">
        <v>7794</v>
      </c>
      <c r="AB1159" t="s">
        <v>975</v>
      </c>
      <c r="AC1159">
        <v>4000</v>
      </c>
      <c r="AD1159" t="s">
        <v>1019</v>
      </c>
      <c r="BJ1159" t="s">
        <v>998</v>
      </c>
      <c r="BL1159" t="s">
        <v>7792</v>
      </c>
      <c r="CV1159">
        <v>410001174</v>
      </c>
    </row>
    <row r="1160" spans="1:103" hidden="1" x14ac:dyDescent="0.25">
      <c r="A1160">
        <v>410001176</v>
      </c>
      <c r="B1160" t="s">
        <v>7758</v>
      </c>
      <c r="C1160" t="s">
        <v>7795</v>
      </c>
      <c r="D1160">
        <v>401100000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1</v>
      </c>
      <c r="X1160">
        <v>1</v>
      </c>
      <c r="AA1160" t="s">
        <v>7794</v>
      </c>
      <c r="AB1160" t="s">
        <v>975</v>
      </c>
      <c r="AC1160">
        <v>4000</v>
      </c>
      <c r="AD1160" t="s">
        <v>1019</v>
      </c>
      <c r="BJ1160" t="s">
        <v>998</v>
      </c>
      <c r="BL1160" t="s">
        <v>7758</v>
      </c>
      <c r="CV1160">
        <v>410001176</v>
      </c>
    </row>
    <row r="1161" spans="1:103" hidden="1" x14ac:dyDescent="0.25">
      <c r="A1161">
        <v>410001177</v>
      </c>
      <c r="B1161" t="s">
        <v>7856</v>
      </c>
      <c r="C1161" t="s">
        <v>7835</v>
      </c>
      <c r="D1161">
        <v>401100000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1</v>
      </c>
      <c r="X1161">
        <v>1</v>
      </c>
      <c r="AA1161" t="s">
        <v>7836</v>
      </c>
      <c r="AB1161" t="s">
        <v>975</v>
      </c>
      <c r="AC1161">
        <v>4621</v>
      </c>
      <c r="AD1161" t="s">
        <v>1368</v>
      </c>
      <c r="BJ1161" t="s">
        <v>998</v>
      </c>
      <c r="BL1161" t="s">
        <v>7837</v>
      </c>
      <c r="CV1161">
        <v>410001177</v>
      </c>
    </row>
    <row r="1162" spans="1:103" hidden="1" x14ac:dyDescent="0.25">
      <c r="A1162">
        <v>410001179</v>
      </c>
      <c r="B1162" t="s">
        <v>7759</v>
      </c>
      <c r="C1162" t="s">
        <v>7796</v>
      </c>
      <c r="D1162">
        <v>401100000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1</v>
      </c>
      <c r="X1162">
        <v>1</v>
      </c>
      <c r="AA1162" t="s">
        <v>7797</v>
      </c>
      <c r="AB1162" t="s">
        <v>975</v>
      </c>
      <c r="AC1162">
        <v>6990</v>
      </c>
      <c r="AD1162" t="s">
        <v>7798</v>
      </c>
      <c r="BJ1162" t="s">
        <v>998</v>
      </c>
      <c r="BL1162" t="s">
        <v>7759</v>
      </c>
      <c r="CV1162">
        <v>410001179</v>
      </c>
    </row>
    <row r="1163" spans="1:103" hidden="1" x14ac:dyDescent="0.25">
      <c r="A1163">
        <v>410001181</v>
      </c>
      <c r="B1163" t="s">
        <v>7799</v>
      </c>
      <c r="D1163">
        <v>401100000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</v>
      </c>
      <c r="W1163">
        <v>1</v>
      </c>
      <c r="X1163">
        <v>1</v>
      </c>
      <c r="AA1163" t="s">
        <v>7800</v>
      </c>
      <c r="AB1163" t="s">
        <v>975</v>
      </c>
      <c r="AC1163">
        <v>4000</v>
      </c>
      <c r="AD1163" t="s">
        <v>1019</v>
      </c>
      <c r="BJ1163" t="s">
        <v>998</v>
      </c>
      <c r="BL1163" t="s">
        <v>7799</v>
      </c>
      <c r="CV1163">
        <v>410001181</v>
      </c>
    </row>
    <row r="1164" spans="1:103" hidden="1" x14ac:dyDescent="0.25">
      <c r="A1164">
        <v>410001182</v>
      </c>
      <c r="B1164" s="44" t="s">
        <v>7779</v>
      </c>
      <c r="C1164" t="s">
        <v>7788</v>
      </c>
      <c r="D1164">
        <v>401100000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</v>
      </c>
      <c r="W1164">
        <v>1</v>
      </c>
      <c r="X1164">
        <v>1</v>
      </c>
      <c r="AA1164" t="s">
        <v>7780</v>
      </c>
      <c r="AB1164" t="s">
        <v>1626</v>
      </c>
      <c r="AC1164">
        <v>9689</v>
      </c>
      <c r="AD1164" t="s">
        <v>7781</v>
      </c>
      <c r="BJ1164" t="s">
        <v>998</v>
      </c>
      <c r="BL1164" s="44" t="s">
        <v>7779</v>
      </c>
      <c r="CV1164">
        <v>410001182</v>
      </c>
    </row>
    <row r="1165" spans="1:103" hidden="1" x14ac:dyDescent="0.25">
      <c r="A1165">
        <v>410001183</v>
      </c>
      <c r="B1165" t="s">
        <v>7775</v>
      </c>
      <c r="D1165">
        <v>401100000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4</v>
      </c>
      <c r="W1165">
        <v>1</v>
      </c>
      <c r="X1165">
        <v>1</v>
      </c>
      <c r="AA1165" t="s">
        <v>7776</v>
      </c>
      <c r="AB1165" t="s">
        <v>975</v>
      </c>
      <c r="AC1165">
        <v>6540</v>
      </c>
      <c r="AD1165" t="s">
        <v>7777</v>
      </c>
      <c r="BJ1165" t="s">
        <v>998</v>
      </c>
      <c r="BL1165" t="s">
        <v>7791</v>
      </c>
      <c r="CV1165">
        <v>410001183</v>
      </c>
    </row>
    <row r="1166" spans="1:103" hidden="1" x14ac:dyDescent="0.25">
      <c r="A1166">
        <v>410001185</v>
      </c>
      <c r="B1166" t="s">
        <v>7783</v>
      </c>
      <c r="C1166" t="s">
        <v>7789</v>
      </c>
      <c r="D1166">
        <v>401100000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1</v>
      </c>
      <c r="X1166">
        <v>1</v>
      </c>
      <c r="AA1166" t="s">
        <v>7790</v>
      </c>
      <c r="AB1166" t="s">
        <v>975</v>
      </c>
      <c r="AC1166">
        <v>1300</v>
      </c>
      <c r="AD1166" t="s">
        <v>2390</v>
      </c>
      <c r="BJ1166" t="s">
        <v>998</v>
      </c>
      <c r="BL1166" t="s">
        <v>7783</v>
      </c>
      <c r="CV1166">
        <v>410001185</v>
      </c>
    </row>
    <row r="1167" spans="1:103" hidden="1" x14ac:dyDescent="0.25">
      <c r="A1167">
        <v>410001188</v>
      </c>
      <c r="B1167" t="s">
        <v>7830</v>
      </c>
      <c r="C1167" t="s">
        <v>7843</v>
      </c>
      <c r="D1167">
        <v>401100000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1</v>
      </c>
      <c r="X1167">
        <v>1</v>
      </c>
      <c r="AA1167" t="s">
        <v>7844</v>
      </c>
      <c r="AB1167" t="s">
        <v>975</v>
      </c>
      <c r="AC1167">
        <v>4800</v>
      </c>
      <c r="AD1167" t="s">
        <v>1124</v>
      </c>
      <c r="BJ1167" t="s">
        <v>998</v>
      </c>
      <c r="BL1167" t="s">
        <v>7830</v>
      </c>
      <c r="CV1167">
        <v>410001188</v>
      </c>
    </row>
    <row r="1168" spans="1:103" hidden="1" x14ac:dyDescent="0.25">
      <c r="A1168">
        <v>410001190</v>
      </c>
      <c r="B1168" t="s">
        <v>7785</v>
      </c>
      <c r="C1168" t="s">
        <v>7801</v>
      </c>
      <c r="D1168">
        <v>401100000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1</v>
      </c>
      <c r="AA1168" t="s">
        <v>7802</v>
      </c>
      <c r="AB1168" t="s">
        <v>975</v>
      </c>
      <c r="AC1168">
        <v>7390</v>
      </c>
      <c r="AD1168" t="s">
        <v>7803</v>
      </c>
      <c r="BJ1168" t="s">
        <v>998</v>
      </c>
      <c r="BL1168" t="s">
        <v>7785</v>
      </c>
      <c r="CV1168">
        <v>410001190</v>
      </c>
    </row>
    <row r="1169" spans="1:100" hidden="1" x14ac:dyDescent="0.25">
      <c r="A1169">
        <v>410001191</v>
      </c>
      <c r="B1169" t="s">
        <v>7823</v>
      </c>
      <c r="C1169" t="s">
        <v>7824</v>
      </c>
      <c r="D1169">
        <v>401100000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1</v>
      </c>
      <c r="X1169">
        <v>1</v>
      </c>
      <c r="AA1169" t="s">
        <v>7825</v>
      </c>
      <c r="AB1169" t="s">
        <v>975</v>
      </c>
      <c r="AC1169">
        <v>4800</v>
      </c>
      <c r="AD1169" t="s">
        <v>1334</v>
      </c>
      <c r="BJ1169" t="s">
        <v>998</v>
      </c>
      <c r="BL1169" t="s">
        <v>7883</v>
      </c>
      <c r="CV1169">
        <v>410001191</v>
      </c>
    </row>
    <row r="1170" spans="1:100" hidden="1" x14ac:dyDescent="0.25">
      <c r="A1170">
        <v>410001193</v>
      </c>
      <c r="B1170" t="s">
        <v>7828</v>
      </c>
      <c r="C1170" t="s">
        <v>7838</v>
      </c>
      <c r="D1170">
        <v>401100000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1</v>
      </c>
      <c r="X1170">
        <v>1</v>
      </c>
      <c r="AA1170" t="s">
        <v>7839</v>
      </c>
      <c r="AB1170" t="s">
        <v>975</v>
      </c>
      <c r="AC1170">
        <v>4347</v>
      </c>
      <c r="AD1170" t="s">
        <v>7840</v>
      </c>
      <c r="BJ1170" t="s">
        <v>998</v>
      </c>
      <c r="BL1170" t="s">
        <v>7828</v>
      </c>
      <c r="CV1170">
        <v>410001193</v>
      </c>
    </row>
    <row r="1171" spans="1:100" hidden="1" x14ac:dyDescent="0.25">
      <c r="A1171">
        <v>410001195</v>
      </c>
      <c r="B1171" t="s">
        <v>7872</v>
      </c>
      <c r="C1171" t="s">
        <v>7875</v>
      </c>
      <c r="D1171">
        <v>401100000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1</v>
      </c>
      <c r="X1171">
        <v>1</v>
      </c>
      <c r="AA1171" t="s">
        <v>7873</v>
      </c>
      <c r="AB1171" t="s">
        <v>1626</v>
      </c>
      <c r="AC1171">
        <v>5326</v>
      </c>
      <c r="AD1171" t="s">
        <v>7874</v>
      </c>
      <c r="BJ1171" t="s">
        <v>998</v>
      </c>
      <c r="BL1171" t="s">
        <v>7872</v>
      </c>
      <c r="CV1171">
        <v>400011195</v>
      </c>
    </row>
    <row r="1172" spans="1:100" hidden="1" x14ac:dyDescent="0.25">
      <c r="A1172">
        <v>410001197</v>
      </c>
      <c r="B1172" t="s">
        <v>7829</v>
      </c>
      <c r="C1172" t="s">
        <v>7841</v>
      </c>
      <c r="D1172">
        <v>401100000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1</v>
      </c>
      <c r="X1172">
        <v>1</v>
      </c>
      <c r="AA1172" t="s">
        <v>7842</v>
      </c>
      <c r="AB1172" t="s">
        <v>975</v>
      </c>
      <c r="AC1172">
        <v>4020</v>
      </c>
      <c r="AD1172" t="s">
        <v>1019</v>
      </c>
      <c r="BJ1172" t="s">
        <v>998</v>
      </c>
      <c r="BL1172" t="s">
        <v>7829</v>
      </c>
      <c r="CV1172">
        <v>410001197</v>
      </c>
    </row>
    <row r="1173" spans="1:100" hidden="1" x14ac:dyDescent="0.25">
      <c r="A1173">
        <v>410001198</v>
      </c>
      <c r="B1173" t="s">
        <v>7805</v>
      </c>
      <c r="C1173" t="s">
        <v>7807</v>
      </c>
      <c r="D1173">
        <v>401100000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1</v>
      </c>
      <c r="X1173">
        <v>1</v>
      </c>
      <c r="AA1173" t="s">
        <v>7808</v>
      </c>
      <c r="AB1173" t="s">
        <v>975</v>
      </c>
      <c r="AC1173">
        <v>4040</v>
      </c>
      <c r="AD1173" t="s">
        <v>976</v>
      </c>
      <c r="BJ1173" t="s">
        <v>998</v>
      </c>
      <c r="BL1173" t="s">
        <v>7805</v>
      </c>
      <c r="CV1173">
        <v>410001198</v>
      </c>
    </row>
    <row r="1174" spans="1:100" hidden="1" x14ac:dyDescent="0.25">
      <c r="A1174">
        <v>410001199</v>
      </c>
      <c r="B1174" t="s">
        <v>7809</v>
      </c>
      <c r="C1174" t="s">
        <v>7810</v>
      </c>
      <c r="D1174">
        <v>401100000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</v>
      </c>
      <c r="W1174">
        <v>1</v>
      </c>
      <c r="X1174">
        <v>1</v>
      </c>
      <c r="AA1174" t="s">
        <v>7811</v>
      </c>
      <c r="AB1174" t="s">
        <v>1626</v>
      </c>
      <c r="AC1174">
        <v>9175</v>
      </c>
      <c r="AD1174" t="s">
        <v>7812</v>
      </c>
      <c r="BJ1174" t="s">
        <v>998</v>
      </c>
      <c r="BL1174" t="s">
        <v>7809</v>
      </c>
      <c r="CV1174">
        <v>410001199</v>
      </c>
    </row>
    <row r="1175" spans="1:100" hidden="1" x14ac:dyDescent="0.25">
      <c r="A1175">
        <v>410001200</v>
      </c>
      <c r="B1175" t="s">
        <v>7813</v>
      </c>
      <c r="C1175" t="s">
        <v>7816</v>
      </c>
      <c r="D1175">
        <v>401100000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1</v>
      </c>
      <c r="X1175">
        <v>1</v>
      </c>
      <c r="AA1175" t="s">
        <v>7817</v>
      </c>
      <c r="AB1175" t="s">
        <v>1626</v>
      </c>
      <c r="AC1175">
        <v>8287</v>
      </c>
      <c r="AD1175" t="s">
        <v>7818</v>
      </c>
      <c r="BJ1175" t="s">
        <v>998</v>
      </c>
      <c r="BL1175" t="s">
        <v>7819</v>
      </c>
      <c r="CV1175">
        <v>410001200</v>
      </c>
    </row>
    <row r="1176" spans="1:100" hidden="1" x14ac:dyDescent="0.25">
      <c r="A1176">
        <v>410001202</v>
      </c>
      <c r="B1176" t="s">
        <v>7862</v>
      </c>
      <c r="C1176" t="s">
        <v>7863</v>
      </c>
      <c r="D1176">
        <v>401100000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1</v>
      </c>
      <c r="X1176">
        <v>1</v>
      </c>
      <c r="AA1176" t="s">
        <v>7864</v>
      </c>
      <c r="AB1176" t="s">
        <v>975</v>
      </c>
      <c r="AC1176">
        <v>6041</v>
      </c>
      <c r="AD1176" t="s">
        <v>993</v>
      </c>
      <c r="BJ1176" t="s">
        <v>998</v>
      </c>
      <c r="BL1176" t="s">
        <v>7862</v>
      </c>
      <c r="CV1176">
        <v>400011202</v>
      </c>
    </row>
    <row r="1177" spans="1:100" hidden="1" x14ac:dyDescent="0.25">
      <c r="A1177" s="44">
        <v>410001204</v>
      </c>
      <c r="B1177" t="s">
        <v>8035</v>
      </c>
      <c r="C1177" t="s">
        <v>8036</v>
      </c>
      <c r="D1177">
        <v>401100000</v>
      </c>
      <c r="V1177">
        <v>1</v>
      </c>
      <c r="AA1177" t="s">
        <v>8037</v>
      </c>
      <c r="AB1177" t="s">
        <v>975</v>
      </c>
      <c r="AC1177">
        <v>1082</v>
      </c>
      <c r="AD1177" t="s">
        <v>8038</v>
      </c>
      <c r="BJ1177" t="s">
        <v>998</v>
      </c>
      <c r="BL1177" t="s">
        <v>8035</v>
      </c>
      <c r="CV1177">
        <v>400011204</v>
      </c>
    </row>
    <row r="1178" spans="1:100" hidden="1" x14ac:dyDescent="0.25">
      <c r="A1178">
        <v>410001205</v>
      </c>
      <c r="B1178" s="44" t="s">
        <v>7859</v>
      </c>
      <c r="C1178" t="s">
        <v>7947</v>
      </c>
      <c r="D1178">
        <v>401100000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1</v>
      </c>
      <c r="AA1178" t="s">
        <v>5593</v>
      </c>
      <c r="AB1178" t="s">
        <v>975</v>
      </c>
      <c r="AC1178">
        <v>4000</v>
      </c>
      <c r="AD1178" t="s">
        <v>1019</v>
      </c>
      <c r="BJ1178" t="s">
        <v>998</v>
      </c>
      <c r="BL1178" s="44" t="s">
        <v>7859</v>
      </c>
      <c r="CV1178">
        <v>400011205</v>
      </c>
    </row>
    <row r="1179" spans="1:100" hidden="1" x14ac:dyDescent="0.25">
      <c r="A1179" s="44">
        <v>410001206</v>
      </c>
      <c r="B1179" s="44" t="s">
        <v>7857</v>
      </c>
      <c r="C1179" t="s">
        <v>7950</v>
      </c>
      <c r="D1179">
        <v>401100000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1</v>
      </c>
      <c r="X1179">
        <v>1</v>
      </c>
      <c r="AA1179" t="s">
        <v>7948</v>
      </c>
      <c r="AB1179" t="s">
        <v>975</v>
      </c>
      <c r="AC1179">
        <v>6230</v>
      </c>
      <c r="AD1179" t="s">
        <v>7949</v>
      </c>
      <c r="BJ1179" t="s">
        <v>998</v>
      </c>
      <c r="BL1179" s="44" t="s">
        <v>7857</v>
      </c>
      <c r="CV1179">
        <v>400011206</v>
      </c>
    </row>
    <row r="1180" spans="1:100" hidden="1" x14ac:dyDescent="0.25">
      <c r="A1180">
        <v>410001208</v>
      </c>
      <c r="B1180" t="s">
        <v>7994</v>
      </c>
      <c r="C1180" t="s">
        <v>7995</v>
      </c>
      <c r="D1180">
        <v>401100000</v>
      </c>
      <c r="V1180">
        <v>1</v>
      </c>
      <c r="AA1180" t="s">
        <v>7996</v>
      </c>
      <c r="AB1180" t="s">
        <v>975</v>
      </c>
      <c r="AC1180">
        <v>4400</v>
      </c>
      <c r="AD1180" t="s">
        <v>1237</v>
      </c>
      <c r="BI1180">
        <v>0</v>
      </c>
      <c r="BJ1180" t="s">
        <v>998</v>
      </c>
      <c r="BK1180" t="s">
        <v>981</v>
      </c>
      <c r="BL1180" t="s">
        <v>7994</v>
      </c>
      <c r="CV1180">
        <v>400011208</v>
      </c>
    </row>
    <row r="1181" spans="1:100" hidden="1" x14ac:dyDescent="0.25">
      <c r="A1181" s="44">
        <v>410001209</v>
      </c>
      <c r="B1181" s="44" t="s">
        <v>7915</v>
      </c>
      <c r="C1181" t="s">
        <v>7932</v>
      </c>
      <c r="D1181">
        <v>401100000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1</v>
      </c>
      <c r="X1181">
        <v>1</v>
      </c>
      <c r="AA1181" t="s">
        <v>7931</v>
      </c>
      <c r="AB1181" t="s">
        <v>975</v>
      </c>
      <c r="AC1181">
        <v>4837</v>
      </c>
      <c r="AD1181" t="s">
        <v>7933</v>
      </c>
      <c r="BJ1181" t="s">
        <v>998</v>
      </c>
      <c r="BL1181" s="44" t="s">
        <v>7915</v>
      </c>
      <c r="CV1181">
        <v>400011209</v>
      </c>
    </row>
    <row r="1182" spans="1:100" hidden="1" x14ac:dyDescent="0.25">
      <c r="A1182" s="44">
        <v>410001222</v>
      </c>
      <c r="B1182" s="44" t="s">
        <v>7943</v>
      </c>
      <c r="C1182" t="s">
        <v>7944</v>
      </c>
      <c r="D1182">
        <v>401100000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</v>
      </c>
      <c r="W1182">
        <v>1</v>
      </c>
      <c r="X1182">
        <v>1</v>
      </c>
      <c r="AA1182" t="s">
        <v>7945</v>
      </c>
      <c r="AB1182" t="s">
        <v>1626</v>
      </c>
      <c r="AC1182">
        <v>2434</v>
      </c>
      <c r="AD1182" t="s">
        <v>7946</v>
      </c>
      <c r="BJ1182" t="s">
        <v>998</v>
      </c>
      <c r="BL1182" s="44" t="s">
        <v>7943</v>
      </c>
      <c r="CV1182">
        <v>400011222</v>
      </c>
    </row>
    <row r="1183" spans="1:100" hidden="1" x14ac:dyDescent="0.25">
      <c r="A1183" s="44">
        <v>410001228</v>
      </c>
      <c r="B1183" s="44" t="s">
        <v>7913</v>
      </c>
      <c r="C1183" t="s">
        <v>7923</v>
      </c>
      <c r="D1183">
        <v>401100000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1</v>
      </c>
      <c r="X1183">
        <v>1</v>
      </c>
      <c r="AA1183" t="s">
        <v>7924</v>
      </c>
      <c r="AB1183" t="s">
        <v>1626</v>
      </c>
      <c r="AC1183">
        <v>2551</v>
      </c>
      <c r="AD1183" t="s">
        <v>6388</v>
      </c>
      <c r="BJ1183" t="s">
        <v>998</v>
      </c>
      <c r="BL1183" s="44" t="s">
        <v>7913</v>
      </c>
      <c r="CV1183">
        <v>400011228</v>
      </c>
    </row>
    <row r="1184" spans="1:100" hidden="1" x14ac:dyDescent="0.25">
      <c r="A1184" s="44">
        <v>410001230</v>
      </c>
      <c r="B1184" s="44" t="s">
        <v>7900</v>
      </c>
      <c r="C1184" t="s">
        <v>7926</v>
      </c>
      <c r="D1184">
        <v>401100000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</v>
      </c>
      <c r="W1184">
        <v>1</v>
      </c>
      <c r="X1184">
        <v>1</v>
      </c>
      <c r="AA1184" t="s">
        <v>7925</v>
      </c>
      <c r="AB1184" t="s">
        <v>1626</v>
      </c>
      <c r="AC1184">
        <v>3378</v>
      </c>
      <c r="AD1184" t="s">
        <v>7927</v>
      </c>
      <c r="BJ1184" t="s">
        <v>998</v>
      </c>
      <c r="BL1184" s="44" t="s">
        <v>7900</v>
      </c>
      <c r="CV1184">
        <v>400011230</v>
      </c>
    </row>
    <row r="1185" spans="1:100" hidden="1" x14ac:dyDescent="0.25">
      <c r="A1185" s="44">
        <v>410001245</v>
      </c>
      <c r="B1185" s="44" t="s">
        <v>7914</v>
      </c>
      <c r="C1185" t="s">
        <v>7928</v>
      </c>
      <c r="D1185">
        <v>401100000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1</v>
      </c>
      <c r="X1185">
        <v>1</v>
      </c>
      <c r="AA1185" t="s">
        <v>7929</v>
      </c>
      <c r="AB1185" t="s">
        <v>1626</v>
      </c>
      <c r="AC1185">
        <v>4960</v>
      </c>
      <c r="AD1185" t="s">
        <v>7930</v>
      </c>
      <c r="BJ1185" t="s">
        <v>998</v>
      </c>
      <c r="BL1185" s="44" t="s">
        <v>7914</v>
      </c>
      <c r="CV1185">
        <v>400011245</v>
      </c>
    </row>
    <row r="1186" spans="1:100" hidden="1" x14ac:dyDescent="0.25">
      <c r="A1186">
        <v>410001256</v>
      </c>
      <c r="B1186" t="s">
        <v>7867</v>
      </c>
      <c r="D1186">
        <v>401100000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</v>
      </c>
      <c r="W1186">
        <v>1</v>
      </c>
      <c r="X1186">
        <v>1</v>
      </c>
      <c r="AB1186" t="s">
        <v>1626</v>
      </c>
      <c r="AC1186">
        <v>1282</v>
      </c>
      <c r="AD1186" t="s">
        <v>6388</v>
      </c>
      <c r="BJ1186" t="s">
        <v>998</v>
      </c>
      <c r="BL1186" t="s">
        <v>7867</v>
      </c>
      <c r="CV1186">
        <v>400011256</v>
      </c>
    </row>
    <row r="1187" spans="1:100" hidden="1" x14ac:dyDescent="0.25">
      <c r="A1187">
        <v>410001259</v>
      </c>
      <c r="B1187" t="s">
        <v>7879</v>
      </c>
      <c r="C1187" t="s">
        <v>7880</v>
      </c>
      <c r="D1187">
        <v>401100000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1</v>
      </c>
      <c r="X1187">
        <v>1</v>
      </c>
      <c r="AA1187" t="s">
        <v>7881</v>
      </c>
      <c r="AB1187" t="s">
        <v>975</v>
      </c>
      <c r="AC1187">
        <v>4000</v>
      </c>
      <c r="AD1187" t="s">
        <v>1019</v>
      </c>
      <c r="BJ1187" t="s">
        <v>998</v>
      </c>
      <c r="BL1187" t="s">
        <v>7881</v>
      </c>
      <c r="CV1187">
        <v>400011259</v>
      </c>
    </row>
    <row r="1188" spans="1:100" hidden="1" x14ac:dyDescent="0.25">
      <c r="A1188" s="44">
        <v>410001261</v>
      </c>
      <c r="B1188" s="44" t="s">
        <v>7938</v>
      </c>
      <c r="C1188" t="s">
        <v>7939</v>
      </c>
      <c r="D1188">
        <v>401100000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</v>
      </c>
      <c r="W1188">
        <v>1</v>
      </c>
      <c r="X1188">
        <v>1</v>
      </c>
      <c r="AA1188" t="s">
        <v>7940</v>
      </c>
      <c r="AB1188" t="s">
        <v>1626</v>
      </c>
      <c r="AC1188">
        <v>4810</v>
      </c>
      <c r="AD1188" t="s">
        <v>7941</v>
      </c>
      <c r="BJ1188" t="s">
        <v>998</v>
      </c>
      <c r="BL1188" s="44" t="s">
        <v>7938</v>
      </c>
      <c r="CV1188">
        <v>400011261</v>
      </c>
    </row>
    <row r="1189" spans="1:100" hidden="1" x14ac:dyDescent="0.25">
      <c r="A1189">
        <v>410001262</v>
      </c>
      <c r="B1189" t="s">
        <v>7883</v>
      </c>
      <c r="C1189" t="s">
        <v>7884</v>
      </c>
      <c r="D1189">
        <v>401100000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1</v>
      </c>
      <c r="X1189">
        <v>1</v>
      </c>
      <c r="AA1189" t="s">
        <v>7825</v>
      </c>
      <c r="AB1189" t="s">
        <v>975</v>
      </c>
      <c r="AC1189">
        <v>4800</v>
      </c>
      <c r="AD1189" t="s">
        <v>1334</v>
      </c>
      <c r="BJ1189" t="s">
        <v>998</v>
      </c>
      <c r="BL1189" t="s">
        <v>7883</v>
      </c>
      <c r="CV1189">
        <v>400011262</v>
      </c>
    </row>
    <row r="1190" spans="1:100" hidden="1" x14ac:dyDescent="0.25">
      <c r="A1190" s="44">
        <v>410001268</v>
      </c>
      <c r="B1190" t="s">
        <v>8020</v>
      </c>
      <c r="C1190" t="s">
        <v>8021</v>
      </c>
      <c r="D1190">
        <v>401100000</v>
      </c>
      <c r="V1190">
        <v>3</v>
      </c>
      <c r="AA1190" t="s">
        <v>8022</v>
      </c>
      <c r="AB1190" t="s">
        <v>1626</v>
      </c>
      <c r="AC1190">
        <v>1610</v>
      </c>
      <c r="AD1190" t="s">
        <v>6388</v>
      </c>
      <c r="BJ1190" t="s">
        <v>998</v>
      </c>
      <c r="BL1190" t="s">
        <v>8020</v>
      </c>
      <c r="CV1190">
        <v>400011268</v>
      </c>
    </row>
    <row r="1191" spans="1:100" hidden="1" x14ac:dyDescent="0.25">
      <c r="A1191" s="44">
        <v>410001273</v>
      </c>
      <c r="B1191" s="44" t="s">
        <v>7916</v>
      </c>
      <c r="C1191" t="s">
        <v>7934</v>
      </c>
      <c r="D1191">
        <v>401100000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1</v>
      </c>
      <c r="AA1191" t="s">
        <v>7935</v>
      </c>
      <c r="AB1191" t="s">
        <v>975</v>
      </c>
      <c r="AC1191">
        <v>4000</v>
      </c>
      <c r="AD1191" t="s">
        <v>1019</v>
      </c>
      <c r="BJ1191" t="s">
        <v>998</v>
      </c>
      <c r="BL1191" s="44" t="s">
        <v>7916</v>
      </c>
      <c r="CV1191">
        <v>400011273</v>
      </c>
    </row>
    <row r="1192" spans="1:100" hidden="1" x14ac:dyDescent="0.25">
      <c r="A1192" s="44">
        <v>410001274</v>
      </c>
      <c r="B1192" t="s">
        <v>7909</v>
      </c>
      <c r="C1192" t="s">
        <v>7998</v>
      </c>
      <c r="D1192">
        <v>401100000</v>
      </c>
      <c r="V1192">
        <v>1</v>
      </c>
      <c r="AA1192" t="s">
        <v>7999</v>
      </c>
      <c r="AB1192" t="s">
        <v>975</v>
      </c>
      <c r="AC1192">
        <v>4140</v>
      </c>
      <c r="AD1192" t="s">
        <v>2353</v>
      </c>
      <c r="BJ1192" t="s">
        <v>998</v>
      </c>
      <c r="BL1192" t="s">
        <v>7909</v>
      </c>
      <c r="CV1192">
        <v>400011274</v>
      </c>
    </row>
    <row r="1193" spans="1:100" hidden="1" x14ac:dyDescent="0.25">
      <c r="A1193" s="44">
        <v>410001276</v>
      </c>
      <c r="B1193" s="44" t="s">
        <v>7921</v>
      </c>
      <c r="C1193" t="s">
        <v>7936</v>
      </c>
      <c r="D1193">
        <v>401100000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1</v>
      </c>
      <c r="X1193">
        <v>1</v>
      </c>
      <c r="AA1193" t="s">
        <v>7937</v>
      </c>
      <c r="AB1193" t="s">
        <v>975</v>
      </c>
      <c r="AC1193">
        <v>4000</v>
      </c>
      <c r="AD1193" t="s">
        <v>1019</v>
      </c>
      <c r="BJ1193" t="s">
        <v>998</v>
      </c>
      <c r="BL1193" s="44" t="s">
        <v>7921</v>
      </c>
      <c r="CV1193">
        <v>400011276</v>
      </c>
    </row>
    <row r="1194" spans="1:100" hidden="1" x14ac:dyDescent="0.25">
      <c r="A1194" s="44">
        <v>410001277</v>
      </c>
      <c r="B1194" s="44" t="s">
        <v>7953</v>
      </c>
      <c r="C1194" t="s">
        <v>7955</v>
      </c>
      <c r="D1194">
        <v>401100000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1</v>
      </c>
      <c r="X1194">
        <v>1</v>
      </c>
      <c r="AA1194" t="s">
        <v>7956</v>
      </c>
      <c r="AB1194" t="s">
        <v>975</v>
      </c>
      <c r="AC1194">
        <v>4900</v>
      </c>
      <c r="AD1194" t="s">
        <v>1386</v>
      </c>
      <c r="BJ1194" t="s">
        <v>998</v>
      </c>
      <c r="BL1194" s="44" t="s">
        <v>7953</v>
      </c>
      <c r="CV1194">
        <v>400011277</v>
      </c>
    </row>
    <row r="1195" spans="1:100" hidden="1" x14ac:dyDescent="0.25">
      <c r="A1195" s="44">
        <v>410001278</v>
      </c>
      <c r="B1195" s="44" t="s">
        <v>7960</v>
      </c>
      <c r="C1195" t="s">
        <v>7961</v>
      </c>
      <c r="D1195">
        <v>401100000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</v>
      </c>
      <c r="W1195">
        <v>1</v>
      </c>
      <c r="X1195">
        <v>1</v>
      </c>
      <c r="AA1195" t="s">
        <v>7962</v>
      </c>
      <c r="AB1195" t="s">
        <v>975</v>
      </c>
      <c r="AC1195">
        <v>4802</v>
      </c>
      <c r="AD1195" t="s">
        <v>7963</v>
      </c>
      <c r="BJ1195" t="s">
        <v>998</v>
      </c>
      <c r="BL1195" s="44" t="s">
        <v>7960</v>
      </c>
      <c r="CV1195">
        <v>400011278</v>
      </c>
    </row>
    <row r="1196" spans="1:100" hidden="1" x14ac:dyDescent="0.25">
      <c r="A1196" s="44">
        <v>410001279</v>
      </c>
      <c r="B1196" t="s">
        <v>7965</v>
      </c>
      <c r="C1196" t="s">
        <v>7966</v>
      </c>
      <c r="D1196">
        <v>401100000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1</v>
      </c>
      <c r="AA1196" t="s">
        <v>7967</v>
      </c>
      <c r="AB1196" t="s">
        <v>975</v>
      </c>
      <c r="AC1196">
        <v>1933</v>
      </c>
      <c r="AD1196" t="s">
        <v>7968</v>
      </c>
      <c r="BJ1196" t="s">
        <v>998</v>
      </c>
      <c r="BL1196" t="s">
        <v>7965</v>
      </c>
      <c r="CV1196">
        <v>400011279</v>
      </c>
    </row>
    <row r="1197" spans="1:100" hidden="1" x14ac:dyDescent="0.25">
      <c r="A1197" s="44">
        <v>410001280</v>
      </c>
      <c r="B1197" t="s">
        <v>7970</v>
      </c>
      <c r="C1197" t="s">
        <v>7971</v>
      </c>
      <c r="D1197">
        <v>401100000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4</v>
      </c>
      <c r="W1197">
        <v>1</v>
      </c>
      <c r="X1197">
        <v>1</v>
      </c>
      <c r="AA1197" t="s">
        <v>7972</v>
      </c>
      <c r="AB1197" t="s">
        <v>975</v>
      </c>
      <c r="AC1197">
        <v>1020</v>
      </c>
      <c r="AD1197" t="s">
        <v>1066</v>
      </c>
      <c r="BJ1197" t="s">
        <v>998</v>
      </c>
      <c r="BL1197" t="s">
        <v>7970</v>
      </c>
      <c r="CV1197">
        <v>400011280</v>
      </c>
    </row>
    <row r="1198" spans="1:100" hidden="1" x14ac:dyDescent="0.25">
      <c r="A1198" s="44">
        <v>410001281</v>
      </c>
      <c r="B1198" s="44" t="s">
        <v>7980</v>
      </c>
      <c r="C1198" t="s">
        <v>7981</v>
      </c>
      <c r="D1198">
        <v>401100000</v>
      </c>
      <c r="V1198">
        <v>1</v>
      </c>
      <c r="AA1198" t="s">
        <v>7982</v>
      </c>
      <c r="AB1198" t="s">
        <v>975</v>
      </c>
      <c r="AC1198">
        <v>1000</v>
      </c>
      <c r="AD1198" t="s">
        <v>1066</v>
      </c>
      <c r="BJ1198" t="s">
        <v>998</v>
      </c>
      <c r="BL1198" s="44" t="s">
        <v>7980</v>
      </c>
      <c r="CV1198">
        <v>400011281</v>
      </c>
    </row>
    <row r="1199" spans="1:100" hidden="1" x14ac:dyDescent="0.25">
      <c r="A1199" s="44">
        <v>410001282</v>
      </c>
      <c r="B1199" s="44" t="s">
        <v>7975</v>
      </c>
      <c r="C1199" t="s">
        <v>7976</v>
      </c>
      <c r="D1199">
        <v>401100000</v>
      </c>
      <c r="V1199">
        <v>1</v>
      </c>
      <c r="AA1199" t="s">
        <v>7977</v>
      </c>
      <c r="AB1199" t="s">
        <v>975</v>
      </c>
      <c r="AC1199">
        <v>4420</v>
      </c>
      <c r="AD1199" t="s">
        <v>7978</v>
      </c>
      <c r="BJ1199" t="s">
        <v>998</v>
      </c>
      <c r="BL1199" s="44" t="s">
        <v>7975</v>
      </c>
      <c r="CV1199">
        <v>400011282</v>
      </c>
    </row>
    <row r="1200" spans="1:100" hidden="1" x14ac:dyDescent="0.25">
      <c r="A1200" s="44">
        <v>410001283</v>
      </c>
      <c r="B1200" t="s">
        <v>8013</v>
      </c>
      <c r="C1200" t="s">
        <v>8015</v>
      </c>
      <c r="D1200">
        <v>401100000</v>
      </c>
      <c r="V1200">
        <v>1</v>
      </c>
      <c r="AA1200" t="s">
        <v>8016</v>
      </c>
      <c r="AB1200" t="s">
        <v>975</v>
      </c>
      <c r="AC1200">
        <v>1200</v>
      </c>
      <c r="AD1200" t="s">
        <v>1066</v>
      </c>
      <c r="BJ1200" t="s">
        <v>998</v>
      </c>
      <c r="BL1200" t="s">
        <v>8013</v>
      </c>
      <c r="CV1200">
        <v>400011283</v>
      </c>
    </row>
    <row r="1201" spans="1:103" hidden="1" x14ac:dyDescent="0.25">
      <c r="A1201" s="44">
        <v>410001284</v>
      </c>
      <c r="B1201" t="s">
        <v>8001</v>
      </c>
      <c r="C1201" t="s">
        <v>8002</v>
      </c>
      <c r="D1201">
        <v>401100000</v>
      </c>
      <c r="V1201">
        <v>1</v>
      </c>
      <c r="AA1201" t="s">
        <v>8003</v>
      </c>
      <c r="AB1201" t="s">
        <v>975</v>
      </c>
      <c r="AC1201">
        <v>4840</v>
      </c>
      <c r="AD1201" t="s">
        <v>2284</v>
      </c>
      <c r="BJ1201" t="s">
        <v>998</v>
      </c>
      <c r="BL1201" t="s">
        <v>8001</v>
      </c>
      <c r="CV1201">
        <v>400011284</v>
      </c>
    </row>
    <row r="1202" spans="1:103" hidden="1" x14ac:dyDescent="0.25">
      <c r="A1202" s="44">
        <v>410001285</v>
      </c>
      <c r="B1202" t="s">
        <v>8005</v>
      </c>
      <c r="C1202" t="s">
        <v>8006</v>
      </c>
      <c r="D1202">
        <v>401100000</v>
      </c>
      <c r="V1202">
        <v>1</v>
      </c>
      <c r="AA1202" t="s">
        <v>8007</v>
      </c>
      <c r="AB1202" t="s">
        <v>975</v>
      </c>
      <c r="AC1202">
        <v>5030</v>
      </c>
      <c r="AD1202" t="s">
        <v>1245</v>
      </c>
      <c r="BJ1202" t="s">
        <v>998</v>
      </c>
      <c r="BL1202" t="s">
        <v>8005</v>
      </c>
      <c r="CV1202">
        <v>400011285</v>
      </c>
    </row>
    <row r="1203" spans="1:103" hidden="1" x14ac:dyDescent="0.25">
      <c r="A1203" s="44">
        <v>410001285</v>
      </c>
      <c r="B1203" t="s">
        <v>8009</v>
      </c>
      <c r="C1203" t="s">
        <v>8010</v>
      </c>
      <c r="D1203">
        <v>401100000</v>
      </c>
      <c r="V1203">
        <v>1</v>
      </c>
      <c r="AA1203" t="s">
        <v>8011</v>
      </c>
      <c r="AB1203" t="s">
        <v>975</v>
      </c>
      <c r="AC1203">
        <v>4821</v>
      </c>
      <c r="AD1203" t="s">
        <v>8012</v>
      </c>
      <c r="BJ1203" t="s">
        <v>998</v>
      </c>
      <c r="BL1203" t="s">
        <v>8009</v>
      </c>
      <c r="CV1203">
        <v>400011286</v>
      </c>
    </row>
    <row r="1204" spans="1:103" hidden="1" x14ac:dyDescent="0.25">
      <c r="A1204" s="44">
        <v>410001287</v>
      </c>
      <c r="B1204" t="s">
        <v>8189</v>
      </c>
      <c r="C1204" t="s">
        <v>8190</v>
      </c>
      <c r="D1204">
        <v>401100000</v>
      </c>
      <c r="V1204">
        <v>1</v>
      </c>
      <c r="Y1204" t="s">
        <v>8193</v>
      </c>
      <c r="AA1204" t="s">
        <v>8191</v>
      </c>
      <c r="AB1204" t="s">
        <v>975</v>
      </c>
      <c r="AC1204">
        <v>1030</v>
      </c>
      <c r="AD1204" t="s">
        <v>8192</v>
      </c>
      <c r="BJ1204" t="s">
        <v>998</v>
      </c>
      <c r="BL1204" t="s">
        <v>8189</v>
      </c>
      <c r="CV1204">
        <v>400011287</v>
      </c>
    </row>
    <row r="1205" spans="1:103" hidden="1" x14ac:dyDescent="0.25">
      <c r="A1205">
        <v>410009992</v>
      </c>
      <c r="B1205" t="s">
        <v>6771</v>
      </c>
      <c r="C1205" t="s">
        <v>2627</v>
      </c>
      <c r="D1205">
        <v>401100000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1</v>
      </c>
      <c r="X1205">
        <v>1</v>
      </c>
      <c r="Y1205" t="s">
        <v>972</v>
      </c>
      <c r="Z1205" t="s">
        <v>987</v>
      </c>
      <c r="AA1205" t="s">
        <v>987</v>
      </c>
      <c r="AB1205" t="s">
        <v>6772</v>
      </c>
      <c r="AC1205" t="s">
        <v>6773</v>
      </c>
      <c r="AD1205" t="s">
        <v>977</v>
      </c>
      <c r="AE1205" t="s">
        <v>979</v>
      </c>
      <c r="AF1205" t="s">
        <v>979</v>
      </c>
      <c r="AG1205" t="s">
        <v>977</v>
      </c>
      <c r="AH1205" t="s">
        <v>977</v>
      </c>
      <c r="AI1205" t="s">
        <v>977</v>
      </c>
      <c r="AJ1205" t="s">
        <v>978</v>
      </c>
      <c r="AK1205" t="s">
        <v>978</v>
      </c>
      <c r="AL1205" t="s">
        <v>978</v>
      </c>
      <c r="AM1205" t="s">
        <v>979</v>
      </c>
      <c r="AN1205">
        <v>0</v>
      </c>
      <c r="AO1205" t="s">
        <v>257</v>
      </c>
      <c r="AP1205">
        <v>0</v>
      </c>
      <c r="AQ1205">
        <v>1</v>
      </c>
      <c r="AR1205">
        <v>43</v>
      </c>
      <c r="AS1205">
        <v>1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1</v>
      </c>
      <c r="AZ1205" t="s">
        <v>257</v>
      </c>
      <c r="BA1205" t="s">
        <v>257</v>
      </c>
      <c r="BB1205" t="s">
        <v>981</v>
      </c>
      <c r="BC1205" t="s">
        <v>257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 t="s">
        <v>998</v>
      </c>
      <c r="BK1205" t="s">
        <v>981</v>
      </c>
      <c r="BL1205" t="s">
        <v>6771</v>
      </c>
      <c r="BM1205">
        <v>20150521</v>
      </c>
      <c r="BN1205">
        <v>0</v>
      </c>
      <c r="BO1205">
        <v>0</v>
      </c>
      <c r="BP1205" t="s">
        <v>257</v>
      </c>
      <c r="BQ1205" t="s">
        <v>983</v>
      </c>
      <c r="BR1205" t="s">
        <v>978</v>
      </c>
      <c r="BS1205" t="s">
        <v>979</v>
      </c>
      <c r="BT1205">
        <v>0</v>
      </c>
      <c r="BU1205">
        <v>0</v>
      </c>
      <c r="BV1205" t="s">
        <v>1013</v>
      </c>
      <c r="BW1205" t="s">
        <v>257</v>
      </c>
      <c r="BX1205">
        <v>0</v>
      </c>
      <c r="BY1205" t="s">
        <v>980</v>
      </c>
      <c r="BZ1205" t="s">
        <v>257</v>
      </c>
      <c r="CA1205">
        <v>0</v>
      </c>
      <c r="CB1205">
        <v>0</v>
      </c>
      <c r="CC1205" t="s">
        <v>985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 t="s">
        <v>983</v>
      </c>
      <c r="CJ1205" t="s">
        <v>972</v>
      </c>
      <c r="CK1205" t="s">
        <v>986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 t="s">
        <v>987</v>
      </c>
      <c r="CV1205">
        <v>410009992</v>
      </c>
      <c r="CW1205" t="s">
        <v>987</v>
      </c>
      <c r="CX1205" t="s">
        <v>1081</v>
      </c>
      <c r="CY1205" t="s">
        <v>989</v>
      </c>
    </row>
  </sheetData>
  <autoFilter ref="A1:CY1205" xr:uid="{D0268EBA-6ACA-4518-A150-DE2318860829}">
    <filterColumn colId="101">
      <filters>
        <filter val="comptabilite.sabanigroup@gmail.com"/>
      </filters>
    </filterColumn>
  </autoFilter>
  <sortState xmlns:xlrd2="http://schemas.microsoft.com/office/spreadsheetml/2017/richdata2" ref="A1:CY1205">
    <sortCondition ref="A1:A120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F303-9AC7-454D-8EEA-EBC843DD7D76}">
  <sheetPr>
    <tabColor theme="1"/>
  </sheetPr>
  <dimension ref="A1:B82"/>
  <sheetViews>
    <sheetView workbookViewId="0">
      <selection activeCell="B23" sqref="B23"/>
    </sheetView>
  </sheetViews>
  <sheetFormatPr baseColWidth="10" defaultRowHeight="15" x14ac:dyDescent="0.25"/>
  <cols>
    <col min="1" max="1" width="46.5703125" customWidth="1"/>
    <col min="2" max="2" width="24.5703125" bestFit="1" customWidth="1"/>
  </cols>
  <sheetData>
    <row r="1" spans="1:2" x14ac:dyDescent="0.25">
      <c r="A1" s="20" t="s">
        <v>57</v>
      </c>
      <c r="B1" s="20" t="s">
        <v>469</v>
      </c>
    </row>
    <row r="2" spans="1:2" x14ac:dyDescent="0.25">
      <c r="A2" s="4" t="s">
        <v>185</v>
      </c>
      <c r="B2" t="s">
        <v>470</v>
      </c>
    </row>
    <row r="3" spans="1:2" x14ac:dyDescent="0.25">
      <c r="A3" s="4" t="s">
        <v>192</v>
      </c>
      <c r="B3" t="s">
        <v>471</v>
      </c>
    </row>
    <row r="4" spans="1:2" x14ac:dyDescent="0.25">
      <c r="A4" s="4" t="s">
        <v>215</v>
      </c>
      <c r="B4" t="s">
        <v>421</v>
      </c>
    </row>
    <row r="5" spans="1:2" x14ac:dyDescent="0.25">
      <c r="A5" s="25" t="s">
        <v>6780</v>
      </c>
      <c r="B5" t="s">
        <v>421</v>
      </c>
    </row>
    <row r="6" spans="1:2" x14ac:dyDescent="0.25">
      <c r="A6" s="4" t="s">
        <v>7689</v>
      </c>
      <c r="B6" t="s">
        <v>421</v>
      </c>
    </row>
    <row r="7" spans="1:2" x14ac:dyDescent="0.25">
      <c r="A7" s="4" t="s">
        <v>7381</v>
      </c>
      <c r="B7" t="s">
        <v>421</v>
      </c>
    </row>
    <row r="8" spans="1:2" x14ac:dyDescent="0.25">
      <c r="A8" s="4"/>
    </row>
    <row r="9" spans="1:2" x14ac:dyDescent="0.25">
      <c r="A9" s="25" t="s">
        <v>6932</v>
      </c>
      <c r="B9" t="s">
        <v>421</v>
      </c>
    </row>
    <row r="10" spans="1:2" x14ac:dyDescent="0.25">
      <c r="A10" s="25" t="s">
        <v>6931</v>
      </c>
      <c r="B10" t="s">
        <v>421</v>
      </c>
    </row>
    <row r="11" spans="1:2" x14ac:dyDescent="0.25">
      <c r="A11" s="4" t="s">
        <v>7186</v>
      </c>
      <c r="B11" t="s">
        <v>421</v>
      </c>
    </row>
    <row r="12" spans="1:2" x14ac:dyDescent="0.25">
      <c r="A12" s="4" t="s">
        <v>7310</v>
      </c>
      <c r="B12" t="s">
        <v>421</v>
      </c>
    </row>
    <row r="14" spans="1:2" x14ac:dyDescent="0.25">
      <c r="A14" s="4" t="s">
        <v>7255</v>
      </c>
      <c r="B14" t="s">
        <v>421</v>
      </c>
    </row>
    <row r="15" spans="1:2" x14ac:dyDescent="0.25">
      <c r="A15" s="4"/>
    </row>
    <row r="16" spans="1:2" x14ac:dyDescent="0.25">
      <c r="A16" s="4" t="s">
        <v>7188</v>
      </c>
      <c r="B16" t="s">
        <v>7193</v>
      </c>
    </row>
    <row r="17" spans="1:2" x14ac:dyDescent="0.25">
      <c r="A17" s="4" t="s">
        <v>7249</v>
      </c>
      <c r="B17" t="s">
        <v>7254</v>
      </c>
    </row>
    <row r="18" spans="1:2" x14ac:dyDescent="0.25">
      <c r="A18" s="25"/>
    </row>
    <row r="19" spans="1:2" x14ac:dyDescent="0.25">
      <c r="A19" s="4" t="s">
        <v>166</v>
      </c>
      <c r="B19" t="s">
        <v>464</v>
      </c>
    </row>
    <row r="20" spans="1:2" x14ac:dyDescent="0.25">
      <c r="A20" s="4" t="s">
        <v>169</v>
      </c>
      <c r="B20" t="s">
        <v>465</v>
      </c>
    </row>
    <row r="21" spans="1:2" x14ac:dyDescent="0.25">
      <c r="A21" s="4" t="s">
        <v>170</v>
      </c>
      <c r="B21" t="s">
        <v>466</v>
      </c>
    </row>
    <row r="22" spans="1:2" x14ac:dyDescent="0.25">
      <c r="A22" s="4" t="s">
        <v>172</v>
      </c>
      <c r="B22" t="s">
        <v>467</v>
      </c>
    </row>
    <row r="23" spans="1:2" x14ac:dyDescent="0.25">
      <c r="A23" s="4" t="s">
        <v>180</v>
      </c>
      <c r="B23" t="s">
        <v>265</v>
      </c>
    </row>
    <row r="24" spans="1:2" x14ac:dyDescent="0.25">
      <c r="A24" s="4" t="s">
        <v>7751</v>
      </c>
      <c r="B24" t="s">
        <v>7752</v>
      </c>
    </row>
    <row r="25" spans="1:2" x14ac:dyDescent="0.25">
      <c r="A25" s="4" t="s">
        <v>7747</v>
      </c>
      <c r="B25" t="s">
        <v>7739</v>
      </c>
    </row>
    <row r="26" spans="1:2" x14ac:dyDescent="0.25">
      <c r="A26" s="4"/>
    </row>
    <row r="27" spans="1:2" x14ac:dyDescent="0.25">
      <c r="A27" s="19" t="s">
        <v>228</v>
      </c>
      <c r="B27" t="s">
        <v>468</v>
      </c>
    </row>
    <row r="28" spans="1:2" x14ac:dyDescent="0.25">
      <c r="A28" s="19" t="s">
        <v>196</v>
      </c>
      <c r="B28" t="s">
        <v>468</v>
      </c>
    </row>
    <row r="29" spans="1:2" x14ac:dyDescent="0.25">
      <c r="A29" s="19" t="s">
        <v>227</v>
      </c>
      <c r="B29" t="s">
        <v>468</v>
      </c>
    </row>
    <row r="30" spans="1:2" x14ac:dyDescent="0.25">
      <c r="A30" s="19" t="s">
        <v>183</v>
      </c>
      <c r="B30" t="s">
        <v>468</v>
      </c>
    </row>
    <row r="31" spans="1:2" x14ac:dyDescent="0.25">
      <c r="A31" s="19" t="s">
        <v>222</v>
      </c>
      <c r="B31" t="s">
        <v>468</v>
      </c>
    </row>
    <row r="32" spans="1:2" x14ac:dyDescent="0.25">
      <c r="A32" s="19" t="s">
        <v>210</v>
      </c>
      <c r="B32" t="s">
        <v>468</v>
      </c>
    </row>
    <row r="33" spans="1:2" x14ac:dyDescent="0.25">
      <c r="A33" s="19" t="s">
        <v>191</v>
      </c>
      <c r="B33" t="s">
        <v>468</v>
      </c>
    </row>
    <row r="34" spans="1:2" x14ac:dyDescent="0.25">
      <c r="A34" s="19" t="s">
        <v>197</v>
      </c>
      <c r="B34" t="s">
        <v>468</v>
      </c>
    </row>
    <row r="35" spans="1:2" x14ac:dyDescent="0.25">
      <c r="A35" s="19" t="s">
        <v>188</v>
      </c>
      <c r="B35" t="s">
        <v>468</v>
      </c>
    </row>
    <row r="36" spans="1:2" x14ac:dyDescent="0.25">
      <c r="A36" s="19" t="s">
        <v>167</v>
      </c>
      <c r="B36" t="s">
        <v>468</v>
      </c>
    </row>
    <row r="37" spans="1:2" x14ac:dyDescent="0.25">
      <c r="A37" s="19" t="s">
        <v>166</v>
      </c>
      <c r="B37" t="s">
        <v>468</v>
      </c>
    </row>
    <row r="38" spans="1:2" x14ac:dyDescent="0.25">
      <c r="A38" s="19" t="s">
        <v>217</v>
      </c>
      <c r="B38" t="s">
        <v>468</v>
      </c>
    </row>
    <row r="39" spans="1:2" x14ac:dyDescent="0.25">
      <c r="A39" s="19" t="s">
        <v>205</v>
      </c>
      <c r="B39" t="s">
        <v>468</v>
      </c>
    </row>
    <row r="40" spans="1:2" x14ac:dyDescent="0.25">
      <c r="A40" s="19" t="s">
        <v>225</v>
      </c>
      <c r="B40" t="s">
        <v>468</v>
      </c>
    </row>
    <row r="41" spans="1:2" x14ac:dyDescent="0.25">
      <c r="A41" s="19" t="s">
        <v>200</v>
      </c>
      <c r="B41" t="s">
        <v>468</v>
      </c>
    </row>
    <row r="42" spans="1:2" x14ac:dyDescent="0.25">
      <c r="A42" s="19" t="s">
        <v>207</v>
      </c>
      <c r="B42" t="s">
        <v>468</v>
      </c>
    </row>
    <row r="43" spans="1:2" x14ac:dyDescent="0.25">
      <c r="A43" s="19" t="s">
        <v>219</v>
      </c>
      <c r="B43" t="s">
        <v>468</v>
      </c>
    </row>
    <row r="44" spans="1:2" x14ac:dyDescent="0.25">
      <c r="A44" s="19" t="s">
        <v>175</v>
      </c>
      <c r="B44" t="s">
        <v>468</v>
      </c>
    </row>
    <row r="45" spans="1:2" x14ac:dyDescent="0.25">
      <c r="A45" s="19" t="s">
        <v>182</v>
      </c>
      <c r="B45" t="s">
        <v>468</v>
      </c>
    </row>
    <row r="46" spans="1:2" x14ac:dyDescent="0.25">
      <c r="A46" s="19" t="s">
        <v>198</v>
      </c>
      <c r="B46" t="s">
        <v>468</v>
      </c>
    </row>
    <row r="47" spans="1:2" x14ac:dyDescent="0.25">
      <c r="A47" s="19" t="s">
        <v>187</v>
      </c>
      <c r="B47" t="s">
        <v>468</v>
      </c>
    </row>
    <row r="48" spans="1:2" x14ac:dyDescent="0.25">
      <c r="A48" s="25" t="s">
        <v>6781</v>
      </c>
      <c r="B48" t="s">
        <v>468</v>
      </c>
    </row>
    <row r="49" spans="1:2" x14ac:dyDescent="0.25">
      <c r="A49" s="25" t="s">
        <v>6782</v>
      </c>
      <c r="B49" t="s">
        <v>468</v>
      </c>
    </row>
    <row r="50" spans="1:2" x14ac:dyDescent="0.25">
      <c r="A50" s="25" t="s">
        <v>6783</v>
      </c>
      <c r="B50" t="s">
        <v>468</v>
      </c>
    </row>
    <row r="51" spans="1:2" x14ac:dyDescent="0.25">
      <c r="A51" s="25" t="s">
        <v>6784</v>
      </c>
      <c r="B51" t="s">
        <v>468</v>
      </c>
    </row>
    <row r="52" spans="1:2" x14ac:dyDescent="0.25">
      <c r="A52" s="25" t="s">
        <v>6785</v>
      </c>
      <c r="B52" t="s">
        <v>468</v>
      </c>
    </row>
    <row r="53" spans="1:2" x14ac:dyDescent="0.25">
      <c r="A53" s="25" t="s">
        <v>6786</v>
      </c>
      <c r="B53" t="s">
        <v>468</v>
      </c>
    </row>
    <row r="54" spans="1:2" x14ac:dyDescent="0.25">
      <c r="A54" s="25" t="s">
        <v>6787</v>
      </c>
      <c r="B54" t="s">
        <v>468</v>
      </c>
    </row>
    <row r="55" spans="1:2" x14ac:dyDescent="0.25">
      <c r="A55" s="25" t="s">
        <v>6926</v>
      </c>
      <c r="B55" t="s">
        <v>468</v>
      </c>
    </row>
    <row r="56" spans="1:2" x14ac:dyDescent="0.25">
      <c r="A56" s="25" t="s">
        <v>6928</v>
      </c>
      <c r="B56" t="s">
        <v>468</v>
      </c>
    </row>
    <row r="57" spans="1:2" x14ac:dyDescent="0.25">
      <c r="A57" s="4" t="s">
        <v>7022</v>
      </c>
      <c r="B57" t="s">
        <v>468</v>
      </c>
    </row>
    <row r="58" spans="1:2" x14ac:dyDescent="0.25">
      <c r="A58" s="4" t="s">
        <v>7023</v>
      </c>
      <c r="B58" t="s">
        <v>468</v>
      </c>
    </row>
    <row r="59" spans="1:2" x14ac:dyDescent="0.25">
      <c r="A59" s="4" t="s">
        <v>7107</v>
      </c>
      <c r="B59" t="s">
        <v>468</v>
      </c>
    </row>
    <row r="60" spans="1:2" x14ac:dyDescent="0.25">
      <c r="A60" s="4" t="s">
        <v>7112</v>
      </c>
      <c r="B60" t="s">
        <v>468</v>
      </c>
    </row>
    <row r="61" spans="1:2" x14ac:dyDescent="0.25">
      <c r="A61" s="4" t="s">
        <v>7114</v>
      </c>
      <c r="B61" t="s">
        <v>468</v>
      </c>
    </row>
    <row r="62" spans="1:2" x14ac:dyDescent="0.25">
      <c r="A62" t="s">
        <v>7116</v>
      </c>
      <c r="B62" t="s">
        <v>468</v>
      </c>
    </row>
    <row r="63" spans="1:2" x14ac:dyDescent="0.25">
      <c r="A63" s="4" t="s">
        <v>7115</v>
      </c>
      <c r="B63" t="s">
        <v>468</v>
      </c>
    </row>
    <row r="64" spans="1:2" x14ac:dyDescent="0.25">
      <c r="A64" s="4" t="s">
        <v>7160</v>
      </c>
      <c r="B64" t="s">
        <v>468</v>
      </c>
    </row>
    <row r="65" spans="1:2" x14ac:dyDescent="0.25">
      <c r="A65" s="4" t="s">
        <v>7161</v>
      </c>
      <c r="B65" t="s">
        <v>468</v>
      </c>
    </row>
    <row r="66" spans="1:2" x14ac:dyDescent="0.25">
      <c r="A66" s="4" t="s">
        <v>7164</v>
      </c>
      <c r="B66" t="s">
        <v>468</v>
      </c>
    </row>
    <row r="67" spans="1:2" x14ac:dyDescent="0.25">
      <c r="A67" t="s">
        <v>7216</v>
      </c>
      <c r="B67" t="s">
        <v>468</v>
      </c>
    </row>
    <row r="68" spans="1:2" x14ac:dyDescent="0.25">
      <c r="A68" s="4" t="s">
        <v>7220</v>
      </c>
      <c r="B68" t="s">
        <v>468</v>
      </c>
    </row>
    <row r="69" spans="1:2" x14ac:dyDescent="0.25">
      <c r="A69" s="4" t="s">
        <v>7248</v>
      </c>
      <c r="B69" t="s">
        <v>468</v>
      </c>
    </row>
    <row r="70" spans="1:2" x14ac:dyDescent="0.25">
      <c r="A70" s="4" t="s">
        <v>7287</v>
      </c>
      <c r="B70" t="s">
        <v>468</v>
      </c>
    </row>
    <row r="71" spans="1:2" x14ac:dyDescent="0.25">
      <c r="A71" s="4" t="s">
        <v>175</v>
      </c>
      <c r="B71" t="s">
        <v>468</v>
      </c>
    </row>
    <row r="72" spans="1:2" x14ac:dyDescent="0.25">
      <c r="A72" s="4" t="s">
        <v>7290</v>
      </c>
      <c r="B72" t="s">
        <v>468</v>
      </c>
    </row>
    <row r="73" spans="1:2" x14ac:dyDescent="0.25">
      <c r="A73" s="4" t="s">
        <v>7291</v>
      </c>
      <c r="B73" t="s">
        <v>468</v>
      </c>
    </row>
    <row r="74" spans="1:2" x14ac:dyDescent="0.25">
      <c r="A74" s="4" t="s">
        <v>7378</v>
      </c>
      <c r="B74" t="s">
        <v>468</v>
      </c>
    </row>
    <row r="75" spans="1:2" x14ac:dyDescent="0.25">
      <c r="A75" s="4" t="s">
        <v>7379</v>
      </c>
      <c r="B75" t="s">
        <v>468</v>
      </c>
    </row>
    <row r="76" spans="1:2" x14ac:dyDescent="0.25">
      <c r="A76" s="4" t="s">
        <v>7380</v>
      </c>
      <c r="B76" t="s">
        <v>468</v>
      </c>
    </row>
    <row r="77" spans="1:2" x14ac:dyDescent="0.25">
      <c r="A77" s="4" t="s">
        <v>7396</v>
      </c>
      <c r="B77" t="s">
        <v>468</v>
      </c>
    </row>
    <row r="78" spans="1:2" x14ac:dyDescent="0.25">
      <c r="A78" s="4" t="s">
        <v>7397</v>
      </c>
      <c r="B78" t="s">
        <v>468</v>
      </c>
    </row>
    <row r="79" spans="1:2" x14ac:dyDescent="0.25">
      <c r="A79" s="4" t="s">
        <v>7622</v>
      </c>
      <c r="B79" t="s">
        <v>468</v>
      </c>
    </row>
    <row r="80" spans="1:2" x14ac:dyDescent="0.25">
      <c r="A80" s="4" t="s">
        <v>7380</v>
      </c>
      <c r="B80" t="s">
        <v>468</v>
      </c>
    </row>
    <row r="81" spans="1:2" x14ac:dyDescent="0.25">
      <c r="A81" s="4" t="s">
        <v>7740</v>
      </c>
      <c r="B81" t="s">
        <v>468</v>
      </c>
    </row>
    <row r="82" spans="1:2" x14ac:dyDescent="0.25">
      <c r="A82" t="s">
        <v>7753</v>
      </c>
      <c r="B82" t="s">
        <v>468</v>
      </c>
    </row>
  </sheetData>
  <autoFilter ref="A26:B79" xr:uid="{4F14F303-9AC7-454D-8EEA-EBC843DD7D76}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C5F2-F174-4DE3-9CF1-B7B8E6F0D542}">
  <dimension ref="A1:I33"/>
  <sheetViews>
    <sheetView workbookViewId="0">
      <selection activeCell="D3" sqref="D3"/>
    </sheetView>
  </sheetViews>
  <sheetFormatPr baseColWidth="10" defaultRowHeight="15" x14ac:dyDescent="0.25"/>
  <cols>
    <col min="1" max="1" width="42.28515625" style="23" bestFit="1" customWidth="1"/>
    <col min="2" max="2" width="21" customWidth="1"/>
    <col min="3" max="3" width="32.42578125" customWidth="1"/>
  </cols>
  <sheetData>
    <row r="1" spans="1:9" s="32" customFormat="1" x14ac:dyDescent="0.25">
      <c r="D1" s="49" t="s">
        <v>7020</v>
      </c>
      <c r="E1" s="49"/>
      <c r="F1" s="49"/>
      <c r="G1" s="49"/>
      <c r="I1" s="32" t="s">
        <v>7021</v>
      </c>
    </row>
    <row r="2" spans="1:9" s="32" customFormat="1" x14ac:dyDescent="0.25">
      <c r="A2" s="32" t="s">
        <v>7019</v>
      </c>
      <c r="B2" s="32" t="s">
        <v>7017</v>
      </c>
      <c r="C2" s="32" t="s">
        <v>7018</v>
      </c>
      <c r="D2" s="33">
        <v>11</v>
      </c>
      <c r="E2" s="34">
        <v>12</v>
      </c>
      <c r="F2" s="34">
        <v>13</v>
      </c>
      <c r="G2" s="33">
        <v>15</v>
      </c>
    </row>
    <row r="3" spans="1:9" x14ac:dyDescent="0.25">
      <c r="A3" s="23" t="str">
        <f>IF(B3="","",B3&amp;" - "&amp;C3)</f>
        <v>51 ABONNEMENTS - 000002 Noms de domaine</v>
      </c>
      <c r="B3" s="25" t="s">
        <v>72</v>
      </c>
      <c r="C3" s="25" t="s">
        <v>73</v>
      </c>
      <c r="D3">
        <v>704119000</v>
      </c>
      <c r="E3">
        <v>704120050</v>
      </c>
      <c r="F3">
        <v>704120050</v>
      </c>
      <c r="G3">
        <v>704119000</v>
      </c>
    </row>
    <row r="4" spans="1:9" x14ac:dyDescent="0.25">
      <c r="A4" s="23" t="str">
        <f t="shared" ref="A4:A33" si="0">IF(B4="","",B4&amp;" - "&amp;C4)</f>
        <v>41 SERVICES - 000012 Cloud Public</v>
      </c>
      <c r="B4" s="4" t="s">
        <v>75</v>
      </c>
      <c r="C4" s="4" t="s">
        <v>76</v>
      </c>
      <c r="D4">
        <v>705001099</v>
      </c>
      <c r="E4">
        <v>705099999</v>
      </c>
      <c r="F4">
        <v>704120010</v>
      </c>
      <c r="G4">
        <v>704120010</v>
      </c>
    </row>
    <row r="5" spans="1:9" x14ac:dyDescent="0.25">
      <c r="A5" s="23" t="str">
        <f>IF(B5="","",B5&amp;" - "&amp;C5)</f>
        <v>31 TELEPHONY - 000001 PBX &amp; Licences</v>
      </c>
      <c r="B5" t="s">
        <v>7250</v>
      </c>
      <c r="C5" t="s">
        <v>7251</v>
      </c>
      <c r="D5">
        <v>704100000</v>
      </c>
      <c r="E5">
        <v>704120014</v>
      </c>
      <c r="F5">
        <v>704120014</v>
      </c>
      <c r="G5">
        <v>704100000</v>
      </c>
    </row>
    <row r="6" spans="1:9" x14ac:dyDescent="0.25">
      <c r="A6" s="23" t="str">
        <f t="shared" si="0"/>
        <v/>
      </c>
    </row>
    <row r="7" spans="1:9" x14ac:dyDescent="0.25">
      <c r="A7" s="23" t="str">
        <f t="shared" si="0"/>
        <v/>
      </c>
      <c r="B7" s="25"/>
      <c r="C7" s="25"/>
    </row>
    <row r="8" spans="1:9" x14ac:dyDescent="0.25">
      <c r="A8" s="23" t="str">
        <f t="shared" si="0"/>
        <v/>
      </c>
    </row>
    <row r="9" spans="1:9" x14ac:dyDescent="0.25">
      <c r="A9" s="23" t="str">
        <f t="shared" si="0"/>
        <v/>
      </c>
    </row>
    <row r="10" spans="1:9" x14ac:dyDescent="0.25">
      <c r="A10" s="23" t="str">
        <f t="shared" si="0"/>
        <v/>
      </c>
    </row>
    <row r="11" spans="1:9" x14ac:dyDescent="0.25">
      <c r="A11" s="23" t="str">
        <f t="shared" si="0"/>
        <v/>
      </c>
    </row>
    <row r="12" spans="1:9" x14ac:dyDescent="0.25">
      <c r="A12" s="23" t="str">
        <f t="shared" si="0"/>
        <v/>
      </c>
    </row>
    <row r="13" spans="1:9" x14ac:dyDescent="0.25">
      <c r="A13" s="23" t="str">
        <f t="shared" si="0"/>
        <v/>
      </c>
    </row>
    <row r="14" spans="1:9" x14ac:dyDescent="0.25">
      <c r="A14" s="23" t="str">
        <f t="shared" si="0"/>
        <v/>
      </c>
    </row>
    <row r="15" spans="1:9" x14ac:dyDescent="0.25">
      <c r="A15" s="23" t="str">
        <f t="shared" si="0"/>
        <v/>
      </c>
    </row>
    <row r="16" spans="1:9" x14ac:dyDescent="0.25">
      <c r="A16" s="23" t="str">
        <f t="shared" si="0"/>
        <v/>
      </c>
    </row>
    <row r="17" spans="1:1" x14ac:dyDescent="0.25">
      <c r="A17" s="23" t="str">
        <f t="shared" si="0"/>
        <v/>
      </c>
    </row>
    <row r="18" spans="1:1" x14ac:dyDescent="0.25">
      <c r="A18" s="23" t="str">
        <f t="shared" si="0"/>
        <v/>
      </c>
    </row>
    <row r="19" spans="1:1" x14ac:dyDescent="0.25">
      <c r="A19" s="23" t="str">
        <f t="shared" si="0"/>
        <v/>
      </c>
    </row>
    <row r="20" spans="1:1" x14ac:dyDescent="0.25">
      <c r="A20" s="23" t="str">
        <f t="shared" si="0"/>
        <v/>
      </c>
    </row>
    <row r="21" spans="1:1" x14ac:dyDescent="0.25">
      <c r="A21" s="23" t="str">
        <f t="shared" si="0"/>
        <v/>
      </c>
    </row>
    <row r="22" spans="1:1" x14ac:dyDescent="0.25">
      <c r="A22" s="23" t="str">
        <f t="shared" si="0"/>
        <v/>
      </c>
    </row>
    <row r="23" spans="1:1" x14ac:dyDescent="0.25">
      <c r="A23" s="23" t="str">
        <f t="shared" si="0"/>
        <v/>
      </c>
    </row>
    <row r="24" spans="1:1" x14ac:dyDescent="0.25">
      <c r="A24" s="23" t="str">
        <f t="shared" si="0"/>
        <v/>
      </c>
    </row>
    <row r="25" spans="1:1" x14ac:dyDescent="0.25">
      <c r="A25" s="23" t="str">
        <f t="shared" si="0"/>
        <v/>
      </c>
    </row>
    <row r="26" spans="1:1" x14ac:dyDescent="0.25">
      <c r="A26" s="23" t="str">
        <f t="shared" si="0"/>
        <v/>
      </c>
    </row>
    <row r="27" spans="1:1" x14ac:dyDescent="0.25">
      <c r="A27" s="23" t="str">
        <f t="shared" si="0"/>
        <v/>
      </c>
    </row>
    <row r="28" spans="1:1" x14ac:dyDescent="0.25">
      <c r="A28" s="23" t="str">
        <f t="shared" si="0"/>
        <v/>
      </c>
    </row>
    <row r="29" spans="1:1" x14ac:dyDescent="0.25">
      <c r="A29" s="23" t="str">
        <f t="shared" si="0"/>
        <v/>
      </c>
    </row>
    <row r="30" spans="1:1" x14ac:dyDescent="0.25">
      <c r="A30" s="23" t="str">
        <f t="shared" si="0"/>
        <v/>
      </c>
    </row>
    <row r="31" spans="1:1" x14ac:dyDescent="0.25">
      <c r="A31" s="23" t="str">
        <f t="shared" si="0"/>
        <v/>
      </c>
    </row>
    <row r="32" spans="1:1" x14ac:dyDescent="0.25">
      <c r="A32" s="23" t="str">
        <f t="shared" si="0"/>
        <v/>
      </c>
    </row>
    <row r="33" spans="1:1" x14ac:dyDescent="0.25">
      <c r="A33" s="23" t="str">
        <f t="shared" si="0"/>
        <v/>
      </c>
    </row>
  </sheetData>
  <mergeCells count="1">
    <mergeCell ref="D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4F73-696E-432D-A11A-8738422E7FA9}">
  <sheetPr>
    <tabColor theme="1"/>
  </sheetPr>
  <dimension ref="A1:J119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baseColWidth="10" defaultRowHeight="15" x14ac:dyDescent="0.25"/>
  <cols>
    <col min="1" max="1" width="11.28515625" style="4" customWidth="1"/>
    <col min="2" max="2" width="38.7109375" style="4" customWidth="1"/>
    <col min="3" max="3" width="24.42578125" style="4" customWidth="1"/>
    <col min="4" max="4" width="16.42578125" style="4" customWidth="1"/>
    <col min="5" max="5" width="15.5703125" style="4" customWidth="1"/>
    <col min="6" max="6" width="9.140625" style="4" customWidth="1"/>
    <col min="7" max="7" width="17" style="4" customWidth="1"/>
    <col min="8" max="8" width="18.85546875" style="23" customWidth="1"/>
  </cols>
  <sheetData>
    <row r="1" spans="1:10" x14ac:dyDescent="0.25">
      <c r="A1" s="4" t="s">
        <v>6</v>
      </c>
      <c r="B1" s="4" t="s">
        <v>810</v>
      </c>
      <c r="C1" s="4" t="s">
        <v>811</v>
      </c>
      <c r="D1" s="4" t="s">
        <v>812</v>
      </c>
      <c r="E1" s="4" t="s">
        <v>813</v>
      </c>
      <c r="F1" s="4" t="s">
        <v>70</v>
      </c>
      <c r="G1" s="9" t="s">
        <v>814</v>
      </c>
      <c r="H1" s="24" t="s">
        <v>969</v>
      </c>
    </row>
    <row r="2" spans="1:10" x14ac:dyDescent="0.25">
      <c r="A2" s="31" t="s">
        <v>815</v>
      </c>
      <c r="B2" s="31" t="s">
        <v>816</v>
      </c>
      <c r="C2" s="31" t="s">
        <v>817</v>
      </c>
      <c r="D2" s="31" t="s">
        <v>818</v>
      </c>
      <c r="E2" s="31" t="s">
        <v>819</v>
      </c>
      <c r="F2" s="31" t="s">
        <v>70</v>
      </c>
      <c r="G2" s="31" t="s">
        <v>820</v>
      </c>
      <c r="H2" s="23" t="str">
        <f>IF(G2="","",VLOOKUP(G2+0,'Concordance Client R2 BOB'!$B:$C,2,FALSE))</f>
        <v>DEB001</v>
      </c>
      <c r="J2" s="4" t="s">
        <v>6774</v>
      </c>
    </row>
    <row r="3" spans="1:10" x14ac:dyDescent="0.25">
      <c r="A3" s="31" t="s">
        <v>821</v>
      </c>
      <c r="B3" s="31" t="s">
        <v>270</v>
      </c>
      <c r="C3" s="31" t="s">
        <v>822</v>
      </c>
      <c r="D3" s="31" t="s">
        <v>818</v>
      </c>
      <c r="E3" s="31" t="s">
        <v>819</v>
      </c>
      <c r="F3" s="31" t="s">
        <v>70</v>
      </c>
      <c r="G3" s="31" t="s">
        <v>823</v>
      </c>
      <c r="H3" s="23" t="str">
        <f>IF(G3="","",VLOOKUP(G3+0,'Concordance Client R2 BOB'!$B:$C,2,FALSE))</f>
        <v>IBS</v>
      </c>
      <c r="J3" s="4" t="s">
        <v>6775</v>
      </c>
    </row>
    <row r="4" spans="1:10" x14ac:dyDescent="0.25">
      <c r="A4" s="31" t="s">
        <v>824</v>
      </c>
      <c r="B4" s="31" t="s">
        <v>825</v>
      </c>
      <c r="C4" s="31" t="s">
        <v>826</v>
      </c>
      <c r="D4" s="31" t="s">
        <v>818</v>
      </c>
      <c r="E4" s="31" t="s">
        <v>819</v>
      </c>
      <c r="F4" s="31" t="s">
        <v>70</v>
      </c>
      <c r="G4" s="31" t="s">
        <v>823</v>
      </c>
      <c r="H4" s="23" t="str">
        <f>IF(G4="","",VLOOKUP(G4+0,'Concordance Client R2 BOB'!$B:$C,2,FALSE))</f>
        <v>IBS</v>
      </c>
    </row>
    <row r="5" spans="1:10" x14ac:dyDescent="0.25">
      <c r="A5" s="31" t="s">
        <v>827</v>
      </c>
      <c r="B5" s="31" t="s">
        <v>828</v>
      </c>
      <c r="C5" s="31" t="s">
        <v>70</v>
      </c>
      <c r="D5" s="31" t="s">
        <v>829</v>
      </c>
      <c r="E5" s="31" t="s">
        <v>819</v>
      </c>
      <c r="F5" s="31" t="s">
        <v>70</v>
      </c>
      <c r="G5" s="31" t="s">
        <v>823</v>
      </c>
      <c r="H5" s="23" t="str">
        <f>IF(G5="","",VLOOKUP(G5+0,'Concordance Client R2 BOB'!$B:$C,2,FALSE))</f>
        <v>IBS</v>
      </c>
    </row>
    <row r="6" spans="1:10" x14ac:dyDescent="0.25">
      <c r="A6" s="31" t="s">
        <v>830</v>
      </c>
      <c r="B6" s="31" t="s">
        <v>831</v>
      </c>
      <c r="C6" s="31" t="s">
        <v>832</v>
      </c>
      <c r="D6" s="31" t="s">
        <v>818</v>
      </c>
      <c r="E6" s="31" t="s">
        <v>819</v>
      </c>
      <c r="F6" s="31" t="s">
        <v>70</v>
      </c>
      <c r="G6" s="31" t="s">
        <v>833</v>
      </c>
      <c r="H6" s="23" t="str">
        <f>IF(G6="","",VLOOKUP(G6+0,'Concordance Client R2 BOB'!$B:$C,2,FALSE))</f>
        <v>AGRAL</v>
      </c>
    </row>
    <row r="7" spans="1:10" x14ac:dyDescent="0.25">
      <c r="A7" s="31" t="s">
        <v>834</v>
      </c>
      <c r="B7" s="31" t="s">
        <v>835</v>
      </c>
      <c r="C7" s="31" t="s">
        <v>70</v>
      </c>
      <c r="D7" s="31" t="s">
        <v>829</v>
      </c>
      <c r="E7" s="31" t="s">
        <v>819</v>
      </c>
      <c r="F7" s="31" t="s">
        <v>70</v>
      </c>
      <c r="G7" s="30" t="s">
        <v>836</v>
      </c>
      <c r="H7" s="23" t="e">
        <f>IF(G7="","",VLOOKUP(G7+0,'Concordance Client R2 BOB'!$B:$C,2,FALSE))</f>
        <v>#N/A</v>
      </c>
    </row>
    <row r="8" spans="1:10" x14ac:dyDescent="0.25">
      <c r="A8" s="31" t="s">
        <v>837</v>
      </c>
      <c r="B8" s="31" t="s">
        <v>838</v>
      </c>
      <c r="C8" s="31" t="s">
        <v>839</v>
      </c>
      <c r="D8" s="31" t="s">
        <v>818</v>
      </c>
      <c r="E8" s="31" t="s">
        <v>819</v>
      </c>
      <c r="F8" s="31" t="s">
        <v>70</v>
      </c>
      <c r="G8" s="30" t="s">
        <v>840</v>
      </c>
      <c r="H8" s="23" t="e">
        <f>IF(G8="","",VLOOKUP(G8+0,'Concordance Client R2 BOB'!$B:$C,2,FALSE))</f>
        <v>#N/A</v>
      </c>
    </row>
    <row r="9" spans="1:10" x14ac:dyDescent="0.25">
      <c r="A9" s="31" t="s">
        <v>841</v>
      </c>
      <c r="B9" s="31" t="s">
        <v>842</v>
      </c>
      <c r="C9" s="31" t="s">
        <v>843</v>
      </c>
      <c r="D9" s="31" t="s">
        <v>818</v>
      </c>
      <c r="E9" s="31" t="s">
        <v>819</v>
      </c>
      <c r="F9" s="31" t="s">
        <v>70</v>
      </c>
      <c r="G9" s="31" t="s">
        <v>844</v>
      </c>
      <c r="H9" s="23" t="str">
        <f>IF(G9="","",VLOOKUP(G9+0,'Concordance Client R2 BOB'!$B:$C,2,FALSE))</f>
        <v>BUANDERIE</v>
      </c>
    </row>
    <row r="10" spans="1:10" x14ac:dyDescent="0.25">
      <c r="A10" s="31" t="s">
        <v>845</v>
      </c>
      <c r="B10" s="31" t="s">
        <v>846</v>
      </c>
      <c r="C10" s="31" t="s">
        <v>847</v>
      </c>
      <c r="D10" s="31" t="s">
        <v>818</v>
      </c>
      <c r="E10" s="31" t="s">
        <v>819</v>
      </c>
      <c r="F10" s="31" t="s">
        <v>70</v>
      </c>
      <c r="G10" s="31" t="s">
        <v>844</v>
      </c>
      <c r="H10" s="23" t="str">
        <f>IF(G10="","",VLOOKUP(G10+0,'Concordance Client R2 BOB'!$B:$C,2,FALSE))</f>
        <v>BUANDERIE</v>
      </c>
    </row>
    <row r="11" spans="1:10" x14ac:dyDescent="0.25">
      <c r="A11" s="31" t="s">
        <v>848</v>
      </c>
      <c r="B11" s="31" t="s">
        <v>849</v>
      </c>
      <c r="C11" s="31" t="s">
        <v>850</v>
      </c>
      <c r="D11" s="31" t="s">
        <v>818</v>
      </c>
      <c r="E11" s="31" t="s">
        <v>819</v>
      </c>
      <c r="F11" s="31" t="s">
        <v>70</v>
      </c>
      <c r="G11" s="30" t="s">
        <v>836</v>
      </c>
      <c r="H11" s="23" t="e">
        <f>IF(G11="","",VLOOKUP(G11+0,'Concordance Client R2 BOB'!$B:$C,2,FALSE))</f>
        <v>#N/A</v>
      </c>
    </row>
    <row r="12" spans="1:10" x14ac:dyDescent="0.25">
      <c r="A12" s="31" t="s">
        <v>851</v>
      </c>
      <c r="B12" s="31" t="s">
        <v>324</v>
      </c>
      <c r="C12" s="31" t="s">
        <v>852</v>
      </c>
      <c r="D12" s="31" t="s">
        <v>818</v>
      </c>
      <c r="E12" s="31" t="s">
        <v>819</v>
      </c>
      <c r="F12" s="31" t="s">
        <v>70</v>
      </c>
      <c r="G12" s="30" t="s">
        <v>853</v>
      </c>
      <c r="H12" s="23" t="e">
        <f>IF(G12="","",VLOOKUP(G12+0,'Concordance Client R2 BOB'!$B:$C,2,FALSE))</f>
        <v>#N/A</v>
      </c>
    </row>
    <row r="13" spans="1:10" x14ac:dyDescent="0.25">
      <c r="A13" s="31" t="s">
        <v>854</v>
      </c>
      <c r="B13" s="31" t="s">
        <v>855</v>
      </c>
      <c r="C13" s="31" t="s">
        <v>856</v>
      </c>
      <c r="D13" s="31" t="s">
        <v>818</v>
      </c>
      <c r="E13" s="31" t="s">
        <v>819</v>
      </c>
      <c r="F13" s="31" t="s">
        <v>70</v>
      </c>
      <c r="G13" s="31" t="s">
        <v>857</v>
      </c>
      <c r="H13" s="23" t="str">
        <f>IF(G13="","",VLOOKUP(G13+0,'Concordance Client R2 BOB'!$B:$C,2,FALSE))</f>
        <v>FIDELIS</v>
      </c>
    </row>
    <row r="14" spans="1:10" x14ac:dyDescent="0.25">
      <c r="A14" s="31" t="s">
        <v>858</v>
      </c>
      <c r="B14" s="31" t="s">
        <v>859</v>
      </c>
      <c r="C14" s="31" t="s">
        <v>860</v>
      </c>
      <c r="D14" s="31" t="s">
        <v>818</v>
      </c>
      <c r="E14" s="31" t="s">
        <v>819</v>
      </c>
      <c r="F14" s="31" t="s">
        <v>70</v>
      </c>
      <c r="G14" s="30" t="s">
        <v>861</v>
      </c>
      <c r="H14" s="23" t="e">
        <f>IF(G14="","",VLOOKUP(G14+0,'Concordance Client R2 BOB'!$B:$C,2,FALSE))</f>
        <v>#N/A</v>
      </c>
    </row>
    <row r="15" spans="1:10" x14ac:dyDescent="0.25">
      <c r="A15" s="31" t="s">
        <v>862</v>
      </c>
      <c r="B15" s="31" t="s">
        <v>863</v>
      </c>
      <c r="C15" s="31" t="s">
        <v>864</v>
      </c>
      <c r="D15" s="31" t="s">
        <v>818</v>
      </c>
      <c r="E15" s="31" t="s">
        <v>819</v>
      </c>
      <c r="F15" s="31" t="s">
        <v>70</v>
      </c>
      <c r="G15" s="31" t="s">
        <v>844</v>
      </c>
      <c r="H15" s="23" t="str">
        <f>IF(G15="","",VLOOKUP(G15+0,'Concordance Client R2 BOB'!$B:$C,2,FALSE))</f>
        <v>BUANDERIE</v>
      </c>
    </row>
    <row r="16" spans="1:10" x14ac:dyDescent="0.25">
      <c r="A16" s="31" t="s">
        <v>865</v>
      </c>
      <c r="B16" s="31" t="s">
        <v>866</v>
      </c>
      <c r="C16" s="31" t="s">
        <v>867</v>
      </c>
      <c r="D16" s="31" t="s">
        <v>818</v>
      </c>
      <c r="E16" s="31" t="s">
        <v>819</v>
      </c>
      <c r="F16" s="31" t="s">
        <v>70</v>
      </c>
      <c r="G16" s="31" t="s">
        <v>868</v>
      </c>
      <c r="H16" s="23" t="str">
        <f>IF(G16="","",VLOOKUP(G16+0,'Concordance Client R2 BOB'!$B:$C,2,FALSE))</f>
        <v>LIBRATAX</v>
      </c>
    </row>
    <row r="17" spans="1:8" x14ac:dyDescent="0.25">
      <c r="A17" s="31" t="s">
        <v>836</v>
      </c>
      <c r="B17" s="31" t="s">
        <v>869</v>
      </c>
      <c r="C17" s="31" t="s">
        <v>870</v>
      </c>
      <c r="D17" s="31" t="s">
        <v>818</v>
      </c>
      <c r="E17" s="31" t="s">
        <v>819</v>
      </c>
      <c r="F17" s="31" t="s">
        <v>70</v>
      </c>
      <c r="G17" s="31" t="s">
        <v>823</v>
      </c>
      <c r="H17" s="23" t="str">
        <f>IF(G17="","",VLOOKUP(G17+0,'Concordance Client R2 BOB'!$B:$C,2,FALSE))</f>
        <v>IBS</v>
      </c>
    </row>
    <row r="18" spans="1:8" x14ac:dyDescent="0.25">
      <c r="A18" s="31" t="s">
        <v>871</v>
      </c>
      <c r="B18" s="31" t="s">
        <v>385</v>
      </c>
      <c r="C18" s="31" t="s">
        <v>872</v>
      </c>
      <c r="D18" s="31" t="s">
        <v>818</v>
      </c>
      <c r="E18" s="31" t="s">
        <v>819</v>
      </c>
      <c r="F18" s="31" t="s">
        <v>70</v>
      </c>
      <c r="G18" s="30" t="s">
        <v>836</v>
      </c>
      <c r="H18" s="23" t="e">
        <f>IF(G18="","",VLOOKUP(G18+0,'Concordance Client R2 BOB'!$B:$C,2,FALSE))</f>
        <v>#N/A</v>
      </c>
    </row>
    <row r="19" spans="1:8" x14ac:dyDescent="0.25">
      <c r="A19" s="31" t="s">
        <v>873</v>
      </c>
      <c r="B19" s="31" t="s">
        <v>399</v>
      </c>
      <c r="C19" s="31" t="s">
        <v>874</v>
      </c>
      <c r="D19" s="31" t="s">
        <v>818</v>
      </c>
      <c r="E19" s="31" t="s">
        <v>819</v>
      </c>
      <c r="F19" s="31" t="s">
        <v>70</v>
      </c>
      <c r="G19" s="31" t="s">
        <v>875</v>
      </c>
      <c r="H19" s="23" t="str">
        <f>IF(G19="","",VLOOKUP(G19+0,'Concordance Client R2 BOB'!$B:$C,2,FALSE))</f>
        <v>MCPARTENAI</v>
      </c>
    </row>
    <row r="20" spans="1:8" x14ac:dyDescent="0.25">
      <c r="A20" s="31" t="s">
        <v>876</v>
      </c>
      <c r="B20" s="31" t="s">
        <v>877</v>
      </c>
      <c r="C20" s="31" t="s">
        <v>878</v>
      </c>
      <c r="D20" s="31" t="s">
        <v>879</v>
      </c>
      <c r="E20" s="31" t="s">
        <v>819</v>
      </c>
      <c r="F20" s="31" t="s">
        <v>70</v>
      </c>
      <c r="G20" s="31" t="s">
        <v>823</v>
      </c>
      <c r="H20" s="23" t="str">
        <f>IF(G20="","",VLOOKUP(G20+0,'Concordance Client R2 BOB'!$B:$C,2,FALSE))</f>
        <v>IBS</v>
      </c>
    </row>
    <row r="21" spans="1:8" x14ac:dyDescent="0.25">
      <c r="A21" s="31" t="s">
        <v>880</v>
      </c>
      <c r="B21" s="31" t="s">
        <v>391</v>
      </c>
      <c r="C21" s="31" t="s">
        <v>881</v>
      </c>
      <c r="D21" s="31" t="s">
        <v>818</v>
      </c>
      <c r="E21" s="31" t="s">
        <v>819</v>
      </c>
      <c r="F21" s="31" t="s">
        <v>70</v>
      </c>
      <c r="G21" s="30" t="s">
        <v>882</v>
      </c>
      <c r="H21" s="23" t="e">
        <f>IF(G21="","",VLOOKUP(G21+0,'Concordance Client R2 BOB'!$B:$C,2,FALSE))</f>
        <v>#N/A</v>
      </c>
    </row>
    <row r="22" spans="1:8" x14ac:dyDescent="0.25">
      <c r="A22" s="31" t="s">
        <v>883</v>
      </c>
      <c r="B22" s="31" t="s">
        <v>445</v>
      </c>
      <c r="C22" s="31" t="s">
        <v>884</v>
      </c>
      <c r="D22" s="31" t="s">
        <v>818</v>
      </c>
      <c r="E22" s="31" t="s">
        <v>819</v>
      </c>
      <c r="F22" s="31" t="s">
        <v>70</v>
      </c>
      <c r="G22" s="31" t="s">
        <v>823</v>
      </c>
      <c r="H22" s="23" t="str">
        <f>IF(G22="","",VLOOKUP(G22+0,'Concordance Client R2 BOB'!$B:$C,2,FALSE))</f>
        <v>IBS</v>
      </c>
    </row>
    <row r="23" spans="1:8" x14ac:dyDescent="0.25">
      <c r="A23" s="31" t="s">
        <v>885</v>
      </c>
      <c r="B23" s="31" t="s">
        <v>886</v>
      </c>
      <c r="C23" s="31" t="s">
        <v>70</v>
      </c>
      <c r="D23" s="31" t="s">
        <v>879</v>
      </c>
      <c r="E23" s="31" t="s">
        <v>819</v>
      </c>
      <c r="F23" s="31" t="s">
        <v>70</v>
      </c>
      <c r="G23" s="30" t="s">
        <v>887</v>
      </c>
      <c r="H23" s="23" t="str">
        <f>IF(G23="","",VLOOKUP(G23+0,'Concordance Client R2 BOB'!$B:$C,2,FALSE))</f>
        <v>IBLUX</v>
      </c>
    </row>
    <row r="24" spans="1:8" x14ac:dyDescent="0.25">
      <c r="A24" s="31" t="s">
        <v>888</v>
      </c>
      <c r="B24" s="31" t="s">
        <v>889</v>
      </c>
      <c r="C24" s="31" t="s">
        <v>817</v>
      </c>
      <c r="D24" s="31" t="s">
        <v>818</v>
      </c>
      <c r="E24" s="31" t="s">
        <v>819</v>
      </c>
      <c r="F24" s="31" t="s">
        <v>70</v>
      </c>
      <c r="G24" s="31" t="s">
        <v>820</v>
      </c>
      <c r="H24" s="23" t="str">
        <f>IF(G24="","",VLOOKUP(G24+0,'Concordance Client R2 BOB'!$B:$C,2,FALSE))</f>
        <v>DEB001</v>
      </c>
    </row>
    <row r="25" spans="1:8" x14ac:dyDescent="0.25">
      <c r="A25" s="31" t="s">
        <v>890</v>
      </c>
      <c r="B25" s="31" t="s">
        <v>891</v>
      </c>
      <c r="C25" s="31" t="s">
        <v>892</v>
      </c>
      <c r="D25" s="31" t="s">
        <v>818</v>
      </c>
      <c r="E25" s="31" t="s">
        <v>819</v>
      </c>
      <c r="F25" s="31" t="s">
        <v>70</v>
      </c>
      <c r="G25" s="30" t="s">
        <v>893</v>
      </c>
      <c r="H25" s="23" t="e">
        <f>IF(G25="","",VLOOKUP(G25+0,'Concordance Client R2 BOB'!$B:$C,2,FALSE))</f>
        <v>#N/A</v>
      </c>
    </row>
    <row r="26" spans="1:8" x14ac:dyDescent="0.25">
      <c r="A26" s="31" t="s">
        <v>894</v>
      </c>
      <c r="B26" s="31" t="s">
        <v>895</v>
      </c>
      <c r="C26" s="31" t="s">
        <v>896</v>
      </c>
      <c r="D26" s="31" t="s">
        <v>818</v>
      </c>
      <c r="E26" s="31" t="s">
        <v>819</v>
      </c>
      <c r="F26" s="31" t="s">
        <v>70</v>
      </c>
      <c r="G26" s="30" t="s">
        <v>897</v>
      </c>
      <c r="H26" s="23" t="e">
        <f>IF(G26="","",VLOOKUP(G26+0,'Concordance Client R2 BOB'!$B:$C,2,FALSE))</f>
        <v>#N/A</v>
      </c>
    </row>
    <row r="27" spans="1:8" x14ac:dyDescent="0.25">
      <c r="A27" s="31" t="s">
        <v>898</v>
      </c>
      <c r="B27" s="31" t="s">
        <v>899</v>
      </c>
      <c r="C27" s="31" t="s">
        <v>155</v>
      </c>
      <c r="D27" s="31" t="s">
        <v>829</v>
      </c>
      <c r="E27" s="31" t="s">
        <v>819</v>
      </c>
      <c r="F27" s="31" t="s">
        <v>70</v>
      </c>
      <c r="G27" s="31" t="s">
        <v>823</v>
      </c>
      <c r="H27" s="23" t="str">
        <f>IF(G27="","",VLOOKUP(G27+0,'Concordance Client R2 BOB'!$B:$C,2,FALSE))</f>
        <v>IBS</v>
      </c>
    </row>
    <row r="28" spans="1:8" x14ac:dyDescent="0.25">
      <c r="A28" s="31" t="s">
        <v>900</v>
      </c>
      <c r="B28" s="31" t="s">
        <v>901</v>
      </c>
      <c r="C28" s="31" t="s">
        <v>902</v>
      </c>
      <c r="D28" s="31" t="s">
        <v>818</v>
      </c>
      <c r="E28" s="31" t="s">
        <v>819</v>
      </c>
      <c r="F28" s="31" t="s">
        <v>70</v>
      </c>
      <c r="G28" s="31" t="s">
        <v>903</v>
      </c>
      <c r="H28" s="23" t="str">
        <f>IF(G28="","",VLOOKUP(G28+0,'Concordance Client R2 BOB'!$B:$C,2,FALSE))</f>
        <v>VERSOLATO</v>
      </c>
    </row>
    <row r="29" spans="1:8" x14ac:dyDescent="0.25">
      <c r="A29" s="31" t="s">
        <v>904</v>
      </c>
      <c r="B29" s="31" t="s">
        <v>905</v>
      </c>
      <c r="C29" s="31" t="s">
        <v>906</v>
      </c>
      <c r="D29" s="31" t="s">
        <v>818</v>
      </c>
      <c r="E29" s="31" t="s">
        <v>819</v>
      </c>
      <c r="F29" s="31" t="s">
        <v>70</v>
      </c>
      <c r="G29" s="31" t="s">
        <v>823</v>
      </c>
      <c r="H29" s="23" t="str">
        <f>IF(G29="","",VLOOKUP(G29+0,'Concordance Client R2 BOB'!$B:$C,2,FALSE))</f>
        <v>IBS</v>
      </c>
    </row>
    <row r="30" spans="1:8" x14ac:dyDescent="0.25">
      <c r="A30" s="31" t="s">
        <v>907</v>
      </c>
      <c r="B30" s="31" t="s">
        <v>908</v>
      </c>
      <c r="C30" s="31" t="s">
        <v>909</v>
      </c>
      <c r="D30" s="31" t="s">
        <v>879</v>
      </c>
      <c r="E30" s="31" t="s">
        <v>819</v>
      </c>
      <c r="F30" s="31" t="s">
        <v>70</v>
      </c>
      <c r="G30" s="30" t="s">
        <v>910</v>
      </c>
      <c r="H30" s="23" t="str">
        <f>IF(G30="","",VLOOKUP(G30+0,'Concordance Client R2 BOB'!$B:$C,2,FALSE))</f>
        <v>AGILITB</v>
      </c>
    </row>
    <row r="31" spans="1:8" x14ac:dyDescent="0.25">
      <c r="A31" s="31" t="s">
        <v>911</v>
      </c>
      <c r="B31" s="31" t="s">
        <v>912</v>
      </c>
      <c r="C31" s="31" t="s">
        <v>913</v>
      </c>
      <c r="D31" s="31" t="s">
        <v>818</v>
      </c>
      <c r="E31" s="31" t="s">
        <v>819</v>
      </c>
      <c r="F31" s="31" t="s">
        <v>70</v>
      </c>
      <c r="G31" s="31" t="s">
        <v>914</v>
      </c>
      <c r="H31" s="23" t="str">
        <f>IF(G31="","",VLOOKUP(G31+0,'Concordance Client R2 BOB'!$B:$C,2,FALSE))</f>
        <v>ATGS</v>
      </c>
    </row>
    <row r="32" spans="1:8" x14ac:dyDescent="0.25">
      <c r="A32" s="31" t="s">
        <v>915</v>
      </c>
      <c r="B32" s="31" t="s">
        <v>916</v>
      </c>
      <c r="C32" s="31" t="s">
        <v>917</v>
      </c>
      <c r="D32" s="31" t="s">
        <v>818</v>
      </c>
      <c r="E32" s="31" t="s">
        <v>819</v>
      </c>
      <c r="F32" s="31" t="s">
        <v>70</v>
      </c>
      <c r="G32" s="31" t="s">
        <v>918</v>
      </c>
      <c r="H32" s="23" t="str">
        <f>IF(G32="","",VLOOKUP(G32+0,'Concordance Client R2 BOB'!$B:$C,2,FALSE))</f>
        <v>HUMBLETPAP</v>
      </c>
    </row>
    <row r="33" spans="1:8" x14ac:dyDescent="0.25">
      <c r="A33" s="31" t="s">
        <v>919</v>
      </c>
      <c r="B33" s="31" t="s">
        <v>920</v>
      </c>
      <c r="C33" s="31" t="s">
        <v>921</v>
      </c>
      <c r="D33" s="31" t="s">
        <v>818</v>
      </c>
      <c r="E33" s="31" t="s">
        <v>819</v>
      </c>
      <c r="F33" s="31" t="s">
        <v>70</v>
      </c>
      <c r="G33" s="30" t="s">
        <v>922</v>
      </c>
      <c r="H33" s="23" t="str">
        <f>IF(G33="","",VLOOKUP(G33+0,'Concordance Client R2 BOB'!$B:$C,2,FALSE))</f>
        <v>HEN00425</v>
      </c>
    </row>
    <row r="34" spans="1:8" x14ac:dyDescent="0.25">
      <c r="A34" s="31" t="s">
        <v>923</v>
      </c>
      <c r="B34" s="31" t="s">
        <v>924</v>
      </c>
      <c r="C34" s="31" t="s">
        <v>921</v>
      </c>
      <c r="D34" s="31" t="s">
        <v>818</v>
      </c>
      <c r="E34" s="31" t="s">
        <v>819</v>
      </c>
      <c r="F34" s="31" t="s">
        <v>70</v>
      </c>
      <c r="G34" s="30" t="s">
        <v>922</v>
      </c>
      <c r="H34" s="23" t="str">
        <f>IF(G34="","",VLOOKUP(G34+0,'Concordance Client R2 BOB'!$B:$C,2,FALSE))</f>
        <v>HEN00425</v>
      </c>
    </row>
    <row r="35" spans="1:8" x14ac:dyDescent="0.25">
      <c r="A35" s="31" t="s">
        <v>925</v>
      </c>
      <c r="B35" s="31" t="s">
        <v>926</v>
      </c>
      <c r="C35" s="31" t="s">
        <v>921</v>
      </c>
      <c r="D35" s="31" t="s">
        <v>818</v>
      </c>
      <c r="E35" s="31" t="s">
        <v>819</v>
      </c>
      <c r="F35" s="31" t="s">
        <v>70</v>
      </c>
      <c r="G35" s="30" t="s">
        <v>922</v>
      </c>
      <c r="H35" s="23" t="str">
        <f>IF(G35="","",VLOOKUP(G35+0,'Concordance Client R2 BOB'!$B:$C,2,FALSE))</f>
        <v>HEN00425</v>
      </c>
    </row>
    <row r="36" spans="1:8" x14ac:dyDescent="0.25">
      <c r="A36" s="31" t="s">
        <v>927</v>
      </c>
      <c r="B36" s="31" t="s">
        <v>928</v>
      </c>
      <c r="C36" s="31" t="s">
        <v>921</v>
      </c>
      <c r="D36" s="31" t="s">
        <v>818</v>
      </c>
      <c r="E36" s="31" t="s">
        <v>819</v>
      </c>
      <c r="F36" s="31" t="s">
        <v>70</v>
      </c>
      <c r="G36" s="30" t="s">
        <v>922</v>
      </c>
      <c r="H36" s="23" t="str">
        <f>IF(G36="","",VLOOKUP(G36+0,'Concordance Client R2 BOB'!$B:$C,2,FALSE))</f>
        <v>HEN00425</v>
      </c>
    </row>
    <row r="37" spans="1:8" x14ac:dyDescent="0.25">
      <c r="A37" s="31" t="s">
        <v>929</v>
      </c>
      <c r="B37" s="31" t="s">
        <v>303</v>
      </c>
      <c r="C37" s="31" t="s">
        <v>930</v>
      </c>
      <c r="D37" s="31" t="s">
        <v>818</v>
      </c>
      <c r="E37" s="31" t="s">
        <v>819</v>
      </c>
      <c r="F37" s="31" t="s">
        <v>70</v>
      </c>
      <c r="G37" s="31" t="s">
        <v>931</v>
      </c>
      <c r="H37" s="23" t="str">
        <f>IF(G37="","",VLOOKUP(G37+0,'Concordance Client R2 BOB'!$B:$C,2,FALSE))</f>
        <v>COANDCO</v>
      </c>
    </row>
    <row r="38" spans="1:8" x14ac:dyDescent="0.25">
      <c r="A38" s="31" t="s">
        <v>932</v>
      </c>
      <c r="B38" s="31" t="s">
        <v>933</v>
      </c>
      <c r="C38" s="31" t="s">
        <v>934</v>
      </c>
      <c r="D38" s="31" t="s">
        <v>818</v>
      </c>
      <c r="E38" s="31" t="s">
        <v>819</v>
      </c>
      <c r="F38" s="31" t="s">
        <v>70</v>
      </c>
      <c r="G38" s="31" t="s">
        <v>823</v>
      </c>
      <c r="H38" s="23" t="str">
        <f>IF(G38="","",VLOOKUP(G38+0,'Concordance Client R2 BOB'!$B:$C,2,FALSE))</f>
        <v>IBS</v>
      </c>
    </row>
    <row r="39" spans="1:8" x14ac:dyDescent="0.25">
      <c r="A39" s="31" t="s">
        <v>935</v>
      </c>
      <c r="B39" s="31" t="s">
        <v>936</v>
      </c>
      <c r="C39" s="31" t="s">
        <v>937</v>
      </c>
      <c r="D39" s="31" t="s">
        <v>818</v>
      </c>
      <c r="E39" s="31" t="s">
        <v>819</v>
      </c>
      <c r="F39" s="31" t="s">
        <v>70</v>
      </c>
      <c r="G39" s="31" t="s">
        <v>823</v>
      </c>
      <c r="H39" s="23" t="str">
        <f>IF(G39="","",VLOOKUP(G39+0,'Concordance Client R2 BOB'!$B:$C,2,FALSE))</f>
        <v>IBS</v>
      </c>
    </row>
    <row r="40" spans="1:8" x14ac:dyDescent="0.25">
      <c r="A40" s="31" t="s">
        <v>938</v>
      </c>
      <c r="B40" s="31" t="s">
        <v>939</v>
      </c>
      <c r="C40" s="31" t="s">
        <v>940</v>
      </c>
      <c r="D40" s="31" t="s">
        <v>818</v>
      </c>
      <c r="E40" s="31" t="s">
        <v>819</v>
      </c>
      <c r="F40" s="31" t="s">
        <v>70</v>
      </c>
      <c r="G40" s="30" t="s">
        <v>941</v>
      </c>
      <c r="H40" s="23" t="e">
        <f>IF(G40="","",VLOOKUP(G40+0,'Concordance Client R2 BOB'!$B:$C,2,FALSE))</f>
        <v>#N/A</v>
      </c>
    </row>
    <row r="41" spans="1:8" x14ac:dyDescent="0.25">
      <c r="A41" s="31" t="s">
        <v>942</v>
      </c>
      <c r="B41" s="31" t="s">
        <v>943</v>
      </c>
      <c r="C41" s="31" t="s">
        <v>826</v>
      </c>
      <c r="D41" s="31" t="s">
        <v>818</v>
      </c>
      <c r="E41" s="31" t="s">
        <v>819</v>
      </c>
      <c r="F41" s="31" t="s">
        <v>70</v>
      </c>
      <c r="G41" s="31" t="s">
        <v>823</v>
      </c>
      <c r="H41" s="23" t="str">
        <f>IF(G41="","",VLOOKUP(G41+0,'Concordance Client R2 BOB'!$B:$C,2,FALSE))</f>
        <v>IBS</v>
      </c>
    </row>
    <row r="42" spans="1:8" x14ac:dyDescent="0.25">
      <c r="A42" s="31" t="s">
        <v>944</v>
      </c>
      <c r="B42" s="31" t="s">
        <v>945</v>
      </c>
      <c r="C42" s="31" t="s">
        <v>946</v>
      </c>
      <c r="D42" s="31" t="s">
        <v>818</v>
      </c>
      <c r="E42" s="31" t="s">
        <v>819</v>
      </c>
      <c r="F42" s="31" t="s">
        <v>70</v>
      </c>
      <c r="G42" s="31" t="s">
        <v>823</v>
      </c>
      <c r="H42" s="23" t="str">
        <f>IF(G42="","",VLOOKUP(G42+0,'Concordance Client R2 BOB'!$B:$C,2,FALSE))</f>
        <v>IBS</v>
      </c>
    </row>
    <row r="43" spans="1:8" x14ac:dyDescent="0.25">
      <c r="A43" s="31" t="s">
        <v>947</v>
      </c>
      <c r="B43" s="31" t="s">
        <v>948</v>
      </c>
      <c r="C43" s="31" t="s">
        <v>826</v>
      </c>
      <c r="D43" s="31" t="s">
        <v>818</v>
      </c>
      <c r="E43" s="31" t="s">
        <v>819</v>
      </c>
      <c r="F43" s="31" t="s">
        <v>70</v>
      </c>
      <c r="G43" s="31" t="s">
        <v>823</v>
      </c>
      <c r="H43" s="23" t="str">
        <f>IF(G43="","",VLOOKUP(G43+0,'Concordance Client R2 BOB'!$B:$C,2,FALSE))</f>
        <v>IBS</v>
      </c>
    </row>
    <row r="44" spans="1:8" x14ac:dyDescent="0.25">
      <c r="A44" s="31" t="s">
        <v>949</v>
      </c>
      <c r="B44" s="31" t="s">
        <v>344</v>
      </c>
      <c r="C44" s="31" t="s">
        <v>950</v>
      </c>
      <c r="D44" s="31" t="s">
        <v>879</v>
      </c>
      <c r="E44" s="31" t="s">
        <v>819</v>
      </c>
      <c r="F44" s="31" t="s">
        <v>70</v>
      </c>
      <c r="G44" s="31" t="s">
        <v>951</v>
      </c>
      <c r="H44" s="23" t="str">
        <f>IF(G44="","",VLOOKUP(G44+0,'Concordance Client R2 BOB'!$B:$C,2,FALSE))</f>
        <v>HAGECO</v>
      </c>
    </row>
    <row r="45" spans="1:8" x14ac:dyDescent="0.25">
      <c r="A45" s="31" t="s">
        <v>952</v>
      </c>
      <c r="B45" s="31" t="s">
        <v>953</v>
      </c>
      <c r="C45" s="31" t="s">
        <v>826</v>
      </c>
      <c r="D45" s="31" t="s">
        <v>818</v>
      </c>
      <c r="E45" s="31" t="s">
        <v>819</v>
      </c>
      <c r="F45" s="31" t="s">
        <v>70</v>
      </c>
      <c r="G45" s="31" t="s">
        <v>823</v>
      </c>
      <c r="H45" s="23" t="str">
        <f>IF(G45="","",VLOOKUP(G45+0,'Concordance Client R2 BOB'!$B:$C,2,FALSE))</f>
        <v>IBS</v>
      </c>
    </row>
    <row r="46" spans="1:8" x14ac:dyDescent="0.25">
      <c r="A46" s="31" t="s">
        <v>954</v>
      </c>
      <c r="B46" s="31" t="s">
        <v>955</v>
      </c>
      <c r="C46" s="31" t="s">
        <v>956</v>
      </c>
      <c r="D46" s="31" t="s">
        <v>818</v>
      </c>
      <c r="E46" s="31" t="s">
        <v>957</v>
      </c>
      <c r="F46" s="31" t="s">
        <v>70</v>
      </c>
      <c r="G46" s="31" t="s">
        <v>958</v>
      </c>
      <c r="H46" s="23" t="str">
        <f>IF(G46="","",VLOOKUP(G46+0,'Concordance Client R2 BOB'!$B:$C,2,FALSE))</f>
        <v>PLUGANDGO</v>
      </c>
    </row>
    <row r="47" spans="1:8" x14ac:dyDescent="0.25">
      <c r="A47" s="31" t="s">
        <v>959</v>
      </c>
      <c r="B47" s="31" t="s">
        <v>960</v>
      </c>
      <c r="C47" s="31" t="s">
        <v>961</v>
      </c>
      <c r="D47" s="31" t="s">
        <v>818</v>
      </c>
      <c r="E47" s="31" t="s">
        <v>819</v>
      </c>
      <c r="F47" s="31" t="s">
        <v>70</v>
      </c>
      <c r="G47" s="31" t="s">
        <v>962</v>
      </c>
      <c r="H47" s="23" t="str">
        <f>IF(G47="","",VLOOKUP(G47+0,'Concordance Client R2 BOB'!$B:$C,2,FALSE))</f>
        <v>BUZON</v>
      </c>
    </row>
    <row r="48" spans="1:8" x14ac:dyDescent="0.25">
      <c r="A48" s="31" t="s">
        <v>963</v>
      </c>
      <c r="B48" s="31" t="s">
        <v>964</v>
      </c>
      <c r="C48" s="31" t="s">
        <v>826</v>
      </c>
      <c r="D48" s="31" t="s">
        <v>818</v>
      </c>
      <c r="E48" s="31" t="s">
        <v>819</v>
      </c>
      <c r="F48" s="31" t="s">
        <v>70</v>
      </c>
      <c r="G48" s="31" t="s">
        <v>823</v>
      </c>
      <c r="H48" s="23" t="str">
        <f>IF(G48="","",VLOOKUP(G48+0,'Concordance Client R2 BOB'!$B:$C,2,FALSE))</f>
        <v>IBS</v>
      </c>
    </row>
    <row r="49" spans="1:8" x14ac:dyDescent="0.25">
      <c r="A49" s="31" t="s">
        <v>965</v>
      </c>
      <c r="B49" s="31" t="s">
        <v>966</v>
      </c>
      <c r="C49" s="31" t="s">
        <v>967</v>
      </c>
      <c r="D49" s="31" t="s">
        <v>818</v>
      </c>
      <c r="E49" s="31" t="s">
        <v>819</v>
      </c>
      <c r="F49" s="31" t="s">
        <v>70</v>
      </c>
      <c r="G49" s="30" t="s">
        <v>968</v>
      </c>
      <c r="H49" s="23" t="str">
        <f>IF(G49="","",VLOOKUP(G49+0,'Concordance Client R2 BOB'!$B:$C,2,FALSE))</f>
        <v>ARCATECH</v>
      </c>
    </row>
    <row r="50" spans="1:8" x14ac:dyDescent="0.25">
      <c r="A50" s="9"/>
      <c r="B50" s="9"/>
      <c r="C50" s="9"/>
      <c r="D50" s="9"/>
      <c r="E50" s="9"/>
      <c r="F50" s="9"/>
      <c r="G50" s="9"/>
      <c r="H50" s="23" t="str">
        <f>IF(G50="","",VLOOKUP(G50+0,'Concordance Client R2 BOB'!$B:$C,2,FALSE))</f>
        <v/>
      </c>
    </row>
    <row r="51" spans="1:8" x14ac:dyDescent="0.25">
      <c r="H51" s="23" t="str">
        <f>IF(G51="","",VLOOKUP(G51+0,'Concordance Client R2 BOB'!$B:$C,2,FALSE))</f>
        <v/>
      </c>
    </row>
    <row r="52" spans="1:8" x14ac:dyDescent="0.25">
      <c r="H52" s="23" t="str">
        <f>IF(G52="","",VLOOKUP(G52+0,'Concordance Client R2 BOB'!$B:$C,2,FALSE))</f>
        <v/>
      </c>
    </row>
    <row r="53" spans="1:8" x14ac:dyDescent="0.25">
      <c r="H53" s="23" t="str">
        <f>IF(G53="","",VLOOKUP(G53+0,'Concordance Client R2 BOB'!$B:$C,2,FALSE))</f>
        <v/>
      </c>
    </row>
    <row r="54" spans="1:8" x14ac:dyDescent="0.25">
      <c r="H54" s="23" t="str">
        <f>IF(G54="","",VLOOKUP(G54+0,'Concordance Client R2 BOB'!$B:$C,2,FALSE))</f>
        <v/>
      </c>
    </row>
    <row r="55" spans="1:8" x14ac:dyDescent="0.25">
      <c r="H55" s="23" t="str">
        <f>IF(G55="","",VLOOKUP(G55+0,'Concordance Client R2 BOB'!$B:$C,2,FALSE))</f>
        <v/>
      </c>
    </row>
    <row r="56" spans="1:8" x14ac:dyDescent="0.25">
      <c r="H56" s="23" t="str">
        <f>IF(G56="","",VLOOKUP(G56+0,'Concordance Client R2 BOB'!$B:$C,2,FALSE))</f>
        <v/>
      </c>
    </row>
    <row r="57" spans="1:8" x14ac:dyDescent="0.25">
      <c r="H57" s="23" t="str">
        <f>IF(G57="","",VLOOKUP(G57+0,'Concordance Client R2 BOB'!$B:$C,2,FALSE))</f>
        <v/>
      </c>
    </row>
    <row r="58" spans="1:8" x14ac:dyDescent="0.25">
      <c r="H58" s="23" t="str">
        <f>IF(G58="","",VLOOKUP(G58+0,'Concordance Client R2 BOB'!$B:$C,2,FALSE))</f>
        <v/>
      </c>
    </row>
    <row r="59" spans="1:8" x14ac:dyDescent="0.25">
      <c r="H59" s="23" t="str">
        <f>IF(G59="","",VLOOKUP(G59+0,'Concordance Client R2 BOB'!$B:$C,2,FALSE))</f>
        <v/>
      </c>
    </row>
    <row r="60" spans="1:8" x14ac:dyDescent="0.25">
      <c r="H60" s="23" t="str">
        <f>IF(G60="","",VLOOKUP(G60+0,'Concordance Client R2 BOB'!$B:$C,2,FALSE))</f>
        <v/>
      </c>
    </row>
    <row r="61" spans="1:8" x14ac:dyDescent="0.25">
      <c r="H61" s="23" t="str">
        <f>IF(G61="","",VLOOKUP(G61+0,'Concordance Client R2 BOB'!$B:$C,2,FALSE))</f>
        <v/>
      </c>
    </row>
    <row r="62" spans="1:8" x14ac:dyDescent="0.25">
      <c r="H62" s="23" t="str">
        <f>IF(G62="","",VLOOKUP(G62+0,'Concordance Client R2 BOB'!$B:$C,2,FALSE))</f>
        <v/>
      </c>
    </row>
    <row r="63" spans="1:8" x14ac:dyDescent="0.25">
      <c r="H63" s="23" t="str">
        <f>IF(G63="","",VLOOKUP(G63+0,'Concordance Client R2 BOB'!$B:$C,2,FALSE))</f>
        <v/>
      </c>
    </row>
    <row r="64" spans="1:8" x14ac:dyDescent="0.25">
      <c r="H64" s="23" t="str">
        <f>IF(G64="","",VLOOKUP(G64+0,'Concordance Client R2 BOB'!$B:$C,2,FALSE))</f>
        <v/>
      </c>
    </row>
    <row r="65" spans="8:8" x14ac:dyDescent="0.25">
      <c r="H65" s="23" t="str">
        <f>IF(G65="","",VLOOKUP(G65+0,'Concordance Client R2 BOB'!$B:$C,2,FALSE))</f>
        <v/>
      </c>
    </row>
    <row r="66" spans="8:8" x14ac:dyDescent="0.25">
      <c r="H66" s="23" t="str">
        <f>IF(G66="","",VLOOKUP(G66+0,'Concordance Client R2 BOB'!$B:$C,2,FALSE))</f>
        <v/>
      </c>
    </row>
    <row r="67" spans="8:8" x14ac:dyDescent="0.25">
      <c r="H67" s="23" t="str">
        <f>IF(G67="","",VLOOKUP(G67+0,'Concordance Client R2 BOB'!$B:$C,2,FALSE))</f>
        <v/>
      </c>
    </row>
    <row r="68" spans="8:8" x14ac:dyDescent="0.25">
      <c r="H68" s="23" t="str">
        <f>IF(G68="","",VLOOKUP(G68+0,'Concordance Client R2 BOB'!$B:$C,2,FALSE))</f>
        <v/>
      </c>
    </row>
    <row r="69" spans="8:8" x14ac:dyDescent="0.25">
      <c r="H69" s="23" t="str">
        <f>IF(G69="","",VLOOKUP(G69+0,'Concordance Client R2 BOB'!$B:$C,2,FALSE))</f>
        <v/>
      </c>
    </row>
    <row r="70" spans="8:8" x14ac:dyDescent="0.25">
      <c r="H70" s="23" t="str">
        <f>IF(G70="","",VLOOKUP(G70+0,'Concordance Client R2 BOB'!$B:$C,2,FALSE))</f>
        <v/>
      </c>
    </row>
    <row r="71" spans="8:8" x14ac:dyDescent="0.25">
      <c r="H71" s="23" t="str">
        <f>IF(G71="","",VLOOKUP(G71+0,'Concordance Client R2 BOB'!$B:$C,2,FALSE))</f>
        <v/>
      </c>
    </row>
    <row r="72" spans="8:8" x14ac:dyDescent="0.25">
      <c r="H72" s="23" t="str">
        <f>IF(G72="","",VLOOKUP(G72+0,'Concordance Client R2 BOB'!$B:$C,2,FALSE))</f>
        <v/>
      </c>
    </row>
    <row r="73" spans="8:8" x14ac:dyDescent="0.25">
      <c r="H73" s="23" t="str">
        <f>IF(G73="","",VLOOKUP(G73+0,'Concordance Client R2 BOB'!$B:$C,2,FALSE))</f>
        <v/>
      </c>
    </row>
    <row r="74" spans="8:8" x14ac:dyDescent="0.25">
      <c r="H74" s="23" t="str">
        <f>IF(G74="","",VLOOKUP(G74+0,'Concordance Client R2 BOB'!$B:$C,2,FALSE))</f>
        <v/>
      </c>
    </row>
    <row r="75" spans="8:8" x14ac:dyDescent="0.25">
      <c r="H75" s="23" t="str">
        <f>IF(G75="","",VLOOKUP(G75+0,'Concordance Client R2 BOB'!$B:$C,2,FALSE))</f>
        <v/>
      </c>
    </row>
    <row r="76" spans="8:8" x14ac:dyDescent="0.25">
      <c r="H76" s="23" t="str">
        <f>IF(G76="","",VLOOKUP(G76+0,'Concordance Client R2 BOB'!$B:$C,2,FALSE))</f>
        <v/>
      </c>
    </row>
    <row r="77" spans="8:8" x14ac:dyDescent="0.25">
      <c r="H77" s="23" t="str">
        <f>IF(G77="","",VLOOKUP(G77+0,'Concordance Client R2 BOB'!$B:$C,2,FALSE))</f>
        <v/>
      </c>
    </row>
    <row r="78" spans="8:8" x14ac:dyDescent="0.25">
      <c r="H78" s="23" t="str">
        <f>IF(G78="","",VLOOKUP(G78+0,'Concordance Client R2 BOB'!$B:$C,2,FALSE))</f>
        <v/>
      </c>
    </row>
    <row r="79" spans="8:8" x14ac:dyDescent="0.25">
      <c r="H79" s="23" t="str">
        <f>IF(G79="","",VLOOKUP(G79+0,'Concordance Client R2 BOB'!$B:$C,2,FALSE))</f>
        <v/>
      </c>
    </row>
    <row r="80" spans="8:8" x14ac:dyDescent="0.25">
      <c r="H80" s="23" t="str">
        <f>IF(G80="","",VLOOKUP(G80+0,'Concordance Client R2 BOB'!$B:$C,2,FALSE))</f>
        <v/>
      </c>
    </row>
    <row r="81" spans="8:8" x14ac:dyDescent="0.25">
      <c r="H81" s="23" t="str">
        <f>IF(G81="","",VLOOKUP(G81+0,'Concordance Client R2 BOB'!$B:$C,2,FALSE))</f>
        <v/>
      </c>
    </row>
    <row r="82" spans="8:8" x14ac:dyDescent="0.25">
      <c r="H82" s="23" t="str">
        <f>IF(G82="","",VLOOKUP(G82+0,'Concordance Client R2 BOB'!$B:$C,2,FALSE))</f>
        <v/>
      </c>
    </row>
    <row r="83" spans="8:8" x14ac:dyDescent="0.25">
      <c r="H83" s="23" t="str">
        <f>IF(G83="","",VLOOKUP(G83+0,'Concordance Client R2 BOB'!$B:$C,2,FALSE))</f>
        <v/>
      </c>
    </row>
    <row r="84" spans="8:8" x14ac:dyDescent="0.25">
      <c r="H84" s="23" t="str">
        <f>IF(G84="","",VLOOKUP(G84+0,'Concordance Client R2 BOB'!$B:$C,2,FALSE))</f>
        <v/>
      </c>
    </row>
    <row r="85" spans="8:8" x14ac:dyDescent="0.25">
      <c r="H85" s="23" t="str">
        <f>IF(G85="","",VLOOKUP(G85+0,'Concordance Client R2 BOB'!$B:$C,2,FALSE))</f>
        <v/>
      </c>
    </row>
    <row r="86" spans="8:8" x14ac:dyDescent="0.25">
      <c r="H86" s="23" t="str">
        <f>IF(G86="","",VLOOKUP(G86+0,'Concordance Client R2 BOB'!$B:$C,2,FALSE))</f>
        <v/>
      </c>
    </row>
    <row r="87" spans="8:8" x14ac:dyDescent="0.25">
      <c r="H87" s="23" t="str">
        <f>IF(G87="","",VLOOKUP(G87+0,'Concordance Client R2 BOB'!$B:$C,2,FALSE))</f>
        <v/>
      </c>
    </row>
    <row r="88" spans="8:8" x14ac:dyDescent="0.25">
      <c r="H88" s="23" t="str">
        <f>IF(G88="","",VLOOKUP(G88+0,'Concordance Client R2 BOB'!$B:$C,2,FALSE))</f>
        <v/>
      </c>
    </row>
    <row r="89" spans="8:8" x14ac:dyDescent="0.25">
      <c r="H89" s="23" t="str">
        <f>IF(G89="","",VLOOKUP(G89+0,'Concordance Client R2 BOB'!$B:$C,2,FALSE))</f>
        <v/>
      </c>
    </row>
    <row r="90" spans="8:8" x14ac:dyDescent="0.25">
      <c r="H90" s="23" t="str">
        <f>IF(G90="","",VLOOKUP(G90+0,'Concordance Client R2 BOB'!$B:$C,2,FALSE))</f>
        <v/>
      </c>
    </row>
    <row r="91" spans="8:8" x14ac:dyDescent="0.25">
      <c r="H91" s="23" t="str">
        <f>IF(G91="","",VLOOKUP(G91+0,'Concordance Client R2 BOB'!$B:$C,2,FALSE))</f>
        <v/>
      </c>
    </row>
    <row r="92" spans="8:8" x14ac:dyDescent="0.25">
      <c r="H92" s="23" t="str">
        <f>IF(G92="","",VLOOKUP(G92+0,'Concordance Client R2 BOB'!$B:$C,2,FALSE))</f>
        <v/>
      </c>
    </row>
    <row r="93" spans="8:8" x14ac:dyDescent="0.25">
      <c r="H93" s="23" t="str">
        <f>IF(G93="","",VLOOKUP(G93+0,'Concordance Client R2 BOB'!$B:$C,2,FALSE))</f>
        <v/>
      </c>
    </row>
    <row r="94" spans="8:8" x14ac:dyDescent="0.25">
      <c r="H94" s="23" t="str">
        <f>IF(G94="","",VLOOKUP(G94+0,'Concordance Client R2 BOB'!$B:$C,2,FALSE))</f>
        <v/>
      </c>
    </row>
    <row r="95" spans="8:8" x14ac:dyDescent="0.25">
      <c r="H95" s="23" t="str">
        <f>IF(G95="","",VLOOKUP(G95+0,'Concordance Client R2 BOB'!$B:$C,2,FALSE))</f>
        <v/>
      </c>
    </row>
    <row r="96" spans="8:8" x14ac:dyDescent="0.25">
      <c r="H96" s="23" t="str">
        <f>IF(G96="","",VLOOKUP(G96+0,'Concordance Client R2 BOB'!$B:$C,2,FALSE))</f>
        <v/>
      </c>
    </row>
    <row r="97" spans="8:8" x14ac:dyDescent="0.25">
      <c r="H97" s="23" t="str">
        <f>IF(G97="","",VLOOKUP(G97+0,'Concordance Client R2 BOB'!$B:$C,2,FALSE))</f>
        <v/>
      </c>
    </row>
    <row r="98" spans="8:8" x14ac:dyDescent="0.25">
      <c r="H98" s="23" t="str">
        <f>IF(G98="","",VLOOKUP(G98+0,'Concordance Client R2 BOB'!$B:$C,2,FALSE))</f>
        <v/>
      </c>
    </row>
    <row r="99" spans="8:8" x14ac:dyDescent="0.25">
      <c r="H99" s="23" t="str">
        <f>IF(G99="","",VLOOKUP(G99+0,'Concordance Client R2 BOB'!$B:$C,2,FALSE))</f>
        <v/>
      </c>
    </row>
    <row r="100" spans="8:8" x14ac:dyDescent="0.25">
      <c r="H100" s="23" t="str">
        <f>IF(G100="","",VLOOKUP(G100+0,'Concordance Client R2 BOB'!$B:$C,2,FALSE))</f>
        <v/>
      </c>
    </row>
    <row r="101" spans="8:8" x14ac:dyDescent="0.25">
      <c r="H101" s="23" t="str">
        <f>IF(G101="","",VLOOKUP(G101+0,'Concordance Client R2 BOB'!$B:$C,2,FALSE))</f>
        <v/>
      </c>
    </row>
    <row r="102" spans="8:8" x14ac:dyDescent="0.25">
      <c r="H102" s="23" t="str">
        <f>IF(G102="","",VLOOKUP(G102+0,'Concordance Client R2 BOB'!$B:$C,2,FALSE))</f>
        <v/>
      </c>
    </row>
    <row r="103" spans="8:8" x14ac:dyDescent="0.25">
      <c r="H103" s="23" t="str">
        <f>IF(G103="","",VLOOKUP(G103+0,'Concordance Client R2 BOB'!$B:$C,2,FALSE))</f>
        <v/>
      </c>
    </row>
    <row r="104" spans="8:8" x14ac:dyDescent="0.25">
      <c r="H104" s="23" t="str">
        <f>IF(G104="","",VLOOKUP(G104+0,'Concordance Client R2 BOB'!$B:$C,2,FALSE))</f>
        <v/>
      </c>
    </row>
    <row r="105" spans="8:8" x14ac:dyDescent="0.25">
      <c r="H105" s="23" t="str">
        <f>IF(G105="","",VLOOKUP(G105+0,'Concordance Client R2 BOB'!$B:$C,2,FALSE))</f>
        <v/>
      </c>
    </row>
    <row r="106" spans="8:8" x14ac:dyDescent="0.25">
      <c r="H106" s="23" t="str">
        <f>IF(G106="","",VLOOKUP(G106+0,'Concordance Client R2 BOB'!$B:$C,2,FALSE))</f>
        <v/>
      </c>
    </row>
    <row r="107" spans="8:8" x14ac:dyDescent="0.25">
      <c r="H107" s="23" t="str">
        <f>IF(G107="","",VLOOKUP(G107+0,'Concordance Client R2 BOB'!$B:$C,2,FALSE))</f>
        <v/>
      </c>
    </row>
    <row r="108" spans="8:8" x14ac:dyDescent="0.25">
      <c r="H108" s="23" t="str">
        <f>IF(G108="","",VLOOKUP(G108+0,'Concordance Client R2 BOB'!$B:$C,2,FALSE))</f>
        <v/>
      </c>
    </row>
    <row r="109" spans="8:8" x14ac:dyDescent="0.25">
      <c r="H109" s="23" t="str">
        <f>IF(G109="","",VLOOKUP(G109+0,'Concordance Client R2 BOB'!$B:$C,2,FALSE))</f>
        <v/>
      </c>
    </row>
    <row r="110" spans="8:8" x14ac:dyDescent="0.25">
      <c r="H110" s="23" t="str">
        <f>IF(G110="","",VLOOKUP(G110+0,'Concordance Client R2 BOB'!$B:$C,2,FALSE))</f>
        <v/>
      </c>
    </row>
    <row r="111" spans="8:8" x14ac:dyDescent="0.25">
      <c r="H111" s="23" t="str">
        <f>IF(G111="","",VLOOKUP(G111+0,'Concordance Client R2 BOB'!$B:$C,2,FALSE))</f>
        <v/>
      </c>
    </row>
    <row r="112" spans="8:8" x14ac:dyDescent="0.25">
      <c r="H112" s="23" t="str">
        <f>IF(G112="","",VLOOKUP(G112+0,'Concordance Client R2 BOB'!$B:$C,2,FALSE))</f>
        <v/>
      </c>
    </row>
    <row r="113" spans="8:8" x14ac:dyDescent="0.25">
      <c r="H113" s="23" t="str">
        <f>IF(G113="","",VLOOKUP(G113+0,'Concordance Client R2 BOB'!$B:$C,2,FALSE))</f>
        <v/>
      </c>
    </row>
    <row r="114" spans="8:8" x14ac:dyDescent="0.25">
      <c r="H114" s="23" t="str">
        <f>IF(G114="","",VLOOKUP(G114+0,'Concordance Client R2 BOB'!$B:$C,2,FALSE))</f>
        <v/>
      </c>
    </row>
    <row r="115" spans="8:8" x14ac:dyDescent="0.25">
      <c r="H115" s="23" t="str">
        <f>IF(G115="","",VLOOKUP(G115+0,'Concordance Client R2 BOB'!$B:$C,2,FALSE))</f>
        <v/>
      </c>
    </row>
    <row r="116" spans="8:8" x14ac:dyDescent="0.25">
      <c r="H116" s="23" t="str">
        <f>IF(G116="","",VLOOKUP(G116+0,'Concordance Client R2 BOB'!$B:$C,2,FALSE))</f>
        <v/>
      </c>
    </row>
    <row r="117" spans="8:8" x14ac:dyDescent="0.25">
      <c r="H117" s="23" t="str">
        <f>IF(G117="","",VLOOKUP(G117+0,'Concordance Client R2 BOB'!$B:$C,2,FALSE))</f>
        <v/>
      </c>
    </row>
    <row r="118" spans="8:8" x14ac:dyDescent="0.25">
      <c r="H118" s="23" t="str">
        <f>IF(G118="","",VLOOKUP(G118+0,'Concordance Client R2 BOB'!$B:$C,2,FALSE))</f>
        <v/>
      </c>
    </row>
    <row r="119" spans="8:8" x14ac:dyDescent="0.25">
      <c r="H119" s="23" t="str">
        <f>IF(G119="","",VLOOKUP(G119+0,'Concordance Client R2 BOB'!$B:$C,2,FALSE))</f>
        <v/>
      </c>
    </row>
    <row r="120" spans="8:8" x14ac:dyDescent="0.25">
      <c r="H120" s="23" t="str">
        <f>IF(G120="","",VLOOKUP(G120+0,'Concordance Client R2 BOB'!$B:$C,2,FALSE))</f>
        <v/>
      </c>
    </row>
    <row r="121" spans="8:8" x14ac:dyDescent="0.25">
      <c r="H121" s="23" t="str">
        <f>IF(G121="","",VLOOKUP(G121+0,'Concordance Client R2 BOB'!$B:$C,2,FALSE))</f>
        <v/>
      </c>
    </row>
    <row r="122" spans="8:8" x14ac:dyDescent="0.25">
      <c r="H122" s="23" t="str">
        <f>IF(G122="","",VLOOKUP(G122+0,'Concordance Client R2 BOB'!$B:$C,2,FALSE))</f>
        <v/>
      </c>
    </row>
    <row r="123" spans="8:8" x14ac:dyDescent="0.25">
      <c r="H123" s="23" t="str">
        <f>IF(G123="","",VLOOKUP(G123+0,'Concordance Client R2 BOB'!$B:$C,2,FALSE))</f>
        <v/>
      </c>
    </row>
    <row r="124" spans="8:8" x14ac:dyDescent="0.25">
      <c r="H124" s="23" t="str">
        <f>IF(G124="","",VLOOKUP(G124+0,'Concordance Client R2 BOB'!$B:$C,2,FALSE))</f>
        <v/>
      </c>
    </row>
    <row r="125" spans="8:8" x14ac:dyDescent="0.25">
      <c r="H125" s="23" t="str">
        <f>IF(G125="","",VLOOKUP(G125+0,'Concordance Client R2 BOB'!$B:$C,2,FALSE))</f>
        <v/>
      </c>
    </row>
    <row r="126" spans="8:8" x14ac:dyDescent="0.25">
      <c r="H126" s="23" t="str">
        <f>IF(G126="","",VLOOKUP(G126+0,'Concordance Client R2 BOB'!$B:$C,2,FALSE))</f>
        <v/>
      </c>
    </row>
    <row r="127" spans="8:8" x14ac:dyDescent="0.25">
      <c r="H127" s="23" t="str">
        <f>IF(G127="","",VLOOKUP(G127+0,'Concordance Client R2 BOB'!$B:$C,2,FALSE))</f>
        <v/>
      </c>
    </row>
    <row r="128" spans="8:8" x14ac:dyDescent="0.25">
      <c r="H128" s="23" t="str">
        <f>IF(G128="","",VLOOKUP(G128+0,'Concordance Client R2 BOB'!$B:$C,2,FALSE))</f>
        <v/>
      </c>
    </row>
    <row r="129" spans="8:8" x14ac:dyDescent="0.25">
      <c r="H129" s="23" t="str">
        <f>IF(G129="","",VLOOKUP(G129+0,'Concordance Client R2 BOB'!$B:$C,2,FALSE))</f>
        <v/>
      </c>
    </row>
    <row r="130" spans="8:8" x14ac:dyDescent="0.25">
      <c r="H130" s="23" t="str">
        <f>IF(G130="","",VLOOKUP(G130+0,'Concordance Client R2 BOB'!$B:$C,2,FALSE))</f>
        <v/>
      </c>
    </row>
    <row r="131" spans="8:8" x14ac:dyDescent="0.25">
      <c r="H131" s="23" t="str">
        <f>IF(G131="","",VLOOKUP(G131+0,'Concordance Client R2 BOB'!$B:$C,2,FALSE))</f>
        <v/>
      </c>
    </row>
    <row r="132" spans="8:8" x14ac:dyDescent="0.25">
      <c r="H132" s="23" t="str">
        <f>IF(G132="","",VLOOKUP(G132+0,'Concordance Client R2 BOB'!$B:$C,2,FALSE))</f>
        <v/>
      </c>
    </row>
    <row r="133" spans="8:8" x14ac:dyDescent="0.25">
      <c r="H133" s="23" t="str">
        <f>IF(G133="","",VLOOKUP(G133+0,'Concordance Client R2 BOB'!$B:$C,2,FALSE))</f>
        <v/>
      </c>
    </row>
    <row r="134" spans="8:8" x14ac:dyDescent="0.25">
      <c r="H134" s="23" t="str">
        <f>IF(G134="","",VLOOKUP(G134+0,'Concordance Client R2 BOB'!$B:$C,2,FALSE))</f>
        <v/>
      </c>
    </row>
    <row r="135" spans="8:8" x14ac:dyDescent="0.25">
      <c r="H135" s="23" t="str">
        <f>IF(G135="","",VLOOKUP(G135+0,'Concordance Client R2 BOB'!$B:$C,2,FALSE))</f>
        <v/>
      </c>
    </row>
    <row r="136" spans="8:8" x14ac:dyDescent="0.25">
      <c r="H136" s="23" t="str">
        <f>IF(G136="","",VLOOKUP(G136+0,'Concordance Client R2 BOB'!$B:$C,2,FALSE))</f>
        <v/>
      </c>
    </row>
    <row r="137" spans="8:8" x14ac:dyDescent="0.25">
      <c r="H137" s="23" t="str">
        <f>IF(G137="","",VLOOKUP(G137+0,'Concordance Client R2 BOB'!$B:$C,2,FALSE))</f>
        <v/>
      </c>
    </row>
    <row r="138" spans="8:8" x14ac:dyDescent="0.25">
      <c r="H138" s="23" t="str">
        <f>IF(G138="","",VLOOKUP(G138+0,'Concordance Client R2 BOB'!$B:$C,2,FALSE))</f>
        <v/>
      </c>
    </row>
    <row r="139" spans="8:8" x14ac:dyDescent="0.25">
      <c r="H139" s="23" t="str">
        <f>IF(G139="","",VLOOKUP(G139+0,'Concordance Client R2 BOB'!$B:$C,2,FALSE))</f>
        <v/>
      </c>
    </row>
    <row r="140" spans="8:8" x14ac:dyDescent="0.25">
      <c r="H140" s="23" t="str">
        <f>IF(G140="","",VLOOKUP(G140+0,'Concordance Client R2 BOB'!$B:$C,2,FALSE))</f>
        <v/>
      </c>
    </row>
    <row r="141" spans="8:8" x14ac:dyDescent="0.25">
      <c r="H141" s="23" t="str">
        <f>IF(G141="","",VLOOKUP(G141+0,'Concordance Client R2 BOB'!$B:$C,2,FALSE))</f>
        <v/>
      </c>
    </row>
    <row r="142" spans="8:8" x14ac:dyDescent="0.25">
      <c r="H142" s="23" t="str">
        <f>IF(G142="","",VLOOKUP(G142+0,'Concordance Client R2 BOB'!$B:$C,2,FALSE))</f>
        <v/>
      </c>
    </row>
    <row r="143" spans="8:8" x14ac:dyDescent="0.25">
      <c r="H143" s="23" t="str">
        <f>IF(G143="","",VLOOKUP(G143+0,'Concordance Client R2 BOB'!$B:$C,2,FALSE))</f>
        <v/>
      </c>
    </row>
    <row r="144" spans="8:8" x14ac:dyDescent="0.25">
      <c r="H144" s="23" t="str">
        <f>IF(G144="","",VLOOKUP(G144+0,'Concordance Client R2 BOB'!$B:$C,2,FALSE))</f>
        <v/>
      </c>
    </row>
    <row r="145" spans="8:8" x14ac:dyDescent="0.25">
      <c r="H145" s="23" t="str">
        <f>IF(G145="","",VLOOKUP(G145+0,'Concordance Client R2 BOB'!$B:$C,2,FALSE))</f>
        <v/>
      </c>
    </row>
    <row r="146" spans="8:8" x14ac:dyDescent="0.25">
      <c r="H146" s="23" t="str">
        <f>IF(G146="","",VLOOKUP(G146+0,'Concordance Client R2 BOB'!$B:$C,2,FALSE))</f>
        <v/>
      </c>
    </row>
    <row r="147" spans="8:8" x14ac:dyDescent="0.25">
      <c r="H147" s="23" t="str">
        <f>IF(G147="","",VLOOKUP(G147+0,'Concordance Client R2 BOB'!$B:$C,2,FALSE))</f>
        <v/>
      </c>
    </row>
    <row r="148" spans="8:8" x14ac:dyDescent="0.25">
      <c r="H148" s="23" t="str">
        <f>IF(G148="","",VLOOKUP(G148+0,'Concordance Client R2 BOB'!$B:$C,2,FALSE))</f>
        <v/>
      </c>
    </row>
    <row r="149" spans="8:8" x14ac:dyDescent="0.25">
      <c r="H149" s="23" t="str">
        <f>IF(G149="","",VLOOKUP(G149+0,'Concordance Client R2 BOB'!$B:$C,2,FALSE))</f>
        <v/>
      </c>
    </row>
    <row r="150" spans="8:8" x14ac:dyDescent="0.25">
      <c r="H150" s="23" t="str">
        <f>IF(G150="","",VLOOKUP(G150+0,'Concordance Client R2 BOB'!$B:$C,2,FALSE))</f>
        <v/>
      </c>
    </row>
    <row r="151" spans="8:8" x14ac:dyDescent="0.25">
      <c r="H151" s="23" t="str">
        <f>IF(G151="","",VLOOKUP(G151+0,'Concordance Client R2 BOB'!$B:$C,2,FALSE))</f>
        <v/>
      </c>
    </row>
    <row r="152" spans="8:8" x14ac:dyDescent="0.25">
      <c r="H152" s="23" t="str">
        <f>IF(G152="","",VLOOKUP(G152+0,'Concordance Client R2 BOB'!$B:$C,2,FALSE))</f>
        <v/>
      </c>
    </row>
    <row r="153" spans="8:8" x14ac:dyDescent="0.25">
      <c r="H153" s="23" t="str">
        <f>IF(G153="","",VLOOKUP(G153+0,'Concordance Client R2 BOB'!$B:$C,2,FALSE))</f>
        <v/>
      </c>
    </row>
    <row r="154" spans="8:8" x14ac:dyDescent="0.25">
      <c r="H154" s="23" t="str">
        <f>IF(G154="","",VLOOKUP(G154+0,'Concordance Client R2 BOB'!$B:$C,2,FALSE))</f>
        <v/>
      </c>
    </row>
    <row r="155" spans="8:8" x14ac:dyDescent="0.25">
      <c r="H155" s="23" t="str">
        <f>IF(G155="","",VLOOKUP(G155+0,'Concordance Client R2 BOB'!$B:$C,2,FALSE))</f>
        <v/>
      </c>
    </row>
    <row r="156" spans="8:8" x14ac:dyDescent="0.25">
      <c r="H156" s="23" t="str">
        <f>IF(G156="","",VLOOKUP(G156+0,'Concordance Client R2 BOB'!$B:$C,2,FALSE))</f>
        <v/>
      </c>
    </row>
    <row r="157" spans="8:8" x14ac:dyDescent="0.25">
      <c r="H157" s="23" t="str">
        <f>IF(G157="","",VLOOKUP(G157+0,'Concordance Client R2 BOB'!$B:$C,2,FALSE))</f>
        <v/>
      </c>
    </row>
    <row r="158" spans="8:8" x14ac:dyDescent="0.25">
      <c r="H158" s="23" t="str">
        <f>IF(G158="","",VLOOKUP(G158+0,'Concordance Client R2 BOB'!$B:$C,2,FALSE))</f>
        <v/>
      </c>
    </row>
    <row r="159" spans="8:8" x14ac:dyDescent="0.25">
      <c r="H159" s="23" t="str">
        <f>IF(G159="","",VLOOKUP(G159+0,'Concordance Client R2 BOB'!$B:$C,2,FALSE))</f>
        <v/>
      </c>
    </row>
    <row r="160" spans="8:8" x14ac:dyDescent="0.25">
      <c r="H160" s="23" t="str">
        <f>IF(G160="","",VLOOKUP(G160+0,'Concordance Client R2 BOB'!$B:$C,2,FALSE))</f>
        <v/>
      </c>
    </row>
    <row r="161" spans="8:8" x14ac:dyDescent="0.25">
      <c r="H161" s="23" t="str">
        <f>IF(G161="","",VLOOKUP(G161+0,'Concordance Client R2 BOB'!$B:$C,2,FALSE))</f>
        <v/>
      </c>
    </row>
    <row r="162" spans="8:8" x14ac:dyDescent="0.25">
      <c r="H162" s="23" t="str">
        <f>IF(G162="","",VLOOKUP(G162+0,'Concordance Client R2 BOB'!$B:$C,2,FALSE))</f>
        <v/>
      </c>
    </row>
    <row r="163" spans="8:8" x14ac:dyDescent="0.25">
      <c r="H163" s="23" t="str">
        <f>IF(G163="","",VLOOKUP(G163+0,'Concordance Client R2 BOB'!$B:$C,2,FALSE))</f>
        <v/>
      </c>
    </row>
    <row r="164" spans="8:8" x14ac:dyDescent="0.25">
      <c r="H164" s="23" t="str">
        <f>IF(G164="","",VLOOKUP(G164+0,'Concordance Client R2 BOB'!$B:$C,2,FALSE))</f>
        <v/>
      </c>
    </row>
    <row r="165" spans="8:8" x14ac:dyDescent="0.25">
      <c r="H165" s="23" t="str">
        <f>IF(G165="","",VLOOKUP(G165+0,'Concordance Client R2 BOB'!$B:$C,2,FALSE))</f>
        <v/>
      </c>
    </row>
    <row r="166" spans="8:8" x14ac:dyDescent="0.25">
      <c r="H166" s="23" t="str">
        <f>IF(G166="","",VLOOKUP(G166+0,'Concordance Client R2 BOB'!$B:$C,2,FALSE))</f>
        <v/>
      </c>
    </row>
    <row r="167" spans="8:8" x14ac:dyDescent="0.25">
      <c r="H167" s="23" t="str">
        <f>IF(G167="","",VLOOKUP(G167+0,'Concordance Client R2 BOB'!$B:$C,2,FALSE))</f>
        <v/>
      </c>
    </row>
    <row r="168" spans="8:8" x14ac:dyDescent="0.25">
      <c r="H168" s="23" t="str">
        <f>IF(G168="","",VLOOKUP(G168+0,'Concordance Client R2 BOB'!$B:$C,2,FALSE))</f>
        <v/>
      </c>
    </row>
    <row r="169" spans="8:8" x14ac:dyDescent="0.25">
      <c r="H169" s="23" t="str">
        <f>IF(G169="","",VLOOKUP(G169+0,'Concordance Client R2 BOB'!$B:$C,2,FALSE))</f>
        <v/>
      </c>
    </row>
    <row r="170" spans="8:8" x14ac:dyDescent="0.25">
      <c r="H170" s="23" t="str">
        <f>IF(G170="","",VLOOKUP(G170+0,'Concordance Client R2 BOB'!$B:$C,2,FALSE))</f>
        <v/>
      </c>
    </row>
    <row r="171" spans="8:8" x14ac:dyDescent="0.25">
      <c r="H171" s="23" t="str">
        <f>IF(G171="","",VLOOKUP(G171+0,'Concordance Client R2 BOB'!$B:$C,2,FALSE))</f>
        <v/>
      </c>
    </row>
    <row r="172" spans="8:8" x14ac:dyDescent="0.25">
      <c r="H172" s="23" t="str">
        <f>IF(G172="","",VLOOKUP(G172+0,'Concordance Client R2 BOB'!$B:$C,2,FALSE))</f>
        <v/>
      </c>
    </row>
    <row r="173" spans="8:8" x14ac:dyDescent="0.25">
      <c r="H173" s="23" t="str">
        <f>IF(G173="","",VLOOKUP(G173+0,'Concordance Client R2 BOB'!$B:$C,2,FALSE))</f>
        <v/>
      </c>
    </row>
    <row r="174" spans="8:8" x14ac:dyDescent="0.25">
      <c r="H174" s="23" t="str">
        <f>IF(G174="","",VLOOKUP(G174+0,'Concordance Client R2 BOB'!$B:$C,2,FALSE))</f>
        <v/>
      </c>
    </row>
    <row r="175" spans="8:8" x14ac:dyDescent="0.25">
      <c r="H175" s="23" t="str">
        <f>IF(G175="","",VLOOKUP(G175+0,'Concordance Client R2 BOB'!$B:$C,2,FALSE))</f>
        <v/>
      </c>
    </row>
    <row r="176" spans="8:8" x14ac:dyDescent="0.25">
      <c r="H176" s="23" t="str">
        <f>IF(G176="","",VLOOKUP(G176+0,'Concordance Client R2 BOB'!$B:$C,2,FALSE))</f>
        <v/>
      </c>
    </row>
    <row r="177" spans="8:8" x14ac:dyDescent="0.25">
      <c r="H177" s="23" t="str">
        <f>IF(G177="","",VLOOKUP(G177+0,'Concordance Client R2 BOB'!$B:$C,2,FALSE))</f>
        <v/>
      </c>
    </row>
    <row r="178" spans="8:8" x14ac:dyDescent="0.25">
      <c r="H178" s="23" t="str">
        <f>IF(G178="","",VLOOKUP(G178+0,'Concordance Client R2 BOB'!$B:$C,2,FALSE))</f>
        <v/>
      </c>
    </row>
    <row r="179" spans="8:8" x14ac:dyDescent="0.25">
      <c r="H179" s="23" t="str">
        <f>IF(G179="","",VLOOKUP(G179+0,'Concordance Client R2 BOB'!$B:$C,2,FALSE))</f>
        <v/>
      </c>
    </row>
    <row r="180" spans="8:8" x14ac:dyDescent="0.25">
      <c r="H180" s="23" t="str">
        <f>IF(G180="","",VLOOKUP(G180+0,'Concordance Client R2 BOB'!$B:$C,2,FALSE))</f>
        <v/>
      </c>
    </row>
    <row r="181" spans="8:8" x14ac:dyDescent="0.25">
      <c r="H181" s="23" t="str">
        <f>IF(G181="","",VLOOKUP(G181+0,'Concordance Client R2 BOB'!$B:$C,2,FALSE))</f>
        <v/>
      </c>
    </row>
    <row r="182" spans="8:8" x14ac:dyDescent="0.25">
      <c r="H182" s="23" t="str">
        <f>IF(G182="","",VLOOKUP(G182+0,'Concordance Client R2 BOB'!$B:$C,2,FALSE))</f>
        <v/>
      </c>
    </row>
    <row r="183" spans="8:8" x14ac:dyDescent="0.25">
      <c r="H183" s="23" t="str">
        <f>IF(G183="","",VLOOKUP(G183+0,'Concordance Client R2 BOB'!$B:$C,2,FALSE))</f>
        <v/>
      </c>
    </row>
    <row r="184" spans="8:8" x14ac:dyDescent="0.25">
      <c r="H184" s="23" t="str">
        <f>IF(G184="","",VLOOKUP(G184+0,'Concordance Client R2 BOB'!$B:$C,2,FALSE))</f>
        <v/>
      </c>
    </row>
    <row r="185" spans="8:8" x14ac:dyDescent="0.25">
      <c r="H185" s="23" t="str">
        <f>IF(G185="","",VLOOKUP(G185+0,'Concordance Client R2 BOB'!$B:$C,2,FALSE))</f>
        <v/>
      </c>
    </row>
    <row r="186" spans="8:8" x14ac:dyDescent="0.25">
      <c r="H186" s="23" t="str">
        <f>IF(G186="","",VLOOKUP(G186+0,'Concordance Client R2 BOB'!$B:$C,2,FALSE))</f>
        <v/>
      </c>
    </row>
    <row r="187" spans="8:8" x14ac:dyDescent="0.25">
      <c r="H187" s="23" t="str">
        <f>IF(G187="","",VLOOKUP(G187+0,'Concordance Client R2 BOB'!$B:$C,2,FALSE))</f>
        <v/>
      </c>
    </row>
    <row r="188" spans="8:8" x14ac:dyDescent="0.25">
      <c r="H188" s="23" t="str">
        <f>IF(G188="","",VLOOKUP(G188+0,'Concordance Client R2 BOB'!$B:$C,2,FALSE))</f>
        <v/>
      </c>
    </row>
    <row r="189" spans="8:8" x14ac:dyDescent="0.25">
      <c r="H189" s="23" t="str">
        <f>IF(G189="","",VLOOKUP(G189+0,'Concordance Client R2 BOB'!$B:$C,2,FALSE))</f>
        <v/>
      </c>
    </row>
    <row r="190" spans="8:8" x14ac:dyDescent="0.25">
      <c r="H190" s="23" t="str">
        <f>IF(G190="","",VLOOKUP(G190+0,'Concordance Client R2 BOB'!$B:$C,2,FALSE))</f>
        <v/>
      </c>
    </row>
    <row r="191" spans="8:8" x14ac:dyDescent="0.25">
      <c r="H191" s="23" t="str">
        <f>IF(G191="","",VLOOKUP(G191+0,'Concordance Client R2 BOB'!$B:$C,2,FALSE))</f>
        <v/>
      </c>
    </row>
    <row r="192" spans="8:8" x14ac:dyDescent="0.25">
      <c r="H192" s="23" t="str">
        <f>IF(G192="","",VLOOKUP(G192+0,'Concordance Client R2 BOB'!$B:$C,2,FALSE))</f>
        <v/>
      </c>
    </row>
    <row r="193" spans="8:8" x14ac:dyDescent="0.25">
      <c r="H193" s="23" t="str">
        <f>IF(G193="","",VLOOKUP(G193+0,'Concordance Client R2 BOB'!$B:$C,2,FALSE))</f>
        <v/>
      </c>
    </row>
    <row r="194" spans="8:8" x14ac:dyDescent="0.25">
      <c r="H194" s="23" t="str">
        <f>IF(G194="","",VLOOKUP(G194+0,'Concordance Client R2 BOB'!$B:$C,2,FALSE))</f>
        <v/>
      </c>
    </row>
    <row r="195" spans="8:8" x14ac:dyDescent="0.25">
      <c r="H195" s="23" t="str">
        <f>IF(G195="","",VLOOKUP(G195+0,'Concordance Client R2 BOB'!$B:$C,2,FALSE))</f>
        <v/>
      </c>
    </row>
    <row r="196" spans="8:8" x14ac:dyDescent="0.25">
      <c r="H196" s="23" t="str">
        <f>IF(G196="","",VLOOKUP(G196+0,'Concordance Client R2 BOB'!$B:$C,2,FALSE))</f>
        <v/>
      </c>
    </row>
    <row r="197" spans="8:8" x14ac:dyDescent="0.25">
      <c r="H197" s="23" t="str">
        <f>IF(G197="","",VLOOKUP(G197+0,'Concordance Client R2 BOB'!$B:$C,2,FALSE))</f>
        <v/>
      </c>
    </row>
    <row r="198" spans="8:8" x14ac:dyDescent="0.25">
      <c r="H198" s="23" t="str">
        <f>IF(G198="","",VLOOKUP(G198+0,'Concordance Client R2 BOB'!$B:$C,2,FALSE))</f>
        <v/>
      </c>
    </row>
    <row r="199" spans="8:8" x14ac:dyDescent="0.25">
      <c r="H199" s="23" t="str">
        <f>IF(G199="","",VLOOKUP(G199+0,'Concordance Client R2 BOB'!$B:$C,2,FALSE))</f>
        <v/>
      </c>
    </row>
    <row r="200" spans="8:8" x14ac:dyDescent="0.25">
      <c r="H200" s="23" t="str">
        <f>IF(G200="","",VLOOKUP(G200+0,'Concordance Client R2 BOB'!$B:$C,2,FALSE))</f>
        <v/>
      </c>
    </row>
    <row r="201" spans="8:8" x14ac:dyDescent="0.25">
      <c r="H201" s="23" t="str">
        <f>IF(G201="","",VLOOKUP(G201+0,'Concordance Client R2 BOB'!$B:$C,2,FALSE))</f>
        <v/>
      </c>
    </row>
    <row r="202" spans="8:8" x14ac:dyDescent="0.25">
      <c r="H202" s="23" t="str">
        <f>IF(G202="","",VLOOKUP(G202+0,'Concordance Client R2 BOB'!$B:$C,2,FALSE))</f>
        <v/>
      </c>
    </row>
    <row r="203" spans="8:8" x14ac:dyDescent="0.25">
      <c r="H203" s="23" t="str">
        <f>IF(G203="","",VLOOKUP(G203+0,'Concordance Client R2 BOB'!$B:$C,2,FALSE))</f>
        <v/>
      </c>
    </row>
    <row r="204" spans="8:8" x14ac:dyDescent="0.25">
      <c r="H204" s="23" t="str">
        <f>IF(G204="","",VLOOKUP(G204+0,'Concordance Client R2 BOB'!$B:$C,2,FALSE))</f>
        <v/>
      </c>
    </row>
    <row r="205" spans="8:8" x14ac:dyDescent="0.25">
      <c r="H205" s="23" t="str">
        <f>IF(G205="","",VLOOKUP(G205+0,'Concordance Client R2 BOB'!$B:$C,2,FALSE))</f>
        <v/>
      </c>
    </row>
    <row r="206" spans="8:8" x14ac:dyDescent="0.25">
      <c r="H206" s="23" t="str">
        <f>IF(G206="","",VLOOKUP(G206+0,'Concordance Client R2 BOB'!$B:$C,2,FALSE))</f>
        <v/>
      </c>
    </row>
    <row r="207" spans="8:8" x14ac:dyDescent="0.25">
      <c r="H207" s="23" t="str">
        <f>IF(G207="","",VLOOKUP(G207+0,'Concordance Client R2 BOB'!$B:$C,2,FALSE))</f>
        <v/>
      </c>
    </row>
    <row r="208" spans="8:8" x14ac:dyDescent="0.25">
      <c r="H208" s="23" t="str">
        <f>IF(G208="","",VLOOKUP(G208+0,'Concordance Client R2 BOB'!$B:$C,2,FALSE))</f>
        <v/>
      </c>
    </row>
    <row r="209" spans="8:8" x14ac:dyDescent="0.25">
      <c r="H209" s="23" t="str">
        <f>IF(G209="","",VLOOKUP(G209+0,'Concordance Client R2 BOB'!$B:$C,2,FALSE))</f>
        <v/>
      </c>
    </row>
    <row r="210" spans="8:8" x14ac:dyDescent="0.25">
      <c r="H210" s="23" t="str">
        <f>IF(G210="","",VLOOKUP(G210+0,'Concordance Client R2 BOB'!$B:$C,2,FALSE))</f>
        <v/>
      </c>
    </row>
    <row r="211" spans="8:8" x14ac:dyDescent="0.25">
      <c r="H211" s="23" t="str">
        <f>IF(G211="","",VLOOKUP(G211+0,'Concordance Client R2 BOB'!$B:$C,2,FALSE))</f>
        <v/>
      </c>
    </row>
    <row r="212" spans="8:8" x14ac:dyDescent="0.25">
      <c r="H212" s="23" t="str">
        <f>IF(G212="","",VLOOKUP(G212+0,'Concordance Client R2 BOB'!$B:$C,2,FALSE))</f>
        <v/>
      </c>
    </row>
    <row r="213" spans="8:8" x14ac:dyDescent="0.25">
      <c r="H213" s="23" t="str">
        <f>IF(G213="","",VLOOKUP(G213+0,'Concordance Client R2 BOB'!$B:$C,2,FALSE))</f>
        <v/>
      </c>
    </row>
    <row r="214" spans="8:8" x14ac:dyDescent="0.25">
      <c r="H214" s="23" t="str">
        <f>IF(G214="","",VLOOKUP(G214+0,'Concordance Client R2 BOB'!$B:$C,2,FALSE))</f>
        <v/>
      </c>
    </row>
    <row r="215" spans="8:8" x14ac:dyDescent="0.25">
      <c r="H215" s="23" t="str">
        <f>IF(G215="","",VLOOKUP(G215+0,'Concordance Client R2 BOB'!$B:$C,2,FALSE))</f>
        <v/>
      </c>
    </row>
    <row r="216" spans="8:8" x14ac:dyDescent="0.25">
      <c r="H216" s="23" t="str">
        <f>IF(G216="","",VLOOKUP(G216+0,'Concordance Client R2 BOB'!$B:$C,2,FALSE))</f>
        <v/>
      </c>
    </row>
    <row r="217" spans="8:8" x14ac:dyDescent="0.25">
      <c r="H217" s="23" t="str">
        <f>IF(G217="","",VLOOKUP(G217+0,'Concordance Client R2 BOB'!$B:$C,2,FALSE))</f>
        <v/>
      </c>
    </row>
    <row r="218" spans="8:8" x14ac:dyDescent="0.25">
      <c r="H218" s="23" t="str">
        <f>IF(G218="","",VLOOKUP(G218+0,'Concordance Client R2 BOB'!$B:$C,2,FALSE))</f>
        <v/>
      </c>
    </row>
    <row r="219" spans="8:8" x14ac:dyDescent="0.25">
      <c r="H219" s="23" t="str">
        <f>IF(G219="","",VLOOKUP(G219+0,'Concordance Client R2 BOB'!$B:$C,2,FALSE))</f>
        <v/>
      </c>
    </row>
    <row r="220" spans="8:8" x14ac:dyDescent="0.25">
      <c r="H220" s="23" t="str">
        <f>IF(G220="","",VLOOKUP(G220+0,'Concordance Client R2 BOB'!$B:$C,2,FALSE))</f>
        <v/>
      </c>
    </row>
    <row r="221" spans="8:8" x14ac:dyDescent="0.25">
      <c r="H221" s="23" t="str">
        <f>IF(G221="","",VLOOKUP(G221+0,'Concordance Client R2 BOB'!$B:$C,2,FALSE))</f>
        <v/>
      </c>
    </row>
    <row r="222" spans="8:8" x14ac:dyDescent="0.25">
      <c r="H222" s="23" t="str">
        <f>IF(G222="","",VLOOKUP(G222+0,'Concordance Client R2 BOB'!$B:$C,2,FALSE))</f>
        <v/>
      </c>
    </row>
    <row r="223" spans="8:8" x14ac:dyDescent="0.25">
      <c r="H223" s="23" t="str">
        <f>IF(G223="","",VLOOKUP(G223+0,'Concordance Client R2 BOB'!$B:$C,2,FALSE))</f>
        <v/>
      </c>
    </row>
    <row r="224" spans="8:8" x14ac:dyDescent="0.25">
      <c r="H224" s="23" t="str">
        <f>IF(G224="","",VLOOKUP(G224+0,'Concordance Client R2 BOB'!$B:$C,2,FALSE))</f>
        <v/>
      </c>
    </row>
    <row r="225" spans="8:8" x14ac:dyDescent="0.25">
      <c r="H225" s="23" t="str">
        <f>IF(G225="","",VLOOKUP(G225+0,'Concordance Client R2 BOB'!$B:$C,2,FALSE))</f>
        <v/>
      </c>
    </row>
    <row r="226" spans="8:8" x14ac:dyDescent="0.25">
      <c r="H226" s="23" t="str">
        <f>IF(G226="","",VLOOKUP(G226+0,'Concordance Client R2 BOB'!$B:$C,2,FALSE))</f>
        <v/>
      </c>
    </row>
    <row r="227" spans="8:8" x14ac:dyDescent="0.25">
      <c r="H227" s="23" t="str">
        <f>IF(G227="","",VLOOKUP(G227+0,'Concordance Client R2 BOB'!$B:$C,2,FALSE))</f>
        <v/>
      </c>
    </row>
    <row r="228" spans="8:8" x14ac:dyDescent="0.25">
      <c r="H228" s="23" t="str">
        <f>IF(G228="","",VLOOKUP(G228+0,'Concordance Client R2 BOB'!$B:$C,2,FALSE))</f>
        <v/>
      </c>
    </row>
    <row r="229" spans="8:8" x14ac:dyDescent="0.25">
      <c r="H229" s="23" t="str">
        <f>IF(G229="","",VLOOKUP(G229+0,'Concordance Client R2 BOB'!$B:$C,2,FALSE))</f>
        <v/>
      </c>
    </row>
    <row r="230" spans="8:8" x14ac:dyDescent="0.25">
      <c r="H230" s="23" t="str">
        <f>IF(G230="","",VLOOKUP(G230+0,'Concordance Client R2 BOB'!$B:$C,2,FALSE))</f>
        <v/>
      </c>
    </row>
    <row r="231" spans="8:8" x14ac:dyDescent="0.25">
      <c r="H231" s="23" t="str">
        <f>IF(G231="","",VLOOKUP(G231+0,'Concordance Client R2 BOB'!$B:$C,2,FALSE))</f>
        <v/>
      </c>
    </row>
    <row r="232" spans="8:8" x14ac:dyDescent="0.25">
      <c r="H232" s="23" t="str">
        <f>IF(G232="","",VLOOKUP(G232+0,'Concordance Client R2 BOB'!$B:$C,2,FALSE))</f>
        <v/>
      </c>
    </row>
    <row r="233" spans="8:8" x14ac:dyDescent="0.25">
      <c r="H233" s="23" t="str">
        <f>IF(G233="","",VLOOKUP(G233+0,'Concordance Client R2 BOB'!$B:$C,2,FALSE))</f>
        <v/>
      </c>
    </row>
    <row r="234" spans="8:8" x14ac:dyDescent="0.25">
      <c r="H234" s="23" t="str">
        <f>IF(G234="","",VLOOKUP(G234+0,'Concordance Client R2 BOB'!$B:$C,2,FALSE))</f>
        <v/>
      </c>
    </row>
    <row r="235" spans="8:8" x14ac:dyDescent="0.25">
      <c r="H235" s="23" t="str">
        <f>IF(G235="","",VLOOKUP(G235+0,'Concordance Client R2 BOB'!$B:$C,2,FALSE))</f>
        <v/>
      </c>
    </row>
    <row r="236" spans="8:8" x14ac:dyDescent="0.25">
      <c r="H236" s="23" t="str">
        <f>IF(G236="","",VLOOKUP(G236+0,'Concordance Client R2 BOB'!$B:$C,2,FALSE))</f>
        <v/>
      </c>
    </row>
    <row r="237" spans="8:8" x14ac:dyDescent="0.25">
      <c r="H237" s="23" t="str">
        <f>IF(G237="","",VLOOKUP(G237+0,'Concordance Client R2 BOB'!$B:$C,2,FALSE))</f>
        <v/>
      </c>
    </row>
    <row r="238" spans="8:8" x14ac:dyDescent="0.25">
      <c r="H238" s="23" t="str">
        <f>IF(G238="","",VLOOKUP(G238+0,'Concordance Client R2 BOB'!$B:$C,2,FALSE))</f>
        <v/>
      </c>
    </row>
    <row r="239" spans="8:8" x14ac:dyDescent="0.25">
      <c r="H239" s="23" t="str">
        <f>IF(G239="","",VLOOKUP(G239+0,'Concordance Client R2 BOB'!$B:$C,2,FALSE))</f>
        <v/>
      </c>
    </row>
    <row r="240" spans="8:8" x14ac:dyDescent="0.25">
      <c r="H240" s="23" t="str">
        <f>IF(G240="","",VLOOKUP(G240+0,'Concordance Client R2 BOB'!$B:$C,2,FALSE))</f>
        <v/>
      </c>
    </row>
    <row r="241" spans="8:8" x14ac:dyDescent="0.25">
      <c r="H241" s="23" t="str">
        <f>IF(G241="","",VLOOKUP(G241+0,'Concordance Client R2 BOB'!$B:$C,2,FALSE))</f>
        <v/>
      </c>
    </row>
    <row r="242" spans="8:8" x14ac:dyDescent="0.25">
      <c r="H242" s="23" t="str">
        <f>IF(G242="","",VLOOKUP(G242+0,'Concordance Client R2 BOB'!$B:$C,2,FALSE))</f>
        <v/>
      </c>
    </row>
    <row r="243" spans="8:8" x14ac:dyDescent="0.25">
      <c r="H243" s="23" t="str">
        <f>IF(G243="","",VLOOKUP(G243+0,'Concordance Client R2 BOB'!$B:$C,2,FALSE))</f>
        <v/>
      </c>
    </row>
    <row r="244" spans="8:8" x14ac:dyDescent="0.25">
      <c r="H244" s="23" t="str">
        <f>IF(G244="","",VLOOKUP(G244+0,'Concordance Client R2 BOB'!$B:$C,2,FALSE))</f>
        <v/>
      </c>
    </row>
    <row r="245" spans="8:8" x14ac:dyDescent="0.25">
      <c r="H245" s="23" t="str">
        <f>IF(G245="","",VLOOKUP(G245+0,'Concordance Client R2 BOB'!$B:$C,2,FALSE))</f>
        <v/>
      </c>
    </row>
    <row r="246" spans="8:8" x14ac:dyDescent="0.25">
      <c r="H246" s="23" t="str">
        <f>IF(G246="","",VLOOKUP(G246+0,'Concordance Client R2 BOB'!$B:$C,2,FALSE))</f>
        <v/>
      </c>
    </row>
    <row r="247" spans="8:8" x14ac:dyDescent="0.25">
      <c r="H247" s="23" t="str">
        <f>IF(G247="","",VLOOKUP(G247+0,'Concordance Client R2 BOB'!$B:$C,2,FALSE))</f>
        <v/>
      </c>
    </row>
    <row r="248" spans="8:8" x14ac:dyDescent="0.25">
      <c r="H248" s="23" t="str">
        <f>IF(G248="","",VLOOKUP(G248+0,'Concordance Client R2 BOB'!$B:$C,2,FALSE))</f>
        <v/>
      </c>
    </row>
    <row r="249" spans="8:8" x14ac:dyDescent="0.25">
      <c r="H249" s="23" t="str">
        <f>IF(G249="","",VLOOKUP(G249+0,'Concordance Client R2 BOB'!$B:$C,2,FALSE))</f>
        <v/>
      </c>
    </row>
    <row r="250" spans="8:8" x14ac:dyDescent="0.25">
      <c r="H250" s="23" t="str">
        <f>IF(G250="","",VLOOKUP(G250+0,'Concordance Client R2 BOB'!$B:$C,2,FALSE))</f>
        <v/>
      </c>
    </row>
    <row r="251" spans="8:8" x14ac:dyDescent="0.25">
      <c r="H251" s="23" t="str">
        <f>IF(G251="","",VLOOKUP(G251+0,'Concordance Client R2 BOB'!$B:$C,2,FALSE))</f>
        <v/>
      </c>
    </row>
    <row r="252" spans="8:8" x14ac:dyDescent="0.25">
      <c r="H252" s="23" t="str">
        <f>IF(G252="","",VLOOKUP(G252+0,'Concordance Client R2 BOB'!$B:$C,2,FALSE))</f>
        <v/>
      </c>
    </row>
    <row r="253" spans="8:8" x14ac:dyDescent="0.25">
      <c r="H253" s="23" t="str">
        <f>IF(G253="","",VLOOKUP(G253+0,'Concordance Client R2 BOB'!$B:$C,2,FALSE))</f>
        <v/>
      </c>
    </row>
    <row r="254" spans="8:8" x14ac:dyDescent="0.25">
      <c r="H254" s="23" t="str">
        <f>IF(G254="","",VLOOKUP(G254+0,'Concordance Client R2 BOB'!$B:$C,2,FALSE))</f>
        <v/>
      </c>
    </row>
    <row r="255" spans="8:8" x14ac:dyDescent="0.25">
      <c r="H255" s="23" t="str">
        <f>IF(G255="","",VLOOKUP(G255+0,'Concordance Client R2 BOB'!$B:$C,2,FALSE))</f>
        <v/>
      </c>
    </row>
    <row r="256" spans="8:8" x14ac:dyDescent="0.25">
      <c r="H256" s="23" t="str">
        <f>IF(G256="","",VLOOKUP(G256+0,'Concordance Client R2 BOB'!$B:$C,2,FALSE))</f>
        <v/>
      </c>
    </row>
    <row r="257" spans="8:8" x14ac:dyDescent="0.25">
      <c r="H257" s="23" t="str">
        <f>IF(G257="","",VLOOKUP(G257+0,'Concordance Client R2 BOB'!$B:$C,2,FALSE))</f>
        <v/>
      </c>
    </row>
    <row r="258" spans="8:8" x14ac:dyDescent="0.25">
      <c r="H258" s="23" t="str">
        <f>IF(G258="","",VLOOKUP(G258+0,'Concordance Client R2 BOB'!$B:$C,2,FALSE))</f>
        <v/>
      </c>
    </row>
    <row r="259" spans="8:8" x14ac:dyDescent="0.25">
      <c r="H259" s="23" t="str">
        <f>IF(G259="","",VLOOKUP(G259+0,'Concordance Client R2 BOB'!$B:$C,2,FALSE))</f>
        <v/>
      </c>
    </row>
    <row r="260" spans="8:8" x14ac:dyDescent="0.25">
      <c r="H260" s="23" t="str">
        <f>IF(G260="","",VLOOKUP(G260+0,'Concordance Client R2 BOB'!$B:$C,2,FALSE))</f>
        <v/>
      </c>
    </row>
    <row r="261" spans="8:8" x14ac:dyDescent="0.25">
      <c r="H261" s="23" t="str">
        <f>IF(G261="","",VLOOKUP(G261+0,'Concordance Client R2 BOB'!$B:$C,2,FALSE))</f>
        <v/>
      </c>
    </row>
    <row r="262" spans="8:8" x14ac:dyDescent="0.25">
      <c r="H262" s="23" t="str">
        <f>IF(G262="","",VLOOKUP(G262+0,'Concordance Client R2 BOB'!$B:$C,2,FALSE))</f>
        <v/>
      </c>
    </row>
    <row r="263" spans="8:8" x14ac:dyDescent="0.25">
      <c r="H263" s="23" t="str">
        <f>IF(G263="","",VLOOKUP(G263+0,'Concordance Client R2 BOB'!$B:$C,2,FALSE))</f>
        <v/>
      </c>
    </row>
    <row r="264" spans="8:8" x14ac:dyDescent="0.25">
      <c r="H264" s="23" t="str">
        <f>IF(G264="","",VLOOKUP(G264+0,'Concordance Client R2 BOB'!$B:$C,2,FALSE))</f>
        <v/>
      </c>
    </row>
    <row r="265" spans="8:8" x14ac:dyDescent="0.25">
      <c r="H265" s="23" t="str">
        <f>IF(G265="","",VLOOKUP(G265+0,'Concordance Client R2 BOB'!$B:$C,2,FALSE))</f>
        <v/>
      </c>
    </row>
    <row r="266" spans="8:8" x14ac:dyDescent="0.25">
      <c r="H266" s="23" t="str">
        <f>IF(G266="","",VLOOKUP(G266+0,'Concordance Client R2 BOB'!$B:$C,2,FALSE))</f>
        <v/>
      </c>
    </row>
    <row r="267" spans="8:8" x14ac:dyDescent="0.25">
      <c r="H267" s="23" t="str">
        <f>IF(G267="","",VLOOKUP(G267+0,'Concordance Client R2 BOB'!$B:$C,2,FALSE))</f>
        <v/>
      </c>
    </row>
    <row r="268" spans="8:8" x14ac:dyDescent="0.25">
      <c r="H268" s="23" t="str">
        <f>IF(G268="","",VLOOKUP(G268+0,'Concordance Client R2 BOB'!$B:$C,2,FALSE))</f>
        <v/>
      </c>
    </row>
    <row r="269" spans="8:8" x14ac:dyDescent="0.25">
      <c r="H269" s="23" t="str">
        <f>IF(G269="","",VLOOKUP(G269+0,'Concordance Client R2 BOB'!$B:$C,2,FALSE))</f>
        <v/>
      </c>
    </row>
    <row r="270" spans="8:8" x14ac:dyDescent="0.25">
      <c r="H270" s="23" t="str">
        <f>IF(G270="","",VLOOKUP(G270+0,'Concordance Client R2 BOB'!$B:$C,2,FALSE))</f>
        <v/>
      </c>
    </row>
    <row r="271" spans="8:8" x14ac:dyDescent="0.25">
      <c r="H271" s="23" t="str">
        <f>IF(G271="","",VLOOKUP(G271+0,'Concordance Client R2 BOB'!$B:$C,2,FALSE))</f>
        <v/>
      </c>
    </row>
    <row r="272" spans="8:8" x14ac:dyDescent="0.25">
      <c r="H272" s="23" t="str">
        <f>IF(G272="","",VLOOKUP(G272+0,'Concordance Client R2 BOB'!$B:$C,2,FALSE))</f>
        <v/>
      </c>
    </row>
    <row r="273" spans="8:8" x14ac:dyDescent="0.25">
      <c r="H273" s="23" t="str">
        <f>IF(G273="","",VLOOKUP(G273+0,'Concordance Client R2 BOB'!$B:$C,2,FALSE))</f>
        <v/>
      </c>
    </row>
    <row r="274" spans="8:8" x14ac:dyDescent="0.25">
      <c r="H274" s="23" t="str">
        <f>IF(G274="","",VLOOKUP(G274+0,'Concordance Client R2 BOB'!$B:$C,2,FALSE))</f>
        <v/>
      </c>
    </row>
    <row r="275" spans="8:8" x14ac:dyDescent="0.25">
      <c r="H275" s="23" t="str">
        <f>IF(G275="","",VLOOKUP(G275+0,'Concordance Client R2 BOB'!$B:$C,2,FALSE))</f>
        <v/>
      </c>
    </row>
    <row r="276" spans="8:8" x14ac:dyDescent="0.25">
      <c r="H276" s="23" t="str">
        <f>IF(G276="","",VLOOKUP(G276+0,'Concordance Client R2 BOB'!$B:$C,2,FALSE))</f>
        <v/>
      </c>
    </row>
    <row r="277" spans="8:8" x14ac:dyDescent="0.25">
      <c r="H277" s="23" t="str">
        <f>IF(G277="","",VLOOKUP(G277+0,'Concordance Client R2 BOB'!$B:$C,2,FALSE))</f>
        <v/>
      </c>
    </row>
    <row r="278" spans="8:8" x14ac:dyDescent="0.25">
      <c r="H278" s="23" t="str">
        <f>IF(G278="","",VLOOKUP(G278+0,'Concordance Client R2 BOB'!$B:$C,2,FALSE))</f>
        <v/>
      </c>
    </row>
    <row r="279" spans="8:8" x14ac:dyDescent="0.25">
      <c r="H279" s="23" t="str">
        <f>IF(G279="","",VLOOKUP(G279+0,'Concordance Client R2 BOB'!$B:$C,2,FALSE))</f>
        <v/>
      </c>
    </row>
    <row r="280" spans="8:8" x14ac:dyDescent="0.25">
      <c r="H280" s="23" t="str">
        <f>IF(G280="","",VLOOKUP(G280+0,'Concordance Client R2 BOB'!$B:$C,2,FALSE))</f>
        <v/>
      </c>
    </row>
    <row r="281" spans="8:8" x14ac:dyDescent="0.25">
      <c r="H281" s="23" t="str">
        <f>IF(G281="","",VLOOKUP(G281+0,'Concordance Client R2 BOB'!$B:$C,2,FALSE))</f>
        <v/>
      </c>
    </row>
    <row r="282" spans="8:8" x14ac:dyDescent="0.25">
      <c r="H282" s="23" t="str">
        <f>IF(G282="","",VLOOKUP(G282+0,'Concordance Client R2 BOB'!$B:$C,2,FALSE))</f>
        <v/>
      </c>
    </row>
    <row r="283" spans="8:8" x14ac:dyDescent="0.25">
      <c r="H283" s="23" t="str">
        <f>IF(G283="","",VLOOKUP(G283+0,'Concordance Client R2 BOB'!$B:$C,2,FALSE))</f>
        <v/>
      </c>
    </row>
    <row r="284" spans="8:8" x14ac:dyDescent="0.25">
      <c r="H284" s="23" t="str">
        <f>IF(G284="","",VLOOKUP(G284+0,'Concordance Client R2 BOB'!$B:$C,2,FALSE))</f>
        <v/>
      </c>
    </row>
    <row r="285" spans="8:8" x14ac:dyDescent="0.25">
      <c r="H285" s="23" t="str">
        <f>IF(G285="","",VLOOKUP(G285+0,'Concordance Client R2 BOB'!$B:$C,2,FALSE))</f>
        <v/>
      </c>
    </row>
    <row r="286" spans="8:8" x14ac:dyDescent="0.25">
      <c r="H286" s="23" t="str">
        <f>IF(G286="","",VLOOKUP(G286+0,'Concordance Client R2 BOB'!$B:$C,2,FALSE))</f>
        <v/>
      </c>
    </row>
    <row r="287" spans="8:8" x14ac:dyDescent="0.25">
      <c r="H287" s="23" t="str">
        <f>IF(G287="","",VLOOKUP(G287+0,'Concordance Client R2 BOB'!$B:$C,2,FALSE))</f>
        <v/>
      </c>
    </row>
    <row r="288" spans="8:8" x14ac:dyDescent="0.25">
      <c r="H288" s="23" t="str">
        <f>IF(G288="","",VLOOKUP(G288+0,'Concordance Client R2 BOB'!$B:$C,2,FALSE))</f>
        <v/>
      </c>
    </row>
    <row r="289" spans="8:8" x14ac:dyDescent="0.25">
      <c r="H289" s="23" t="str">
        <f>IF(G289="","",VLOOKUP(G289+0,'Concordance Client R2 BOB'!$B:$C,2,FALSE))</f>
        <v/>
      </c>
    </row>
    <row r="290" spans="8:8" x14ac:dyDescent="0.25">
      <c r="H290" s="23" t="str">
        <f>IF(G290="","",VLOOKUP(G290+0,'Concordance Client R2 BOB'!$B:$C,2,FALSE))</f>
        <v/>
      </c>
    </row>
    <row r="291" spans="8:8" x14ac:dyDescent="0.25">
      <c r="H291" s="23" t="str">
        <f>IF(G291="","",VLOOKUP(G291+0,'Concordance Client R2 BOB'!$B:$C,2,FALSE))</f>
        <v/>
      </c>
    </row>
    <row r="292" spans="8:8" x14ac:dyDescent="0.25">
      <c r="H292" s="23" t="str">
        <f>IF(G292="","",VLOOKUP(G292+0,'Concordance Client R2 BOB'!$B:$C,2,FALSE))</f>
        <v/>
      </c>
    </row>
    <row r="293" spans="8:8" x14ac:dyDescent="0.25">
      <c r="H293" s="23" t="str">
        <f>IF(G293="","",VLOOKUP(G293+0,'Concordance Client R2 BOB'!$B:$C,2,FALSE))</f>
        <v/>
      </c>
    </row>
    <row r="294" spans="8:8" x14ac:dyDescent="0.25">
      <c r="H294" s="23" t="str">
        <f>IF(G294="","",VLOOKUP(G294+0,'Concordance Client R2 BOB'!$B:$C,2,FALSE))</f>
        <v/>
      </c>
    </row>
    <row r="295" spans="8:8" x14ac:dyDescent="0.25">
      <c r="H295" s="23" t="str">
        <f>IF(G295="","",VLOOKUP(G295+0,'Concordance Client R2 BOB'!$B:$C,2,FALSE))</f>
        <v/>
      </c>
    </row>
    <row r="296" spans="8:8" x14ac:dyDescent="0.25">
      <c r="H296" s="23" t="str">
        <f>IF(G296="","",VLOOKUP(G296+0,'Concordance Client R2 BOB'!$B:$C,2,FALSE))</f>
        <v/>
      </c>
    </row>
    <row r="297" spans="8:8" x14ac:dyDescent="0.25">
      <c r="H297" s="23" t="str">
        <f>IF(G297="","",VLOOKUP(G297+0,'Concordance Client R2 BOB'!$B:$C,2,FALSE))</f>
        <v/>
      </c>
    </row>
    <row r="298" spans="8:8" x14ac:dyDescent="0.25">
      <c r="H298" s="23" t="str">
        <f>IF(G298="","",VLOOKUP(G298+0,'Concordance Client R2 BOB'!$B:$C,2,FALSE))</f>
        <v/>
      </c>
    </row>
    <row r="299" spans="8:8" x14ac:dyDescent="0.25">
      <c r="H299" s="23" t="str">
        <f>IF(G299="","",VLOOKUP(G299+0,'Concordance Client R2 BOB'!$B:$C,2,FALSE))</f>
        <v/>
      </c>
    </row>
    <row r="300" spans="8:8" x14ac:dyDescent="0.25">
      <c r="H300" s="23" t="str">
        <f>IF(G300="","",VLOOKUP(G300+0,'Concordance Client R2 BOB'!$B:$C,2,FALSE))</f>
        <v/>
      </c>
    </row>
    <row r="301" spans="8:8" x14ac:dyDescent="0.25">
      <c r="H301" s="23" t="str">
        <f>IF(G301="","",VLOOKUP(G301+0,'Concordance Client R2 BOB'!$B:$C,2,FALSE))</f>
        <v/>
      </c>
    </row>
    <row r="302" spans="8:8" x14ac:dyDescent="0.25">
      <c r="H302" s="23" t="str">
        <f>IF(G302="","",VLOOKUP(G302+0,'Concordance Client R2 BOB'!$B:$C,2,FALSE))</f>
        <v/>
      </c>
    </row>
    <row r="303" spans="8:8" x14ac:dyDescent="0.25">
      <c r="H303" s="23" t="str">
        <f>IF(G303="","",VLOOKUP(G303+0,'Concordance Client R2 BOB'!$B:$C,2,FALSE))</f>
        <v/>
      </c>
    </row>
    <row r="304" spans="8:8" x14ac:dyDescent="0.25">
      <c r="H304" s="23" t="str">
        <f>IF(G304="","",VLOOKUP(G304+0,'Concordance Client R2 BOB'!$B:$C,2,FALSE))</f>
        <v/>
      </c>
    </row>
    <row r="305" spans="8:8" x14ac:dyDescent="0.25">
      <c r="H305" s="23" t="str">
        <f>IF(G305="","",VLOOKUP(G305+0,'Concordance Client R2 BOB'!$B:$C,2,FALSE))</f>
        <v/>
      </c>
    </row>
    <row r="306" spans="8:8" x14ac:dyDescent="0.25">
      <c r="H306" s="23" t="str">
        <f>IF(G306="","",VLOOKUP(G306+0,'Concordance Client R2 BOB'!$B:$C,2,FALSE))</f>
        <v/>
      </c>
    </row>
    <row r="307" spans="8:8" x14ac:dyDescent="0.25">
      <c r="H307" s="23" t="str">
        <f>IF(G307="","",VLOOKUP(G307+0,'Concordance Client R2 BOB'!$B:$C,2,FALSE))</f>
        <v/>
      </c>
    </row>
    <row r="308" spans="8:8" x14ac:dyDescent="0.25">
      <c r="H308" s="23" t="str">
        <f>IF(G308="","",VLOOKUP(G308+0,'Concordance Client R2 BOB'!$B:$C,2,FALSE))</f>
        <v/>
      </c>
    </row>
    <row r="309" spans="8:8" x14ac:dyDescent="0.25">
      <c r="H309" s="23" t="str">
        <f>IF(G309="","",VLOOKUP(G309+0,'Concordance Client R2 BOB'!$B:$C,2,FALSE))</f>
        <v/>
      </c>
    </row>
    <row r="310" spans="8:8" x14ac:dyDescent="0.25">
      <c r="H310" s="23" t="str">
        <f>IF(G310="","",VLOOKUP(G310+0,'Concordance Client R2 BOB'!$B:$C,2,FALSE))</f>
        <v/>
      </c>
    </row>
    <row r="311" spans="8:8" x14ac:dyDescent="0.25">
      <c r="H311" s="23" t="str">
        <f>IF(G311="","",VLOOKUP(G311+0,'Concordance Client R2 BOB'!$B:$C,2,FALSE))</f>
        <v/>
      </c>
    </row>
    <row r="312" spans="8:8" x14ac:dyDescent="0.25">
      <c r="H312" s="23" t="str">
        <f>IF(G312="","",VLOOKUP(G312+0,'Concordance Client R2 BOB'!$B:$C,2,FALSE))</f>
        <v/>
      </c>
    </row>
    <row r="313" spans="8:8" x14ac:dyDescent="0.25">
      <c r="H313" s="23" t="str">
        <f>IF(G313="","",VLOOKUP(G313+0,'Concordance Client R2 BOB'!$B:$C,2,FALSE))</f>
        <v/>
      </c>
    </row>
    <row r="314" spans="8:8" x14ac:dyDescent="0.25">
      <c r="H314" s="23" t="str">
        <f>IF(G314="","",VLOOKUP(G314+0,'Concordance Client R2 BOB'!$B:$C,2,FALSE))</f>
        <v/>
      </c>
    </row>
    <row r="315" spans="8:8" x14ac:dyDescent="0.25">
      <c r="H315" s="23" t="str">
        <f>IF(G315="","",VLOOKUP(G315+0,'Concordance Client R2 BOB'!$B:$C,2,FALSE))</f>
        <v/>
      </c>
    </row>
    <row r="316" spans="8:8" x14ac:dyDescent="0.25">
      <c r="H316" s="23" t="str">
        <f>IF(G316="","",VLOOKUP(G316+0,'Concordance Client R2 BOB'!$B:$C,2,FALSE))</f>
        <v/>
      </c>
    </row>
    <row r="317" spans="8:8" x14ac:dyDescent="0.25">
      <c r="H317" s="23" t="str">
        <f>IF(G317="","",VLOOKUP(G317+0,'Concordance Client R2 BOB'!$B:$C,2,FALSE))</f>
        <v/>
      </c>
    </row>
    <row r="318" spans="8:8" x14ac:dyDescent="0.25">
      <c r="H318" s="23" t="str">
        <f>IF(G318="","",VLOOKUP(G318+0,'Concordance Client R2 BOB'!$B:$C,2,FALSE))</f>
        <v/>
      </c>
    </row>
    <row r="319" spans="8:8" x14ac:dyDescent="0.25">
      <c r="H319" s="23" t="str">
        <f>IF(G319="","",VLOOKUP(G319+0,'Concordance Client R2 BOB'!$B:$C,2,FALSE))</f>
        <v/>
      </c>
    </row>
    <row r="320" spans="8:8" x14ac:dyDescent="0.25">
      <c r="H320" s="23" t="str">
        <f>IF(G320="","",VLOOKUP(G320+0,'Concordance Client R2 BOB'!$B:$C,2,FALSE))</f>
        <v/>
      </c>
    </row>
    <row r="321" spans="8:8" x14ac:dyDescent="0.25">
      <c r="H321" s="23" t="str">
        <f>IF(G321="","",VLOOKUP(G321+0,'Concordance Client R2 BOB'!$B:$C,2,FALSE))</f>
        <v/>
      </c>
    </row>
    <row r="322" spans="8:8" x14ac:dyDescent="0.25">
      <c r="H322" s="23" t="str">
        <f>IF(G322="","",VLOOKUP(G322+0,'Concordance Client R2 BOB'!$B:$C,2,FALSE))</f>
        <v/>
      </c>
    </row>
    <row r="323" spans="8:8" x14ac:dyDescent="0.25">
      <c r="H323" s="23" t="str">
        <f>IF(G323="","",VLOOKUP(G323+0,'Concordance Client R2 BOB'!$B:$C,2,FALSE))</f>
        <v/>
      </c>
    </row>
    <row r="324" spans="8:8" x14ac:dyDescent="0.25">
      <c r="H324" s="23" t="str">
        <f>IF(G324="","",VLOOKUP(G324+0,'Concordance Client R2 BOB'!$B:$C,2,FALSE))</f>
        <v/>
      </c>
    </row>
    <row r="325" spans="8:8" x14ac:dyDescent="0.25">
      <c r="H325" s="23" t="str">
        <f>IF(G325="","",VLOOKUP(G325+0,'Concordance Client R2 BOB'!$B:$C,2,FALSE))</f>
        <v/>
      </c>
    </row>
    <row r="326" spans="8:8" x14ac:dyDescent="0.25">
      <c r="H326" s="23" t="str">
        <f>IF(G326="","",VLOOKUP(G326+0,'Concordance Client R2 BOB'!$B:$C,2,FALSE))</f>
        <v/>
      </c>
    </row>
    <row r="327" spans="8:8" x14ac:dyDescent="0.25">
      <c r="H327" s="23" t="str">
        <f>IF(G327="","",VLOOKUP(G327+0,'Concordance Client R2 BOB'!$B:$C,2,FALSE))</f>
        <v/>
      </c>
    </row>
    <row r="328" spans="8:8" x14ac:dyDescent="0.25">
      <c r="H328" s="23" t="str">
        <f>IF(G328="","",VLOOKUP(G328+0,'Concordance Client R2 BOB'!$B:$C,2,FALSE))</f>
        <v/>
      </c>
    </row>
    <row r="329" spans="8:8" x14ac:dyDescent="0.25">
      <c r="H329" s="23" t="str">
        <f>IF(G329="","",VLOOKUP(G329+0,'Concordance Client R2 BOB'!$B:$C,2,FALSE))</f>
        <v/>
      </c>
    </row>
    <row r="330" spans="8:8" x14ac:dyDescent="0.25">
      <c r="H330" s="23" t="str">
        <f>IF(G330="","",VLOOKUP(G330+0,'Concordance Client R2 BOB'!$B:$C,2,FALSE))</f>
        <v/>
      </c>
    </row>
    <row r="331" spans="8:8" x14ac:dyDescent="0.25">
      <c r="H331" s="23" t="str">
        <f>IF(G331="","",VLOOKUP(G331+0,'Concordance Client R2 BOB'!$B:$C,2,FALSE))</f>
        <v/>
      </c>
    </row>
    <row r="332" spans="8:8" x14ac:dyDescent="0.25">
      <c r="H332" s="23" t="str">
        <f>IF(G332="","",VLOOKUP(G332+0,'Concordance Client R2 BOB'!$B:$C,2,FALSE))</f>
        <v/>
      </c>
    </row>
    <row r="333" spans="8:8" x14ac:dyDescent="0.25">
      <c r="H333" s="23" t="str">
        <f>IF(G333="","",VLOOKUP(G333+0,'Concordance Client R2 BOB'!$B:$C,2,FALSE))</f>
        <v/>
      </c>
    </row>
    <row r="334" spans="8:8" x14ac:dyDescent="0.25">
      <c r="H334" s="23" t="str">
        <f>IF(G334="","",VLOOKUP(G334+0,'Concordance Client R2 BOB'!$B:$C,2,FALSE))</f>
        <v/>
      </c>
    </row>
    <row r="335" spans="8:8" x14ac:dyDescent="0.25">
      <c r="H335" s="23" t="str">
        <f>IF(G335="","",VLOOKUP(G335+0,'Concordance Client R2 BOB'!$B:$C,2,FALSE))</f>
        <v/>
      </c>
    </row>
    <row r="336" spans="8:8" x14ac:dyDescent="0.25">
      <c r="H336" s="23" t="str">
        <f>IF(G336="","",VLOOKUP(G336+0,'Concordance Client R2 BOB'!$B:$C,2,FALSE))</f>
        <v/>
      </c>
    </row>
    <row r="337" spans="8:8" x14ac:dyDescent="0.25">
      <c r="H337" s="23" t="str">
        <f>IF(G337="","",VLOOKUP(G337+0,'Concordance Client R2 BOB'!$B:$C,2,FALSE))</f>
        <v/>
      </c>
    </row>
    <row r="338" spans="8:8" x14ac:dyDescent="0.25">
      <c r="H338" s="23" t="str">
        <f>IF(G338="","",VLOOKUP(G338+0,'Concordance Client R2 BOB'!$B:$C,2,FALSE))</f>
        <v/>
      </c>
    </row>
    <row r="339" spans="8:8" x14ac:dyDescent="0.25">
      <c r="H339" s="23" t="str">
        <f>IF(G339="","",VLOOKUP(G339+0,'Concordance Client R2 BOB'!$B:$C,2,FALSE))</f>
        <v/>
      </c>
    </row>
    <row r="340" spans="8:8" x14ac:dyDescent="0.25">
      <c r="H340" s="23" t="str">
        <f>IF(G340="","",VLOOKUP(G340+0,'Concordance Client R2 BOB'!$B:$C,2,FALSE))</f>
        <v/>
      </c>
    </row>
    <row r="341" spans="8:8" x14ac:dyDescent="0.25">
      <c r="H341" s="23" t="str">
        <f>IF(G341="","",VLOOKUP(G341+0,'Concordance Client R2 BOB'!$B:$C,2,FALSE))</f>
        <v/>
      </c>
    </row>
    <row r="342" spans="8:8" x14ac:dyDescent="0.25">
      <c r="H342" s="23" t="str">
        <f>IF(G342="","",VLOOKUP(G342+0,'Concordance Client R2 BOB'!$B:$C,2,FALSE))</f>
        <v/>
      </c>
    </row>
    <row r="343" spans="8:8" x14ac:dyDescent="0.25">
      <c r="H343" s="23" t="str">
        <f>IF(G343="","",VLOOKUP(G343+0,'Concordance Client R2 BOB'!$B:$C,2,FALSE))</f>
        <v/>
      </c>
    </row>
    <row r="344" spans="8:8" x14ac:dyDescent="0.25">
      <c r="H344" s="23" t="str">
        <f>IF(G344="","",VLOOKUP(G344+0,'Concordance Client R2 BOB'!$B:$C,2,FALSE))</f>
        <v/>
      </c>
    </row>
    <row r="345" spans="8:8" x14ac:dyDescent="0.25">
      <c r="H345" s="23" t="str">
        <f>IF(G345="","",VLOOKUP(G345+0,'Concordance Client R2 BOB'!$B:$C,2,FALSE))</f>
        <v/>
      </c>
    </row>
    <row r="346" spans="8:8" x14ac:dyDescent="0.25">
      <c r="H346" s="23" t="str">
        <f>IF(G346="","",VLOOKUP(G346+0,'Concordance Client R2 BOB'!$B:$C,2,FALSE))</f>
        <v/>
      </c>
    </row>
    <row r="347" spans="8:8" x14ac:dyDescent="0.25">
      <c r="H347" s="23" t="str">
        <f>IF(G347="","",VLOOKUP(G347+0,'Concordance Client R2 BOB'!$B:$C,2,FALSE))</f>
        <v/>
      </c>
    </row>
    <row r="348" spans="8:8" x14ac:dyDescent="0.25">
      <c r="H348" s="23" t="str">
        <f>IF(G348="","",VLOOKUP(G348+0,'Concordance Client R2 BOB'!$B:$C,2,FALSE))</f>
        <v/>
      </c>
    </row>
    <row r="349" spans="8:8" x14ac:dyDescent="0.25">
      <c r="H349" s="23" t="str">
        <f>IF(G349="","",VLOOKUP(G349+0,'Concordance Client R2 BOB'!$B:$C,2,FALSE))</f>
        <v/>
      </c>
    </row>
    <row r="350" spans="8:8" x14ac:dyDescent="0.25">
      <c r="H350" s="23" t="str">
        <f>IF(G350="","",VLOOKUP(G350+0,'Concordance Client R2 BOB'!$B:$C,2,FALSE))</f>
        <v/>
      </c>
    </row>
    <row r="351" spans="8:8" x14ac:dyDescent="0.25">
      <c r="H351" s="23" t="str">
        <f>IF(G351="","",VLOOKUP(G351+0,'Concordance Client R2 BOB'!$B:$C,2,FALSE))</f>
        <v/>
      </c>
    </row>
    <row r="352" spans="8:8" x14ac:dyDescent="0.25">
      <c r="H352" s="23" t="str">
        <f>IF(G352="","",VLOOKUP(G352+0,'Concordance Client R2 BOB'!$B:$C,2,FALSE))</f>
        <v/>
      </c>
    </row>
    <row r="353" spans="8:8" x14ac:dyDescent="0.25">
      <c r="H353" s="23" t="str">
        <f>IF(G353="","",VLOOKUP(G353+0,'Concordance Client R2 BOB'!$B:$C,2,FALSE))</f>
        <v/>
      </c>
    </row>
    <row r="354" spans="8:8" x14ac:dyDescent="0.25">
      <c r="H354" s="23" t="str">
        <f>IF(G354="","",VLOOKUP(G354+0,'Concordance Client R2 BOB'!$B:$C,2,FALSE))</f>
        <v/>
      </c>
    </row>
    <row r="355" spans="8:8" x14ac:dyDescent="0.25">
      <c r="H355" s="23" t="str">
        <f>IF(G355="","",VLOOKUP(G355+0,'Concordance Client R2 BOB'!$B:$C,2,FALSE))</f>
        <v/>
      </c>
    </row>
    <row r="356" spans="8:8" x14ac:dyDescent="0.25">
      <c r="H356" s="23" t="str">
        <f>IF(G356="","",VLOOKUP(G356+0,'Concordance Client R2 BOB'!$B:$C,2,FALSE))</f>
        <v/>
      </c>
    </row>
    <row r="357" spans="8:8" x14ac:dyDescent="0.25">
      <c r="H357" s="23" t="str">
        <f>IF(G357="","",VLOOKUP(G357+0,'Concordance Client R2 BOB'!$B:$C,2,FALSE))</f>
        <v/>
      </c>
    </row>
    <row r="358" spans="8:8" x14ac:dyDescent="0.25">
      <c r="H358" s="23" t="str">
        <f>IF(G358="","",VLOOKUP(G358+0,'Concordance Client R2 BOB'!$B:$C,2,FALSE))</f>
        <v/>
      </c>
    </row>
    <row r="359" spans="8:8" x14ac:dyDescent="0.25">
      <c r="H359" s="23" t="str">
        <f>IF(G359="","",VLOOKUP(G359+0,'Concordance Client R2 BOB'!$B:$C,2,FALSE))</f>
        <v/>
      </c>
    </row>
    <row r="360" spans="8:8" x14ac:dyDescent="0.25">
      <c r="H360" s="23" t="str">
        <f>IF(G360="","",VLOOKUP(G360+0,'Concordance Client R2 BOB'!$B:$C,2,FALSE))</f>
        <v/>
      </c>
    </row>
    <row r="361" spans="8:8" x14ac:dyDescent="0.25">
      <c r="H361" s="23" t="str">
        <f>IF(G361="","",VLOOKUP(G361+0,'Concordance Client R2 BOB'!$B:$C,2,FALSE))</f>
        <v/>
      </c>
    </row>
    <row r="362" spans="8:8" x14ac:dyDescent="0.25">
      <c r="H362" s="23" t="str">
        <f>IF(G362="","",VLOOKUP(G362+0,'Concordance Client R2 BOB'!$B:$C,2,FALSE))</f>
        <v/>
      </c>
    </row>
    <row r="363" spans="8:8" x14ac:dyDescent="0.25">
      <c r="H363" s="23" t="str">
        <f>IF(G363="","",VLOOKUP(G363+0,'Concordance Client R2 BOB'!$B:$C,2,FALSE))</f>
        <v/>
      </c>
    </row>
    <row r="364" spans="8:8" x14ac:dyDescent="0.25">
      <c r="H364" s="23" t="str">
        <f>IF(G364="","",VLOOKUP(G364+0,'Concordance Client R2 BOB'!$B:$C,2,FALSE))</f>
        <v/>
      </c>
    </row>
    <row r="365" spans="8:8" x14ac:dyDescent="0.25">
      <c r="H365" s="23" t="str">
        <f>IF(G365="","",VLOOKUP(G365+0,'Concordance Client R2 BOB'!$B:$C,2,FALSE))</f>
        <v/>
      </c>
    </row>
    <row r="366" spans="8:8" x14ac:dyDescent="0.25">
      <c r="H366" s="23" t="str">
        <f>IF(G366="","",VLOOKUP(G366+0,'Concordance Client R2 BOB'!$B:$C,2,FALSE))</f>
        <v/>
      </c>
    </row>
    <row r="367" spans="8:8" x14ac:dyDescent="0.25">
      <c r="H367" s="23" t="str">
        <f>IF(G367="","",VLOOKUP(G367+0,'Concordance Client R2 BOB'!$B:$C,2,FALSE))</f>
        <v/>
      </c>
    </row>
    <row r="368" spans="8:8" x14ac:dyDescent="0.25">
      <c r="H368" s="23" t="str">
        <f>IF(G368="","",VLOOKUP(G368+0,'Concordance Client R2 BOB'!$B:$C,2,FALSE))</f>
        <v/>
      </c>
    </row>
    <row r="369" spans="8:8" x14ac:dyDescent="0.25">
      <c r="H369" s="23" t="str">
        <f>IF(G369="","",VLOOKUP(G369+0,'Concordance Client R2 BOB'!$B:$C,2,FALSE))</f>
        <v/>
      </c>
    </row>
    <row r="370" spans="8:8" x14ac:dyDescent="0.25">
      <c r="H370" s="23" t="str">
        <f>IF(G370="","",VLOOKUP(G370+0,'Concordance Client R2 BOB'!$B:$C,2,FALSE))</f>
        <v/>
      </c>
    </row>
    <row r="371" spans="8:8" x14ac:dyDescent="0.25">
      <c r="H371" s="23" t="str">
        <f>IF(G371="","",VLOOKUP(G371+0,'Concordance Client R2 BOB'!$B:$C,2,FALSE))</f>
        <v/>
      </c>
    </row>
    <row r="372" spans="8:8" x14ac:dyDescent="0.25">
      <c r="H372" s="23" t="str">
        <f>IF(G372="","",VLOOKUP(G372+0,'Concordance Client R2 BOB'!$B:$C,2,FALSE))</f>
        <v/>
      </c>
    </row>
    <row r="373" spans="8:8" x14ac:dyDescent="0.25">
      <c r="H373" s="23" t="str">
        <f>IF(G373="","",VLOOKUP(G373+0,'Concordance Client R2 BOB'!$B:$C,2,FALSE))</f>
        <v/>
      </c>
    </row>
    <row r="374" spans="8:8" x14ac:dyDescent="0.25">
      <c r="H374" s="23" t="str">
        <f>IF(G374="","",VLOOKUP(G374+0,'Concordance Client R2 BOB'!$B:$C,2,FALSE))</f>
        <v/>
      </c>
    </row>
    <row r="375" spans="8:8" x14ac:dyDescent="0.25">
      <c r="H375" s="23" t="str">
        <f>IF(G375="","",VLOOKUP(G375+0,'Concordance Client R2 BOB'!$B:$C,2,FALSE))</f>
        <v/>
      </c>
    </row>
    <row r="376" spans="8:8" x14ac:dyDescent="0.25">
      <c r="H376" s="23" t="str">
        <f>IF(G376="","",VLOOKUP(G376+0,'Concordance Client R2 BOB'!$B:$C,2,FALSE))</f>
        <v/>
      </c>
    </row>
    <row r="377" spans="8:8" x14ac:dyDescent="0.25">
      <c r="H377" s="23" t="str">
        <f>IF(G377="","",VLOOKUP(G377+0,'Concordance Client R2 BOB'!$B:$C,2,FALSE))</f>
        <v/>
      </c>
    </row>
    <row r="378" spans="8:8" x14ac:dyDescent="0.25">
      <c r="H378" s="23" t="str">
        <f>IF(G378="","",VLOOKUP(G378+0,'Concordance Client R2 BOB'!$B:$C,2,FALSE))</f>
        <v/>
      </c>
    </row>
    <row r="379" spans="8:8" x14ac:dyDescent="0.25">
      <c r="H379" s="23" t="str">
        <f>IF(G379="","",VLOOKUP(G379+0,'Concordance Client R2 BOB'!$B:$C,2,FALSE))</f>
        <v/>
      </c>
    </row>
    <row r="380" spans="8:8" x14ac:dyDescent="0.25">
      <c r="H380" s="23" t="str">
        <f>IF(G380="","",VLOOKUP(G380+0,'Concordance Client R2 BOB'!$B:$C,2,FALSE))</f>
        <v/>
      </c>
    </row>
    <row r="381" spans="8:8" x14ac:dyDescent="0.25">
      <c r="H381" s="23" t="str">
        <f>IF(G381="","",VLOOKUP(G381+0,'Concordance Client R2 BOB'!$B:$C,2,FALSE))</f>
        <v/>
      </c>
    </row>
    <row r="382" spans="8:8" x14ac:dyDescent="0.25">
      <c r="H382" s="23" t="str">
        <f>IF(G382="","",VLOOKUP(G382+0,'Concordance Client R2 BOB'!$B:$C,2,FALSE))</f>
        <v/>
      </c>
    </row>
    <row r="383" spans="8:8" x14ac:dyDescent="0.25">
      <c r="H383" s="23" t="str">
        <f>IF(G383="","",VLOOKUP(G383+0,'Concordance Client R2 BOB'!$B:$C,2,FALSE))</f>
        <v/>
      </c>
    </row>
    <row r="384" spans="8:8" x14ac:dyDescent="0.25">
      <c r="H384" s="23" t="str">
        <f>IF(G384="","",VLOOKUP(G384+0,'Concordance Client R2 BOB'!$B:$C,2,FALSE))</f>
        <v/>
      </c>
    </row>
    <row r="385" spans="8:8" x14ac:dyDescent="0.25">
      <c r="H385" s="23" t="str">
        <f>IF(G385="","",VLOOKUP(G385+0,'Concordance Client R2 BOB'!$B:$C,2,FALSE))</f>
        <v/>
      </c>
    </row>
    <row r="386" spans="8:8" x14ac:dyDescent="0.25">
      <c r="H386" s="23" t="str">
        <f>IF(G386="","",VLOOKUP(G386+0,'Concordance Client R2 BOB'!$B:$C,2,FALSE))</f>
        <v/>
      </c>
    </row>
    <row r="387" spans="8:8" x14ac:dyDescent="0.25">
      <c r="H387" s="23" t="str">
        <f>IF(G387="","",VLOOKUP(G387+0,'Concordance Client R2 BOB'!$B:$C,2,FALSE))</f>
        <v/>
      </c>
    </row>
    <row r="388" spans="8:8" x14ac:dyDescent="0.25">
      <c r="H388" s="23" t="str">
        <f>IF(G388="","",VLOOKUP(G388+0,'Concordance Client R2 BOB'!$B:$C,2,FALSE))</f>
        <v/>
      </c>
    </row>
    <row r="389" spans="8:8" x14ac:dyDescent="0.25">
      <c r="H389" s="23" t="str">
        <f>IF(G389="","",VLOOKUP(G389+0,'Concordance Client R2 BOB'!$B:$C,2,FALSE))</f>
        <v/>
      </c>
    </row>
    <row r="390" spans="8:8" x14ac:dyDescent="0.25">
      <c r="H390" s="23" t="str">
        <f>IF(G390="","",VLOOKUP(G390+0,'Concordance Client R2 BOB'!$B:$C,2,FALSE))</f>
        <v/>
      </c>
    </row>
    <row r="391" spans="8:8" x14ac:dyDescent="0.25">
      <c r="H391" s="23" t="str">
        <f>IF(G391="","",VLOOKUP(G391+0,'Concordance Client R2 BOB'!$B:$C,2,FALSE))</f>
        <v/>
      </c>
    </row>
    <row r="392" spans="8:8" x14ac:dyDescent="0.25">
      <c r="H392" s="23" t="str">
        <f>IF(G392="","",VLOOKUP(G392+0,'Concordance Client R2 BOB'!$B:$C,2,FALSE))</f>
        <v/>
      </c>
    </row>
    <row r="393" spans="8:8" x14ac:dyDescent="0.25">
      <c r="H393" s="23" t="str">
        <f>IF(G393="","",VLOOKUP(G393+0,'Concordance Client R2 BOB'!$B:$C,2,FALSE))</f>
        <v/>
      </c>
    </row>
    <row r="394" spans="8:8" x14ac:dyDescent="0.25">
      <c r="H394" s="23" t="str">
        <f>IF(G394="","",VLOOKUP(G394+0,'Concordance Client R2 BOB'!$B:$C,2,FALSE))</f>
        <v/>
      </c>
    </row>
    <row r="395" spans="8:8" x14ac:dyDescent="0.25">
      <c r="H395" s="23" t="str">
        <f>IF(G395="","",VLOOKUP(G395+0,'Concordance Client R2 BOB'!$B:$C,2,FALSE))</f>
        <v/>
      </c>
    </row>
    <row r="396" spans="8:8" x14ac:dyDescent="0.25">
      <c r="H396" s="23" t="str">
        <f>IF(G396="","",VLOOKUP(G396+0,'Concordance Client R2 BOB'!$B:$C,2,FALSE))</f>
        <v/>
      </c>
    </row>
    <row r="397" spans="8:8" x14ac:dyDescent="0.25">
      <c r="H397" s="23" t="str">
        <f>IF(G397="","",VLOOKUP(G397+0,'Concordance Client R2 BOB'!$B:$C,2,FALSE))</f>
        <v/>
      </c>
    </row>
    <row r="398" spans="8:8" x14ac:dyDescent="0.25">
      <c r="H398" s="23" t="str">
        <f>IF(G398="","",VLOOKUP(G398+0,'Concordance Client R2 BOB'!$B:$C,2,FALSE))</f>
        <v/>
      </c>
    </row>
    <row r="399" spans="8:8" x14ac:dyDescent="0.25">
      <c r="H399" s="23" t="str">
        <f>IF(G399="","",VLOOKUP(G399+0,'Concordance Client R2 BOB'!$B:$C,2,FALSE))</f>
        <v/>
      </c>
    </row>
    <row r="400" spans="8:8" x14ac:dyDescent="0.25">
      <c r="H400" s="23" t="str">
        <f>IF(G400="","",VLOOKUP(G400+0,'Concordance Client R2 BOB'!$B:$C,2,FALSE))</f>
        <v/>
      </c>
    </row>
    <row r="401" spans="8:8" x14ac:dyDescent="0.25">
      <c r="H401" s="23" t="str">
        <f>IF(G401="","",VLOOKUP(G401+0,'Concordance Client R2 BOB'!$B:$C,2,FALSE))</f>
        <v/>
      </c>
    </row>
    <row r="402" spans="8:8" x14ac:dyDescent="0.25">
      <c r="H402" s="23" t="str">
        <f>IF(G402="","",VLOOKUP(G402+0,'Concordance Client R2 BOB'!$B:$C,2,FALSE))</f>
        <v/>
      </c>
    </row>
    <row r="403" spans="8:8" x14ac:dyDescent="0.25">
      <c r="H403" s="23" t="str">
        <f>IF(G403="","",VLOOKUP(G403+0,'Concordance Client R2 BOB'!$B:$C,2,FALSE))</f>
        <v/>
      </c>
    </row>
    <row r="404" spans="8:8" x14ac:dyDescent="0.25">
      <c r="H404" s="23" t="str">
        <f>IF(G404="","",VLOOKUP(G404+0,'Concordance Client R2 BOB'!$B:$C,2,FALSE))</f>
        <v/>
      </c>
    </row>
    <row r="405" spans="8:8" x14ac:dyDescent="0.25">
      <c r="H405" s="23" t="str">
        <f>IF(G405="","",VLOOKUP(G405+0,'Concordance Client R2 BOB'!$B:$C,2,FALSE))</f>
        <v/>
      </c>
    </row>
    <row r="406" spans="8:8" x14ac:dyDescent="0.25">
      <c r="H406" s="23" t="str">
        <f>IF(G406="","",VLOOKUP(G406+0,'Concordance Client R2 BOB'!$B:$C,2,FALSE))</f>
        <v/>
      </c>
    </row>
    <row r="407" spans="8:8" x14ac:dyDescent="0.25">
      <c r="H407" s="23" t="str">
        <f>IF(G407="","",VLOOKUP(G407+0,'Concordance Client R2 BOB'!$B:$C,2,FALSE))</f>
        <v/>
      </c>
    </row>
    <row r="408" spans="8:8" x14ac:dyDescent="0.25">
      <c r="H408" s="23" t="str">
        <f>IF(G408="","",VLOOKUP(G408+0,'Concordance Client R2 BOB'!$B:$C,2,FALSE))</f>
        <v/>
      </c>
    </row>
    <row r="409" spans="8:8" x14ac:dyDescent="0.25">
      <c r="H409" s="23" t="str">
        <f>IF(G409="","",VLOOKUP(G409+0,'Concordance Client R2 BOB'!$B:$C,2,FALSE))</f>
        <v/>
      </c>
    </row>
    <row r="410" spans="8:8" x14ac:dyDescent="0.25">
      <c r="H410" s="23" t="str">
        <f>IF(G410="","",VLOOKUP(G410+0,'Concordance Client R2 BOB'!$B:$C,2,FALSE))</f>
        <v/>
      </c>
    </row>
    <row r="411" spans="8:8" x14ac:dyDescent="0.25">
      <c r="H411" s="23" t="str">
        <f>IF(G411="","",VLOOKUP(G411+0,'Concordance Client R2 BOB'!$B:$C,2,FALSE))</f>
        <v/>
      </c>
    </row>
    <row r="412" spans="8:8" x14ac:dyDescent="0.25">
      <c r="H412" s="23" t="str">
        <f>IF(G412="","",VLOOKUP(G412+0,'Concordance Client R2 BOB'!$B:$C,2,FALSE))</f>
        <v/>
      </c>
    </row>
    <row r="413" spans="8:8" x14ac:dyDescent="0.25">
      <c r="H413" s="23" t="str">
        <f>IF(G413="","",VLOOKUP(G413+0,'Concordance Client R2 BOB'!$B:$C,2,FALSE))</f>
        <v/>
      </c>
    </row>
    <row r="414" spans="8:8" x14ac:dyDescent="0.25">
      <c r="H414" s="23" t="str">
        <f>IF(G414="","",VLOOKUP(G414+0,'Concordance Client R2 BOB'!$B:$C,2,FALSE))</f>
        <v/>
      </c>
    </row>
    <row r="415" spans="8:8" x14ac:dyDescent="0.25">
      <c r="H415" s="23" t="str">
        <f>IF(G415="","",VLOOKUP(G415+0,'Concordance Client R2 BOB'!$B:$C,2,FALSE))</f>
        <v/>
      </c>
    </row>
    <row r="416" spans="8:8" x14ac:dyDescent="0.25">
      <c r="H416" s="23" t="str">
        <f>IF(G416="","",VLOOKUP(G416+0,'Concordance Client R2 BOB'!$B:$C,2,FALSE))</f>
        <v/>
      </c>
    </row>
    <row r="417" spans="8:8" x14ac:dyDescent="0.25">
      <c r="H417" s="23" t="str">
        <f>IF(G417="","",VLOOKUP(G417+0,'Concordance Client R2 BOB'!$B:$C,2,FALSE))</f>
        <v/>
      </c>
    </row>
    <row r="418" spans="8:8" x14ac:dyDescent="0.25">
      <c r="H418" s="23" t="str">
        <f>IF(G418="","",VLOOKUP(G418+0,'Concordance Client R2 BOB'!$B:$C,2,FALSE))</f>
        <v/>
      </c>
    </row>
    <row r="419" spans="8:8" x14ac:dyDescent="0.25">
      <c r="H419" s="23" t="str">
        <f>IF(G419="","",VLOOKUP(G419+0,'Concordance Client R2 BOB'!$B:$C,2,FALSE))</f>
        <v/>
      </c>
    </row>
    <row r="420" spans="8:8" x14ac:dyDescent="0.25">
      <c r="H420" s="23" t="str">
        <f>IF(G420="","",VLOOKUP(G420+0,'Concordance Client R2 BOB'!$B:$C,2,FALSE))</f>
        <v/>
      </c>
    </row>
    <row r="421" spans="8:8" x14ac:dyDescent="0.25">
      <c r="H421" s="23" t="str">
        <f>IF(G421="","",VLOOKUP(G421+0,'Concordance Client R2 BOB'!$B:$C,2,FALSE))</f>
        <v/>
      </c>
    </row>
    <row r="422" spans="8:8" x14ac:dyDescent="0.25">
      <c r="H422" s="23" t="str">
        <f>IF(G422="","",VLOOKUP(G422+0,'Concordance Client R2 BOB'!$B:$C,2,FALSE))</f>
        <v/>
      </c>
    </row>
    <row r="423" spans="8:8" x14ac:dyDescent="0.25">
      <c r="H423" s="23" t="str">
        <f>IF(G423="","",VLOOKUP(G423+0,'Concordance Client R2 BOB'!$B:$C,2,FALSE))</f>
        <v/>
      </c>
    </row>
    <row r="424" spans="8:8" x14ac:dyDescent="0.25">
      <c r="H424" s="23" t="str">
        <f>IF(G424="","",VLOOKUP(G424+0,'Concordance Client R2 BOB'!$B:$C,2,FALSE))</f>
        <v/>
      </c>
    </row>
    <row r="425" spans="8:8" x14ac:dyDescent="0.25">
      <c r="H425" s="23" t="str">
        <f>IF(G425="","",VLOOKUP(G425+0,'Concordance Client R2 BOB'!$B:$C,2,FALSE))</f>
        <v/>
      </c>
    </row>
    <row r="426" spans="8:8" x14ac:dyDescent="0.25">
      <c r="H426" s="23" t="str">
        <f>IF(G426="","",VLOOKUP(G426+0,'Concordance Client R2 BOB'!$B:$C,2,FALSE))</f>
        <v/>
      </c>
    </row>
    <row r="427" spans="8:8" x14ac:dyDescent="0.25">
      <c r="H427" s="23" t="str">
        <f>IF(G427="","",VLOOKUP(G427+0,'Concordance Client R2 BOB'!$B:$C,2,FALSE))</f>
        <v/>
      </c>
    </row>
    <row r="428" spans="8:8" x14ac:dyDescent="0.25">
      <c r="H428" s="23" t="str">
        <f>IF(G428="","",VLOOKUP(G428+0,'Concordance Client R2 BOB'!$B:$C,2,FALSE))</f>
        <v/>
      </c>
    </row>
    <row r="429" spans="8:8" x14ac:dyDescent="0.25">
      <c r="H429" s="23" t="str">
        <f>IF(G429="","",VLOOKUP(G429+0,'Concordance Client R2 BOB'!$B:$C,2,FALSE))</f>
        <v/>
      </c>
    </row>
    <row r="430" spans="8:8" x14ac:dyDescent="0.25">
      <c r="H430" s="23" t="str">
        <f>IF(G430="","",VLOOKUP(G430+0,'Concordance Client R2 BOB'!$B:$C,2,FALSE))</f>
        <v/>
      </c>
    </row>
    <row r="431" spans="8:8" x14ac:dyDescent="0.25">
      <c r="H431" s="23" t="str">
        <f>IF(G431="","",VLOOKUP(G431+0,'Concordance Client R2 BOB'!$B:$C,2,FALSE))</f>
        <v/>
      </c>
    </row>
    <row r="432" spans="8:8" x14ac:dyDescent="0.25">
      <c r="H432" s="23" t="str">
        <f>IF(G432="","",VLOOKUP(G432+0,'Concordance Client R2 BOB'!$B:$C,2,FALSE))</f>
        <v/>
      </c>
    </row>
    <row r="433" spans="8:8" x14ac:dyDescent="0.25">
      <c r="H433" s="23" t="str">
        <f>IF(G433="","",VLOOKUP(G433+0,'Concordance Client R2 BOB'!$B:$C,2,FALSE))</f>
        <v/>
      </c>
    </row>
    <row r="434" spans="8:8" x14ac:dyDescent="0.25">
      <c r="H434" s="23" t="str">
        <f>IF(G434="","",VLOOKUP(G434+0,'Concordance Client R2 BOB'!$B:$C,2,FALSE))</f>
        <v/>
      </c>
    </row>
    <row r="435" spans="8:8" x14ac:dyDescent="0.25">
      <c r="H435" s="23" t="str">
        <f>IF(G435="","",VLOOKUP(G435+0,'Concordance Client R2 BOB'!$B:$C,2,FALSE))</f>
        <v/>
      </c>
    </row>
    <row r="436" spans="8:8" x14ac:dyDescent="0.25">
      <c r="H436" s="23" t="str">
        <f>IF(G436="","",VLOOKUP(G436+0,'Concordance Client R2 BOB'!$B:$C,2,FALSE))</f>
        <v/>
      </c>
    </row>
    <row r="437" spans="8:8" x14ac:dyDescent="0.25">
      <c r="H437" s="23" t="str">
        <f>IF(G437="","",VLOOKUP(G437+0,'Concordance Client R2 BOB'!$B:$C,2,FALSE))</f>
        <v/>
      </c>
    </row>
    <row r="438" spans="8:8" x14ac:dyDescent="0.25">
      <c r="H438" s="23" t="str">
        <f>IF(G438="","",VLOOKUP(G438+0,'Concordance Client R2 BOB'!$B:$C,2,FALSE))</f>
        <v/>
      </c>
    </row>
    <row r="439" spans="8:8" x14ac:dyDescent="0.25">
      <c r="H439" s="23" t="str">
        <f>IF(G439="","",VLOOKUP(G439+0,'Concordance Client R2 BOB'!$B:$C,2,FALSE))</f>
        <v/>
      </c>
    </row>
    <row r="440" spans="8:8" x14ac:dyDescent="0.25">
      <c r="H440" s="23" t="str">
        <f>IF(G440="","",VLOOKUP(G440+0,'Concordance Client R2 BOB'!$B:$C,2,FALSE))</f>
        <v/>
      </c>
    </row>
    <row r="441" spans="8:8" x14ac:dyDescent="0.25">
      <c r="H441" s="23" t="str">
        <f>IF(G441="","",VLOOKUP(G441+0,'Concordance Client R2 BOB'!$B:$C,2,FALSE))</f>
        <v/>
      </c>
    </row>
    <row r="442" spans="8:8" x14ac:dyDescent="0.25">
      <c r="H442" s="23" t="str">
        <f>IF(G442="","",VLOOKUP(G442+0,'Concordance Client R2 BOB'!$B:$C,2,FALSE))</f>
        <v/>
      </c>
    </row>
    <row r="443" spans="8:8" x14ac:dyDescent="0.25">
      <c r="H443" s="23" t="str">
        <f>IF(G443="","",VLOOKUP(G443+0,'Concordance Client R2 BOB'!$B:$C,2,FALSE))</f>
        <v/>
      </c>
    </row>
    <row r="444" spans="8:8" x14ac:dyDescent="0.25">
      <c r="H444" s="23" t="str">
        <f>IF(G444="","",VLOOKUP(G444+0,'Concordance Client R2 BOB'!$B:$C,2,FALSE))</f>
        <v/>
      </c>
    </row>
    <row r="445" spans="8:8" x14ac:dyDescent="0.25">
      <c r="H445" s="23" t="str">
        <f>IF(G445="","",VLOOKUP(G445+0,'Concordance Client R2 BOB'!$B:$C,2,FALSE))</f>
        <v/>
      </c>
    </row>
    <row r="446" spans="8:8" x14ac:dyDescent="0.25">
      <c r="H446" s="23" t="str">
        <f>IF(G446="","",VLOOKUP(G446+0,'Concordance Client R2 BOB'!$B:$C,2,FALSE))</f>
        <v/>
      </c>
    </row>
    <row r="447" spans="8:8" x14ac:dyDescent="0.25">
      <c r="H447" s="23" t="str">
        <f>IF(G447="","",VLOOKUP(G447+0,'Concordance Client R2 BOB'!$B:$C,2,FALSE))</f>
        <v/>
      </c>
    </row>
    <row r="448" spans="8:8" x14ac:dyDescent="0.25">
      <c r="H448" s="23" t="str">
        <f>IF(G448="","",VLOOKUP(G448+0,'Concordance Client R2 BOB'!$B:$C,2,FALSE))</f>
        <v/>
      </c>
    </row>
    <row r="449" spans="8:8" x14ac:dyDescent="0.25">
      <c r="H449" s="23" t="str">
        <f>IF(G449="","",VLOOKUP(G449+0,'Concordance Client R2 BOB'!$B:$C,2,FALSE))</f>
        <v/>
      </c>
    </row>
    <row r="450" spans="8:8" x14ac:dyDescent="0.25">
      <c r="H450" s="23" t="str">
        <f>IF(G450="","",VLOOKUP(G450+0,'Concordance Client R2 BOB'!$B:$C,2,FALSE))</f>
        <v/>
      </c>
    </row>
    <row r="451" spans="8:8" x14ac:dyDescent="0.25">
      <c r="H451" s="23" t="str">
        <f>IF(G451="","",VLOOKUP(G451+0,'Concordance Client R2 BOB'!$B:$C,2,FALSE))</f>
        <v/>
      </c>
    </row>
    <row r="452" spans="8:8" x14ac:dyDescent="0.25">
      <c r="H452" s="23" t="str">
        <f>IF(G452="","",VLOOKUP(G452+0,'Concordance Client R2 BOB'!$B:$C,2,FALSE))</f>
        <v/>
      </c>
    </row>
    <row r="453" spans="8:8" x14ac:dyDescent="0.25">
      <c r="H453" s="23" t="str">
        <f>IF(G453="","",VLOOKUP(G453+0,'Concordance Client R2 BOB'!$B:$C,2,FALSE))</f>
        <v/>
      </c>
    </row>
    <row r="454" spans="8:8" x14ac:dyDescent="0.25">
      <c r="H454" s="23" t="str">
        <f>IF(G454="","",VLOOKUP(G454+0,'Concordance Client R2 BOB'!$B:$C,2,FALSE))</f>
        <v/>
      </c>
    </row>
    <row r="455" spans="8:8" x14ac:dyDescent="0.25">
      <c r="H455" s="23" t="str">
        <f>IF(G455="","",VLOOKUP(G455+0,'Concordance Client R2 BOB'!$B:$C,2,FALSE))</f>
        <v/>
      </c>
    </row>
    <row r="456" spans="8:8" x14ac:dyDescent="0.25">
      <c r="H456" s="23" t="str">
        <f>IF(G456="","",VLOOKUP(G456+0,'Concordance Client R2 BOB'!$B:$C,2,FALSE))</f>
        <v/>
      </c>
    </row>
    <row r="457" spans="8:8" x14ac:dyDescent="0.25">
      <c r="H457" s="23" t="str">
        <f>IF(G457="","",VLOOKUP(G457+0,'Concordance Client R2 BOB'!$B:$C,2,FALSE))</f>
        <v/>
      </c>
    </row>
    <row r="458" spans="8:8" x14ac:dyDescent="0.25">
      <c r="H458" s="23" t="str">
        <f>IF(G458="","",VLOOKUP(G458+0,'Concordance Client R2 BOB'!$B:$C,2,FALSE))</f>
        <v/>
      </c>
    </row>
    <row r="459" spans="8:8" x14ac:dyDescent="0.25">
      <c r="H459" s="23" t="str">
        <f>IF(G459="","",VLOOKUP(G459+0,'Concordance Client R2 BOB'!$B:$C,2,FALSE))</f>
        <v/>
      </c>
    </row>
    <row r="460" spans="8:8" x14ac:dyDescent="0.25">
      <c r="H460" s="23" t="str">
        <f>IF(G460="","",VLOOKUP(G460+0,'Concordance Client R2 BOB'!$B:$C,2,FALSE))</f>
        <v/>
      </c>
    </row>
    <row r="461" spans="8:8" x14ac:dyDescent="0.25">
      <c r="H461" s="23" t="str">
        <f>IF(G461="","",VLOOKUP(G461+0,'Concordance Client R2 BOB'!$B:$C,2,FALSE))</f>
        <v/>
      </c>
    </row>
    <row r="462" spans="8:8" x14ac:dyDescent="0.25">
      <c r="H462" s="23" t="str">
        <f>IF(G462="","",VLOOKUP(G462+0,'Concordance Client R2 BOB'!$B:$C,2,FALSE))</f>
        <v/>
      </c>
    </row>
    <row r="463" spans="8:8" x14ac:dyDescent="0.25">
      <c r="H463" s="23" t="str">
        <f>IF(G463="","",VLOOKUP(G463+0,'Concordance Client R2 BOB'!$B:$C,2,FALSE))</f>
        <v/>
      </c>
    </row>
    <row r="464" spans="8:8" x14ac:dyDescent="0.25">
      <c r="H464" s="23" t="str">
        <f>IF(G464="","",VLOOKUP(G464+0,'Concordance Client R2 BOB'!$B:$C,2,FALSE))</f>
        <v/>
      </c>
    </row>
    <row r="465" spans="8:8" x14ac:dyDescent="0.25">
      <c r="H465" s="23" t="str">
        <f>IF(G465="","",VLOOKUP(G465+0,'Concordance Client R2 BOB'!$B:$C,2,FALSE))</f>
        <v/>
      </c>
    </row>
    <row r="466" spans="8:8" x14ac:dyDescent="0.25">
      <c r="H466" s="23" t="str">
        <f>IF(G466="","",VLOOKUP(G466+0,'Concordance Client R2 BOB'!$B:$C,2,FALSE))</f>
        <v/>
      </c>
    </row>
    <row r="467" spans="8:8" x14ac:dyDescent="0.25">
      <c r="H467" s="23" t="str">
        <f>IF(G467="","",VLOOKUP(G467+0,'Concordance Client R2 BOB'!$B:$C,2,FALSE))</f>
        <v/>
      </c>
    </row>
    <row r="468" spans="8:8" x14ac:dyDescent="0.25">
      <c r="H468" s="23" t="str">
        <f>IF(G468="","",VLOOKUP(G468+0,'Concordance Client R2 BOB'!$B:$C,2,FALSE))</f>
        <v/>
      </c>
    </row>
    <row r="469" spans="8:8" x14ac:dyDescent="0.25">
      <c r="H469" s="23" t="str">
        <f>IF(G469="","",VLOOKUP(G469+0,'Concordance Client R2 BOB'!$B:$C,2,FALSE))</f>
        <v/>
      </c>
    </row>
    <row r="470" spans="8:8" x14ac:dyDescent="0.25">
      <c r="H470" s="23" t="str">
        <f>IF(G470="","",VLOOKUP(G470+0,'Concordance Client R2 BOB'!$B:$C,2,FALSE))</f>
        <v/>
      </c>
    </row>
    <row r="471" spans="8:8" x14ac:dyDescent="0.25">
      <c r="H471" s="23" t="str">
        <f>IF(G471="","",VLOOKUP(G471+0,'Concordance Client R2 BOB'!$B:$C,2,FALSE))</f>
        <v/>
      </c>
    </row>
    <row r="472" spans="8:8" x14ac:dyDescent="0.25">
      <c r="H472" s="23" t="str">
        <f>IF(G472="","",VLOOKUP(G472+0,'Concordance Client R2 BOB'!$B:$C,2,FALSE))</f>
        <v/>
      </c>
    </row>
    <row r="473" spans="8:8" x14ac:dyDescent="0.25">
      <c r="H473" s="23" t="str">
        <f>IF(G473="","",VLOOKUP(G473+0,'Concordance Client R2 BOB'!$B:$C,2,FALSE))</f>
        <v/>
      </c>
    </row>
    <row r="474" spans="8:8" x14ac:dyDescent="0.25">
      <c r="H474" s="23" t="str">
        <f>IF(G474="","",VLOOKUP(G474+0,'Concordance Client R2 BOB'!$B:$C,2,FALSE))</f>
        <v/>
      </c>
    </row>
    <row r="475" spans="8:8" x14ac:dyDescent="0.25">
      <c r="H475" s="23" t="str">
        <f>IF(G475="","",VLOOKUP(G475+0,'Concordance Client R2 BOB'!$B:$C,2,FALSE))</f>
        <v/>
      </c>
    </row>
    <row r="476" spans="8:8" x14ac:dyDescent="0.25">
      <c r="H476" s="23" t="str">
        <f>IF(G476="","",VLOOKUP(G476+0,'Concordance Client R2 BOB'!$B:$C,2,FALSE))</f>
        <v/>
      </c>
    </row>
    <row r="477" spans="8:8" x14ac:dyDescent="0.25">
      <c r="H477" s="23" t="str">
        <f>IF(G477="","",VLOOKUP(G477+0,'Concordance Client R2 BOB'!$B:$C,2,FALSE))</f>
        <v/>
      </c>
    </row>
    <row r="478" spans="8:8" x14ac:dyDescent="0.25">
      <c r="H478" s="23" t="str">
        <f>IF(G478="","",VLOOKUP(G478+0,'Concordance Client R2 BOB'!$B:$C,2,FALSE))</f>
        <v/>
      </c>
    </row>
    <row r="479" spans="8:8" x14ac:dyDescent="0.25">
      <c r="H479" s="23" t="str">
        <f>IF(G479="","",VLOOKUP(G479+0,'Concordance Client R2 BOB'!$B:$C,2,FALSE))</f>
        <v/>
      </c>
    </row>
    <row r="480" spans="8:8" x14ac:dyDescent="0.25">
      <c r="H480" s="23" t="str">
        <f>IF(G480="","",VLOOKUP(G480+0,'Concordance Client R2 BOB'!$B:$C,2,FALSE))</f>
        <v/>
      </c>
    </row>
    <row r="481" spans="8:8" x14ac:dyDescent="0.25">
      <c r="H481" s="23" t="str">
        <f>IF(G481="","",VLOOKUP(G481+0,'Concordance Client R2 BOB'!$B:$C,2,FALSE))</f>
        <v/>
      </c>
    </row>
    <row r="482" spans="8:8" x14ac:dyDescent="0.25">
      <c r="H482" s="23" t="str">
        <f>IF(G482="","",VLOOKUP(G482+0,'Concordance Client R2 BOB'!$B:$C,2,FALSE))</f>
        <v/>
      </c>
    </row>
    <row r="483" spans="8:8" x14ac:dyDescent="0.25">
      <c r="H483" s="23" t="str">
        <f>IF(G483="","",VLOOKUP(G483+0,'Concordance Client R2 BOB'!$B:$C,2,FALSE))</f>
        <v/>
      </c>
    </row>
    <row r="484" spans="8:8" x14ac:dyDescent="0.25">
      <c r="H484" s="23" t="str">
        <f>IF(G484="","",VLOOKUP(G484+0,'Concordance Client R2 BOB'!$B:$C,2,FALSE))</f>
        <v/>
      </c>
    </row>
    <row r="485" spans="8:8" x14ac:dyDescent="0.25">
      <c r="H485" s="23" t="str">
        <f>IF(G485="","",VLOOKUP(G485+0,'Concordance Client R2 BOB'!$B:$C,2,FALSE))</f>
        <v/>
      </c>
    </row>
    <row r="486" spans="8:8" x14ac:dyDescent="0.25">
      <c r="H486" s="23" t="str">
        <f>IF(G486="","",VLOOKUP(G486+0,'Concordance Client R2 BOB'!$B:$C,2,FALSE))</f>
        <v/>
      </c>
    </row>
    <row r="487" spans="8:8" x14ac:dyDescent="0.25">
      <c r="H487" s="23" t="str">
        <f>IF(G487="","",VLOOKUP(G487+0,'Concordance Client R2 BOB'!$B:$C,2,FALSE))</f>
        <v/>
      </c>
    </row>
    <row r="488" spans="8:8" x14ac:dyDescent="0.25">
      <c r="H488" s="23" t="str">
        <f>IF(G488="","",VLOOKUP(G488+0,'Concordance Client R2 BOB'!$B:$C,2,FALSE))</f>
        <v/>
      </c>
    </row>
    <row r="489" spans="8:8" x14ac:dyDescent="0.25">
      <c r="H489" s="23" t="str">
        <f>IF(G489="","",VLOOKUP(G489+0,'Concordance Client R2 BOB'!$B:$C,2,FALSE))</f>
        <v/>
      </c>
    </row>
    <row r="490" spans="8:8" x14ac:dyDescent="0.25">
      <c r="H490" s="23" t="str">
        <f>IF(G490="","",VLOOKUP(G490+0,'Concordance Client R2 BOB'!$B:$C,2,FALSE))</f>
        <v/>
      </c>
    </row>
    <row r="491" spans="8:8" x14ac:dyDescent="0.25">
      <c r="H491" s="23" t="str">
        <f>IF(G491="","",VLOOKUP(G491+0,'Concordance Client R2 BOB'!$B:$C,2,FALSE))</f>
        <v/>
      </c>
    </row>
    <row r="492" spans="8:8" x14ac:dyDescent="0.25">
      <c r="H492" s="23" t="str">
        <f>IF(G492="","",VLOOKUP(G492+0,'Concordance Client R2 BOB'!$B:$C,2,FALSE))</f>
        <v/>
      </c>
    </row>
    <row r="493" spans="8:8" x14ac:dyDescent="0.25">
      <c r="H493" s="23" t="str">
        <f>IF(G493="","",VLOOKUP(G493+0,'Concordance Client R2 BOB'!$B:$C,2,FALSE))</f>
        <v/>
      </c>
    </row>
    <row r="494" spans="8:8" x14ac:dyDescent="0.25">
      <c r="H494" s="23" t="str">
        <f>IF(G494="","",VLOOKUP(G494+0,'Concordance Client R2 BOB'!$B:$C,2,FALSE))</f>
        <v/>
      </c>
    </row>
    <row r="495" spans="8:8" x14ac:dyDescent="0.25">
      <c r="H495" s="23" t="str">
        <f>IF(G495="","",VLOOKUP(G495+0,'Concordance Client R2 BOB'!$B:$C,2,FALSE))</f>
        <v/>
      </c>
    </row>
    <row r="496" spans="8:8" x14ac:dyDescent="0.25">
      <c r="H496" s="23" t="str">
        <f>IF(G496="","",VLOOKUP(G496+0,'Concordance Client R2 BOB'!$B:$C,2,FALSE))</f>
        <v/>
      </c>
    </row>
    <row r="497" spans="8:8" x14ac:dyDescent="0.25">
      <c r="H497" s="23" t="str">
        <f>IF(G497="","",VLOOKUP(G497+0,'Concordance Client R2 BOB'!$B:$C,2,FALSE))</f>
        <v/>
      </c>
    </row>
    <row r="498" spans="8:8" x14ac:dyDescent="0.25">
      <c r="H498" s="23" t="str">
        <f>IF(G498="","",VLOOKUP(G498+0,'Concordance Client R2 BOB'!$B:$C,2,FALSE))</f>
        <v/>
      </c>
    </row>
    <row r="499" spans="8:8" x14ac:dyDescent="0.25">
      <c r="H499" s="23" t="str">
        <f>IF(G499="","",VLOOKUP(G499+0,'Concordance Client R2 BOB'!$B:$C,2,FALSE))</f>
        <v/>
      </c>
    </row>
    <row r="500" spans="8:8" x14ac:dyDescent="0.25">
      <c r="H500" s="23" t="str">
        <f>IF(G500="","",VLOOKUP(G500+0,'Concordance Client R2 BOB'!$B:$C,2,FALSE))</f>
        <v/>
      </c>
    </row>
    <row r="501" spans="8:8" x14ac:dyDescent="0.25">
      <c r="H501" s="23" t="str">
        <f>IF(G501="","",VLOOKUP(G501+0,'Concordance Client R2 BOB'!$B:$C,2,FALSE))</f>
        <v/>
      </c>
    </row>
    <row r="502" spans="8:8" x14ac:dyDescent="0.25">
      <c r="H502" s="23" t="str">
        <f>IF(G502="","",VLOOKUP(G502+0,'Concordance Client R2 BOB'!$B:$C,2,FALSE))</f>
        <v/>
      </c>
    </row>
    <row r="503" spans="8:8" x14ac:dyDescent="0.25">
      <c r="H503" s="23" t="str">
        <f>IF(G503="","",VLOOKUP(G503+0,'Concordance Client R2 BOB'!$B:$C,2,FALSE))</f>
        <v/>
      </c>
    </row>
    <row r="504" spans="8:8" x14ac:dyDescent="0.25">
      <c r="H504" s="23" t="str">
        <f>IF(G504="","",VLOOKUP(G504+0,'Concordance Client R2 BOB'!$B:$C,2,FALSE))</f>
        <v/>
      </c>
    </row>
    <row r="505" spans="8:8" x14ac:dyDescent="0.25">
      <c r="H505" s="23" t="str">
        <f>IF(G505="","",VLOOKUP(G505+0,'Concordance Client R2 BOB'!$B:$C,2,FALSE))</f>
        <v/>
      </c>
    </row>
    <row r="506" spans="8:8" x14ac:dyDescent="0.25">
      <c r="H506" s="23" t="str">
        <f>IF(G506="","",VLOOKUP(G506+0,'Concordance Client R2 BOB'!$B:$C,2,FALSE))</f>
        <v/>
      </c>
    </row>
    <row r="507" spans="8:8" x14ac:dyDescent="0.25">
      <c r="H507" s="23" t="str">
        <f>IF(G507="","",VLOOKUP(G507+0,'Concordance Client R2 BOB'!$B:$C,2,FALSE))</f>
        <v/>
      </c>
    </row>
    <row r="508" spans="8:8" x14ac:dyDescent="0.25">
      <c r="H508" s="23" t="str">
        <f>IF(G508="","",VLOOKUP(G508+0,'Concordance Client R2 BOB'!$B:$C,2,FALSE))</f>
        <v/>
      </c>
    </row>
    <row r="509" spans="8:8" x14ac:dyDescent="0.25">
      <c r="H509" s="23" t="str">
        <f>IF(G509="","",VLOOKUP(G509+0,'Concordance Client R2 BOB'!$B:$C,2,FALSE))</f>
        <v/>
      </c>
    </row>
    <row r="510" spans="8:8" x14ac:dyDescent="0.25">
      <c r="H510" s="23" t="str">
        <f>IF(G510="","",VLOOKUP(G510+0,'Concordance Client R2 BOB'!$B:$C,2,FALSE))</f>
        <v/>
      </c>
    </row>
    <row r="511" spans="8:8" x14ac:dyDescent="0.25">
      <c r="H511" s="23" t="str">
        <f>IF(G511="","",VLOOKUP(G511+0,'Concordance Client R2 BOB'!$B:$C,2,FALSE))</f>
        <v/>
      </c>
    </row>
    <row r="512" spans="8:8" x14ac:dyDescent="0.25">
      <c r="H512" s="23" t="str">
        <f>IF(G512="","",VLOOKUP(G512+0,'Concordance Client R2 BOB'!$B:$C,2,FALSE))</f>
        <v/>
      </c>
    </row>
    <row r="513" spans="8:8" x14ac:dyDescent="0.25">
      <c r="H513" s="23" t="str">
        <f>IF(G513="","",VLOOKUP(G513+0,'Concordance Client R2 BOB'!$B:$C,2,FALSE))</f>
        <v/>
      </c>
    </row>
    <row r="514" spans="8:8" x14ac:dyDescent="0.25">
      <c r="H514" s="23" t="str">
        <f>IF(G514="","",VLOOKUP(G514+0,'Concordance Client R2 BOB'!$B:$C,2,FALSE))</f>
        <v/>
      </c>
    </row>
    <row r="515" spans="8:8" x14ac:dyDescent="0.25">
      <c r="H515" s="23" t="str">
        <f>IF(G515="","",VLOOKUP(G515+0,'Concordance Client R2 BOB'!$B:$C,2,FALSE))</f>
        <v/>
      </c>
    </row>
    <row r="516" spans="8:8" x14ac:dyDescent="0.25">
      <c r="H516" s="23" t="str">
        <f>IF(G516="","",VLOOKUP(G516+0,'Concordance Client R2 BOB'!$B:$C,2,FALSE))</f>
        <v/>
      </c>
    </row>
    <row r="517" spans="8:8" x14ac:dyDescent="0.25">
      <c r="H517" s="23" t="str">
        <f>IF(G517="","",VLOOKUP(G517+0,'Concordance Client R2 BOB'!$B:$C,2,FALSE))</f>
        <v/>
      </c>
    </row>
    <row r="518" spans="8:8" x14ac:dyDescent="0.25">
      <c r="H518" s="23" t="str">
        <f>IF(G518="","",VLOOKUP(G518+0,'Concordance Client R2 BOB'!$B:$C,2,FALSE))</f>
        <v/>
      </c>
    </row>
    <row r="519" spans="8:8" x14ac:dyDescent="0.25">
      <c r="H519" s="23" t="str">
        <f>IF(G519="","",VLOOKUP(G519+0,'Concordance Client R2 BOB'!$B:$C,2,FALSE))</f>
        <v/>
      </c>
    </row>
    <row r="520" spans="8:8" x14ac:dyDescent="0.25">
      <c r="H520" s="23" t="str">
        <f>IF(G520="","",VLOOKUP(G520+0,'Concordance Client R2 BOB'!$B:$C,2,FALSE))</f>
        <v/>
      </c>
    </row>
    <row r="521" spans="8:8" x14ac:dyDescent="0.25">
      <c r="H521" s="23" t="str">
        <f>IF(G521="","",VLOOKUP(G521+0,'Concordance Client R2 BOB'!$B:$C,2,FALSE))</f>
        <v/>
      </c>
    </row>
    <row r="522" spans="8:8" x14ac:dyDescent="0.25">
      <c r="H522" s="23" t="str">
        <f>IF(G522="","",VLOOKUP(G522+0,'Concordance Client R2 BOB'!$B:$C,2,FALSE))</f>
        <v/>
      </c>
    </row>
    <row r="523" spans="8:8" x14ac:dyDescent="0.25">
      <c r="H523" s="23" t="str">
        <f>IF(G523="","",VLOOKUP(G523+0,'Concordance Client R2 BOB'!$B:$C,2,FALSE))</f>
        <v/>
      </c>
    </row>
    <row r="524" spans="8:8" x14ac:dyDescent="0.25">
      <c r="H524" s="23" t="str">
        <f>IF(G524="","",VLOOKUP(G524+0,'Concordance Client R2 BOB'!$B:$C,2,FALSE))</f>
        <v/>
      </c>
    </row>
    <row r="525" spans="8:8" x14ac:dyDescent="0.25">
      <c r="H525" s="23" t="str">
        <f>IF(G525="","",VLOOKUP(G525+0,'Concordance Client R2 BOB'!$B:$C,2,FALSE))</f>
        <v/>
      </c>
    </row>
    <row r="526" spans="8:8" x14ac:dyDescent="0.25">
      <c r="H526" s="23" t="str">
        <f>IF(G526="","",VLOOKUP(G526+0,'Concordance Client R2 BOB'!$B:$C,2,FALSE))</f>
        <v/>
      </c>
    </row>
    <row r="527" spans="8:8" x14ac:dyDescent="0.25">
      <c r="H527" s="23" t="str">
        <f>IF(G527="","",VLOOKUP(G527+0,'Concordance Client R2 BOB'!$B:$C,2,FALSE))</f>
        <v/>
      </c>
    </row>
    <row r="528" spans="8:8" x14ac:dyDescent="0.25">
      <c r="H528" s="23" t="str">
        <f>IF(G528="","",VLOOKUP(G528+0,'Concordance Client R2 BOB'!$B:$C,2,FALSE))</f>
        <v/>
      </c>
    </row>
    <row r="529" spans="8:8" x14ac:dyDescent="0.25">
      <c r="H529" s="23" t="str">
        <f>IF(G529="","",VLOOKUP(G529+0,'Concordance Client R2 BOB'!$B:$C,2,FALSE))</f>
        <v/>
      </c>
    </row>
    <row r="530" spans="8:8" x14ac:dyDescent="0.25">
      <c r="H530" s="23" t="str">
        <f>IF(G530="","",VLOOKUP(G530+0,'Concordance Client R2 BOB'!$B:$C,2,FALSE))</f>
        <v/>
      </c>
    </row>
    <row r="531" spans="8:8" x14ac:dyDescent="0.25">
      <c r="H531" s="23" t="str">
        <f>IF(G531="","",VLOOKUP(G531+0,'Concordance Client R2 BOB'!$B:$C,2,FALSE))</f>
        <v/>
      </c>
    </row>
    <row r="532" spans="8:8" x14ac:dyDescent="0.25">
      <c r="H532" s="23" t="str">
        <f>IF(G532="","",VLOOKUP(G532+0,'Concordance Client R2 BOB'!$B:$C,2,FALSE))</f>
        <v/>
      </c>
    </row>
    <row r="533" spans="8:8" x14ac:dyDescent="0.25">
      <c r="H533" s="23" t="str">
        <f>IF(G533="","",VLOOKUP(G533+0,'Concordance Client R2 BOB'!$B:$C,2,FALSE))</f>
        <v/>
      </c>
    </row>
    <row r="534" spans="8:8" x14ac:dyDescent="0.25">
      <c r="H534" s="23" t="str">
        <f>IF(G534="","",VLOOKUP(G534+0,'Concordance Client R2 BOB'!$B:$C,2,FALSE))</f>
        <v/>
      </c>
    </row>
    <row r="535" spans="8:8" x14ac:dyDescent="0.25">
      <c r="H535" s="23" t="str">
        <f>IF(G535="","",VLOOKUP(G535+0,'Concordance Client R2 BOB'!$B:$C,2,FALSE))</f>
        <v/>
      </c>
    </row>
    <row r="536" spans="8:8" x14ac:dyDescent="0.25">
      <c r="H536" s="23" t="str">
        <f>IF(G536="","",VLOOKUP(G536+0,'Concordance Client R2 BOB'!$B:$C,2,FALSE))</f>
        <v/>
      </c>
    </row>
    <row r="537" spans="8:8" x14ac:dyDescent="0.25">
      <c r="H537" s="23" t="str">
        <f>IF(G537="","",VLOOKUP(G537+0,'Concordance Client R2 BOB'!$B:$C,2,FALSE))</f>
        <v/>
      </c>
    </row>
    <row r="538" spans="8:8" x14ac:dyDescent="0.25">
      <c r="H538" s="23" t="str">
        <f>IF(G538="","",VLOOKUP(G538+0,'Concordance Client R2 BOB'!$B:$C,2,FALSE))</f>
        <v/>
      </c>
    </row>
    <row r="539" spans="8:8" x14ac:dyDescent="0.25">
      <c r="H539" s="23" t="str">
        <f>IF(G539="","",VLOOKUP(G539+0,'Concordance Client R2 BOB'!$B:$C,2,FALSE))</f>
        <v/>
      </c>
    </row>
    <row r="540" spans="8:8" x14ac:dyDescent="0.25">
      <c r="H540" s="23" t="str">
        <f>IF(G540="","",VLOOKUP(G540+0,'Concordance Client R2 BOB'!$B:$C,2,FALSE))</f>
        <v/>
      </c>
    </row>
    <row r="541" spans="8:8" x14ac:dyDescent="0.25">
      <c r="H541" s="23" t="str">
        <f>IF(G541="","",VLOOKUP(G541+0,'Concordance Client R2 BOB'!$B:$C,2,FALSE))</f>
        <v/>
      </c>
    </row>
    <row r="542" spans="8:8" x14ac:dyDescent="0.25">
      <c r="H542" s="23" t="str">
        <f>IF(G542="","",VLOOKUP(G542+0,'Concordance Client R2 BOB'!$B:$C,2,FALSE))</f>
        <v/>
      </c>
    </row>
    <row r="543" spans="8:8" x14ac:dyDescent="0.25">
      <c r="H543" s="23" t="str">
        <f>IF(G543="","",VLOOKUP(G543+0,'Concordance Client R2 BOB'!$B:$C,2,FALSE))</f>
        <v/>
      </c>
    </row>
    <row r="544" spans="8:8" x14ac:dyDescent="0.25">
      <c r="H544" s="23" t="str">
        <f>IF(G544="","",VLOOKUP(G544+0,'Concordance Client R2 BOB'!$B:$C,2,FALSE))</f>
        <v/>
      </c>
    </row>
    <row r="545" spans="8:8" x14ac:dyDescent="0.25">
      <c r="H545" s="23" t="str">
        <f>IF(G545="","",VLOOKUP(G545+0,'Concordance Client R2 BOB'!$B:$C,2,FALSE))</f>
        <v/>
      </c>
    </row>
    <row r="546" spans="8:8" x14ac:dyDescent="0.25">
      <c r="H546" s="23" t="str">
        <f>IF(G546="","",VLOOKUP(G546+0,'Concordance Client R2 BOB'!$B:$C,2,FALSE))</f>
        <v/>
      </c>
    </row>
    <row r="547" spans="8:8" x14ac:dyDescent="0.25">
      <c r="H547" s="23" t="str">
        <f>IF(G547="","",VLOOKUP(G547+0,'Concordance Client R2 BOB'!$B:$C,2,FALSE))</f>
        <v/>
      </c>
    </row>
    <row r="548" spans="8:8" x14ac:dyDescent="0.25">
      <c r="H548" s="23" t="str">
        <f>IF(G548="","",VLOOKUP(G548+0,'Concordance Client R2 BOB'!$B:$C,2,FALSE))</f>
        <v/>
      </c>
    </row>
    <row r="549" spans="8:8" x14ac:dyDescent="0.25">
      <c r="H549" s="23" t="str">
        <f>IF(G549="","",VLOOKUP(G549+0,'Concordance Client R2 BOB'!$B:$C,2,FALSE))</f>
        <v/>
      </c>
    </row>
    <row r="550" spans="8:8" x14ac:dyDescent="0.25">
      <c r="H550" s="23" t="str">
        <f>IF(G550="","",VLOOKUP(G550+0,'Concordance Client R2 BOB'!$B:$C,2,FALSE))</f>
        <v/>
      </c>
    </row>
    <row r="551" spans="8:8" x14ac:dyDescent="0.25">
      <c r="H551" s="23" t="str">
        <f>IF(G551="","",VLOOKUP(G551+0,'Concordance Client R2 BOB'!$B:$C,2,FALSE))</f>
        <v/>
      </c>
    </row>
    <row r="552" spans="8:8" x14ac:dyDescent="0.25">
      <c r="H552" s="23" t="str">
        <f>IF(G552="","",VLOOKUP(G552+0,'Concordance Client R2 BOB'!$B:$C,2,FALSE))</f>
        <v/>
      </c>
    </row>
    <row r="553" spans="8:8" x14ac:dyDescent="0.25">
      <c r="H553" s="23" t="str">
        <f>IF(G553="","",VLOOKUP(G553+0,'Concordance Client R2 BOB'!$B:$C,2,FALSE))</f>
        <v/>
      </c>
    </row>
    <row r="554" spans="8:8" x14ac:dyDescent="0.25">
      <c r="H554" s="23" t="str">
        <f>IF(G554="","",VLOOKUP(G554+0,'Concordance Client R2 BOB'!$B:$C,2,FALSE))</f>
        <v/>
      </c>
    </row>
    <row r="555" spans="8:8" x14ac:dyDescent="0.25">
      <c r="H555" s="23" t="str">
        <f>IF(G555="","",VLOOKUP(G555+0,'Concordance Client R2 BOB'!$B:$C,2,FALSE))</f>
        <v/>
      </c>
    </row>
    <row r="556" spans="8:8" x14ac:dyDescent="0.25">
      <c r="H556" s="23" t="str">
        <f>IF(G556="","",VLOOKUP(G556+0,'Concordance Client R2 BOB'!$B:$C,2,FALSE))</f>
        <v/>
      </c>
    </row>
    <row r="557" spans="8:8" x14ac:dyDescent="0.25">
      <c r="H557" s="23" t="str">
        <f>IF(G557="","",VLOOKUP(G557+0,'Concordance Client R2 BOB'!$B:$C,2,FALSE))</f>
        <v/>
      </c>
    </row>
    <row r="558" spans="8:8" x14ac:dyDescent="0.25">
      <c r="H558" s="23" t="str">
        <f>IF(G558="","",VLOOKUP(G558+0,'Concordance Client R2 BOB'!$B:$C,2,FALSE))</f>
        <v/>
      </c>
    </row>
    <row r="559" spans="8:8" x14ac:dyDescent="0.25">
      <c r="H559" s="23" t="str">
        <f>IF(G559="","",VLOOKUP(G559+0,'Concordance Client R2 BOB'!$B:$C,2,FALSE))</f>
        <v/>
      </c>
    </row>
    <row r="560" spans="8:8" x14ac:dyDescent="0.25">
      <c r="H560" s="23" t="str">
        <f>IF(G560="","",VLOOKUP(G560+0,'Concordance Client R2 BOB'!$B:$C,2,FALSE))</f>
        <v/>
      </c>
    </row>
    <row r="561" spans="8:8" x14ac:dyDescent="0.25">
      <c r="H561" s="23" t="str">
        <f>IF(G561="","",VLOOKUP(G561+0,'Concordance Client R2 BOB'!$B:$C,2,FALSE))</f>
        <v/>
      </c>
    </row>
    <row r="562" spans="8:8" x14ac:dyDescent="0.25">
      <c r="H562" s="23" t="str">
        <f>IF(G562="","",VLOOKUP(G562+0,'Concordance Client R2 BOB'!$B:$C,2,FALSE))</f>
        <v/>
      </c>
    </row>
    <row r="563" spans="8:8" x14ac:dyDescent="0.25">
      <c r="H563" s="23" t="str">
        <f>IF(G563="","",VLOOKUP(G563+0,'Concordance Client R2 BOB'!$B:$C,2,FALSE))</f>
        <v/>
      </c>
    </row>
    <row r="564" spans="8:8" x14ac:dyDescent="0.25">
      <c r="H564" s="23" t="str">
        <f>IF(G564="","",VLOOKUP(G564+0,'Concordance Client R2 BOB'!$B:$C,2,FALSE))</f>
        <v/>
      </c>
    </row>
    <row r="565" spans="8:8" x14ac:dyDescent="0.25">
      <c r="H565" s="23" t="str">
        <f>IF(G565="","",VLOOKUP(G565+0,'Concordance Client R2 BOB'!$B:$C,2,FALSE))</f>
        <v/>
      </c>
    </row>
    <row r="566" spans="8:8" x14ac:dyDescent="0.25">
      <c r="H566" s="23" t="str">
        <f>IF(G566="","",VLOOKUP(G566+0,'Concordance Client R2 BOB'!$B:$C,2,FALSE))</f>
        <v/>
      </c>
    </row>
    <row r="567" spans="8:8" x14ac:dyDescent="0.25">
      <c r="H567" s="23" t="str">
        <f>IF(G567="","",VLOOKUP(G567+0,'Concordance Client R2 BOB'!$B:$C,2,FALSE))</f>
        <v/>
      </c>
    </row>
    <row r="568" spans="8:8" x14ac:dyDescent="0.25">
      <c r="H568" s="23" t="str">
        <f>IF(G568="","",VLOOKUP(G568+0,'Concordance Client R2 BOB'!$B:$C,2,FALSE))</f>
        <v/>
      </c>
    </row>
    <row r="569" spans="8:8" x14ac:dyDescent="0.25">
      <c r="H569" s="23" t="str">
        <f>IF(G569="","",VLOOKUP(G569+0,'Concordance Client R2 BOB'!$B:$C,2,FALSE))</f>
        <v/>
      </c>
    </row>
    <row r="570" spans="8:8" x14ac:dyDescent="0.25">
      <c r="H570" s="23" t="str">
        <f>IF(G570="","",VLOOKUP(G570+0,'Concordance Client R2 BOB'!$B:$C,2,FALSE))</f>
        <v/>
      </c>
    </row>
    <row r="571" spans="8:8" x14ac:dyDescent="0.25">
      <c r="H571" s="23" t="str">
        <f>IF(G571="","",VLOOKUP(G571+0,'Concordance Client R2 BOB'!$B:$C,2,FALSE))</f>
        <v/>
      </c>
    </row>
    <row r="572" spans="8:8" x14ac:dyDescent="0.25">
      <c r="H572" s="23" t="str">
        <f>IF(G572="","",VLOOKUP(G572+0,'Concordance Client R2 BOB'!$B:$C,2,FALSE))</f>
        <v/>
      </c>
    </row>
    <row r="573" spans="8:8" x14ac:dyDescent="0.25">
      <c r="H573" s="23" t="str">
        <f>IF(G573="","",VLOOKUP(G573+0,'Concordance Client R2 BOB'!$B:$C,2,FALSE))</f>
        <v/>
      </c>
    </row>
    <row r="574" spans="8:8" x14ac:dyDescent="0.25">
      <c r="H574" s="23" t="str">
        <f>IF(G574="","",VLOOKUP(G574+0,'Concordance Client R2 BOB'!$B:$C,2,FALSE))</f>
        <v/>
      </c>
    </row>
    <row r="575" spans="8:8" x14ac:dyDescent="0.25">
      <c r="H575" s="23" t="str">
        <f>IF(G575="","",VLOOKUP(G575+0,'Concordance Client R2 BOB'!$B:$C,2,FALSE))</f>
        <v/>
      </c>
    </row>
    <row r="576" spans="8:8" x14ac:dyDescent="0.25">
      <c r="H576" s="23" t="str">
        <f>IF(G576="","",VLOOKUP(G576+0,'Concordance Client R2 BOB'!$B:$C,2,FALSE))</f>
        <v/>
      </c>
    </row>
    <row r="577" spans="8:8" x14ac:dyDescent="0.25">
      <c r="H577" s="23" t="str">
        <f>IF(G577="","",VLOOKUP(G577+0,'Concordance Client R2 BOB'!$B:$C,2,FALSE))</f>
        <v/>
      </c>
    </row>
    <row r="578" spans="8:8" x14ac:dyDescent="0.25">
      <c r="H578" s="23" t="str">
        <f>IF(G578="","",VLOOKUP(G578+0,'Concordance Client R2 BOB'!$B:$C,2,FALSE))</f>
        <v/>
      </c>
    </row>
    <row r="579" spans="8:8" x14ac:dyDescent="0.25">
      <c r="H579" s="23" t="str">
        <f>IF(G579="","",VLOOKUP(G579+0,'Concordance Client R2 BOB'!$B:$C,2,FALSE))</f>
        <v/>
      </c>
    </row>
    <row r="580" spans="8:8" x14ac:dyDescent="0.25">
      <c r="H580" s="23" t="str">
        <f>IF(G580="","",VLOOKUP(G580+0,'Concordance Client R2 BOB'!$B:$C,2,FALSE))</f>
        <v/>
      </c>
    </row>
    <row r="581" spans="8:8" x14ac:dyDescent="0.25">
      <c r="H581" s="23" t="str">
        <f>IF(G581="","",VLOOKUP(G581+0,'Concordance Client R2 BOB'!$B:$C,2,FALSE))</f>
        <v/>
      </c>
    </row>
    <row r="582" spans="8:8" x14ac:dyDescent="0.25">
      <c r="H582" s="23" t="str">
        <f>IF(G582="","",VLOOKUP(G582+0,'Concordance Client R2 BOB'!$B:$C,2,FALSE))</f>
        <v/>
      </c>
    </row>
    <row r="583" spans="8:8" x14ac:dyDescent="0.25">
      <c r="H583" s="23" t="str">
        <f>IF(G583="","",VLOOKUP(G583+0,'Concordance Client R2 BOB'!$B:$C,2,FALSE))</f>
        <v/>
      </c>
    </row>
    <row r="584" spans="8:8" x14ac:dyDescent="0.25">
      <c r="H584" s="23" t="str">
        <f>IF(G584="","",VLOOKUP(G584+0,'Concordance Client R2 BOB'!$B:$C,2,FALSE))</f>
        <v/>
      </c>
    </row>
    <row r="585" spans="8:8" x14ac:dyDescent="0.25">
      <c r="H585" s="23" t="str">
        <f>IF(G585="","",VLOOKUP(G585+0,'Concordance Client R2 BOB'!$B:$C,2,FALSE))</f>
        <v/>
      </c>
    </row>
    <row r="586" spans="8:8" x14ac:dyDescent="0.25">
      <c r="H586" s="23" t="str">
        <f>IF(G586="","",VLOOKUP(G586+0,'Concordance Client R2 BOB'!$B:$C,2,FALSE))</f>
        <v/>
      </c>
    </row>
    <row r="587" spans="8:8" x14ac:dyDescent="0.25">
      <c r="H587" s="23" t="str">
        <f>IF(G587="","",VLOOKUP(G587+0,'Concordance Client R2 BOB'!$B:$C,2,FALSE))</f>
        <v/>
      </c>
    </row>
    <row r="588" spans="8:8" x14ac:dyDescent="0.25">
      <c r="H588" s="23" t="str">
        <f>IF(G588="","",VLOOKUP(G588+0,'Concordance Client R2 BOB'!$B:$C,2,FALSE))</f>
        <v/>
      </c>
    </row>
    <row r="589" spans="8:8" x14ac:dyDescent="0.25">
      <c r="H589" s="23" t="str">
        <f>IF(G589="","",VLOOKUP(G589+0,'Concordance Client R2 BOB'!$B:$C,2,FALSE))</f>
        <v/>
      </c>
    </row>
    <row r="590" spans="8:8" x14ac:dyDescent="0.25">
      <c r="H590" s="23" t="str">
        <f>IF(G590="","",VLOOKUP(G590+0,'Concordance Client R2 BOB'!$B:$C,2,FALSE))</f>
        <v/>
      </c>
    </row>
    <row r="591" spans="8:8" x14ac:dyDescent="0.25">
      <c r="H591" s="23" t="str">
        <f>IF(G591="","",VLOOKUP(G591+0,'Concordance Client R2 BOB'!$B:$C,2,FALSE))</f>
        <v/>
      </c>
    </row>
    <row r="592" spans="8:8" x14ac:dyDescent="0.25">
      <c r="H592" s="23" t="str">
        <f>IF(G592="","",VLOOKUP(G592+0,'Concordance Client R2 BOB'!$B:$C,2,FALSE))</f>
        <v/>
      </c>
    </row>
    <row r="593" spans="8:8" x14ac:dyDescent="0.25">
      <c r="H593" s="23" t="str">
        <f>IF(G593="","",VLOOKUP(G593+0,'Concordance Client R2 BOB'!$B:$C,2,FALSE))</f>
        <v/>
      </c>
    </row>
    <row r="594" spans="8:8" x14ac:dyDescent="0.25">
      <c r="H594" s="23" t="str">
        <f>IF(G594="","",VLOOKUP(G594+0,'Concordance Client R2 BOB'!$B:$C,2,FALSE))</f>
        <v/>
      </c>
    </row>
    <row r="595" spans="8:8" x14ac:dyDescent="0.25">
      <c r="H595" s="23" t="str">
        <f>IF(G595="","",VLOOKUP(G595+0,'Concordance Client R2 BOB'!$B:$C,2,FALSE))</f>
        <v/>
      </c>
    </row>
    <row r="596" spans="8:8" x14ac:dyDescent="0.25">
      <c r="H596" s="23" t="str">
        <f>IF(G596="","",VLOOKUP(G596+0,'Concordance Client R2 BOB'!$B:$C,2,FALSE))</f>
        <v/>
      </c>
    </row>
    <row r="597" spans="8:8" x14ac:dyDescent="0.25">
      <c r="H597" s="23" t="str">
        <f>IF(G597="","",VLOOKUP(G597+0,'Concordance Client R2 BOB'!$B:$C,2,FALSE))</f>
        <v/>
      </c>
    </row>
    <row r="598" spans="8:8" x14ac:dyDescent="0.25">
      <c r="H598" s="23" t="str">
        <f>IF(G598="","",VLOOKUP(G598+0,'Concordance Client R2 BOB'!$B:$C,2,FALSE))</f>
        <v/>
      </c>
    </row>
    <row r="599" spans="8:8" x14ac:dyDescent="0.25">
      <c r="H599" s="23" t="str">
        <f>IF(G599="","",VLOOKUP(G599+0,'Concordance Client R2 BOB'!$B:$C,2,FALSE))</f>
        <v/>
      </c>
    </row>
    <row r="600" spans="8:8" x14ac:dyDescent="0.25">
      <c r="H600" s="23" t="str">
        <f>IF(G600="","",VLOOKUP(G600+0,'Concordance Client R2 BOB'!$B:$C,2,FALSE))</f>
        <v/>
      </c>
    </row>
    <row r="601" spans="8:8" x14ac:dyDescent="0.25">
      <c r="H601" s="23" t="str">
        <f>IF(G601="","",VLOOKUP(G601+0,'Concordance Client R2 BOB'!$B:$C,2,FALSE))</f>
        <v/>
      </c>
    </row>
    <row r="602" spans="8:8" x14ac:dyDescent="0.25">
      <c r="H602" s="23" t="str">
        <f>IF(G602="","",VLOOKUP(G602+0,'Concordance Client R2 BOB'!$B:$C,2,FALSE))</f>
        <v/>
      </c>
    </row>
    <row r="603" spans="8:8" x14ac:dyDescent="0.25">
      <c r="H603" s="23" t="str">
        <f>IF(G603="","",VLOOKUP(G603+0,'Concordance Client R2 BOB'!$B:$C,2,FALSE))</f>
        <v/>
      </c>
    </row>
    <row r="604" spans="8:8" x14ac:dyDescent="0.25">
      <c r="H604" s="23" t="str">
        <f>IF(G604="","",VLOOKUP(G604+0,'Concordance Client R2 BOB'!$B:$C,2,FALSE))</f>
        <v/>
      </c>
    </row>
    <row r="605" spans="8:8" x14ac:dyDescent="0.25">
      <c r="H605" s="23" t="str">
        <f>IF(G605="","",VLOOKUP(G605+0,'Concordance Client R2 BOB'!$B:$C,2,FALSE))</f>
        <v/>
      </c>
    </row>
    <row r="606" spans="8:8" x14ac:dyDescent="0.25">
      <c r="H606" s="23" t="str">
        <f>IF(G606="","",VLOOKUP(G606+0,'Concordance Client R2 BOB'!$B:$C,2,FALSE))</f>
        <v/>
      </c>
    </row>
    <row r="607" spans="8:8" x14ac:dyDescent="0.25">
      <c r="H607" s="23" t="str">
        <f>IF(G607="","",VLOOKUP(G607+0,'Concordance Client R2 BOB'!$B:$C,2,FALSE))</f>
        <v/>
      </c>
    </row>
    <row r="608" spans="8:8" x14ac:dyDescent="0.25">
      <c r="H608" s="23" t="str">
        <f>IF(G608="","",VLOOKUP(G608+0,'Concordance Client R2 BOB'!$B:$C,2,FALSE))</f>
        <v/>
      </c>
    </row>
    <row r="609" spans="8:8" x14ac:dyDescent="0.25">
      <c r="H609" s="23" t="str">
        <f>IF(G609="","",VLOOKUP(G609+0,'Concordance Client R2 BOB'!$B:$C,2,FALSE))</f>
        <v/>
      </c>
    </row>
    <row r="610" spans="8:8" x14ac:dyDescent="0.25">
      <c r="H610" s="23" t="str">
        <f>IF(G610="","",VLOOKUP(G610+0,'Concordance Client R2 BOB'!$B:$C,2,FALSE))</f>
        <v/>
      </c>
    </row>
    <row r="611" spans="8:8" x14ac:dyDescent="0.25">
      <c r="H611" s="23" t="str">
        <f>IF(G611="","",VLOOKUP(G611+0,'Concordance Client R2 BOB'!$B:$C,2,FALSE))</f>
        <v/>
      </c>
    </row>
    <row r="612" spans="8:8" x14ac:dyDescent="0.25">
      <c r="H612" s="23" t="str">
        <f>IF(G612="","",VLOOKUP(G612+0,'Concordance Client R2 BOB'!$B:$C,2,FALSE))</f>
        <v/>
      </c>
    </row>
    <row r="613" spans="8:8" x14ac:dyDescent="0.25">
      <c r="H613" s="23" t="str">
        <f>IF(G613="","",VLOOKUP(G613+0,'Concordance Client R2 BOB'!$B:$C,2,FALSE))</f>
        <v/>
      </c>
    </row>
    <row r="614" spans="8:8" x14ac:dyDescent="0.25">
      <c r="H614" s="23" t="str">
        <f>IF(G614="","",VLOOKUP(G614+0,'Concordance Client R2 BOB'!$B:$C,2,FALSE))</f>
        <v/>
      </c>
    </row>
    <row r="615" spans="8:8" x14ac:dyDescent="0.25">
      <c r="H615" s="23" t="str">
        <f>IF(G615="","",VLOOKUP(G615+0,'Concordance Client R2 BOB'!$B:$C,2,FALSE))</f>
        <v/>
      </c>
    </row>
    <row r="616" spans="8:8" x14ac:dyDescent="0.25">
      <c r="H616" s="23" t="str">
        <f>IF(G616="","",VLOOKUP(G616+0,'Concordance Client R2 BOB'!$B:$C,2,FALSE))</f>
        <v/>
      </c>
    </row>
    <row r="617" spans="8:8" x14ac:dyDescent="0.25">
      <c r="H617" s="23" t="str">
        <f>IF(G617="","",VLOOKUP(G617+0,'Concordance Client R2 BOB'!$B:$C,2,FALSE))</f>
        <v/>
      </c>
    </row>
    <row r="618" spans="8:8" x14ac:dyDescent="0.25">
      <c r="H618" s="23" t="str">
        <f>IF(G618="","",VLOOKUP(G618+0,'Concordance Client R2 BOB'!$B:$C,2,FALSE))</f>
        <v/>
      </c>
    </row>
    <row r="619" spans="8:8" x14ac:dyDescent="0.25">
      <c r="H619" s="23" t="str">
        <f>IF(G619="","",VLOOKUP(G619+0,'Concordance Client R2 BOB'!$B:$C,2,FALSE))</f>
        <v/>
      </c>
    </row>
    <row r="620" spans="8:8" x14ac:dyDescent="0.25">
      <c r="H620" s="23" t="str">
        <f>IF(G620="","",VLOOKUP(G620+0,'Concordance Client R2 BOB'!$B:$C,2,FALSE))</f>
        <v/>
      </c>
    </row>
    <row r="621" spans="8:8" x14ac:dyDescent="0.25">
      <c r="H621" s="23" t="str">
        <f>IF(G621="","",VLOOKUP(G621+0,'Concordance Client R2 BOB'!$B:$C,2,FALSE))</f>
        <v/>
      </c>
    </row>
    <row r="622" spans="8:8" x14ac:dyDescent="0.25">
      <c r="H622" s="23" t="str">
        <f>IF(G622="","",VLOOKUP(G622+0,'Concordance Client R2 BOB'!$B:$C,2,FALSE))</f>
        <v/>
      </c>
    </row>
    <row r="623" spans="8:8" x14ac:dyDescent="0.25">
      <c r="H623" s="23" t="str">
        <f>IF(G623="","",VLOOKUP(G623+0,'Concordance Client R2 BOB'!$B:$C,2,FALSE))</f>
        <v/>
      </c>
    </row>
    <row r="624" spans="8:8" x14ac:dyDescent="0.25">
      <c r="H624" s="23" t="str">
        <f>IF(G624="","",VLOOKUP(G624+0,'Concordance Client R2 BOB'!$B:$C,2,FALSE))</f>
        <v/>
      </c>
    </row>
    <row r="625" spans="8:8" x14ac:dyDescent="0.25">
      <c r="H625" s="23" t="str">
        <f>IF(G625="","",VLOOKUP(G625+0,'Concordance Client R2 BOB'!$B:$C,2,FALSE))</f>
        <v/>
      </c>
    </row>
    <row r="626" spans="8:8" x14ac:dyDescent="0.25">
      <c r="H626" s="23" t="str">
        <f>IF(G626="","",VLOOKUP(G626+0,'Concordance Client R2 BOB'!$B:$C,2,FALSE))</f>
        <v/>
      </c>
    </row>
    <row r="627" spans="8:8" x14ac:dyDescent="0.25">
      <c r="H627" s="23" t="str">
        <f>IF(G627="","",VLOOKUP(G627+0,'Concordance Client R2 BOB'!$B:$C,2,FALSE))</f>
        <v/>
      </c>
    </row>
    <row r="628" spans="8:8" x14ac:dyDescent="0.25">
      <c r="H628" s="23" t="str">
        <f>IF(G628="","",VLOOKUP(G628+0,'Concordance Client R2 BOB'!$B:$C,2,FALSE))</f>
        <v/>
      </c>
    </row>
    <row r="629" spans="8:8" x14ac:dyDescent="0.25">
      <c r="H629" s="23" t="str">
        <f>IF(G629="","",VLOOKUP(G629+0,'Concordance Client R2 BOB'!$B:$C,2,FALSE))</f>
        <v/>
      </c>
    </row>
    <row r="630" spans="8:8" x14ac:dyDescent="0.25">
      <c r="H630" s="23" t="str">
        <f>IF(G630="","",VLOOKUP(G630+0,'Concordance Client R2 BOB'!$B:$C,2,FALSE))</f>
        <v/>
      </c>
    </row>
    <row r="631" spans="8:8" x14ac:dyDescent="0.25">
      <c r="H631" s="23" t="str">
        <f>IF(G631="","",VLOOKUP(G631+0,'Concordance Client R2 BOB'!$B:$C,2,FALSE))</f>
        <v/>
      </c>
    </row>
    <row r="632" spans="8:8" x14ac:dyDescent="0.25">
      <c r="H632" s="23" t="str">
        <f>IF(G632="","",VLOOKUP(G632+0,'Concordance Client R2 BOB'!$B:$C,2,FALSE))</f>
        <v/>
      </c>
    </row>
    <row r="633" spans="8:8" x14ac:dyDescent="0.25">
      <c r="H633" s="23" t="str">
        <f>IF(G633="","",VLOOKUP(G633+0,'Concordance Client R2 BOB'!$B:$C,2,FALSE))</f>
        <v/>
      </c>
    </row>
    <row r="634" spans="8:8" x14ac:dyDescent="0.25">
      <c r="H634" s="23" t="str">
        <f>IF(G634="","",VLOOKUP(G634+0,'Concordance Client R2 BOB'!$B:$C,2,FALSE))</f>
        <v/>
      </c>
    </row>
    <row r="635" spans="8:8" x14ac:dyDescent="0.25">
      <c r="H635" s="23" t="str">
        <f>IF(G635="","",VLOOKUP(G635+0,'Concordance Client R2 BOB'!$B:$C,2,FALSE))</f>
        <v/>
      </c>
    </row>
    <row r="636" spans="8:8" x14ac:dyDescent="0.25">
      <c r="H636" s="23" t="str">
        <f>IF(G636="","",VLOOKUP(G636+0,'Concordance Client R2 BOB'!$B:$C,2,FALSE))</f>
        <v/>
      </c>
    </row>
    <row r="637" spans="8:8" x14ac:dyDescent="0.25">
      <c r="H637" s="23" t="str">
        <f>IF(G637="","",VLOOKUP(G637+0,'Concordance Client R2 BOB'!$B:$C,2,FALSE))</f>
        <v/>
      </c>
    </row>
    <row r="638" spans="8:8" x14ac:dyDescent="0.25">
      <c r="H638" s="23" t="str">
        <f>IF(G638="","",VLOOKUP(G638+0,'Concordance Client R2 BOB'!$B:$C,2,FALSE))</f>
        <v/>
      </c>
    </row>
    <row r="639" spans="8:8" x14ac:dyDescent="0.25">
      <c r="H639" s="23" t="str">
        <f>IF(G639="","",VLOOKUP(G639+0,'Concordance Client R2 BOB'!$B:$C,2,FALSE))</f>
        <v/>
      </c>
    </row>
    <row r="640" spans="8:8" x14ac:dyDescent="0.25">
      <c r="H640" s="23" t="str">
        <f>IF(G640="","",VLOOKUP(G640+0,'Concordance Client R2 BOB'!$B:$C,2,FALSE))</f>
        <v/>
      </c>
    </row>
    <row r="641" spans="8:8" x14ac:dyDescent="0.25">
      <c r="H641" s="23" t="str">
        <f>IF(G641="","",VLOOKUP(G641+0,'Concordance Client R2 BOB'!$B:$C,2,FALSE))</f>
        <v/>
      </c>
    </row>
    <row r="642" spans="8:8" x14ac:dyDescent="0.25">
      <c r="H642" s="23" t="str">
        <f>IF(G642="","",VLOOKUP(G642+0,'Concordance Client R2 BOB'!$B:$C,2,FALSE))</f>
        <v/>
      </c>
    </row>
    <row r="643" spans="8:8" x14ac:dyDescent="0.25">
      <c r="H643" s="23" t="str">
        <f>IF(G643="","",VLOOKUP(G643+0,'Concordance Client R2 BOB'!$B:$C,2,FALSE))</f>
        <v/>
      </c>
    </row>
    <row r="644" spans="8:8" x14ac:dyDescent="0.25">
      <c r="H644" s="23" t="str">
        <f>IF(G644="","",VLOOKUP(G644+0,'Concordance Client R2 BOB'!$B:$C,2,FALSE))</f>
        <v/>
      </c>
    </row>
    <row r="645" spans="8:8" x14ac:dyDescent="0.25">
      <c r="H645" s="23" t="str">
        <f>IF(G645="","",VLOOKUP(G645+0,'Concordance Client R2 BOB'!$B:$C,2,FALSE))</f>
        <v/>
      </c>
    </row>
    <row r="646" spans="8:8" x14ac:dyDescent="0.25">
      <c r="H646" s="23" t="str">
        <f>IF(G646="","",VLOOKUP(G646+0,'Concordance Client R2 BOB'!$B:$C,2,FALSE))</f>
        <v/>
      </c>
    </row>
    <row r="647" spans="8:8" x14ac:dyDescent="0.25">
      <c r="H647" s="23" t="str">
        <f>IF(G647="","",VLOOKUP(G647+0,'Concordance Client R2 BOB'!$B:$C,2,FALSE))</f>
        <v/>
      </c>
    </row>
    <row r="648" spans="8:8" x14ac:dyDescent="0.25">
      <c r="H648" s="23" t="str">
        <f>IF(G648="","",VLOOKUP(G648+0,'Concordance Client R2 BOB'!$B:$C,2,FALSE))</f>
        <v/>
      </c>
    </row>
    <row r="649" spans="8:8" x14ac:dyDescent="0.25">
      <c r="H649" s="23" t="str">
        <f>IF(G649="","",VLOOKUP(G649+0,'Concordance Client R2 BOB'!$B:$C,2,FALSE))</f>
        <v/>
      </c>
    </row>
    <row r="650" spans="8:8" x14ac:dyDescent="0.25">
      <c r="H650" s="23" t="str">
        <f>IF(G650="","",VLOOKUP(G650+0,'Concordance Client R2 BOB'!$B:$C,2,FALSE))</f>
        <v/>
      </c>
    </row>
    <row r="651" spans="8:8" x14ac:dyDescent="0.25">
      <c r="H651" s="23" t="str">
        <f>IF(G651="","",VLOOKUP(G651+0,'Concordance Client R2 BOB'!$B:$C,2,FALSE))</f>
        <v/>
      </c>
    </row>
    <row r="652" spans="8:8" x14ac:dyDescent="0.25">
      <c r="H652" s="23" t="str">
        <f>IF(G652="","",VLOOKUP(G652+0,'Concordance Client R2 BOB'!$B:$C,2,FALSE))</f>
        <v/>
      </c>
    </row>
    <row r="653" spans="8:8" x14ac:dyDescent="0.25">
      <c r="H653" s="23" t="str">
        <f>IF(G653="","",VLOOKUP(G653+0,'Concordance Client R2 BOB'!$B:$C,2,FALSE))</f>
        <v/>
      </c>
    </row>
    <row r="654" spans="8:8" x14ac:dyDescent="0.25">
      <c r="H654" s="23" t="str">
        <f>IF(G654="","",VLOOKUP(G654+0,'Concordance Client R2 BOB'!$B:$C,2,FALSE))</f>
        <v/>
      </c>
    </row>
    <row r="655" spans="8:8" x14ac:dyDescent="0.25">
      <c r="H655" s="23" t="str">
        <f>IF(G655="","",VLOOKUP(G655+0,'Concordance Client R2 BOB'!$B:$C,2,FALSE))</f>
        <v/>
      </c>
    </row>
    <row r="656" spans="8:8" x14ac:dyDescent="0.25">
      <c r="H656" s="23" t="str">
        <f>IF(G656="","",VLOOKUP(G656+0,'Concordance Client R2 BOB'!$B:$C,2,FALSE))</f>
        <v/>
      </c>
    </row>
    <row r="657" spans="8:8" x14ac:dyDescent="0.25">
      <c r="H657" s="23" t="str">
        <f>IF(G657="","",VLOOKUP(G657+0,'Concordance Client R2 BOB'!$B:$C,2,FALSE))</f>
        <v/>
      </c>
    </row>
    <row r="658" spans="8:8" x14ac:dyDescent="0.25">
      <c r="H658" s="23" t="str">
        <f>IF(G658="","",VLOOKUP(G658+0,'Concordance Client R2 BOB'!$B:$C,2,FALSE))</f>
        <v/>
      </c>
    </row>
    <row r="659" spans="8:8" x14ac:dyDescent="0.25">
      <c r="H659" s="23" t="str">
        <f>IF(G659="","",VLOOKUP(G659+0,'Concordance Client R2 BOB'!$B:$C,2,FALSE))</f>
        <v/>
      </c>
    </row>
    <row r="660" spans="8:8" x14ac:dyDescent="0.25">
      <c r="H660" s="23" t="str">
        <f>IF(G660="","",VLOOKUP(G660+0,'Concordance Client R2 BOB'!$B:$C,2,FALSE))</f>
        <v/>
      </c>
    </row>
    <row r="661" spans="8:8" x14ac:dyDescent="0.25">
      <c r="H661" s="23" t="str">
        <f>IF(G661="","",VLOOKUP(G661+0,'Concordance Client R2 BOB'!$B:$C,2,FALSE))</f>
        <v/>
      </c>
    </row>
    <row r="662" spans="8:8" x14ac:dyDescent="0.25">
      <c r="H662" s="23" t="str">
        <f>IF(G662="","",VLOOKUP(G662+0,'Concordance Client R2 BOB'!$B:$C,2,FALSE))</f>
        <v/>
      </c>
    </row>
    <row r="663" spans="8:8" x14ac:dyDescent="0.25">
      <c r="H663" s="23" t="str">
        <f>IF(G663="","",VLOOKUP(G663+0,'Concordance Client R2 BOB'!$B:$C,2,FALSE))</f>
        <v/>
      </c>
    </row>
    <row r="664" spans="8:8" x14ac:dyDescent="0.25">
      <c r="H664" s="23" t="str">
        <f>IF(G664="","",VLOOKUP(G664+0,'Concordance Client R2 BOB'!$B:$C,2,FALSE))</f>
        <v/>
      </c>
    </row>
    <row r="665" spans="8:8" x14ac:dyDescent="0.25">
      <c r="H665" s="23" t="str">
        <f>IF(G665="","",VLOOKUP(G665+0,'Concordance Client R2 BOB'!$B:$C,2,FALSE))</f>
        <v/>
      </c>
    </row>
    <row r="666" spans="8:8" x14ac:dyDescent="0.25">
      <c r="H666" s="23" t="str">
        <f>IF(G666="","",VLOOKUP(G666+0,'Concordance Client R2 BOB'!$B:$C,2,FALSE))</f>
        <v/>
      </c>
    </row>
    <row r="667" spans="8:8" x14ac:dyDescent="0.25">
      <c r="H667" s="23" t="str">
        <f>IF(G667="","",VLOOKUP(G667+0,'Concordance Client R2 BOB'!$B:$C,2,FALSE))</f>
        <v/>
      </c>
    </row>
    <row r="668" spans="8:8" x14ac:dyDescent="0.25">
      <c r="H668" s="23" t="str">
        <f>IF(G668="","",VLOOKUP(G668+0,'Concordance Client R2 BOB'!$B:$C,2,FALSE))</f>
        <v/>
      </c>
    </row>
    <row r="669" spans="8:8" x14ac:dyDescent="0.25">
      <c r="H669" s="23" t="str">
        <f>IF(G669="","",VLOOKUP(G669+0,'Concordance Client R2 BOB'!$B:$C,2,FALSE))</f>
        <v/>
      </c>
    </row>
    <row r="670" spans="8:8" x14ac:dyDescent="0.25">
      <c r="H670" s="23" t="str">
        <f>IF(G670="","",VLOOKUP(G670+0,'Concordance Client R2 BOB'!$B:$C,2,FALSE))</f>
        <v/>
      </c>
    </row>
    <row r="671" spans="8:8" x14ac:dyDescent="0.25">
      <c r="H671" s="23" t="str">
        <f>IF(G671="","",VLOOKUP(G671+0,'Concordance Client R2 BOB'!$B:$C,2,FALSE))</f>
        <v/>
      </c>
    </row>
    <row r="672" spans="8:8" x14ac:dyDescent="0.25">
      <c r="H672" s="23" t="str">
        <f>IF(G672="","",VLOOKUP(G672+0,'Concordance Client R2 BOB'!$B:$C,2,FALSE))</f>
        <v/>
      </c>
    </row>
    <row r="673" spans="8:8" x14ac:dyDescent="0.25">
      <c r="H673" s="23" t="str">
        <f>IF(G673="","",VLOOKUP(G673+0,'Concordance Client R2 BOB'!$B:$C,2,FALSE))</f>
        <v/>
      </c>
    </row>
    <row r="674" spans="8:8" x14ac:dyDescent="0.25">
      <c r="H674" s="23" t="str">
        <f>IF(G674="","",VLOOKUP(G674+0,'Concordance Client R2 BOB'!$B:$C,2,FALSE))</f>
        <v/>
      </c>
    </row>
    <row r="675" spans="8:8" x14ac:dyDescent="0.25">
      <c r="H675" s="23" t="str">
        <f>IF(G675="","",VLOOKUP(G675+0,'Concordance Client R2 BOB'!$B:$C,2,FALSE))</f>
        <v/>
      </c>
    </row>
    <row r="676" spans="8:8" x14ac:dyDescent="0.25">
      <c r="H676" s="23" t="str">
        <f>IF(G676="","",VLOOKUP(G676+0,'Concordance Client R2 BOB'!$B:$C,2,FALSE))</f>
        <v/>
      </c>
    </row>
    <row r="677" spans="8:8" x14ac:dyDescent="0.25">
      <c r="H677" s="23" t="str">
        <f>IF(G677="","",VLOOKUP(G677+0,'Concordance Client R2 BOB'!$B:$C,2,FALSE))</f>
        <v/>
      </c>
    </row>
    <row r="678" spans="8:8" x14ac:dyDescent="0.25">
      <c r="H678" s="23" t="str">
        <f>IF(G678="","",VLOOKUP(G678+0,'Concordance Client R2 BOB'!$B:$C,2,FALSE))</f>
        <v/>
      </c>
    </row>
    <row r="679" spans="8:8" x14ac:dyDescent="0.25">
      <c r="H679" s="23" t="str">
        <f>IF(G679="","",VLOOKUP(G679+0,'Concordance Client R2 BOB'!$B:$C,2,FALSE))</f>
        <v/>
      </c>
    </row>
    <row r="680" spans="8:8" x14ac:dyDescent="0.25">
      <c r="H680" s="23" t="str">
        <f>IF(G680="","",VLOOKUP(G680+0,'Concordance Client R2 BOB'!$B:$C,2,FALSE))</f>
        <v/>
      </c>
    </row>
    <row r="681" spans="8:8" x14ac:dyDescent="0.25">
      <c r="H681" s="23" t="str">
        <f>IF(G681="","",VLOOKUP(G681+0,'Concordance Client R2 BOB'!$B:$C,2,FALSE))</f>
        <v/>
      </c>
    </row>
    <row r="682" spans="8:8" x14ac:dyDescent="0.25">
      <c r="H682" s="23" t="str">
        <f>IF(G682="","",VLOOKUP(G682+0,'Concordance Client R2 BOB'!$B:$C,2,FALSE))</f>
        <v/>
      </c>
    </row>
    <row r="683" spans="8:8" x14ac:dyDescent="0.25">
      <c r="H683" s="23" t="str">
        <f>IF(G683="","",VLOOKUP(G683+0,'Concordance Client R2 BOB'!$B:$C,2,FALSE))</f>
        <v/>
      </c>
    </row>
    <row r="684" spans="8:8" x14ac:dyDescent="0.25">
      <c r="H684" s="23" t="str">
        <f>IF(G684="","",VLOOKUP(G684+0,'Concordance Client R2 BOB'!$B:$C,2,FALSE))</f>
        <v/>
      </c>
    </row>
    <row r="685" spans="8:8" x14ac:dyDescent="0.25">
      <c r="H685" s="23" t="str">
        <f>IF(G685="","",VLOOKUP(G685+0,'Concordance Client R2 BOB'!$B:$C,2,FALSE))</f>
        <v/>
      </c>
    </row>
    <row r="686" spans="8:8" x14ac:dyDescent="0.25">
      <c r="H686" s="23" t="str">
        <f>IF(G686="","",VLOOKUP(G686+0,'Concordance Client R2 BOB'!$B:$C,2,FALSE))</f>
        <v/>
      </c>
    </row>
    <row r="687" spans="8:8" x14ac:dyDescent="0.25">
      <c r="H687" s="23" t="str">
        <f>IF(G687="","",VLOOKUP(G687+0,'Concordance Client R2 BOB'!$B:$C,2,FALSE))</f>
        <v/>
      </c>
    </row>
    <row r="688" spans="8:8" x14ac:dyDescent="0.25">
      <c r="H688" s="23" t="str">
        <f>IF(G688="","",VLOOKUP(G688+0,'Concordance Client R2 BOB'!$B:$C,2,FALSE))</f>
        <v/>
      </c>
    </row>
    <row r="689" spans="8:8" x14ac:dyDescent="0.25">
      <c r="H689" s="23" t="str">
        <f>IF(G689="","",VLOOKUP(G689+0,'Concordance Client R2 BOB'!$B:$C,2,FALSE))</f>
        <v/>
      </c>
    </row>
    <row r="690" spans="8:8" x14ac:dyDescent="0.25">
      <c r="H690" s="23" t="str">
        <f>IF(G690="","",VLOOKUP(G690+0,'Concordance Client R2 BOB'!$B:$C,2,FALSE))</f>
        <v/>
      </c>
    </row>
    <row r="691" spans="8:8" x14ac:dyDescent="0.25">
      <c r="H691" s="23" t="str">
        <f>IF(G691="","",VLOOKUP(G691+0,'Concordance Client R2 BOB'!$B:$C,2,FALSE))</f>
        <v/>
      </c>
    </row>
    <row r="692" spans="8:8" x14ac:dyDescent="0.25">
      <c r="H692" s="23" t="str">
        <f>IF(G692="","",VLOOKUP(G692+0,'Concordance Client R2 BOB'!$B:$C,2,FALSE))</f>
        <v/>
      </c>
    </row>
    <row r="693" spans="8:8" x14ac:dyDescent="0.25">
      <c r="H693" s="23" t="str">
        <f>IF(G693="","",VLOOKUP(G693+0,'Concordance Client R2 BOB'!$B:$C,2,FALSE))</f>
        <v/>
      </c>
    </row>
    <row r="694" spans="8:8" x14ac:dyDescent="0.25">
      <c r="H694" s="23" t="str">
        <f>IF(G694="","",VLOOKUP(G694+0,'Concordance Client R2 BOB'!$B:$C,2,FALSE))</f>
        <v/>
      </c>
    </row>
    <row r="695" spans="8:8" x14ac:dyDescent="0.25">
      <c r="H695" s="23" t="str">
        <f>IF(G695="","",VLOOKUP(G695+0,'Concordance Client R2 BOB'!$B:$C,2,FALSE))</f>
        <v/>
      </c>
    </row>
    <row r="696" spans="8:8" x14ac:dyDescent="0.25">
      <c r="H696" s="23" t="str">
        <f>IF(G696="","",VLOOKUP(G696+0,'Concordance Client R2 BOB'!$B:$C,2,FALSE))</f>
        <v/>
      </c>
    </row>
    <row r="697" spans="8:8" x14ac:dyDescent="0.25">
      <c r="H697" s="23" t="str">
        <f>IF(G697="","",VLOOKUP(G697+0,'Concordance Client R2 BOB'!$B:$C,2,FALSE))</f>
        <v/>
      </c>
    </row>
    <row r="698" spans="8:8" x14ac:dyDescent="0.25">
      <c r="H698" s="23" t="str">
        <f>IF(G698="","",VLOOKUP(G698+0,'Concordance Client R2 BOB'!$B:$C,2,FALSE))</f>
        <v/>
      </c>
    </row>
    <row r="699" spans="8:8" x14ac:dyDescent="0.25">
      <c r="H699" s="23" t="str">
        <f>IF(G699="","",VLOOKUP(G699+0,'Concordance Client R2 BOB'!$B:$C,2,FALSE))</f>
        <v/>
      </c>
    </row>
    <row r="700" spans="8:8" x14ac:dyDescent="0.25">
      <c r="H700" s="23" t="str">
        <f>IF(G700="","",VLOOKUP(G700+0,'Concordance Client R2 BOB'!$B:$C,2,FALSE))</f>
        <v/>
      </c>
    </row>
    <row r="701" spans="8:8" x14ac:dyDescent="0.25">
      <c r="H701" s="23" t="str">
        <f>IF(G701="","",VLOOKUP(G701+0,'Concordance Client R2 BOB'!$B:$C,2,FALSE))</f>
        <v/>
      </c>
    </row>
    <row r="702" spans="8:8" x14ac:dyDescent="0.25">
      <c r="H702" s="23" t="str">
        <f>IF(G702="","",VLOOKUP(G702+0,'Concordance Client R2 BOB'!$B:$C,2,FALSE))</f>
        <v/>
      </c>
    </row>
    <row r="703" spans="8:8" x14ac:dyDescent="0.25">
      <c r="H703" s="23" t="str">
        <f>IF(G703="","",VLOOKUP(G703+0,'Concordance Client R2 BOB'!$B:$C,2,FALSE))</f>
        <v/>
      </c>
    </row>
    <row r="704" spans="8:8" x14ac:dyDescent="0.25">
      <c r="H704" s="23" t="str">
        <f>IF(G704="","",VLOOKUP(G704+0,'Concordance Client R2 BOB'!$B:$C,2,FALSE))</f>
        <v/>
      </c>
    </row>
    <row r="705" spans="8:8" x14ac:dyDescent="0.25">
      <c r="H705" s="23" t="str">
        <f>IF(G705="","",VLOOKUP(G705+0,'Concordance Client R2 BOB'!$B:$C,2,FALSE))</f>
        <v/>
      </c>
    </row>
    <row r="706" spans="8:8" x14ac:dyDescent="0.25">
      <c r="H706" s="23" t="str">
        <f>IF(G706="","",VLOOKUP(G706+0,'Concordance Client R2 BOB'!$B:$C,2,FALSE))</f>
        <v/>
      </c>
    </row>
    <row r="707" spans="8:8" x14ac:dyDescent="0.25">
      <c r="H707" s="23" t="str">
        <f>IF(G707="","",VLOOKUP(G707+0,'Concordance Client R2 BOB'!$B:$C,2,FALSE))</f>
        <v/>
      </c>
    </row>
    <row r="708" spans="8:8" x14ac:dyDescent="0.25">
      <c r="H708" s="23" t="str">
        <f>IF(G708="","",VLOOKUP(G708+0,'Concordance Client R2 BOB'!$B:$C,2,FALSE))</f>
        <v/>
      </c>
    </row>
    <row r="709" spans="8:8" x14ac:dyDescent="0.25">
      <c r="H709" s="23" t="str">
        <f>IF(G709="","",VLOOKUP(G709+0,'Concordance Client R2 BOB'!$B:$C,2,FALSE))</f>
        <v/>
      </c>
    </row>
    <row r="710" spans="8:8" x14ac:dyDescent="0.25">
      <c r="H710" s="23" t="str">
        <f>IF(G710="","",VLOOKUP(G710+0,'Concordance Client R2 BOB'!$B:$C,2,FALSE))</f>
        <v/>
      </c>
    </row>
    <row r="711" spans="8:8" x14ac:dyDescent="0.25">
      <c r="H711" s="23" t="str">
        <f>IF(G711="","",VLOOKUP(G711+0,'Concordance Client R2 BOB'!$B:$C,2,FALSE))</f>
        <v/>
      </c>
    </row>
    <row r="712" spans="8:8" x14ac:dyDescent="0.25">
      <c r="H712" s="23" t="str">
        <f>IF(G712="","",VLOOKUP(G712+0,'Concordance Client R2 BOB'!$B:$C,2,FALSE))</f>
        <v/>
      </c>
    </row>
    <row r="713" spans="8:8" x14ac:dyDescent="0.25">
      <c r="H713" s="23" t="str">
        <f>IF(G713="","",VLOOKUP(G713+0,'Concordance Client R2 BOB'!$B:$C,2,FALSE))</f>
        <v/>
      </c>
    </row>
    <row r="714" spans="8:8" x14ac:dyDescent="0.25">
      <c r="H714" s="23" t="str">
        <f>IF(G714="","",VLOOKUP(G714+0,'Concordance Client R2 BOB'!$B:$C,2,FALSE))</f>
        <v/>
      </c>
    </row>
    <row r="715" spans="8:8" x14ac:dyDescent="0.25">
      <c r="H715" s="23" t="str">
        <f>IF(G715="","",VLOOKUP(G715+0,'Concordance Client R2 BOB'!$B:$C,2,FALSE))</f>
        <v/>
      </c>
    </row>
    <row r="716" spans="8:8" x14ac:dyDescent="0.25">
      <c r="H716" s="23" t="str">
        <f>IF(G716="","",VLOOKUP(G716+0,'Concordance Client R2 BOB'!$B:$C,2,FALSE))</f>
        <v/>
      </c>
    </row>
    <row r="717" spans="8:8" x14ac:dyDescent="0.25">
      <c r="H717" s="23" t="str">
        <f>IF(G717="","",VLOOKUP(G717+0,'Concordance Client R2 BOB'!$B:$C,2,FALSE))</f>
        <v/>
      </c>
    </row>
    <row r="718" spans="8:8" x14ac:dyDescent="0.25">
      <c r="H718" s="23" t="str">
        <f>IF(G718="","",VLOOKUP(G718+0,'Concordance Client R2 BOB'!$B:$C,2,FALSE))</f>
        <v/>
      </c>
    </row>
    <row r="719" spans="8:8" x14ac:dyDescent="0.25">
      <c r="H719" s="23" t="str">
        <f>IF(G719="","",VLOOKUP(G719+0,'Concordance Client R2 BOB'!$B:$C,2,FALSE))</f>
        <v/>
      </c>
    </row>
    <row r="720" spans="8:8" x14ac:dyDescent="0.25">
      <c r="H720" s="23" t="str">
        <f>IF(G720="","",VLOOKUP(G720+0,'Concordance Client R2 BOB'!$B:$C,2,FALSE))</f>
        <v/>
      </c>
    </row>
    <row r="721" spans="8:8" x14ac:dyDescent="0.25">
      <c r="H721" s="23" t="str">
        <f>IF(G721="","",VLOOKUP(G721+0,'Concordance Client R2 BOB'!$B:$C,2,FALSE))</f>
        <v/>
      </c>
    </row>
    <row r="722" spans="8:8" x14ac:dyDescent="0.25">
      <c r="H722" s="23" t="str">
        <f>IF(G722="","",VLOOKUP(G722+0,'Concordance Client R2 BOB'!$B:$C,2,FALSE))</f>
        <v/>
      </c>
    </row>
    <row r="723" spans="8:8" x14ac:dyDescent="0.25">
      <c r="H723" s="23" t="str">
        <f>IF(G723="","",VLOOKUP(G723+0,'Concordance Client R2 BOB'!$B:$C,2,FALSE))</f>
        <v/>
      </c>
    </row>
    <row r="724" spans="8:8" x14ac:dyDescent="0.25">
      <c r="H724" s="23" t="str">
        <f>IF(G724="","",VLOOKUP(G724+0,'Concordance Client R2 BOB'!$B:$C,2,FALSE))</f>
        <v/>
      </c>
    </row>
    <row r="725" spans="8:8" x14ac:dyDescent="0.25">
      <c r="H725" s="23" t="str">
        <f>IF(G725="","",VLOOKUP(G725+0,'Concordance Client R2 BOB'!$B:$C,2,FALSE))</f>
        <v/>
      </c>
    </row>
    <row r="726" spans="8:8" x14ac:dyDescent="0.25">
      <c r="H726" s="23" t="str">
        <f>IF(G726="","",VLOOKUP(G726+0,'Concordance Client R2 BOB'!$B:$C,2,FALSE))</f>
        <v/>
      </c>
    </row>
    <row r="727" spans="8:8" x14ac:dyDescent="0.25">
      <c r="H727" s="23" t="str">
        <f>IF(G727="","",VLOOKUP(G727+0,'Concordance Client R2 BOB'!$B:$C,2,FALSE))</f>
        <v/>
      </c>
    </row>
    <row r="728" spans="8:8" x14ac:dyDescent="0.25">
      <c r="H728" s="23" t="str">
        <f>IF(G728="","",VLOOKUP(G728+0,'Concordance Client R2 BOB'!$B:$C,2,FALSE))</f>
        <v/>
      </c>
    </row>
    <row r="729" spans="8:8" x14ac:dyDescent="0.25">
      <c r="H729" s="23" t="str">
        <f>IF(G729="","",VLOOKUP(G729+0,'Concordance Client R2 BOB'!$B:$C,2,FALSE))</f>
        <v/>
      </c>
    </row>
    <row r="730" spans="8:8" x14ac:dyDescent="0.25">
      <c r="H730" s="23" t="str">
        <f>IF(G730="","",VLOOKUP(G730+0,'Concordance Client R2 BOB'!$B:$C,2,FALSE))</f>
        <v/>
      </c>
    </row>
    <row r="731" spans="8:8" x14ac:dyDescent="0.25">
      <c r="H731" s="23" t="str">
        <f>IF(G731="","",VLOOKUP(G731+0,'Concordance Client R2 BOB'!$B:$C,2,FALSE))</f>
        <v/>
      </c>
    </row>
    <row r="732" spans="8:8" x14ac:dyDescent="0.25">
      <c r="H732" s="23" t="str">
        <f>IF(G732="","",VLOOKUP(G732+0,'Concordance Client R2 BOB'!$B:$C,2,FALSE))</f>
        <v/>
      </c>
    </row>
    <row r="733" spans="8:8" x14ac:dyDescent="0.25">
      <c r="H733" s="23" t="str">
        <f>IF(G733="","",VLOOKUP(G733+0,'Concordance Client R2 BOB'!$B:$C,2,FALSE))</f>
        <v/>
      </c>
    </row>
    <row r="734" spans="8:8" x14ac:dyDescent="0.25">
      <c r="H734" s="23" t="str">
        <f>IF(G734="","",VLOOKUP(G734+0,'Concordance Client R2 BOB'!$B:$C,2,FALSE))</f>
        <v/>
      </c>
    </row>
    <row r="735" spans="8:8" x14ac:dyDescent="0.25">
      <c r="H735" s="23" t="str">
        <f>IF(G735="","",VLOOKUP(G735+0,'Concordance Client R2 BOB'!$B:$C,2,FALSE))</f>
        <v/>
      </c>
    </row>
    <row r="736" spans="8:8" x14ac:dyDescent="0.25">
      <c r="H736" s="23" t="str">
        <f>IF(G736="","",VLOOKUP(G736+0,'Concordance Client R2 BOB'!$B:$C,2,FALSE))</f>
        <v/>
      </c>
    </row>
    <row r="737" spans="8:8" x14ac:dyDescent="0.25">
      <c r="H737" s="23" t="str">
        <f>IF(G737="","",VLOOKUP(G737+0,'Concordance Client R2 BOB'!$B:$C,2,FALSE))</f>
        <v/>
      </c>
    </row>
    <row r="738" spans="8:8" x14ac:dyDescent="0.25">
      <c r="H738" s="23" t="str">
        <f>IF(G738="","",VLOOKUP(G738+0,'Concordance Client R2 BOB'!$B:$C,2,FALSE))</f>
        <v/>
      </c>
    </row>
    <row r="739" spans="8:8" x14ac:dyDescent="0.25">
      <c r="H739" s="23" t="str">
        <f>IF(G739="","",VLOOKUP(G739+0,'Concordance Client R2 BOB'!$B:$C,2,FALSE))</f>
        <v/>
      </c>
    </row>
    <row r="740" spans="8:8" x14ac:dyDescent="0.25">
      <c r="H740" s="23" t="str">
        <f>IF(G740="","",VLOOKUP(G740+0,'Concordance Client R2 BOB'!$B:$C,2,FALSE))</f>
        <v/>
      </c>
    </row>
    <row r="741" spans="8:8" x14ac:dyDescent="0.25">
      <c r="H741" s="23" t="str">
        <f>IF(G741="","",VLOOKUP(G741+0,'Concordance Client R2 BOB'!$B:$C,2,FALSE))</f>
        <v/>
      </c>
    </row>
    <row r="742" spans="8:8" x14ac:dyDescent="0.25">
      <c r="H742" s="23" t="str">
        <f>IF(G742="","",VLOOKUP(G742+0,'Concordance Client R2 BOB'!$B:$C,2,FALSE))</f>
        <v/>
      </c>
    </row>
    <row r="743" spans="8:8" x14ac:dyDescent="0.25">
      <c r="H743" s="23" t="str">
        <f>IF(G743="","",VLOOKUP(G743+0,'Concordance Client R2 BOB'!$B:$C,2,FALSE))</f>
        <v/>
      </c>
    </row>
    <row r="744" spans="8:8" x14ac:dyDescent="0.25">
      <c r="H744" s="23" t="str">
        <f>IF(G744="","",VLOOKUP(G744+0,'Concordance Client R2 BOB'!$B:$C,2,FALSE))</f>
        <v/>
      </c>
    </row>
    <row r="745" spans="8:8" x14ac:dyDescent="0.25">
      <c r="H745" s="23" t="str">
        <f>IF(G745="","",VLOOKUP(G745+0,'Concordance Client R2 BOB'!$B:$C,2,FALSE))</f>
        <v/>
      </c>
    </row>
    <row r="746" spans="8:8" x14ac:dyDescent="0.25">
      <c r="H746" s="23" t="str">
        <f>IF(G746="","",VLOOKUP(G746+0,'Concordance Client R2 BOB'!$B:$C,2,FALSE))</f>
        <v/>
      </c>
    </row>
    <row r="747" spans="8:8" x14ac:dyDescent="0.25">
      <c r="H747" s="23" t="str">
        <f>IF(G747="","",VLOOKUP(G747+0,'Concordance Client R2 BOB'!$B:$C,2,FALSE))</f>
        <v/>
      </c>
    </row>
    <row r="748" spans="8:8" x14ac:dyDescent="0.25">
      <c r="H748" s="23" t="str">
        <f>IF(G748="","",VLOOKUP(G748+0,'Concordance Client R2 BOB'!$B:$C,2,FALSE))</f>
        <v/>
      </c>
    </row>
    <row r="749" spans="8:8" x14ac:dyDescent="0.25">
      <c r="H749" s="23" t="str">
        <f>IF(G749="","",VLOOKUP(G749+0,'Concordance Client R2 BOB'!$B:$C,2,FALSE))</f>
        <v/>
      </c>
    </row>
    <row r="750" spans="8:8" x14ac:dyDescent="0.25">
      <c r="H750" s="23" t="str">
        <f>IF(G750="","",VLOOKUP(G750+0,'Concordance Client R2 BOB'!$B:$C,2,FALSE))</f>
        <v/>
      </c>
    </row>
    <row r="751" spans="8:8" x14ac:dyDescent="0.25">
      <c r="H751" s="23" t="str">
        <f>IF(G751="","",VLOOKUP(G751+0,'Concordance Client R2 BOB'!$B:$C,2,FALSE))</f>
        <v/>
      </c>
    </row>
    <row r="752" spans="8:8" x14ac:dyDescent="0.25">
      <c r="H752" s="23" t="str">
        <f>IF(G752="","",VLOOKUP(G752+0,'Concordance Client R2 BOB'!$B:$C,2,FALSE))</f>
        <v/>
      </c>
    </row>
    <row r="753" spans="8:8" x14ac:dyDescent="0.25">
      <c r="H753" s="23" t="str">
        <f>IF(G753="","",VLOOKUP(G753+0,'Concordance Client R2 BOB'!$B:$C,2,FALSE))</f>
        <v/>
      </c>
    </row>
    <row r="754" spans="8:8" x14ac:dyDescent="0.25">
      <c r="H754" s="23" t="str">
        <f>IF(G754="","",VLOOKUP(G754+0,'Concordance Client R2 BOB'!$B:$C,2,FALSE))</f>
        <v/>
      </c>
    </row>
    <row r="755" spans="8:8" x14ac:dyDescent="0.25">
      <c r="H755" s="23" t="str">
        <f>IF(G755="","",VLOOKUP(G755+0,'Concordance Client R2 BOB'!$B:$C,2,FALSE))</f>
        <v/>
      </c>
    </row>
    <row r="756" spans="8:8" x14ac:dyDescent="0.25">
      <c r="H756" s="23" t="str">
        <f>IF(G756="","",VLOOKUP(G756+0,'Concordance Client R2 BOB'!$B:$C,2,FALSE))</f>
        <v/>
      </c>
    </row>
    <row r="757" spans="8:8" x14ac:dyDescent="0.25">
      <c r="H757" s="23" t="str">
        <f>IF(G757="","",VLOOKUP(G757+0,'Concordance Client R2 BOB'!$B:$C,2,FALSE))</f>
        <v/>
      </c>
    </row>
    <row r="758" spans="8:8" x14ac:dyDescent="0.25">
      <c r="H758" s="23" t="str">
        <f>IF(G758="","",VLOOKUP(G758+0,'Concordance Client R2 BOB'!$B:$C,2,FALSE))</f>
        <v/>
      </c>
    </row>
    <row r="759" spans="8:8" x14ac:dyDescent="0.25">
      <c r="H759" s="23" t="str">
        <f>IF(G759="","",VLOOKUP(G759+0,'Concordance Client R2 BOB'!$B:$C,2,FALSE))</f>
        <v/>
      </c>
    </row>
    <row r="760" spans="8:8" x14ac:dyDescent="0.25">
      <c r="H760" s="23" t="str">
        <f>IF(G760="","",VLOOKUP(G760+0,'Concordance Client R2 BOB'!$B:$C,2,FALSE))</f>
        <v/>
      </c>
    </row>
    <row r="761" spans="8:8" x14ac:dyDescent="0.25">
      <c r="H761" s="23" t="str">
        <f>IF(G761="","",VLOOKUP(G761+0,'Concordance Client R2 BOB'!$B:$C,2,FALSE))</f>
        <v/>
      </c>
    </row>
    <row r="762" spans="8:8" x14ac:dyDescent="0.25">
      <c r="H762" s="23" t="str">
        <f>IF(G762="","",VLOOKUP(G762+0,'Concordance Client R2 BOB'!$B:$C,2,FALSE))</f>
        <v/>
      </c>
    </row>
    <row r="763" spans="8:8" x14ac:dyDescent="0.25">
      <c r="H763" s="23" t="str">
        <f>IF(G763="","",VLOOKUP(G763+0,'Concordance Client R2 BOB'!$B:$C,2,FALSE))</f>
        <v/>
      </c>
    </row>
    <row r="764" spans="8:8" x14ac:dyDescent="0.25">
      <c r="H764" s="23" t="str">
        <f>IF(G764="","",VLOOKUP(G764+0,'Concordance Client R2 BOB'!$B:$C,2,FALSE))</f>
        <v/>
      </c>
    </row>
    <row r="765" spans="8:8" x14ac:dyDescent="0.25">
      <c r="H765" s="23" t="str">
        <f>IF(G765="","",VLOOKUP(G765+0,'Concordance Client R2 BOB'!$B:$C,2,FALSE))</f>
        <v/>
      </c>
    </row>
    <row r="766" spans="8:8" x14ac:dyDescent="0.25">
      <c r="H766" s="23" t="str">
        <f>IF(G766="","",VLOOKUP(G766+0,'Concordance Client R2 BOB'!$B:$C,2,FALSE))</f>
        <v/>
      </c>
    </row>
    <row r="767" spans="8:8" x14ac:dyDescent="0.25">
      <c r="H767" s="23" t="str">
        <f>IF(G767="","",VLOOKUP(G767+0,'Concordance Client R2 BOB'!$B:$C,2,FALSE))</f>
        <v/>
      </c>
    </row>
    <row r="768" spans="8:8" x14ac:dyDescent="0.25">
      <c r="H768" s="23" t="str">
        <f>IF(G768="","",VLOOKUP(G768+0,'Concordance Client R2 BOB'!$B:$C,2,FALSE))</f>
        <v/>
      </c>
    </row>
    <row r="769" spans="8:8" x14ac:dyDescent="0.25">
      <c r="H769" s="23" t="str">
        <f>IF(G769="","",VLOOKUP(G769+0,'Concordance Client R2 BOB'!$B:$C,2,FALSE))</f>
        <v/>
      </c>
    </row>
    <row r="770" spans="8:8" x14ac:dyDescent="0.25">
      <c r="H770" s="23" t="str">
        <f>IF(G770="","",VLOOKUP(G770+0,'Concordance Client R2 BOB'!$B:$C,2,FALSE))</f>
        <v/>
      </c>
    </row>
    <row r="771" spans="8:8" x14ac:dyDescent="0.25">
      <c r="H771" s="23" t="str">
        <f>IF(G771="","",VLOOKUP(G771+0,'Concordance Client R2 BOB'!$B:$C,2,FALSE))</f>
        <v/>
      </c>
    </row>
    <row r="772" spans="8:8" x14ac:dyDescent="0.25">
      <c r="H772" s="23" t="str">
        <f>IF(G772="","",VLOOKUP(G772+0,'Concordance Client R2 BOB'!$B:$C,2,FALSE))</f>
        <v/>
      </c>
    </row>
    <row r="773" spans="8:8" x14ac:dyDescent="0.25">
      <c r="H773" s="23" t="str">
        <f>IF(G773="","",VLOOKUP(G773+0,'Concordance Client R2 BOB'!$B:$C,2,FALSE))</f>
        <v/>
      </c>
    </row>
    <row r="774" spans="8:8" x14ac:dyDescent="0.25">
      <c r="H774" s="23" t="str">
        <f>IF(G774="","",VLOOKUP(G774+0,'Concordance Client R2 BOB'!$B:$C,2,FALSE))</f>
        <v/>
      </c>
    </row>
    <row r="775" spans="8:8" x14ac:dyDescent="0.25">
      <c r="H775" s="23" t="str">
        <f>IF(G775="","",VLOOKUP(G775+0,'Concordance Client R2 BOB'!$B:$C,2,FALSE))</f>
        <v/>
      </c>
    </row>
    <row r="776" spans="8:8" x14ac:dyDescent="0.25">
      <c r="H776" s="23" t="str">
        <f>IF(G776="","",VLOOKUP(G776+0,'Concordance Client R2 BOB'!$B:$C,2,FALSE))</f>
        <v/>
      </c>
    </row>
    <row r="777" spans="8:8" x14ac:dyDescent="0.25">
      <c r="H777" s="23" t="str">
        <f>IF(G777="","",VLOOKUP(G777+0,'Concordance Client R2 BOB'!$B:$C,2,FALSE))</f>
        <v/>
      </c>
    </row>
    <row r="778" spans="8:8" x14ac:dyDescent="0.25">
      <c r="H778" s="23" t="str">
        <f>IF(G778="","",VLOOKUP(G778+0,'Concordance Client R2 BOB'!$B:$C,2,FALSE))</f>
        <v/>
      </c>
    </row>
    <row r="779" spans="8:8" x14ac:dyDescent="0.25">
      <c r="H779" s="23" t="str">
        <f>IF(G779="","",VLOOKUP(G779+0,'Concordance Client R2 BOB'!$B:$C,2,FALSE))</f>
        <v/>
      </c>
    </row>
    <row r="780" spans="8:8" x14ac:dyDescent="0.25">
      <c r="H780" s="23" t="str">
        <f>IF(G780="","",VLOOKUP(G780+0,'Concordance Client R2 BOB'!$B:$C,2,FALSE))</f>
        <v/>
      </c>
    </row>
    <row r="781" spans="8:8" x14ac:dyDescent="0.25">
      <c r="H781" s="23" t="str">
        <f>IF(G781="","",VLOOKUP(G781+0,'Concordance Client R2 BOB'!$B:$C,2,FALSE))</f>
        <v/>
      </c>
    </row>
    <row r="782" spans="8:8" x14ac:dyDescent="0.25">
      <c r="H782" s="23" t="str">
        <f>IF(G782="","",VLOOKUP(G782+0,'Concordance Client R2 BOB'!$B:$C,2,FALSE))</f>
        <v/>
      </c>
    </row>
    <row r="783" spans="8:8" x14ac:dyDescent="0.25">
      <c r="H783" s="23" t="str">
        <f>IF(G783="","",VLOOKUP(G783+0,'Concordance Client R2 BOB'!$B:$C,2,FALSE))</f>
        <v/>
      </c>
    </row>
    <row r="784" spans="8:8" x14ac:dyDescent="0.25">
      <c r="H784" s="23" t="str">
        <f>IF(G784="","",VLOOKUP(G784+0,'Concordance Client R2 BOB'!$B:$C,2,FALSE))</f>
        <v/>
      </c>
    </row>
    <row r="785" spans="8:8" x14ac:dyDescent="0.25">
      <c r="H785" s="23" t="str">
        <f>IF(G785="","",VLOOKUP(G785+0,'Concordance Client R2 BOB'!$B:$C,2,FALSE))</f>
        <v/>
      </c>
    </row>
    <row r="786" spans="8:8" x14ac:dyDescent="0.25">
      <c r="H786" s="23" t="str">
        <f>IF(G786="","",VLOOKUP(G786+0,'Concordance Client R2 BOB'!$B:$C,2,FALSE))</f>
        <v/>
      </c>
    </row>
    <row r="787" spans="8:8" x14ac:dyDescent="0.25">
      <c r="H787" s="23" t="str">
        <f>IF(G787="","",VLOOKUP(G787+0,'Concordance Client R2 BOB'!$B:$C,2,FALSE))</f>
        <v/>
      </c>
    </row>
    <row r="788" spans="8:8" x14ac:dyDescent="0.25">
      <c r="H788" s="23" t="str">
        <f>IF(G788="","",VLOOKUP(G788+0,'Concordance Client R2 BOB'!$B:$C,2,FALSE))</f>
        <v/>
      </c>
    </row>
    <row r="789" spans="8:8" x14ac:dyDescent="0.25">
      <c r="H789" s="23" t="str">
        <f>IF(G789="","",VLOOKUP(G789+0,'Concordance Client R2 BOB'!$B:$C,2,FALSE))</f>
        <v/>
      </c>
    </row>
    <row r="790" spans="8:8" x14ac:dyDescent="0.25">
      <c r="H790" s="23" t="str">
        <f>IF(G790="","",VLOOKUP(G790+0,'Concordance Client R2 BOB'!$B:$C,2,FALSE))</f>
        <v/>
      </c>
    </row>
    <row r="791" spans="8:8" x14ac:dyDescent="0.25">
      <c r="H791" s="23" t="str">
        <f>IF(G791="","",VLOOKUP(G791+0,'Concordance Client R2 BOB'!$B:$C,2,FALSE))</f>
        <v/>
      </c>
    </row>
    <row r="792" spans="8:8" x14ac:dyDescent="0.25">
      <c r="H792" s="23" t="str">
        <f>IF(G792="","",VLOOKUP(G792+0,'Concordance Client R2 BOB'!$B:$C,2,FALSE))</f>
        <v/>
      </c>
    </row>
    <row r="793" spans="8:8" x14ac:dyDescent="0.25">
      <c r="H793" s="23" t="str">
        <f>IF(G793="","",VLOOKUP(G793+0,'Concordance Client R2 BOB'!$B:$C,2,FALSE))</f>
        <v/>
      </c>
    </row>
    <row r="794" spans="8:8" x14ac:dyDescent="0.25">
      <c r="H794" s="23" t="str">
        <f>IF(G794="","",VLOOKUP(G794+0,'Concordance Client R2 BOB'!$B:$C,2,FALSE))</f>
        <v/>
      </c>
    </row>
    <row r="795" spans="8:8" x14ac:dyDescent="0.25">
      <c r="H795" s="23" t="str">
        <f>IF(G795="","",VLOOKUP(G795+0,'Concordance Client R2 BOB'!$B:$C,2,FALSE))</f>
        <v/>
      </c>
    </row>
    <row r="796" spans="8:8" x14ac:dyDescent="0.25">
      <c r="H796" s="23" t="str">
        <f>IF(G796="","",VLOOKUP(G796+0,'Concordance Client R2 BOB'!$B:$C,2,FALSE))</f>
        <v/>
      </c>
    </row>
    <row r="797" spans="8:8" x14ac:dyDescent="0.25">
      <c r="H797" s="23" t="str">
        <f>IF(G797="","",VLOOKUP(G797+0,'Concordance Client R2 BOB'!$B:$C,2,FALSE))</f>
        <v/>
      </c>
    </row>
    <row r="798" spans="8:8" x14ac:dyDescent="0.25">
      <c r="H798" s="23" t="str">
        <f>IF(G798="","",VLOOKUP(G798+0,'Concordance Client R2 BOB'!$B:$C,2,FALSE))</f>
        <v/>
      </c>
    </row>
    <row r="799" spans="8:8" x14ac:dyDescent="0.25">
      <c r="H799" s="23" t="str">
        <f>IF(G799="","",VLOOKUP(G799+0,'Concordance Client R2 BOB'!$B:$C,2,FALSE))</f>
        <v/>
      </c>
    </row>
    <row r="800" spans="8:8" x14ac:dyDescent="0.25">
      <c r="H800" s="23" t="str">
        <f>IF(G800="","",VLOOKUP(G800+0,'Concordance Client R2 BOB'!$B:$C,2,FALSE))</f>
        <v/>
      </c>
    </row>
    <row r="801" spans="8:8" x14ac:dyDescent="0.25">
      <c r="H801" s="23" t="str">
        <f>IF(G801="","",VLOOKUP(G801+0,'Concordance Client R2 BOB'!$B:$C,2,FALSE))</f>
        <v/>
      </c>
    </row>
    <row r="802" spans="8:8" x14ac:dyDescent="0.25">
      <c r="H802" s="23" t="str">
        <f>IF(G802="","",VLOOKUP(G802+0,'Concordance Client R2 BOB'!$B:$C,2,FALSE))</f>
        <v/>
      </c>
    </row>
    <row r="803" spans="8:8" x14ac:dyDescent="0.25">
      <c r="H803" s="23" t="str">
        <f>IF(G803="","",VLOOKUP(G803+0,'Concordance Client R2 BOB'!$B:$C,2,FALSE))</f>
        <v/>
      </c>
    </row>
    <row r="804" spans="8:8" x14ac:dyDescent="0.25">
      <c r="H804" s="23" t="str">
        <f>IF(G804="","",VLOOKUP(G804+0,'Concordance Client R2 BOB'!$B:$C,2,FALSE))</f>
        <v/>
      </c>
    </row>
    <row r="805" spans="8:8" x14ac:dyDescent="0.25">
      <c r="H805" s="23" t="str">
        <f>IF(G805="","",VLOOKUP(G805+0,'Concordance Client R2 BOB'!$B:$C,2,FALSE))</f>
        <v/>
      </c>
    </row>
    <row r="806" spans="8:8" x14ac:dyDescent="0.25">
      <c r="H806" s="23" t="str">
        <f>IF(G806="","",VLOOKUP(G806+0,'Concordance Client R2 BOB'!$B:$C,2,FALSE))</f>
        <v/>
      </c>
    </row>
    <row r="807" spans="8:8" x14ac:dyDescent="0.25">
      <c r="H807" s="23" t="str">
        <f>IF(G807="","",VLOOKUP(G807+0,'Concordance Client R2 BOB'!$B:$C,2,FALSE))</f>
        <v/>
      </c>
    </row>
    <row r="808" spans="8:8" x14ac:dyDescent="0.25">
      <c r="H808" s="23" t="str">
        <f>IF(G808="","",VLOOKUP(G808+0,'Concordance Client R2 BOB'!$B:$C,2,FALSE))</f>
        <v/>
      </c>
    </row>
    <row r="809" spans="8:8" x14ac:dyDescent="0.25">
      <c r="H809" s="23" t="str">
        <f>IF(G809="","",VLOOKUP(G809+0,'Concordance Client R2 BOB'!$B:$C,2,FALSE))</f>
        <v/>
      </c>
    </row>
    <row r="810" spans="8:8" x14ac:dyDescent="0.25">
      <c r="H810" s="23" t="str">
        <f>IF(G810="","",VLOOKUP(G810+0,'Concordance Client R2 BOB'!$B:$C,2,FALSE))</f>
        <v/>
      </c>
    </row>
    <row r="811" spans="8:8" x14ac:dyDescent="0.25">
      <c r="H811" s="23" t="str">
        <f>IF(G811="","",VLOOKUP(G811+0,'Concordance Client R2 BOB'!$B:$C,2,FALSE))</f>
        <v/>
      </c>
    </row>
    <row r="812" spans="8:8" x14ac:dyDescent="0.25">
      <c r="H812" s="23" t="str">
        <f>IF(G812="","",VLOOKUP(G812+0,'Concordance Client R2 BOB'!$B:$C,2,FALSE))</f>
        <v/>
      </c>
    </row>
    <row r="813" spans="8:8" x14ac:dyDescent="0.25">
      <c r="H813" s="23" t="str">
        <f>IF(G813="","",VLOOKUP(G813+0,'Concordance Client R2 BOB'!$B:$C,2,FALSE))</f>
        <v/>
      </c>
    </row>
    <row r="814" spans="8:8" x14ac:dyDescent="0.25">
      <c r="H814" s="23" t="str">
        <f>IF(G814="","",VLOOKUP(G814+0,'Concordance Client R2 BOB'!$B:$C,2,FALSE))</f>
        <v/>
      </c>
    </row>
    <row r="815" spans="8:8" x14ac:dyDescent="0.25">
      <c r="H815" s="23" t="str">
        <f>IF(G815="","",VLOOKUP(G815+0,'Concordance Client R2 BOB'!$B:$C,2,FALSE))</f>
        <v/>
      </c>
    </row>
    <row r="816" spans="8:8" x14ac:dyDescent="0.25">
      <c r="H816" s="23" t="str">
        <f>IF(G816="","",VLOOKUP(G816+0,'Concordance Client R2 BOB'!$B:$C,2,FALSE))</f>
        <v/>
      </c>
    </row>
    <row r="817" spans="8:8" x14ac:dyDescent="0.25">
      <c r="H817" s="23" t="str">
        <f>IF(G817="","",VLOOKUP(G817+0,'Concordance Client R2 BOB'!$B:$C,2,FALSE))</f>
        <v/>
      </c>
    </row>
    <row r="818" spans="8:8" x14ac:dyDescent="0.25">
      <c r="H818" s="23" t="str">
        <f>IF(G818="","",VLOOKUP(G818+0,'Concordance Client R2 BOB'!$B:$C,2,FALSE))</f>
        <v/>
      </c>
    </row>
    <row r="819" spans="8:8" x14ac:dyDescent="0.25">
      <c r="H819" s="23" t="str">
        <f>IF(G819="","",VLOOKUP(G819+0,'Concordance Client R2 BOB'!$B:$C,2,FALSE))</f>
        <v/>
      </c>
    </row>
    <row r="820" spans="8:8" x14ac:dyDescent="0.25">
      <c r="H820" s="23" t="str">
        <f>IF(G820="","",VLOOKUP(G820+0,'Concordance Client R2 BOB'!$B:$C,2,FALSE))</f>
        <v/>
      </c>
    </row>
    <row r="821" spans="8:8" x14ac:dyDescent="0.25">
      <c r="H821" s="23" t="str">
        <f>IF(G821="","",VLOOKUP(G821+0,'Concordance Client R2 BOB'!$B:$C,2,FALSE))</f>
        <v/>
      </c>
    </row>
    <row r="822" spans="8:8" x14ac:dyDescent="0.25">
      <c r="H822" s="23" t="str">
        <f>IF(G822="","",VLOOKUP(G822+0,'Concordance Client R2 BOB'!$B:$C,2,FALSE))</f>
        <v/>
      </c>
    </row>
    <row r="823" spans="8:8" x14ac:dyDescent="0.25">
      <c r="H823" s="23" t="str">
        <f>IF(G823="","",VLOOKUP(G823+0,'Concordance Client R2 BOB'!$B:$C,2,FALSE))</f>
        <v/>
      </c>
    </row>
    <row r="824" spans="8:8" x14ac:dyDescent="0.25">
      <c r="H824" s="23" t="str">
        <f>IF(G824="","",VLOOKUP(G824+0,'Concordance Client R2 BOB'!$B:$C,2,FALSE))</f>
        <v/>
      </c>
    </row>
    <row r="825" spans="8:8" x14ac:dyDescent="0.25">
      <c r="H825" s="23" t="str">
        <f>IF(G825="","",VLOOKUP(G825+0,'Concordance Client R2 BOB'!$B:$C,2,FALSE))</f>
        <v/>
      </c>
    </row>
    <row r="826" spans="8:8" x14ac:dyDescent="0.25">
      <c r="H826" s="23" t="str">
        <f>IF(G826="","",VLOOKUP(G826+0,'Concordance Client R2 BOB'!$B:$C,2,FALSE))</f>
        <v/>
      </c>
    </row>
    <row r="827" spans="8:8" x14ac:dyDescent="0.25">
      <c r="H827" s="23" t="str">
        <f>IF(G827="","",VLOOKUP(G827+0,'Concordance Client R2 BOB'!$B:$C,2,FALSE))</f>
        <v/>
      </c>
    </row>
    <row r="828" spans="8:8" x14ac:dyDescent="0.25">
      <c r="H828" s="23" t="str">
        <f>IF(G828="","",VLOOKUP(G828+0,'Concordance Client R2 BOB'!$B:$C,2,FALSE))</f>
        <v/>
      </c>
    </row>
    <row r="829" spans="8:8" x14ac:dyDescent="0.25">
      <c r="H829" s="23" t="str">
        <f>IF(G829="","",VLOOKUP(G829+0,'Concordance Client R2 BOB'!$B:$C,2,FALSE))</f>
        <v/>
      </c>
    </row>
    <row r="830" spans="8:8" x14ac:dyDescent="0.25">
      <c r="H830" s="23" t="str">
        <f>IF(G830="","",VLOOKUP(G830+0,'Concordance Client R2 BOB'!$B:$C,2,FALSE))</f>
        <v/>
      </c>
    </row>
    <row r="831" spans="8:8" x14ac:dyDescent="0.25">
      <c r="H831" s="23" t="str">
        <f>IF(G831="","",VLOOKUP(G831+0,'Concordance Client R2 BOB'!$B:$C,2,FALSE))</f>
        <v/>
      </c>
    </row>
    <row r="832" spans="8:8" x14ac:dyDescent="0.25">
      <c r="H832" s="23" t="str">
        <f>IF(G832="","",VLOOKUP(G832+0,'Concordance Client R2 BOB'!$B:$C,2,FALSE))</f>
        <v/>
      </c>
    </row>
    <row r="833" spans="8:8" x14ac:dyDescent="0.25">
      <c r="H833" s="23" t="str">
        <f>IF(G833="","",VLOOKUP(G833+0,'Concordance Client R2 BOB'!$B:$C,2,FALSE))</f>
        <v/>
      </c>
    </row>
    <row r="834" spans="8:8" x14ac:dyDescent="0.25">
      <c r="H834" s="23" t="str">
        <f>IF(G834="","",VLOOKUP(G834+0,'Concordance Client R2 BOB'!$B:$C,2,FALSE))</f>
        <v/>
      </c>
    </row>
    <row r="835" spans="8:8" x14ac:dyDescent="0.25">
      <c r="H835" s="23" t="str">
        <f>IF(G835="","",VLOOKUP(G835+0,'Concordance Client R2 BOB'!$B:$C,2,FALSE))</f>
        <v/>
      </c>
    </row>
    <row r="836" spans="8:8" x14ac:dyDescent="0.25">
      <c r="H836" s="23" t="str">
        <f>IF(G836="","",VLOOKUP(G836+0,'Concordance Client R2 BOB'!$B:$C,2,FALSE))</f>
        <v/>
      </c>
    </row>
    <row r="837" spans="8:8" x14ac:dyDescent="0.25">
      <c r="H837" s="23" t="str">
        <f>IF(G837="","",VLOOKUP(G837+0,'Concordance Client R2 BOB'!$B:$C,2,FALSE))</f>
        <v/>
      </c>
    </row>
    <row r="838" spans="8:8" x14ac:dyDescent="0.25">
      <c r="H838" s="23" t="str">
        <f>IF(G838="","",VLOOKUP(G838+0,'Concordance Client R2 BOB'!$B:$C,2,FALSE))</f>
        <v/>
      </c>
    </row>
    <row r="839" spans="8:8" x14ac:dyDescent="0.25">
      <c r="H839" s="23" t="str">
        <f>IF(G839="","",VLOOKUP(G839+0,'Concordance Client R2 BOB'!$B:$C,2,FALSE))</f>
        <v/>
      </c>
    </row>
    <row r="840" spans="8:8" x14ac:dyDescent="0.25">
      <c r="H840" s="23" t="str">
        <f>IF(G840="","",VLOOKUP(G840+0,'Concordance Client R2 BOB'!$B:$C,2,FALSE))</f>
        <v/>
      </c>
    </row>
    <row r="841" spans="8:8" x14ac:dyDescent="0.25">
      <c r="H841" s="23" t="str">
        <f>IF(G841="","",VLOOKUP(G841+0,'Concordance Client R2 BOB'!$B:$C,2,FALSE))</f>
        <v/>
      </c>
    </row>
    <row r="842" spans="8:8" x14ac:dyDescent="0.25">
      <c r="H842" s="23" t="str">
        <f>IF(G842="","",VLOOKUP(G842+0,'Concordance Client R2 BOB'!$B:$C,2,FALSE))</f>
        <v/>
      </c>
    </row>
    <row r="843" spans="8:8" x14ac:dyDescent="0.25">
      <c r="H843" s="23" t="str">
        <f>IF(G843="","",VLOOKUP(G843+0,'Concordance Client R2 BOB'!$B:$C,2,FALSE))</f>
        <v/>
      </c>
    </row>
    <row r="844" spans="8:8" x14ac:dyDescent="0.25">
      <c r="H844" s="23" t="str">
        <f>IF(G844="","",VLOOKUP(G844+0,'Concordance Client R2 BOB'!$B:$C,2,FALSE))</f>
        <v/>
      </c>
    </row>
    <row r="845" spans="8:8" x14ac:dyDescent="0.25">
      <c r="H845" s="23" t="str">
        <f>IF(G845="","",VLOOKUP(G845+0,'Concordance Client R2 BOB'!$B:$C,2,FALSE))</f>
        <v/>
      </c>
    </row>
    <row r="846" spans="8:8" x14ac:dyDescent="0.25">
      <c r="H846" s="23" t="str">
        <f>IF(G846="","",VLOOKUP(G846+0,'Concordance Client R2 BOB'!$B:$C,2,FALSE))</f>
        <v/>
      </c>
    </row>
    <row r="847" spans="8:8" x14ac:dyDescent="0.25">
      <c r="H847" s="23" t="str">
        <f>IF(G847="","",VLOOKUP(G847+0,'Concordance Client R2 BOB'!$B:$C,2,FALSE))</f>
        <v/>
      </c>
    </row>
    <row r="848" spans="8:8" x14ac:dyDescent="0.25">
      <c r="H848" s="23" t="str">
        <f>IF(G848="","",VLOOKUP(G848+0,'Concordance Client R2 BOB'!$B:$C,2,FALSE))</f>
        <v/>
      </c>
    </row>
    <row r="849" spans="8:8" x14ac:dyDescent="0.25">
      <c r="H849" s="23" t="str">
        <f>IF(G849="","",VLOOKUP(G849+0,'Concordance Client R2 BOB'!$B:$C,2,FALSE))</f>
        <v/>
      </c>
    </row>
    <row r="850" spans="8:8" x14ac:dyDescent="0.25">
      <c r="H850" s="23" t="str">
        <f>IF(G850="","",VLOOKUP(G850+0,'Concordance Client R2 BOB'!$B:$C,2,FALSE))</f>
        <v/>
      </c>
    </row>
    <row r="851" spans="8:8" x14ac:dyDescent="0.25">
      <c r="H851" s="23" t="str">
        <f>IF(G851="","",VLOOKUP(G851+0,'Concordance Client R2 BOB'!$B:$C,2,FALSE))</f>
        <v/>
      </c>
    </row>
    <row r="852" spans="8:8" x14ac:dyDescent="0.25">
      <c r="H852" s="23" t="str">
        <f>IF(G852="","",VLOOKUP(G852+0,'Concordance Client R2 BOB'!$B:$C,2,FALSE))</f>
        <v/>
      </c>
    </row>
    <row r="853" spans="8:8" x14ac:dyDescent="0.25">
      <c r="H853" s="23" t="str">
        <f>IF(G853="","",VLOOKUP(G853+0,'Concordance Client R2 BOB'!$B:$C,2,FALSE))</f>
        <v/>
      </c>
    </row>
    <row r="854" spans="8:8" x14ac:dyDescent="0.25">
      <c r="H854" s="23" t="str">
        <f>IF(G854="","",VLOOKUP(G854+0,'Concordance Client R2 BOB'!$B:$C,2,FALSE))</f>
        <v/>
      </c>
    </row>
    <row r="855" spans="8:8" x14ac:dyDescent="0.25">
      <c r="H855" s="23" t="str">
        <f>IF(G855="","",VLOOKUP(G855+0,'Concordance Client R2 BOB'!$B:$C,2,FALSE))</f>
        <v/>
      </c>
    </row>
    <row r="856" spans="8:8" x14ac:dyDescent="0.25">
      <c r="H856" s="23" t="str">
        <f>IF(G856="","",VLOOKUP(G856+0,'Concordance Client R2 BOB'!$B:$C,2,FALSE))</f>
        <v/>
      </c>
    </row>
    <row r="857" spans="8:8" x14ac:dyDescent="0.25">
      <c r="H857" s="23" t="str">
        <f>IF(G857="","",VLOOKUP(G857+0,'Concordance Client R2 BOB'!$B:$C,2,FALSE))</f>
        <v/>
      </c>
    </row>
    <row r="858" spans="8:8" x14ac:dyDescent="0.25">
      <c r="H858" s="23" t="str">
        <f>IF(G858="","",VLOOKUP(G858+0,'Concordance Client R2 BOB'!$B:$C,2,FALSE))</f>
        <v/>
      </c>
    </row>
    <row r="859" spans="8:8" x14ac:dyDescent="0.25">
      <c r="H859" s="23" t="str">
        <f>IF(G859="","",VLOOKUP(G859+0,'Concordance Client R2 BOB'!$B:$C,2,FALSE))</f>
        <v/>
      </c>
    </row>
    <row r="860" spans="8:8" x14ac:dyDescent="0.25">
      <c r="H860" s="23" t="str">
        <f>IF(G860="","",VLOOKUP(G860+0,'Concordance Client R2 BOB'!$B:$C,2,FALSE))</f>
        <v/>
      </c>
    </row>
    <row r="861" spans="8:8" x14ac:dyDescent="0.25">
      <c r="H861" s="23" t="str">
        <f>IF(G861="","",VLOOKUP(G861+0,'Concordance Client R2 BOB'!$B:$C,2,FALSE))</f>
        <v/>
      </c>
    </row>
    <row r="862" spans="8:8" x14ac:dyDescent="0.25">
      <c r="H862" s="23" t="str">
        <f>IF(G862="","",VLOOKUP(G862+0,'Concordance Client R2 BOB'!$B:$C,2,FALSE))</f>
        <v/>
      </c>
    </row>
    <row r="863" spans="8:8" x14ac:dyDescent="0.25">
      <c r="H863" s="23" t="str">
        <f>IF(G863="","",VLOOKUP(G863+0,'Concordance Client R2 BOB'!$B:$C,2,FALSE))</f>
        <v/>
      </c>
    </row>
    <row r="864" spans="8:8" x14ac:dyDescent="0.25">
      <c r="H864" s="23" t="str">
        <f>IF(G864="","",VLOOKUP(G864+0,'Concordance Client R2 BOB'!$B:$C,2,FALSE))</f>
        <v/>
      </c>
    </row>
    <row r="865" spans="8:8" x14ac:dyDescent="0.25">
      <c r="H865" s="23" t="str">
        <f>IF(G865="","",VLOOKUP(G865+0,'Concordance Client R2 BOB'!$B:$C,2,FALSE))</f>
        <v/>
      </c>
    </row>
    <row r="866" spans="8:8" x14ac:dyDescent="0.25">
      <c r="H866" s="23" t="str">
        <f>IF(G866="","",VLOOKUP(G866+0,'Concordance Client R2 BOB'!$B:$C,2,FALSE))</f>
        <v/>
      </c>
    </row>
    <row r="867" spans="8:8" x14ac:dyDescent="0.25">
      <c r="H867" s="23" t="str">
        <f>IF(G867="","",VLOOKUP(G867+0,'Concordance Client R2 BOB'!$B:$C,2,FALSE))</f>
        <v/>
      </c>
    </row>
    <row r="868" spans="8:8" x14ac:dyDescent="0.25">
      <c r="H868" s="23" t="str">
        <f>IF(G868="","",VLOOKUP(G868+0,'Concordance Client R2 BOB'!$B:$C,2,FALSE))</f>
        <v/>
      </c>
    </row>
    <row r="869" spans="8:8" x14ac:dyDescent="0.25">
      <c r="H869" s="23" t="str">
        <f>IF(G869="","",VLOOKUP(G869+0,'Concordance Client R2 BOB'!$B:$C,2,FALSE))</f>
        <v/>
      </c>
    </row>
    <row r="870" spans="8:8" x14ac:dyDescent="0.25">
      <c r="H870" s="23" t="str">
        <f>IF(G870="","",VLOOKUP(G870+0,'Concordance Client R2 BOB'!$B:$C,2,FALSE))</f>
        <v/>
      </c>
    </row>
    <row r="871" spans="8:8" x14ac:dyDescent="0.25">
      <c r="H871" s="23" t="str">
        <f>IF(G871="","",VLOOKUP(G871+0,'Concordance Client R2 BOB'!$B:$C,2,FALSE))</f>
        <v/>
      </c>
    </row>
    <row r="872" spans="8:8" x14ac:dyDescent="0.25">
      <c r="H872" s="23" t="str">
        <f>IF(G872="","",VLOOKUP(G872+0,'Concordance Client R2 BOB'!$B:$C,2,FALSE))</f>
        <v/>
      </c>
    </row>
    <row r="873" spans="8:8" x14ac:dyDescent="0.25">
      <c r="H873" s="23" t="str">
        <f>IF(G873="","",VLOOKUP(G873+0,'Concordance Client R2 BOB'!$B:$C,2,FALSE))</f>
        <v/>
      </c>
    </row>
    <row r="874" spans="8:8" x14ac:dyDescent="0.25">
      <c r="H874" s="23" t="str">
        <f>IF(G874="","",VLOOKUP(G874+0,'Concordance Client R2 BOB'!$B:$C,2,FALSE))</f>
        <v/>
      </c>
    </row>
    <row r="875" spans="8:8" x14ac:dyDescent="0.25">
      <c r="H875" s="23" t="str">
        <f>IF(G875="","",VLOOKUP(G875+0,'Concordance Client R2 BOB'!$B:$C,2,FALSE))</f>
        <v/>
      </c>
    </row>
    <row r="876" spans="8:8" x14ac:dyDescent="0.25">
      <c r="H876" s="23" t="str">
        <f>IF(G876="","",VLOOKUP(G876+0,'Concordance Client R2 BOB'!$B:$C,2,FALSE))</f>
        <v/>
      </c>
    </row>
    <row r="877" spans="8:8" x14ac:dyDescent="0.25">
      <c r="H877" s="23" t="str">
        <f>IF(G877="","",VLOOKUP(G877+0,'Concordance Client R2 BOB'!$B:$C,2,FALSE))</f>
        <v/>
      </c>
    </row>
    <row r="878" spans="8:8" x14ac:dyDescent="0.25">
      <c r="H878" s="23" t="str">
        <f>IF(G878="","",VLOOKUP(G878+0,'Concordance Client R2 BOB'!$B:$C,2,FALSE))</f>
        <v/>
      </c>
    </row>
    <row r="879" spans="8:8" x14ac:dyDescent="0.25">
      <c r="H879" s="23" t="str">
        <f>IF(G879="","",VLOOKUP(G879+0,'Concordance Client R2 BOB'!$B:$C,2,FALSE))</f>
        <v/>
      </c>
    </row>
    <row r="880" spans="8:8" x14ac:dyDescent="0.25">
      <c r="H880" s="23" t="str">
        <f>IF(G880="","",VLOOKUP(G880+0,'Concordance Client R2 BOB'!$B:$C,2,FALSE))</f>
        <v/>
      </c>
    </row>
    <row r="881" spans="8:8" x14ac:dyDescent="0.25">
      <c r="H881" s="23" t="str">
        <f>IF(G881="","",VLOOKUP(G881+0,'Concordance Client R2 BOB'!$B:$C,2,FALSE))</f>
        <v/>
      </c>
    </row>
    <row r="882" spans="8:8" x14ac:dyDescent="0.25">
      <c r="H882" s="23" t="str">
        <f>IF(G882="","",VLOOKUP(G882+0,'Concordance Client R2 BOB'!$B:$C,2,FALSE))</f>
        <v/>
      </c>
    </row>
    <row r="883" spans="8:8" x14ac:dyDescent="0.25">
      <c r="H883" s="23" t="str">
        <f>IF(G883="","",VLOOKUP(G883+0,'Concordance Client R2 BOB'!$B:$C,2,FALSE))</f>
        <v/>
      </c>
    </row>
    <row r="884" spans="8:8" x14ac:dyDescent="0.25">
      <c r="H884" s="23" t="str">
        <f>IF(G884="","",VLOOKUP(G884+0,'Concordance Client R2 BOB'!$B:$C,2,FALSE))</f>
        <v/>
      </c>
    </row>
    <row r="885" spans="8:8" x14ac:dyDescent="0.25">
      <c r="H885" s="23" t="str">
        <f>IF(G885="","",VLOOKUP(G885+0,'Concordance Client R2 BOB'!$B:$C,2,FALSE))</f>
        <v/>
      </c>
    </row>
    <row r="886" spans="8:8" x14ac:dyDescent="0.25">
      <c r="H886" s="23" t="str">
        <f>IF(G886="","",VLOOKUP(G886+0,'Concordance Client R2 BOB'!$B:$C,2,FALSE))</f>
        <v/>
      </c>
    </row>
    <row r="887" spans="8:8" x14ac:dyDescent="0.25">
      <c r="H887" s="23" t="str">
        <f>IF(G887="","",VLOOKUP(G887+0,'Concordance Client R2 BOB'!$B:$C,2,FALSE))</f>
        <v/>
      </c>
    </row>
    <row r="888" spans="8:8" x14ac:dyDescent="0.25">
      <c r="H888" s="23" t="str">
        <f>IF(G888="","",VLOOKUP(G888+0,'Concordance Client R2 BOB'!$B:$C,2,FALSE))</f>
        <v/>
      </c>
    </row>
    <row r="889" spans="8:8" x14ac:dyDescent="0.25">
      <c r="H889" s="23" t="str">
        <f>IF(G889="","",VLOOKUP(G889+0,'Concordance Client R2 BOB'!$B:$C,2,FALSE))</f>
        <v/>
      </c>
    </row>
    <row r="890" spans="8:8" x14ac:dyDescent="0.25">
      <c r="H890" s="23" t="str">
        <f>IF(G890="","",VLOOKUP(G890+0,'Concordance Client R2 BOB'!$B:$C,2,FALSE))</f>
        <v/>
      </c>
    </row>
    <row r="891" spans="8:8" x14ac:dyDescent="0.25">
      <c r="H891" s="23" t="str">
        <f>IF(G891="","",VLOOKUP(G891+0,'Concordance Client R2 BOB'!$B:$C,2,FALSE))</f>
        <v/>
      </c>
    </row>
    <row r="892" spans="8:8" x14ac:dyDescent="0.25">
      <c r="H892" s="23" t="str">
        <f>IF(G892="","",VLOOKUP(G892+0,'Concordance Client R2 BOB'!$B:$C,2,FALSE))</f>
        <v/>
      </c>
    </row>
    <row r="893" spans="8:8" x14ac:dyDescent="0.25">
      <c r="H893" s="23" t="str">
        <f>IF(G893="","",VLOOKUP(G893+0,'Concordance Client R2 BOB'!$B:$C,2,FALSE))</f>
        <v/>
      </c>
    </row>
    <row r="894" spans="8:8" x14ac:dyDescent="0.25">
      <c r="H894" s="23" t="str">
        <f>IF(G894="","",VLOOKUP(G894+0,'Concordance Client R2 BOB'!$B:$C,2,FALSE))</f>
        <v/>
      </c>
    </row>
    <row r="895" spans="8:8" x14ac:dyDescent="0.25">
      <c r="H895" s="23" t="str">
        <f>IF(G895="","",VLOOKUP(G895+0,'Concordance Client R2 BOB'!$B:$C,2,FALSE))</f>
        <v/>
      </c>
    </row>
    <row r="896" spans="8:8" x14ac:dyDescent="0.25">
      <c r="H896" s="23" t="str">
        <f>IF(G896="","",VLOOKUP(G896+0,'Concordance Client R2 BOB'!$B:$C,2,FALSE))</f>
        <v/>
      </c>
    </row>
    <row r="897" spans="8:8" x14ac:dyDescent="0.25">
      <c r="H897" s="23" t="str">
        <f>IF(G897="","",VLOOKUP(G897+0,'Concordance Client R2 BOB'!$B:$C,2,FALSE))</f>
        <v/>
      </c>
    </row>
    <row r="898" spans="8:8" x14ac:dyDescent="0.25">
      <c r="H898" s="23" t="str">
        <f>IF(G898="","",VLOOKUP(G898+0,'Concordance Client R2 BOB'!$B:$C,2,FALSE))</f>
        <v/>
      </c>
    </row>
    <row r="899" spans="8:8" x14ac:dyDescent="0.25">
      <c r="H899" s="23" t="str">
        <f>IF(G899="","",VLOOKUP(G899+0,'Concordance Client R2 BOB'!$B:$C,2,FALSE))</f>
        <v/>
      </c>
    </row>
    <row r="900" spans="8:8" x14ac:dyDescent="0.25">
      <c r="H900" s="23" t="str">
        <f>IF(G900="","",VLOOKUP(G900+0,'Concordance Client R2 BOB'!$B:$C,2,FALSE))</f>
        <v/>
      </c>
    </row>
    <row r="901" spans="8:8" x14ac:dyDescent="0.25">
      <c r="H901" s="23" t="str">
        <f>IF(G901="","",VLOOKUP(G901+0,'Concordance Client R2 BOB'!$B:$C,2,FALSE))</f>
        <v/>
      </c>
    </row>
    <row r="902" spans="8:8" x14ac:dyDescent="0.25">
      <c r="H902" s="23" t="str">
        <f>IF(G902="","",VLOOKUP(G902+0,'Concordance Client R2 BOB'!$B:$C,2,FALSE))</f>
        <v/>
      </c>
    </row>
    <row r="903" spans="8:8" x14ac:dyDescent="0.25">
      <c r="H903" s="23" t="str">
        <f>IF(G903="","",VLOOKUP(G903+0,'Concordance Client R2 BOB'!$B:$C,2,FALSE))</f>
        <v/>
      </c>
    </row>
    <row r="904" spans="8:8" x14ac:dyDescent="0.25">
      <c r="H904" s="23" t="str">
        <f>IF(G904="","",VLOOKUP(G904+0,'Concordance Client R2 BOB'!$B:$C,2,FALSE))</f>
        <v/>
      </c>
    </row>
    <row r="905" spans="8:8" x14ac:dyDescent="0.25">
      <c r="H905" s="23" t="str">
        <f>IF(G905="","",VLOOKUP(G905+0,'Concordance Client R2 BOB'!$B:$C,2,FALSE))</f>
        <v/>
      </c>
    </row>
    <row r="906" spans="8:8" x14ac:dyDescent="0.25">
      <c r="H906" s="23" t="str">
        <f>IF(G906="","",VLOOKUP(G906+0,'Concordance Client R2 BOB'!$B:$C,2,FALSE))</f>
        <v/>
      </c>
    </row>
    <row r="907" spans="8:8" x14ac:dyDescent="0.25">
      <c r="H907" s="23" t="str">
        <f>IF(G907="","",VLOOKUP(G907+0,'Concordance Client R2 BOB'!$B:$C,2,FALSE))</f>
        <v/>
      </c>
    </row>
    <row r="908" spans="8:8" x14ac:dyDescent="0.25">
      <c r="H908" s="23" t="str">
        <f>IF(G908="","",VLOOKUP(G908+0,'Concordance Client R2 BOB'!$B:$C,2,FALSE))</f>
        <v/>
      </c>
    </row>
    <row r="909" spans="8:8" x14ac:dyDescent="0.25">
      <c r="H909" s="23" t="str">
        <f>IF(G909="","",VLOOKUP(G909+0,'Concordance Client R2 BOB'!$B:$C,2,FALSE))</f>
        <v/>
      </c>
    </row>
    <row r="910" spans="8:8" x14ac:dyDescent="0.25">
      <c r="H910" s="23" t="str">
        <f>IF(G910="","",VLOOKUP(G910+0,'Concordance Client R2 BOB'!$B:$C,2,FALSE))</f>
        <v/>
      </c>
    </row>
    <row r="911" spans="8:8" x14ac:dyDescent="0.25">
      <c r="H911" s="23" t="str">
        <f>IF(G911="","",VLOOKUP(G911+0,'Concordance Client R2 BOB'!$B:$C,2,FALSE))</f>
        <v/>
      </c>
    </row>
    <row r="912" spans="8:8" x14ac:dyDescent="0.25">
      <c r="H912" s="23" t="str">
        <f>IF(G912="","",VLOOKUP(G912+0,'Concordance Client R2 BOB'!$B:$C,2,FALSE))</f>
        <v/>
      </c>
    </row>
    <row r="913" spans="8:8" x14ac:dyDescent="0.25">
      <c r="H913" s="23" t="str">
        <f>IF(G913="","",VLOOKUP(G913+0,'Concordance Client R2 BOB'!$B:$C,2,FALSE))</f>
        <v/>
      </c>
    </row>
    <row r="914" spans="8:8" x14ac:dyDescent="0.25">
      <c r="H914" s="23" t="str">
        <f>IF(G914="","",VLOOKUP(G914+0,'Concordance Client R2 BOB'!$B:$C,2,FALSE))</f>
        <v/>
      </c>
    </row>
    <row r="915" spans="8:8" x14ac:dyDescent="0.25">
      <c r="H915" s="23" t="str">
        <f>IF(G915="","",VLOOKUP(G915+0,'Concordance Client R2 BOB'!$B:$C,2,FALSE))</f>
        <v/>
      </c>
    </row>
    <row r="916" spans="8:8" x14ac:dyDescent="0.25">
      <c r="H916" s="23" t="str">
        <f>IF(G916="","",VLOOKUP(G916+0,'Concordance Client R2 BOB'!$B:$C,2,FALSE))</f>
        <v/>
      </c>
    </row>
    <row r="917" spans="8:8" x14ac:dyDescent="0.25">
      <c r="H917" s="23" t="str">
        <f>IF(G917="","",VLOOKUP(G917+0,'Concordance Client R2 BOB'!$B:$C,2,FALSE))</f>
        <v/>
      </c>
    </row>
    <row r="918" spans="8:8" x14ac:dyDescent="0.25">
      <c r="H918" s="23" t="str">
        <f>IF(G918="","",VLOOKUP(G918+0,'Concordance Client R2 BOB'!$B:$C,2,FALSE))</f>
        <v/>
      </c>
    </row>
    <row r="919" spans="8:8" x14ac:dyDescent="0.25">
      <c r="H919" s="23" t="str">
        <f>IF(G919="","",VLOOKUP(G919+0,'Concordance Client R2 BOB'!$B:$C,2,FALSE))</f>
        <v/>
      </c>
    </row>
    <row r="920" spans="8:8" x14ac:dyDescent="0.25">
      <c r="H920" s="23" t="str">
        <f>IF(G920="","",VLOOKUP(G920+0,'Concordance Client R2 BOB'!$B:$C,2,FALSE))</f>
        <v/>
      </c>
    </row>
    <row r="921" spans="8:8" x14ac:dyDescent="0.25">
      <c r="H921" s="23" t="str">
        <f>IF(G921="","",VLOOKUP(G921+0,'Concordance Client R2 BOB'!$B:$C,2,FALSE))</f>
        <v/>
      </c>
    </row>
    <row r="922" spans="8:8" x14ac:dyDescent="0.25">
      <c r="H922" s="23" t="str">
        <f>IF(G922="","",VLOOKUP(G922+0,'Concordance Client R2 BOB'!$B:$C,2,FALSE))</f>
        <v/>
      </c>
    </row>
    <row r="923" spans="8:8" x14ac:dyDescent="0.25">
      <c r="H923" s="23" t="str">
        <f>IF(G923="","",VLOOKUP(G923+0,'Concordance Client R2 BOB'!$B:$C,2,FALSE))</f>
        <v/>
      </c>
    </row>
    <row r="924" spans="8:8" x14ac:dyDescent="0.25">
      <c r="H924" s="23" t="str">
        <f>IF(G924="","",VLOOKUP(G924+0,'Concordance Client R2 BOB'!$B:$C,2,FALSE))</f>
        <v/>
      </c>
    </row>
    <row r="925" spans="8:8" x14ac:dyDescent="0.25">
      <c r="H925" s="23" t="str">
        <f>IF(G925="","",VLOOKUP(G925+0,'Concordance Client R2 BOB'!$B:$C,2,FALSE))</f>
        <v/>
      </c>
    </row>
    <row r="926" spans="8:8" x14ac:dyDescent="0.25">
      <c r="H926" s="23" t="str">
        <f>IF(G926="","",VLOOKUP(G926+0,'Concordance Client R2 BOB'!$B:$C,2,FALSE))</f>
        <v/>
      </c>
    </row>
    <row r="927" spans="8:8" x14ac:dyDescent="0.25">
      <c r="H927" s="23" t="str">
        <f>IF(G927="","",VLOOKUP(G927+0,'Concordance Client R2 BOB'!$B:$C,2,FALSE))</f>
        <v/>
      </c>
    </row>
    <row r="928" spans="8:8" x14ac:dyDescent="0.25">
      <c r="H928" s="23" t="str">
        <f>IF(G928="","",VLOOKUP(G928+0,'Concordance Client R2 BOB'!$B:$C,2,FALSE))</f>
        <v/>
      </c>
    </row>
    <row r="929" spans="8:8" x14ac:dyDescent="0.25">
      <c r="H929" s="23" t="str">
        <f>IF(G929="","",VLOOKUP(G929+0,'Concordance Client R2 BOB'!$B:$C,2,FALSE))</f>
        <v/>
      </c>
    </row>
    <row r="930" spans="8:8" x14ac:dyDescent="0.25">
      <c r="H930" s="23" t="str">
        <f>IF(G930="","",VLOOKUP(G930+0,'Concordance Client R2 BOB'!$B:$C,2,FALSE))</f>
        <v/>
      </c>
    </row>
    <row r="931" spans="8:8" x14ac:dyDescent="0.25">
      <c r="H931" s="23" t="str">
        <f>IF(G931="","",VLOOKUP(G931+0,'Concordance Client R2 BOB'!$B:$C,2,FALSE))</f>
        <v/>
      </c>
    </row>
    <row r="932" spans="8:8" x14ac:dyDescent="0.25">
      <c r="H932" s="23" t="str">
        <f>IF(G932="","",VLOOKUP(G932+0,'Concordance Client R2 BOB'!$B:$C,2,FALSE))</f>
        <v/>
      </c>
    </row>
    <row r="933" spans="8:8" x14ac:dyDescent="0.25">
      <c r="H933" s="23" t="str">
        <f>IF(G933="","",VLOOKUP(G933+0,'Concordance Client R2 BOB'!$B:$C,2,FALSE))</f>
        <v/>
      </c>
    </row>
    <row r="934" spans="8:8" x14ac:dyDescent="0.25">
      <c r="H934" s="23" t="str">
        <f>IF(G934="","",VLOOKUP(G934+0,'Concordance Client R2 BOB'!$B:$C,2,FALSE))</f>
        <v/>
      </c>
    </row>
    <row r="935" spans="8:8" x14ac:dyDescent="0.25">
      <c r="H935" s="23" t="str">
        <f>IF(G935="","",VLOOKUP(G935+0,'Concordance Client R2 BOB'!$B:$C,2,FALSE))</f>
        <v/>
      </c>
    </row>
    <row r="936" spans="8:8" x14ac:dyDescent="0.25">
      <c r="H936" s="23" t="str">
        <f>IF(G936="","",VLOOKUP(G936+0,'Concordance Client R2 BOB'!$B:$C,2,FALSE))</f>
        <v/>
      </c>
    </row>
    <row r="937" spans="8:8" x14ac:dyDescent="0.25">
      <c r="H937" s="23" t="str">
        <f>IF(G937="","",VLOOKUP(G937+0,'Concordance Client R2 BOB'!$B:$C,2,FALSE))</f>
        <v/>
      </c>
    </row>
    <row r="938" spans="8:8" x14ac:dyDescent="0.25">
      <c r="H938" s="23" t="str">
        <f>IF(G938="","",VLOOKUP(G938+0,'Concordance Client R2 BOB'!$B:$C,2,FALSE))</f>
        <v/>
      </c>
    </row>
    <row r="939" spans="8:8" x14ac:dyDescent="0.25">
      <c r="H939" s="23" t="str">
        <f>IF(G939="","",VLOOKUP(G939+0,'Concordance Client R2 BOB'!$B:$C,2,FALSE))</f>
        <v/>
      </c>
    </row>
    <row r="940" spans="8:8" x14ac:dyDescent="0.25">
      <c r="H940" s="23" t="str">
        <f>IF(G940="","",VLOOKUP(G940+0,'Concordance Client R2 BOB'!$B:$C,2,FALSE))</f>
        <v/>
      </c>
    </row>
    <row r="941" spans="8:8" x14ac:dyDescent="0.25">
      <c r="H941" s="23" t="str">
        <f>IF(G941="","",VLOOKUP(G941+0,'Concordance Client R2 BOB'!$B:$C,2,FALSE))</f>
        <v/>
      </c>
    </row>
    <row r="942" spans="8:8" x14ac:dyDescent="0.25">
      <c r="H942" s="23" t="str">
        <f>IF(G942="","",VLOOKUP(G942+0,'Concordance Client R2 BOB'!$B:$C,2,FALSE))</f>
        <v/>
      </c>
    </row>
    <row r="943" spans="8:8" x14ac:dyDescent="0.25">
      <c r="H943" s="23" t="str">
        <f>IF(G943="","",VLOOKUP(G943+0,'Concordance Client R2 BOB'!$B:$C,2,FALSE))</f>
        <v/>
      </c>
    </row>
    <row r="944" spans="8:8" x14ac:dyDescent="0.25">
      <c r="H944" s="23" t="str">
        <f>IF(G944="","",VLOOKUP(G944+0,'Concordance Client R2 BOB'!$B:$C,2,FALSE))</f>
        <v/>
      </c>
    </row>
    <row r="945" spans="8:8" x14ac:dyDescent="0.25">
      <c r="H945" s="23" t="str">
        <f>IF(G945="","",VLOOKUP(G945+0,'Concordance Client R2 BOB'!$B:$C,2,FALSE))</f>
        <v/>
      </c>
    </row>
    <row r="946" spans="8:8" x14ac:dyDescent="0.25">
      <c r="H946" s="23" t="str">
        <f>IF(G946="","",VLOOKUP(G946+0,'Concordance Client R2 BOB'!$B:$C,2,FALSE))</f>
        <v/>
      </c>
    </row>
    <row r="947" spans="8:8" x14ac:dyDescent="0.25">
      <c r="H947" s="23" t="str">
        <f>IF(G947="","",VLOOKUP(G947+0,'Concordance Client R2 BOB'!$B:$C,2,FALSE))</f>
        <v/>
      </c>
    </row>
    <row r="948" spans="8:8" x14ac:dyDescent="0.25">
      <c r="H948" s="23" t="str">
        <f>IF(G948="","",VLOOKUP(G948+0,'Concordance Client R2 BOB'!$B:$C,2,FALSE))</f>
        <v/>
      </c>
    </row>
    <row r="949" spans="8:8" x14ac:dyDescent="0.25">
      <c r="H949" s="23" t="str">
        <f>IF(G949="","",VLOOKUP(G949+0,'Concordance Client R2 BOB'!$B:$C,2,FALSE))</f>
        <v/>
      </c>
    </row>
    <row r="950" spans="8:8" x14ac:dyDescent="0.25">
      <c r="H950" s="23" t="str">
        <f>IF(G950="","",VLOOKUP(G950+0,'Concordance Client R2 BOB'!$B:$C,2,FALSE))</f>
        <v/>
      </c>
    </row>
    <row r="951" spans="8:8" x14ac:dyDescent="0.25">
      <c r="H951" s="23" t="str">
        <f>IF(G951="","",VLOOKUP(G951+0,'Concordance Client R2 BOB'!$B:$C,2,FALSE))</f>
        <v/>
      </c>
    </row>
    <row r="952" spans="8:8" x14ac:dyDescent="0.25">
      <c r="H952" s="23" t="str">
        <f>IF(G952="","",VLOOKUP(G952+0,'Concordance Client R2 BOB'!$B:$C,2,FALSE))</f>
        <v/>
      </c>
    </row>
    <row r="953" spans="8:8" x14ac:dyDescent="0.25">
      <c r="H953" s="23" t="str">
        <f>IF(G953="","",VLOOKUP(G953+0,'Concordance Client R2 BOB'!$B:$C,2,FALSE))</f>
        <v/>
      </c>
    </row>
    <row r="954" spans="8:8" x14ac:dyDescent="0.25">
      <c r="H954" s="23" t="str">
        <f>IF(G954="","",VLOOKUP(G954+0,'Concordance Client R2 BOB'!$B:$C,2,FALSE))</f>
        <v/>
      </c>
    </row>
    <row r="955" spans="8:8" x14ac:dyDescent="0.25">
      <c r="H955" s="23" t="str">
        <f>IF(G955="","",VLOOKUP(G955+0,'Concordance Client R2 BOB'!$B:$C,2,FALSE))</f>
        <v/>
      </c>
    </row>
    <row r="956" spans="8:8" x14ac:dyDescent="0.25">
      <c r="H956" s="23" t="str">
        <f>IF(G956="","",VLOOKUP(G956+0,'Concordance Client R2 BOB'!$B:$C,2,FALSE))</f>
        <v/>
      </c>
    </row>
    <row r="957" spans="8:8" x14ac:dyDescent="0.25">
      <c r="H957" s="23" t="str">
        <f>IF(G957="","",VLOOKUP(G957+0,'Concordance Client R2 BOB'!$B:$C,2,FALSE))</f>
        <v/>
      </c>
    </row>
    <row r="958" spans="8:8" x14ac:dyDescent="0.25">
      <c r="H958" s="23" t="str">
        <f>IF(G958="","",VLOOKUP(G958+0,'Concordance Client R2 BOB'!$B:$C,2,FALSE))</f>
        <v/>
      </c>
    </row>
    <row r="959" spans="8:8" x14ac:dyDescent="0.25">
      <c r="H959" s="23" t="str">
        <f>IF(G959="","",VLOOKUP(G959+0,'Concordance Client R2 BOB'!$B:$C,2,FALSE))</f>
        <v/>
      </c>
    </row>
    <row r="960" spans="8:8" x14ac:dyDescent="0.25">
      <c r="H960" s="23" t="str">
        <f>IF(G960="","",VLOOKUP(G960+0,'Concordance Client R2 BOB'!$B:$C,2,FALSE))</f>
        <v/>
      </c>
    </row>
    <row r="961" spans="8:8" x14ac:dyDescent="0.25">
      <c r="H961" s="23" t="str">
        <f>IF(G961="","",VLOOKUP(G961+0,'Concordance Client R2 BOB'!$B:$C,2,FALSE))</f>
        <v/>
      </c>
    </row>
    <row r="962" spans="8:8" x14ac:dyDescent="0.25">
      <c r="H962" s="23" t="str">
        <f>IF(G962="","",VLOOKUP(G962+0,'Concordance Client R2 BOB'!$B:$C,2,FALSE))</f>
        <v/>
      </c>
    </row>
    <row r="963" spans="8:8" x14ac:dyDescent="0.25">
      <c r="H963" s="23" t="str">
        <f>IF(G963="","",VLOOKUP(G963+0,'Concordance Client R2 BOB'!$B:$C,2,FALSE))</f>
        <v/>
      </c>
    </row>
    <row r="964" spans="8:8" x14ac:dyDescent="0.25">
      <c r="H964" s="23" t="str">
        <f>IF(G964="","",VLOOKUP(G964+0,'Concordance Client R2 BOB'!$B:$C,2,FALSE))</f>
        <v/>
      </c>
    </row>
    <row r="965" spans="8:8" x14ac:dyDescent="0.25">
      <c r="H965" s="23" t="str">
        <f>IF(G965="","",VLOOKUP(G965+0,'Concordance Client R2 BOB'!$B:$C,2,FALSE))</f>
        <v/>
      </c>
    </row>
    <row r="966" spans="8:8" x14ac:dyDescent="0.25">
      <c r="H966" s="23" t="str">
        <f>IF(G966="","",VLOOKUP(G966+0,'Concordance Client R2 BOB'!$B:$C,2,FALSE))</f>
        <v/>
      </c>
    </row>
    <row r="967" spans="8:8" x14ac:dyDescent="0.25">
      <c r="H967" s="23" t="str">
        <f>IF(G967="","",VLOOKUP(G967+0,'Concordance Client R2 BOB'!$B:$C,2,FALSE))</f>
        <v/>
      </c>
    </row>
    <row r="968" spans="8:8" x14ac:dyDescent="0.25">
      <c r="H968" s="23" t="str">
        <f>IF(G968="","",VLOOKUP(G968+0,'Concordance Client R2 BOB'!$B:$C,2,FALSE))</f>
        <v/>
      </c>
    </row>
    <row r="969" spans="8:8" x14ac:dyDescent="0.25">
      <c r="H969" s="23" t="str">
        <f>IF(G969="","",VLOOKUP(G969+0,'Concordance Client R2 BOB'!$B:$C,2,FALSE))</f>
        <v/>
      </c>
    </row>
    <row r="970" spans="8:8" x14ac:dyDescent="0.25">
      <c r="H970" s="23" t="str">
        <f>IF(G970="","",VLOOKUP(G970+0,'Concordance Client R2 BOB'!$B:$C,2,FALSE))</f>
        <v/>
      </c>
    </row>
    <row r="971" spans="8:8" x14ac:dyDescent="0.25">
      <c r="H971" s="23" t="str">
        <f>IF(G971="","",VLOOKUP(G971+0,'Concordance Client R2 BOB'!$B:$C,2,FALSE))</f>
        <v/>
      </c>
    </row>
    <row r="972" spans="8:8" x14ac:dyDescent="0.25">
      <c r="H972" s="23" t="str">
        <f>IF(G972="","",VLOOKUP(G972+0,'Concordance Client R2 BOB'!$B:$C,2,FALSE))</f>
        <v/>
      </c>
    </row>
    <row r="973" spans="8:8" x14ac:dyDescent="0.25">
      <c r="H973" s="23" t="str">
        <f>IF(G973="","",VLOOKUP(G973+0,'Concordance Client R2 BOB'!$B:$C,2,FALSE))</f>
        <v/>
      </c>
    </row>
    <row r="974" spans="8:8" x14ac:dyDescent="0.25">
      <c r="H974" s="23" t="str">
        <f>IF(G974="","",VLOOKUP(G974+0,'Concordance Client R2 BOB'!$B:$C,2,FALSE))</f>
        <v/>
      </c>
    </row>
    <row r="975" spans="8:8" x14ac:dyDescent="0.25">
      <c r="H975" s="23" t="str">
        <f>IF(G975="","",VLOOKUP(G975+0,'Concordance Client R2 BOB'!$B:$C,2,FALSE))</f>
        <v/>
      </c>
    </row>
    <row r="976" spans="8:8" x14ac:dyDescent="0.25">
      <c r="H976" s="23" t="str">
        <f>IF(G976="","",VLOOKUP(G976+0,'Concordance Client R2 BOB'!$B:$C,2,FALSE))</f>
        <v/>
      </c>
    </row>
    <row r="977" spans="8:8" x14ac:dyDescent="0.25">
      <c r="H977" s="23" t="str">
        <f>IF(G977="","",VLOOKUP(G977+0,'Concordance Client R2 BOB'!$B:$C,2,FALSE))</f>
        <v/>
      </c>
    </row>
    <row r="978" spans="8:8" x14ac:dyDescent="0.25">
      <c r="H978" s="23" t="str">
        <f>IF(G978="","",VLOOKUP(G978+0,'Concordance Client R2 BOB'!$B:$C,2,FALSE))</f>
        <v/>
      </c>
    </row>
    <row r="979" spans="8:8" x14ac:dyDescent="0.25">
      <c r="H979" s="23" t="str">
        <f>IF(G979="","",VLOOKUP(G979+0,'Concordance Client R2 BOB'!$B:$C,2,FALSE))</f>
        <v/>
      </c>
    </row>
    <row r="980" spans="8:8" x14ac:dyDescent="0.25">
      <c r="H980" s="23" t="str">
        <f>IF(G980="","",VLOOKUP(G980+0,'Concordance Client R2 BOB'!$B:$C,2,FALSE))</f>
        <v/>
      </c>
    </row>
    <row r="981" spans="8:8" x14ac:dyDescent="0.25">
      <c r="H981" s="23" t="str">
        <f>IF(G981="","",VLOOKUP(G981+0,'Concordance Client R2 BOB'!$B:$C,2,FALSE))</f>
        <v/>
      </c>
    </row>
    <row r="982" spans="8:8" x14ac:dyDescent="0.25">
      <c r="H982" s="23" t="str">
        <f>IF(G982="","",VLOOKUP(G982+0,'Concordance Client R2 BOB'!$B:$C,2,FALSE))</f>
        <v/>
      </c>
    </row>
    <row r="983" spans="8:8" x14ac:dyDescent="0.25">
      <c r="H983" s="23" t="str">
        <f>IF(G983="","",VLOOKUP(G983+0,'Concordance Client R2 BOB'!$B:$C,2,FALSE))</f>
        <v/>
      </c>
    </row>
    <row r="984" spans="8:8" x14ac:dyDescent="0.25">
      <c r="H984" s="23" t="str">
        <f>IF(G984="","",VLOOKUP(G984+0,'Concordance Client R2 BOB'!$B:$C,2,FALSE))</f>
        <v/>
      </c>
    </row>
    <row r="985" spans="8:8" x14ac:dyDescent="0.25">
      <c r="H985" s="23" t="str">
        <f>IF(G985="","",VLOOKUP(G985+0,'Concordance Client R2 BOB'!$B:$C,2,FALSE))</f>
        <v/>
      </c>
    </row>
    <row r="986" spans="8:8" x14ac:dyDescent="0.25">
      <c r="H986" s="23" t="str">
        <f>IF(G986="","",VLOOKUP(G986+0,'Concordance Client R2 BOB'!$B:$C,2,FALSE))</f>
        <v/>
      </c>
    </row>
    <row r="987" spans="8:8" x14ac:dyDescent="0.25">
      <c r="H987" s="23" t="str">
        <f>IF(G987="","",VLOOKUP(G987+0,'Concordance Client R2 BOB'!$B:$C,2,FALSE))</f>
        <v/>
      </c>
    </row>
    <row r="988" spans="8:8" x14ac:dyDescent="0.25">
      <c r="H988" s="23" t="str">
        <f>IF(G988="","",VLOOKUP(G988+0,'Concordance Client R2 BOB'!$B:$C,2,FALSE))</f>
        <v/>
      </c>
    </row>
    <row r="989" spans="8:8" x14ac:dyDescent="0.25">
      <c r="H989" s="23" t="str">
        <f>IF(G989="","",VLOOKUP(G989+0,'Concordance Client R2 BOB'!$B:$C,2,FALSE))</f>
        <v/>
      </c>
    </row>
    <row r="990" spans="8:8" x14ac:dyDescent="0.25">
      <c r="H990" s="23" t="str">
        <f>IF(G990="","",VLOOKUP(G990+0,'Concordance Client R2 BOB'!$B:$C,2,FALSE))</f>
        <v/>
      </c>
    </row>
    <row r="991" spans="8:8" x14ac:dyDescent="0.25">
      <c r="H991" s="23" t="str">
        <f>IF(G991="","",VLOOKUP(G991+0,'Concordance Client R2 BOB'!$B:$C,2,FALSE))</f>
        <v/>
      </c>
    </row>
    <row r="992" spans="8:8" x14ac:dyDescent="0.25">
      <c r="H992" s="23" t="str">
        <f>IF(G992="","",VLOOKUP(G992+0,'Concordance Client R2 BOB'!$B:$C,2,FALSE))</f>
        <v/>
      </c>
    </row>
    <row r="993" spans="8:8" x14ac:dyDescent="0.25">
      <c r="H993" s="23" t="str">
        <f>IF(G993="","",VLOOKUP(G993+0,'Concordance Client R2 BOB'!$B:$C,2,FALSE))</f>
        <v/>
      </c>
    </row>
    <row r="994" spans="8:8" x14ac:dyDescent="0.25">
      <c r="H994" s="23" t="str">
        <f>IF(G994="","",VLOOKUP(G994+0,'Concordance Client R2 BOB'!$B:$C,2,FALSE))</f>
        <v/>
      </c>
    </row>
    <row r="995" spans="8:8" x14ac:dyDescent="0.25">
      <c r="H995" s="23" t="str">
        <f>IF(G995="","",VLOOKUP(G995+0,'Concordance Client R2 BOB'!$B:$C,2,FALSE))</f>
        <v/>
      </c>
    </row>
    <row r="996" spans="8:8" x14ac:dyDescent="0.25">
      <c r="H996" s="23" t="str">
        <f>IF(G996="","",VLOOKUP(G996+0,'Concordance Client R2 BOB'!$B:$C,2,FALSE))</f>
        <v/>
      </c>
    </row>
    <row r="997" spans="8:8" x14ac:dyDescent="0.25">
      <c r="H997" s="23" t="str">
        <f>IF(G997="","",VLOOKUP(G997+0,'Concordance Client R2 BOB'!$B:$C,2,FALSE))</f>
        <v/>
      </c>
    </row>
    <row r="998" spans="8:8" x14ac:dyDescent="0.25">
      <c r="H998" s="23" t="str">
        <f>IF(G998="","",VLOOKUP(G998+0,'Concordance Client R2 BOB'!$B:$C,2,FALSE))</f>
        <v/>
      </c>
    </row>
    <row r="999" spans="8:8" x14ac:dyDescent="0.25">
      <c r="H999" s="23" t="str">
        <f>IF(G999="","",VLOOKUP(G999+0,'Concordance Client R2 BOB'!$B:$C,2,FALSE))</f>
        <v/>
      </c>
    </row>
    <row r="1000" spans="8:8" x14ac:dyDescent="0.25">
      <c r="H1000" s="23" t="str">
        <f>IF(G1000="","",VLOOKUP(G1000+0,'Concordance Client R2 BOB'!$B:$C,2,FALSE))</f>
        <v/>
      </c>
    </row>
    <row r="1001" spans="8:8" x14ac:dyDescent="0.25">
      <c r="H1001" s="23" t="str">
        <f>IF(G1001="","",VLOOKUP(G1001+0,'Concordance Client R2 BOB'!$B:$C,2,FALSE))</f>
        <v/>
      </c>
    </row>
    <row r="1002" spans="8:8" x14ac:dyDescent="0.25">
      <c r="H1002" s="23" t="str">
        <f>IF(G1002="","",VLOOKUP(G1002+0,'Concordance Client R2 BOB'!$B:$C,2,FALSE))</f>
        <v/>
      </c>
    </row>
    <row r="1003" spans="8:8" x14ac:dyDescent="0.25">
      <c r="H1003" s="23" t="str">
        <f>IF(G1003="","",VLOOKUP(G1003+0,'Concordance Client R2 BOB'!$B:$C,2,FALSE))</f>
        <v/>
      </c>
    </row>
    <row r="1004" spans="8:8" x14ac:dyDescent="0.25">
      <c r="H1004" s="23" t="str">
        <f>IF(G1004="","",VLOOKUP(G1004+0,'Concordance Client R2 BOB'!$B:$C,2,FALSE))</f>
        <v/>
      </c>
    </row>
    <row r="1005" spans="8:8" x14ac:dyDescent="0.25">
      <c r="H1005" s="23" t="str">
        <f>IF(G1005="","",VLOOKUP(G1005+0,'Concordance Client R2 BOB'!$B:$C,2,FALSE))</f>
        <v/>
      </c>
    </row>
    <row r="1006" spans="8:8" x14ac:dyDescent="0.25">
      <c r="H1006" s="23" t="str">
        <f>IF(G1006="","",VLOOKUP(G1006+0,'Concordance Client R2 BOB'!$B:$C,2,FALSE))</f>
        <v/>
      </c>
    </row>
    <row r="1007" spans="8:8" x14ac:dyDescent="0.25">
      <c r="H1007" s="23" t="str">
        <f>IF(G1007="","",VLOOKUP(G1007+0,'Concordance Client R2 BOB'!$B:$C,2,FALSE))</f>
        <v/>
      </c>
    </row>
    <row r="1008" spans="8:8" x14ac:dyDescent="0.25">
      <c r="H1008" s="23" t="str">
        <f>IF(G1008="","",VLOOKUP(G1008+0,'Concordance Client R2 BOB'!$B:$C,2,FALSE))</f>
        <v/>
      </c>
    </row>
    <row r="1009" spans="8:8" x14ac:dyDescent="0.25">
      <c r="H1009" s="23" t="str">
        <f>IF(G1009="","",VLOOKUP(G1009+0,'Concordance Client R2 BOB'!$B:$C,2,FALSE))</f>
        <v/>
      </c>
    </row>
    <row r="1010" spans="8:8" x14ac:dyDescent="0.25">
      <c r="H1010" s="23" t="str">
        <f>IF(G1010="","",VLOOKUP(G1010+0,'Concordance Client R2 BOB'!$B:$C,2,FALSE))</f>
        <v/>
      </c>
    </row>
    <row r="1011" spans="8:8" x14ac:dyDescent="0.25">
      <c r="H1011" s="23" t="str">
        <f>IF(G1011="","",VLOOKUP(G1011+0,'Concordance Client R2 BOB'!$B:$C,2,FALSE))</f>
        <v/>
      </c>
    </row>
    <row r="1012" spans="8:8" x14ac:dyDescent="0.25">
      <c r="H1012" s="23" t="str">
        <f>IF(G1012="","",VLOOKUP(G1012+0,'Concordance Client R2 BOB'!$B:$C,2,FALSE))</f>
        <v/>
      </c>
    </row>
    <row r="1013" spans="8:8" x14ac:dyDescent="0.25">
      <c r="H1013" s="23" t="str">
        <f>IF(G1013="","",VLOOKUP(G1013+0,'Concordance Client R2 BOB'!$B:$C,2,FALSE))</f>
        <v/>
      </c>
    </row>
    <row r="1014" spans="8:8" x14ac:dyDescent="0.25">
      <c r="H1014" s="23" t="str">
        <f>IF(G1014="","",VLOOKUP(G1014+0,'Concordance Client R2 BOB'!$B:$C,2,FALSE))</f>
        <v/>
      </c>
    </row>
    <row r="1015" spans="8:8" x14ac:dyDescent="0.25">
      <c r="H1015" s="23" t="str">
        <f>IF(G1015="","",VLOOKUP(G1015+0,'Concordance Client R2 BOB'!$B:$C,2,FALSE))</f>
        <v/>
      </c>
    </row>
    <row r="1016" spans="8:8" x14ac:dyDescent="0.25">
      <c r="H1016" s="23" t="str">
        <f>IF(G1016="","",VLOOKUP(G1016+0,'Concordance Client R2 BOB'!$B:$C,2,FALSE))</f>
        <v/>
      </c>
    </row>
    <row r="1017" spans="8:8" x14ac:dyDescent="0.25">
      <c r="H1017" s="23" t="str">
        <f>IF(G1017="","",VLOOKUP(G1017+0,'Concordance Client R2 BOB'!$B:$C,2,FALSE))</f>
        <v/>
      </c>
    </row>
    <row r="1018" spans="8:8" x14ac:dyDescent="0.25">
      <c r="H1018" s="23" t="str">
        <f>IF(G1018="","",VLOOKUP(G1018+0,'Concordance Client R2 BOB'!$B:$C,2,FALSE))</f>
        <v/>
      </c>
    </row>
    <row r="1019" spans="8:8" x14ac:dyDescent="0.25">
      <c r="H1019" s="23" t="str">
        <f>IF(G1019="","",VLOOKUP(G1019+0,'Concordance Client R2 BOB'!$B:$C,2,FALSE))</f>
        <v/>
      </c>
    </row>
    <row r="1020" spans="8:8" x14ac:dyDescent="0.25">
      <c r="H1020" s="23" t="str">
        <f>IF(G1020="","",VLOOKUP(G1020+0,'Concordance Client R2 BOB'!$B:$C,2,FALSE))</f>
        <v/>
      </c>
    </row>
    <row r="1021" spans="8:8" x14ac:dyDescent="0.25">
      <c r="H1021" s="23" t="str">
        <f>IF(G1021="","",VLOOKUP(G1021+0,'Concordance Client R2 BOB'!$B:$C,2,FALSE))</f>
        <v/>
      </c>
    </row>
    <row r="1022" spans="8:8" x14ac:dyDescent="0.25">
      <c r="H1022" s="23" t="str">
        <f>IF(G1022="","",VLOOKUP(G1022+0,'Concordance Client R2 BOB'!$B:$C,2,FALSE))</f>
        <v/>
      </c>
    </row>
    <row r="1023" spans="8:8" x14ac:dyDescent="0.25">
      <c r="H1023" s="23" t="str">
        <f>IF(G1023="","",VLOOKUP(G1023+0,'Concordance Client R2 BOB'!$B:$C,2,FALSE))</f>
        <v/>
      </c>
    </row>
    <row r="1024" spans="8:8" x14ac:dyDescent="0.25">
      <c r="H1024" s="23" t="str">
        <f>IF(G1024="","",VLOOKUP(G1024+0,'Concordance Client R2 BOB'!$B:$C,2,FALSE))</f>
        <v/>
      </c>
    </row>
    <row r="1025" spans="8:8" x14ac:dyDescent="0.25">
      <c r="H1025" s="23" t="str">
        <f>IF(G1025="","",VLOOKUP(G1025+0,'Concordance Client R2 BOB'!$B:$C,2,FALSE))</f>
        <v/>
      </c>
    </row>
    <row r="1026" spans="8:8" x14ac:dyDescent="0.25">
      <c r="H1026" s="23" t="str">
        <f>IF(G1026="","",VLOOKUP(G1026+0,'Concordance Client R2 BOB'!$B:$C,2,FALSE))</f>
        <v/>
      </c>
    </row>
    <row r="1027" spans="8:8" x14ac:dyDescent="0.25">
      <c r="H1027" s="23" t="str">
        <f>IF(G1027="","",VLOOKUP(G1027+0,'Concordance Client R2 BOB'!$B:$C,2,FALSE))</f>
        <v/>
      </c>
    </row>
    <row r="1028" spans="8:8" x14ac:dyDescent="0.25">
      <c r="H1028" s="23" t="str">
        <f>IF(G1028="","",VLOOKUP(G1028+0,'Concordance Client R2 BOB'!$B:$C,2,FALSE))</f>
        <v/>
      </c>
    </row>
    <row r="1029" spans="8:8" x14ac:dyDescent="0.25">
      <c r="H1029" s="23" t="str">
        <f>IF(G1029="","",VLOOKUP(G1029+0,'Concordance Client R2 BOB'!$B:$C,2,FALSE))</f>
        <v/>
      </c>
    </row>
    <row r="1030" spans="8:8" x14ac:dyDescent="0.25">
      <c r="H1030" s="23" t="str">
        <f>IF(G1030="","",VLOOKUP(G1030+0,'Concordance Client R2 BOB'!$B:$C,2,FALSE))</f>
        <v/>
      </c>
    </row>
    <row r="1031" spans="8:8" x14ac:dyDescent="0.25">
      <c r="H1031" s="23" t="str">
        <f>IF(G1031="","",VLOOKUP(G1031+0,'Concordance Client R2 BOB'!$B:$C,2,FALSE))</f>
        <v/>
      </c>
    </row>
    <row r="1032" spans="8:8" x14ac:dyDescent="0.25">
      <c r="H1032" s="23" t="str">
        <f>IF(G1032="","",VLOOKUP(G1032+0,'Concordance Client R2 BOB'!$B:$C,2,FALSE))</f>
        <v/>
      </c>
    </row>
    <row r="1033" spans="8:8" x14ac:dyDescent="0.25">
      <c r="H1033" s="23" t="str">
        <f>IF(G1033="","",VLOOKUP(G1033+0,'Concordance Client R2 BOB'!$B:$C,2,FALSE))</f>
        <v/>
      </c>
    </row>
    <row r="1034" spans="8:8" x14ac:dyDescent="0.25">
      <c r="H1034" s="23" t="str">
        <f>IF(G1034="","",VLOOKUP(G1034+0,'Concordance Client R2 BOB'!$B:$C,2,FALSE))</f>
        <v/>
      </c>
    </row>
    <row r="1035" spans="8:8" x14ac:dyDescent="0.25">
      <c r="H1035" s="23" t="str">
        <f>IF(G1035="","",VLOOKUP(G1035+0,'Concordance Client R2 BOB'!$B:$C,2,FALSE))</f>
        <v/>
      </c>
    </row>
    <row r="1036" spans="8:8" x14ac:dyDescent="0.25">
      <c r="H1036" s="23" t="str">
        <f>IF(G1036="","",VLOOKUP(G1036+0,'Concordance Client R2 BOB'!$B:$C,2,FALSE))</f>
        <v/>
      </c>
    </row>
    <row r="1037" spans="8:8" x14ac:dyDescent="0.25">
      <c r="H1037" s="23" t="str">
        <f>IF(G1037="","",VLOOKUP(G1037+0,'Concordance Client R2 BOB'!$B:$C,2,FALSE))</f>
        <v/>
      </c>
    </row>
    <row r="1038" spans="8:8" x14ac:dyDescent="0.25">
      <c r="H1038" s="23" t="str">
        <f>IF(G1038="","",VLOOKUP(G1038+0,'Concordance Client R2 BOB'!$B:$C,2,FALSE))</f>
        <v/>
      </c>
    </row>
    <row r="1039" spans="8:8" x14ac:dyDescent="0.25">
      <c r="H1039" s="23" t="str">
        <f>IF(G1039="","",VLOOKUP(G1039+0,'Concordance Client R2 BOB'!$B:$C,2,FALSE))</f>
        <v/>
      </c>
    </row>
    <row r="1040" spans="8:8" x14ac:dyDescent="0.25">
      <c r="H1040" s="23" t="str">
        <f>IF(G1040="","",VLOOKUP(G1040+0,'Concordance Client R2 BOB'!$B:$C,2,FALSE))</f>
        <v/>
      </c>
    </row>
    <row r="1041" spans="8:8" x14ac:dyDescent="0.25">
      <c r="H1041" s="23" t="str">
        <f>IF(G1041="","",VLOOKUP(G1041+0,'Concordance Client R2 BOB'!$B:$C,2,FALSE))</f>
        <v/>
      </c>
    </row>
    <row r="1042" spans="8:8" x14ac:dyDescent="0.25">
      <c r="H1042" s="23" t="str">
        <f>IF(G1042="","",VLOOKUP(G1042+0,'Concordance Client R2 BOB'!$B:$C,2,FALSE))</f>
        <v/>
      </c>
    </row>
    <row r="1043" spans="8:8" x14ac:dyDescent="0.25">
      <c r="H1043" s="23" t="str">
        <f>IF(G1043="","",VLOOKUP(G1043+0,'Concordance Client R2 BOB'!$B:$C,2,FALSE))</f>
        <v/>
      </c>
    </row>
    <row r="1044" spans="8:8" x14ac:dyDescent="0.25">
      <c r="H1044" s="23" t="str">
        <f>IF(G1044="","",VLOOKUP(G1044+0,'Concordance Client R2 BOB'!$B:$C,2,FALSE))</f>
        <v/>
      </c>
    </row>
    <row r="1045" spans="8:8" x14ac:dyDescent="0.25">
      <c r="H1045" s="23" t="str">
        <f>IF(G1045="","",VLOOKUP(G1045+0,'Concordance Client R2 BOB'!$B:$C,2,FALSE))</f>
        <v/>
      </c>
    </row>
    <row r="1046" spans="8:8" x14ac:dyDescent="0.25">
      <c r="H1046" s="23" t="str">
        <f>IF(G1046="","",VLOOKUP(G1046+0,'Concordance Client R2 BOB'!$B:$C,2,FALSE))</f>
        <v/>
      </c>
    </row>
    <row r="1047" spans="8:8" x14ac:dyDescent="0.25">
      <c r="H1047" s="23" t="str">
        <f>IF(G1047="","",VLOOKUP(G1047+0,'Concordance Client R2 BOB'!$B:$C,2,FALSE))</f>
        <v/>
      </c>
    </row>
    <row r="1048" spans="8:8" x14ac:dyDescent="0.25">
      <c r="H1048" s="23" t="str">
        <f>IF(G1048="","",VLOOKUP(G1048+0,'Concordance Client R2 BOB'!$B:$C,2,FALSE))</f>
        <v/>
      </c>
    </row>
    <row r="1049" spans="8:8" x14ac:dyDescent="0.25">
      <c r="H1049" s="23" t="str">
        <f>IF(G1049="","",VLOOKUP(G1049+0,'Concordance Client R2 BOB'!$B:$C,2,FALSE))</f>
        <v/>
      </c>
    </row>
    <row r="1050" spans="8:8" x14ac:dyDescent="0.25">
      <c r="H1050" s="23" t="str">
        <f>IF(G1050="","",VLOOKUP(G1050+0,'Concordance Client R2 BOB'!$B:$C,2,FALSE))</f>
        <v/>
      </c>
    </row>
    <row r="1051" spans="8:8" x14ac:dyDescent="0.25">
      <c r="H1051" s="23" t="str">
        <f>IF(G1051="","",VLOOKUP(G1051+0,'Concordance Client R2 BOB'!$B:$C,2,FALSE))</f>
        <v/>
      </c>
    </row>
    <row r="1052" spans="8:8" x14ac:dyDescent="0.25">
      <c r="H1052" s="23" t="str">
        <f>IF(G1052="","",VLOOKUP(G1052+0,'Concordance Client R2 BOB'!$B:$C,2,FALSE))</f>
        <v/>
      </c>
    </row>
    <row r="1053" spans="8:8" x14ac:dyDescent="0.25">
      <c r="H1053" s="23" t="str">
        <f>IF(G1053="","",VLOOKUP(G1053+0,'Concordance Client R2 BOB'!$B:$C,2,FALSE))</f>
        <v/>
      </c>
    </row>
    <row r="1054" spans="8:8" x14ac:dyDescent="0.25">
      <c r="H1054" s="23" t="str">
        <f>IF(G1054="","",VLOOKUP(G1054+0,'Concordance Client R2 BOB'!$B:$C,2,FALSE))</f>
        <v/>
      </c>
    </row>
    <row r="1055" spans="8:8" x14ac:dyDescent="0.25">
      <c r="H1055" s="23" t="str">
        <f>IF(G1055="","",VLOOKUP(G1055+0,'Concordance Client R2 BOB'!$B:$C,2,FALSE))</f>
        <v/>
      </c>
    </row>
    <row r="1056" spans="8:8" x14ac:dyDescent="0.25">
      <c r="H1056" s="23" t="str">
        <f>IF(G1056="","",VLOOKUP(G1056+0,'Concordance Client R2 BOB'!$B:$C,2,FALSE))</f>
        <v/>
      </c>
    </row>
    <row r="1057" spans="8:8" x14ac:dyDescent="0.25">
      <c r="H1057" s="23" t="str">
        <f>IF(G1057="","",VLOOKUP(G1057+0,'Concordance Client R2 BOB'!$B:$C,2,FALSE))</f>
        <v/>
      </c>
    </row>
    <row r="1058" spans="8:8" x14ac:dyDescent="0.25">
      <c r="H1058" s="23" t="str">
        <f>IF(G1058="","",VLOOKUP(G1058+0,'Concordance Client R2 BOB'!$B:$C,2,FALSE))</f>
        <v/>
      </c>
    </row>
    <row r="1059" spans="8:8" x14ac:dyDescent="0.25">
      <c r="H1059" s="23" t="str">
        <f>IF(G1059="","",VLOOKUP(G1059+0,'Concordance Client R2 BOB'!$B:$C,2,FALSE))</f>
        <v/>
      </c>
    </row>
    <row r="1060" spans="8:8" x14ac:dyDescent="0.25">
      <c r="H1060" s="23" t="str">
        <f>IF(G1060="","",VLOOKUP(G1060+0,'Concordance Client R2 BOB'!$B:$C,2,FALSE))</f>
        <v/>
      </c>
    </row>
    <row r="1061" spans="8:8" x14ac:dyDescent="0.25">
      <c r="H1061" s="23" t="str">
        <f>IF(G1061="","",VLOOKUP(G1061+0,'Concordance Client R2 BOB'!$B:$C,2,FALSE))</f>
        <v/>
      </c>
    </row>
    <row r="1062" spans="8:8" x14ac:dyDescent="0.25">
      <c r="H1062" s="23" t="str">
        <f>IF(G1062="","",VLOOKUP(G1062+0,'Concordance Client R2 BOB'!$B:$C,2,FALSE))</f>
        <v/>
      </c>
    </row>
    <row r="1063" spans="8:8" x14ac:dyDescent="0.25">
      <c r="H1063" s="23" t="str">
        <f>IF(G1063="","",VLOOKUP(G1063+0,'Concordance Client R2 BOB'!$B:$C,2,FALSE))</f>
        <v/>
      </c>
    </row>
    <row r="1064" spans="8:8" x14ac:dyDescent="0.25">
      <c r="H1064" s="23" t="str">
        <f>IF(G1064="","",VLOOKUP(G1064+0,'Concordance Client R2 BOB'!$B:$C,2,FALSE))</f>
        <v/>
      </c>
    </row>
    <row r="1065" spans="8:8" x14ac:dyDescent="0.25">
      <c r="H1065" s="23" t="str">
        <f>IF(G1065="","",VLOOKUP(G1065+0,'Concordance Client R2 BOB'!$B:$C,2,FALSE))</f>
        <v/>
      </c>
    </row>
    <row r="1066" spans="8:8" x14ac:dyDescent="0.25">
      <c r="H1066" s="23" t="str">
        <f>IF(G1066="","",VLOOKUP(G1066+0,'Concordance Client R2 BOB'!$B:$C,2,FALSE))</f>
        <v/>
      </c>
    </row>
    <row r="1067" spans="8:8" x14ac:dyDescent="0.25">
      <c r="H1067" s="23" t="str">
        <f>IF(G1067="","",VLOOKUP(G1067+0,'Concordance Client R2 BOB'!$B:$C,2,FALSE))</f>
        <v/>
      </c>
    </row>
    <row r="1068" spans="8:8" x14ac:dyDescent="0.25">
      <c r="H1068" s="23" t="str">
        <f>IF(G1068="","",VLOOKUP(G1068+0,'Concordance Client R2 BOB'!$B:$C,2,FALSE))</f>
        <v/>
      </c>
    </row>
    <row r="1069" spans="8:8" x14ac:dyDescent="0.25">
      <c r="H1069" s="23" t="str">
        <f>IF(G1069="","",VLOOKUP(G1069+0,'Concordance Client R2 BOB'!$B:$C,2,FALSE))</f>
        <v/>
      </c>
    </row>
    <row r="1070" spans="8:8" x14ac:dyDescent="0.25">
      <c r="H1070" s="23" t="str">
        <f>IF(G1070="","",VLOOKUP(G1070+0,'Concordance Client R2 BOB'!$B:$C,2,FALSE))</f>
        <v/>
      </c>
    </row>
    <row r="1071" spans="8:8" x14ac:dyDescent="0.25">
      <c r="H1071" s="23" t="str">
        <f>IF(G1071="","",VLOOKUP(G1071+0,'Concordance Client R2 BOB'!$B:$C,2,FALSE))</f>
        <v/>
      </c>
    </row>
    <row r="1072" spans="8:8" x14ac:dyDescent="0.25">
      <c r="H1072" s="23" t="str">
        <f>IF(G1072="","",VLOOKUP(G1072+0,'Concordance Client R2 BOB'!$B:$C,2,FALSE))</f>
        <v/>
      </c>
    </row>
    <row r="1073" spans="8:8" x14ac:dyDescent="0.25">
      <c r="H1073" s="23" t="str">
        <f>IF(G1073="","",VLOOKUP(G1073+0,'Concordance Client R2 BOB'!$B:$C,2,FALSE))</f>
        <v/>
      </c>
    </row>
    <row r="1074" spans="8:8" x14ac:dyDescent="0.25">
      <c r="H1074" s="23" t="str">
        <f>IF(G1074="","",VLOOKUP(G1074+0,'Concordance Client R2 BOB'!$B:$C,2,FALSE))</f>
        <v/>
      </c>
    </row>
    <row r="1075" spans="8:8" x14ac:dyDescent="0.25">
      <c r="H1075" s="23" t="str">
        <f>IF(G1075="","",VLOOKUP(G1075+0,'Concordance Client R2 BOB'!$B:$C,2,FALSE))</f>
        <v/>
      </c>
    </row>
    <row r="1076" spans="8:8" x14ac:dyDescent="0.25">
      <c r="H1076" s="23" t="str">
        <f>IF(G1076="","",VLOOKUP(G1076+0,'Concordance Client R2 BOB'!$B:$C,2,FALSE))</f>
        <v/>
      </c>
    </row>
    <row r="1077" spans="8:8" x14ac:dyDescent="0.25">
      <c r="H1077" s="23" t="str">
        <f>IF(G1077="","",VLOOKUP(G1077+0,'Concordance Client R2 BOB'!$B:$C,2,FALSE))</f>
        <v/>
      </c>
    </row>
    <row r="1078" spans="8:8" x14ac:dyDescent="0.25">
      <c r="H1078" s="23" t="str">
        <f>IF(G1078="","",VLOOKUP(G1078+0,'Concordance Client R2 BOB'!$B:$C,2,FALSE))</f>
        <v/>
      </c>
    </row>
    <row r="1079" spans="8:8" x14ac:dyDescent="0.25">
      <c r="H1079" s="23" t="str">
        <f>IF(G1079="","",VLOOKUP(G1079+0,'Concordance Client R2 BOB'!$B:$C,2,FALSE))</f>
        <v/>
      </c>
    </row>
    <row r="1080" spans="8:8" x14ac:dyDescent="0.25">
      <c r="H1080" s="23" t="str">
        <f>IF(G1080="","",VLOOKUP(G1080+0,'Concordance Client R2 BOB'!$B:$C,2,FALSE))</f>
        <v/>
      </c>
    </row>
    <row r="1081" spans="8:8" x14ac:dyDescent="0.25">
      <c r="H1081" s="23" t="str">
        <f>IF(G1081="","",VLOOKUP(G1081+0,'Concordance Client R2 BOB'!$B:$C,2,FALSE))</f>
        <v/>
      </c>
    </row>
    <row r="1082" spans="8:8" x14ac:dyDescent="0.25">
      <c r="H1082" s="23" t="str">
        <f>IF(G1082="","",VLOOKUP(G1082+0,'Concordance Client R2 BOB'!$B:$C,2,FALSE))</f>
        <v/>
      </c>
    </row>
    <row r="1083" spans="8:8" x14ac:dyDescent="0.25">
      <c r="H1083" s="23" t="str">
        <f>IF(G1083="","",VLOOKUP(G1083+0,'Concordance Client R2 BOB'!$B:$C,2,FALSE))</f>
        <v/>
      </c>
    </row>
    <row r="1084" spans="8:8" x14ac:dyDescent="0.25">
      <c r="H1084" s="23" t="str">
        <f>IF(G1084="","",VLOOKUP(G1084+0,'Concordance Client R2 BOB'!$B:$C,2,FALSE))</f>
        <v/>
      </c>
    </row>
    <row r="1085" spans="8:8" x14ac:dyDescent="0.25">
      <c r="H1085" s="23" t="str">
        <f>IF(G1085="","",VLOOKUP(G1085+0,'Concordance Client R2 BOB'!$B:$C,2,FALSE))</f>
        <v/>
      </c>
    </row>
    <row r="1086" spans="8:8" x14ac:dyDescent="0.25">
      <c r="H1086" s="23" t="str">
        <f>IF(G1086="","",VLOOKUP(G1086+0,'Concordance Client R2 BOB'!$B:$C,2,FALSE))</f>
        <v/>
      </c>
    </row>
    <row r="1087" spans="8:8" x14ac:dyDescent="0.25">
      <c r="H1087" s="23" t="str">
        <f>IF(G1087="","",VLOOKUP(G1087+0,'Concordance Client R2 BOB'!$B:$C,2,FALSE))</f>
        <v/>
      </c>
    </row>
    <row r="1088" spans="8:8" x14ac:dyDescent="0.25">
      <c r="H1088" s="23" t="str">
        <f>IF(G1088="","",VLOOKUP(G1088+0,'Concordance Client R2 BOB'!$B:$C,2,FALSE))</f>
        <v/>
      </c>
    </row>
    <row r="1089" spans="8:8" x14ac:dyDescent="0.25">
      <c r="H1089" s="23" t="str">
        <f>IF(G1089="","",VLOOKUP(G1089+0,'Concordance Client R2 BOB'!$B:$C,2,FALSE))</f>
        <v/>
      </c>
    </row>
    <row r="1090" spans="8:8" x14ac:dyDescent="0.25">
      <c r="H1090" s="23" t="str">
        <f>IF(G1090="","",VLOOKUP(G1090+0,'Concordance Client R2 BOB'!$B:$C,2,FALSE))</f>
        <v/>
      </c>
    </row>
    <row r="1091" spans="8:8" x14ac:dyDescent="0.25">
      <c r="H1091" s="23" t="str">
        <f>IF(G1091="","",VLOOKUP(G1091+0,'Concordance Client R2 BOB'!$B:$C,2,FALSE))</f>
        <v/>
      </c>
    </row>
    <row r="1092" spans="8:8" x14ac:dyDescent="0.25">
      <c r="H1092" s="23" t="str">
        <f>IF(G1092="","",VLOOKUP(G1092+0,'Concordance Client R2 BOB'!$B:$C,2,FALSE))</f>
        <v/>
      </c>
    </row>
    <row r="1093" spans="8:8" x14ac:dyDescent="0.25">
      <c r="H1093" s="23" t="str">
        <f>IF(G1093="","",VLOOKUP(G1093+0,'Concordance Client R2 BOB'!$B:$C,2,FALSE))</f>
        <v/>
      </c>
    </row>
    <row r="1094" spans="8:8" x14ac:dyDescent="0.25">
      <c r="H1094" s="23" t="str">
        <f>IF(G1094="","",VLOOKUP(G1094+0,'Concordance Client R2 BOB'!$B:$C,2,FALSE))</f>
        <v/>
      </c>
    </row>
    <row r="1095" spans="8:8" x14ac:dyDescent="0.25">
      <c r="H1095" s="23" t="str">
        <f>IF(G1095="","",VLOOKUP(G1095+0,'Concordance Client R2 BOB'!$B:$C,2,FALSE))</f>
        <v/>
      </c>
    </row>
    <row r="1096" spans="8:8" x14ac:dyDescent="0.25">
      <c r="H1096" s="23" t="str">
        <f>IF(G1096="","",VLOOKUP(G1096+0,'Concordance Client R2 BOB'!$B:$C,2,FALSE))</f>
        <v/>
      </c>
    </row>
    <row r="1097" spans="8:8" x14ac:dyDescent="0.25">
      <c r="H1097" s="23" t="str">
        <f>IF(G1097="","",VLOOKUP(G1097+0,'Concordance Client R2 BOB'!$B:$C,2,FALSE))</f>
        <v/>
      </c>
    </row>
    <row r="1098" spans="8:8" x14ac:dyDescent="0.25">
      <c r="H1098" s="23" t="str">
        <f>IF(G1098="","",VLOOKUP(G1098+0,'Concordance Client R2 BOB'!$B:$C,2,FALSE))</f>
        <v/>
      </c>
    </row>
    <row r="1099" spans="8:8" x14ac:dyDescent="0.25">
      <c r="H1099" s="23" t="str">
        <f>IF(G1099="","",VLOOKUP(G1099+0,'Concordance Client R2 BOB'!$B:$C,2,FALSE))</f>
        <v/>
      </c>
    </row>
    <row r="1100" spans="8:8" x14ac:dyDescent="0.25">
      <c r="H1100" s="23" t="str">
        <f>IF(G1100="","",VLOOKUP(G1100+0,'Concordance Client R2 BOB'!$B:$C,2,FALSE))</f>
        <v/>
      </c>
    </row>
    <row r="1101" spans="8:8" x14ac:dyDescent="0.25">
      <c r="H1101" s="23" t="str">
        <f>IF(G1101="","",VLOOKUP(G1101+0,'Concordance Client R2 BOB'!$B:$C,2,FALSE))</f>
        <v/>
      </c>
    </row>
    <row r="1102" spans="8:8" x14ac:dyDescent="0.25">
      <c r="H1102" s="23" t="str">
        <f>IF(G1102="","",VLOOKUP(G1102+0,'Concordance Client R2 BOB'!$B:$C,2,FALSE))</f>
        <v/>
      </c>
    </row>
    <row r="1103" spans="8:8" x14ac:dyDescent="0.25">
      <c r="H1103" s="23" t="str">
        <f>IF(G1103="","",VLOOKUP(G1103+0,'Concordance Client R2 BOB'!$B:$C,2,FALSE))</f>
        <v/>
      </c>
    </row>
    <row r="1104" spans="8:8" x14ac:dyDescent="0.25">
      <c r="H1104" s="23" t="str">
        <f>IF(G1104="","",VLOOKUP(G1104+0,'Concordance Client R2 BOB'!$B:$C,2,FALSE))</f>
        <v/>
      </c>
    </row>
    <row r="1105" spans="8:8" x14ac:dyDescent="0.25">
      <c r="H1105" s="23" t="str">
        <f>IF(G1105="","",VLOOKUP(G1105+0,'Concordance Client R2 BOB'!$B:$C,2,FALSE))</f>
        <v/>
      </c>
    </row>
    <row r="1106" spans="8:8" x14ac:dyDescent="0.25">
      <c r="H1106" s="23" t="str">
        <f>IF(G1106="","",VLOOKUP(G1106+0,'Concordance Client R2 BOB'!$B:$C,2,FALSE))</f>
        <v/>
      </c>
    </row>
    <row r="1107" spans="8:8" x14ac:dyDescent="0.25">
      <c r="H1107" s="23" t="str">
        <f>IF(G1107="","",VLOOKUP(G1107+0,'Concordance Client R2 BOB'!$B:$C,2,FALSE))</f>
        <v/>
      </c>
    </row>
    <row r="1108" spans="8:8" x14ac:dyDescent="0.25">
      <c r="H1108" s="23" t="str">
        <f>IF(G1108="","",VLOOKUP(G1108+0,'Concordance Client R2 BOB'!$B:$C,2,FALSE))</f>
        <v/>
      </c>
    </row>
    <row r="1109" spans="8:8" x14ac:dyDescent="0.25">
      <c r="H1109" s="23" t="str">
        <f>IF(G1109="","",VLOOKUP(G1109+0,'Concordance Client R2 BOB'!$B:$C,2,FALSE))</f>
        <v/>
      </c>
    </row>
    <row r="1110" spans="8:8" x14ac:dyDescent="0.25">
      <c r="H1110" s="23" t="str">
        <f>IF(G1110="","",VLOOKUP(G1110+0,'Concordance Client R2 BOB'!$B:$C,2,FALSE))</f>
        <v/>
      </c>
    </row>
    <row r="1111" spans="8:8" x14ac:dyDescent="0.25">
      <c r="H1111" s="23" t="str">
        <f>IF(G1111="","",VLOOKUP(G1111+0,'Concordance Client R2 BOB'!$B:$C,2,FALSE))</f>
        <v/>
      </c>
    </row>
    <row r="1112" spans="8:8" x14ac:dyDescent="0.25">
      <c r="H1112" s="23" t="str">
        <f>IF(G1112="","",VLOOKUP(G1112+0,'Concordance Client R2 BOB'!$B:$C,2,FALSE))</f>
        <v/>
      </c>
    </row>
    <row r="1113" spans="8:8" x14ac:dyDescent="0.25">
      <c r="H1113" s="23" t="str">
        <f>IF(G1113="","",VLOOKUP(G1113+0,'Concordance Client R2 BOB'!$B:$C,2,FALSE))</f>
        <v/>
      </c>
    </row>
    <row r="1114" spans="8:8" x14ac:dyDescent="0.25">
      <c r="H1114" s="23" t="str">
        <f>IF(G1114="","",VLOOKUP(G1114+0,'Concordance Client R2 BOB'!$B:$C,2,FALSE))</f>
        <v/>
      </c>
    </row>
    <row r="1115" spans="8:8" x14ac:dyDescent="0.25">
      <c r="H1115" s="23" t="str">
        <f>IF(G1115="","",VLOOKUP(G1115+0,'Concordance Client R2 BOB'!$B:$C,2,FALSE))</f>
        <v/>
      </c>
    </row>
    <row r="1116" spans="8:8" x14ac:dyDescent="0.25">
      <c r="H1116" s="23" t="str">
        <f>IF(G1116="","",VLOOKUP(G1116+0,'Concordance Client R2 BOB'!$B:$C,2,FALSE))</f>
        <v/>
      </c>
    </row>
    <row r="1117" spans="8:8" x14ac:dyDescent="0.25">
      <c r="H1117" s="23" t="str">
        <f>IF(G1117="","",VLOOKUP(G1117+0,'Concordance Client R2 BOB'!$B:$C,2,FALSE))</f>
        <v/>
      </c>
    </row>
    <row r="1118" spans="8:8" x14ac:dyDescent="0.25">
      <c r="H1118" s="23" t="str">
        <f>IF(G1118="","",VLOOKUP(G1118+0,'Concordance Client R2 BOB'!$B:$C,2,FALSE))</f>
        <v/>
      </c>
    </row>
    <row r="1119" spans="8:8" x14ac:dyDescent="0.25">
      <c r="H1119" s="23" t="str">
        <f>IF(G1119="","",VLOOKUP(G1119+0,'Concordance Client R2 BOB'!$B:$C,2,FALSE))</f>
        <v/>
      </c>
    </row>
    <row r="1120" spans="8:8" x14ac:dyDescent="0.25">
      <c r="H1120" s="23" t="str">
        <f>IF(G1120="","",VLOOKUP(G1120+0,'Concordance Client R2 BOB'!$B:$C,2,FALSE))</f>
        <v/>
      </c>
    </row>
    <row r="1121" spans="8:8" x14ac:dyDescent="0.25">
      <c r="H1121" s="23" t="str">
        <f>IF(G1121="","",VLOOKUP(G1121+0,'Concordance Client R2 BOB'!$B:$C,2,FALSE))</f>
        <v/>
      </c>
    </row>
    <row r="1122" spans="8:8" x14ac:dyDescent="0.25">
      <c r="H1122" s="23" t="str">
        <f>IF(G1122="","",VLOOKUP(G1122+0,'Concordance Client R2 BOB'!$B:$C,2,FALSE))</f>
        <v/>
      </c>
    </row>
    <row r="1123" spans="8:8" x14ac:dyDescent="0.25">
      <c r="H1123" s="23" t="str">
        <f>IF(G1123="","",VLOOKUP(G1123+0,'Concordance Client R2 BOB'!$B:$C,2,FALSE))</f>
        <v/>
      </c>
    </row>
    <row r="1124" spans="8:8" x14ac:dyDescent="0.25">
      <c r="H1124" s="23" t="str">
        <f>IF(G1124="","",VLOOKUP(G1124+0,'Concordance Client R2 BOB'!$B:$C,2,FALSE))</f>
        <v/>
      </c>
    </row>
    <row r="1125" spans="8:8" x14ac:dyDescent="0.25">
      <c r="H1125" s="23" t="str">
        <f>IF(G1125="","",VLOOKUP(G1125+0,'Concordance Client R2 BOB'!$B:$C,2,FALSE))</f>
        <v/>
      </c>
    </row>
    <row r="1126" spans="8:8" x14ac:dyDescent="0.25">
      <c r="H1126" s="23" t="str">
        <f>IF(G1126="","",VLOOKUP(G1126+0,'Concordance Client R2 BOB'!$B:$C,2,FALSE))</f>
        <v/>
      </c>
    </row>
    <row r="1127" spans="8:8" x14ac:dyDescent="0.25">
      <c r="H1127" s="23" t="str">
        <f>IF(G1127="","",VLOOKUP(G1127+0,'Concordance Client R2 BOB'!$B:$C,2,FALSE))</f>
        <v/>
      </c>
    </row>
    <row r="1128" spans="8:8" x14ac:dyDescent="0.25">
      <c r="H1128" s="23" t="str">
        <f>IF(G1128="","",VLOOKUP(G1128+0,'Concordance Client R2 BOB'!$B:$C,2,FALSE))</f>
        <v/>
      </c>
    </row>
    <row r="1129" spans="8:8" x14ac:dyDescent="0.25">
      <c r="H1129" s="23" t="str">
        <f>IF(G1129="","",VLOOKUP(G1129+0,'Concordance Client R2 BOB'!$B:$C,2,FALSE))</f>
        <v/>
      </c>
    </row>
    <row r="1130" spans="8:8" x14ac:dyDescent="0.25">
      <c r="H1130" s="23" t="str">
        <f>IF(G1130="","",VLOOKUP(G1130+0,'Concordance Client R2 BOB'!$B:$C,2,FALSE))</f>
        <v/>
      </c>
    </row>
    <row r="1131" spans="8:8" x14ac:dyDescent="0.25">
      <c r="H1131" s="23" t="str">
        <f>IF(G1131="","",VLOOKUP(G1131+0,'Concordance Client R2 BOB'!$B:$C,2,FALSE))</f>
        <v/>
      </c>
    </row>
    <row r="1132" spans="8:8" x14ac:dyDescent="0.25">
      <c r="H1132" s="23" t="str">
        <f>IF(G1132="","",VLOOKUP(G1132+0,'Concordance Client R2 BOB'!$B:$C,2,FALSE))</f>
        <v/>
      </c>
    </row>
    <row r="1133" spans="8:8" x14ac:dyDescent="0.25">
      <c r="H1133" s="23" t="str">
        <f>IF(G1133="","",VLOOKUP(G1133+0,'Concordance Client R2 BOB'!$B:$C,2,FALSE))</f>
        <v/>
      </c>
    </row>
    <row r="1134" spans="8:8" x14ac:dyDescent="0.25">
      <c r="H1134" s="23" t="str">
        <f>IF(G1134="","",VLOOKUP(G1134+0,'Concordance Client R2 BOB'!$B:$C,2,FALSE))</f>
        <v/>
      </c>
    </row>
    <row r="1135" spans="8:8" x14ac:dyDescent="0.25">
      <c r="H1135" s="23" t="str">
        <f>IF(G1135="","",VLOOKUP(G1135+0,'Concordance Client R2 BOB'!$B:$C,2,FALSE))</f>
        <v/>
      </c>
    </row>
    <row r="1136" spans="8:8" x14ac:dyDescent="0.25">
      <c r="H1136" s="23" t="str">
        <f>IF(G1136="","",VLOOKUP(G1136+0,'Concordance Client R2 BOB'!$B:$C,2,FALSE))</f>
        <v/>
      </c>
    </row>
    <row r="1137" spans="8:8" x14ac:dyDescent="0.25">
      <c r="H1137" s="23" t="str">
        <f>IF(G1137="","",VLOOKUP(G1137+0,'Concordance Client R2 BOB'!$B:$C,2,FALSE))</f>
        <v/>
      </c>
    </row>
    <row r="1138" spans="8:8" x14ac:dyDescent="0.25">
      <c r="H1138" s="23" t="str">
        <f>IF(G1138="","",VLOOKUP(G1138+0,'Concordance Client R2 BOB'!$B:$C,2,FALSE))</f>
        <v/>
      </c>
    </row>
    <row r="1139" spans="8:8" x14ac:dyDescent="0.25">
      <c r="H1139" s="23" t="str">
        <f>IF(G1139="","",VLOOKUP(G1139+0,'Concordance Client R2 BOB'!$B:$C,2,FALSE))</f>
        <v/>
      </c>
    </row>
    <row r="1140" spans="8:8" x14ac:dyDescent="0.25">
      <c r="H1140" s="23" t="str">
        <f>IF(G1140="","",VLOOKUP(G1140+0,'Concordance Client R2 BOB'!$B:$C,2,FALSE))</f>
        <v/>
      </c>
    </row>
    <row r="1141" spans="8:8" x14ac:dyDescent="0.25">
      <c r="H1141" s="23" t="str">
        <f>IF(G1141="","",VLOOKUP(G1141+0,'Concordance Client R2 BOB'!$B:$C,2,FALSE))</f>
        <v/>
      </c>
    </row>
    <row r="1142" spans="8:8" x14ac:dyDescent="0.25">
      <c r="H1142" s="23" t="str">
        <f>IF(G1142="","",VLOOKUP(G1142+0,'Concordance Client R2 BOB'!$B:$C,2,FALSE))</f>
        <v/>
      </c>
    </row>
    <row r="1143" spans="8:8" x14ac:dyDescent="0.25">
      <c r="H1143" s="23" t="str">
        <f>IF(G1143="","",VLOOKUP(G1143+0,'Concordance Client R2 BOB'!$B:$C,2,FALSE))</f>
        <v/>
      </c>
    </row>
    <row r="1144" spans="8:8" x14ac:dyDescent="0.25">
      <c r="H1144" s="23" t="str">
        <f>IF(G1144="","",VLOOKUP(G1144+0,'Concordance Client R2 BOB'!$B:$C,2,FALSE))</f>
        <v/>
      </c>
    </row>
    <row r="1145" spans="8:8" x14ac:dyDescent="0.25">
      <c r="H1145" s="23" t="str">
        <f>IF(G1145="","",VLOOKUP(G1145+0,'Concordance Client R2 BOB'!$B:$C,2,FALSE))</f>
        <v/>
      </c>
    </row>
    <row r="1146" spans="8:8" x14ac:dyDescent="0.25">
      <c r="H1146" s="23" t="str">
        <f>IF(G1146="","",VLOOKUP(G1146+0,'Concordance Client R2 BOB'!$B:$C,2,FALSE))</f>
        <v/>
      </c>
    </row>
    <row r="1147" spans="8:8" x14ac:dyDescent="0.25">
      <c r="H1147" s="23" t="str">
        <f>IF(G1147="","",VLOOKUP(G1147+0,'Concordance Client R2 BOB'!$B:$C,2,FALSE))</f>
        <v/>
      </c>
    </row>
    <row r="1148" spans="8:8" x14ac:dyDescent="0.25">
      <c r="H1148" s="23" t="str">
        <f>IF(G1148="","",VLOOKUP(G1148+0,'Concordance Client R2 BOB'!$B:$C,2,FALSE))</f>
        <v/>
      </c>
    </row>
    <row r="1149" spans="8:8" x14ac:dyDescent="0.25">
      <c r="H1149" s="23" t="str">
        <f>IF(G1149="","",VLOOKUP(G1149+0,'Concordance Client R2 BOB'!$B:$C,2,FALSE))</f>
        <v/>
      </c>
    </row>
    <row r="1150" spans="8:8" x14ac:dyDescent="0.25">
      <c r="H1150" s="23" t="str">
        <f>IF(G1150="","",VLOOKUP(G1150+0,'Concordance Client R2 BOB'!$B:$C,2,FALSE))</f>
        <v/>
      </c>
    </row>
    <row r="1151" spans="8:8" x14ac:dyDescent="0.25">
      <c r="H1151" s="23" t="str">
        <f>IF(G1151="","",VLOOKUP(G1151+0,'Concordance Client R2 BOB'!$B:$C,2,FALSE))</f>
        <v/>
      </c>
    </row>
    <row r="1152" spans="8:8" x14ac:dyDescent="0.25">
      <c r="H1152" s="23" t="str">
        <f>IF(G1152="","",VLOOKUP(G1152+0,'Concordance Client R2 BOB'!$B:$C,2,FALSE))</f>
        <v/>
      </c>
    </row>
    <row r="1153" spans="8:8" x14ac:dyDescent="0.25">
      <c r="H1153" s="23" t="str">
        <f>IF(G1153="","",VLOOKUP(G1153+0,'Concordance Client R2 BOB'!$B:$C,2,FALSE))</f>
        <v/>
      </c>
    </row>
    <row r="1154" spans="8:8" x14ac:dyDescent="0.25">
      <c r="H1154" s="23" t="str">
        <f>IF(G1154="","",VLOOKUP(G1154+0,'Concordance Client R2 BOB'!$B:$C,2,FALSE))</f>
        <v/>
      </c>
    </row>
    <row r="1155" spans="8:8" x14ac:dyDescent="0.25">
      <c r="H1155" s="23" t="str">
        <f>IF(G1155="","",VLOOKUP(G1155+0,'Concordance Client R2 BOB'!$B:$C,2,FALSE))</f>
        <v/>
      </c>
    </row>
    <row r="1156" spans="8:8" x14ac:dyDescent="0.25">
      <c r="H1156" s="23" t="str">
        <f>IF(G1156="","",VLOOKUP(G1156+0,'Concordance Client R2 BOB'!$B:$C,2,FALSE))</f>
        <v/>
      </c>
    </row>
    <row r="1157" spans="8:8" x14ac:dyDescent="0.25">
      <c r="H1157" s="23" t="str">
        <f>IF(G1157="","",VLOOKUP(G1157+0,'Concordance Client R2 BOB'!$B:$C,2,FALSE))</f>
        <v/>
      </c>
    </row>
    <row r="1158" spans="8:8" x14ac:dyDescent="0.25">
      <c r="H1158" s="23" t="str">
        <f>IF(G1158="","",VLOOKUP(G1158+0,'Concordance Client R2 BOB'!$B:$C,2,FALSE))</f>
        <v/>
      </c>
    </row>
    <row r="1159" spans="8:8" x14ac:dyDescent="0.25">
      <c r="H1159" s="23" t="str">
        <f>IF(G1159="","",VLOOKUP(G1159+0,'Concordance Client R2 BOB'!$B:$C,2,FALSE))</f>
        <v/>
      </c>
    </row>
    <row r="1160" spans="8:8" x14ac:dyDescent="0.25">
      <c r="H1160" s="23" t="str">
        <f>IF(G1160="","",VLOOKUP(G1160+0,'Concordance Client R2 BOB'!$B:$C,2,FALSE))</f>
        <v/>
      </c>
    </row>
    <row r="1161" spans="8:8" x14ac:dyDescent="0.25">
      <c r="H1161" s="23" t="str">
        <f>IF(G1161="","",VLOOKUP(G1161+0,'Concordance Client R2 BOB'!$B:$C,2,FALSE))</f>
        <v/>
      </c>
    </row>
    <row r="1162" spans="8:8" x14ac:dyDescent="0.25">
      <c r="H1162" s="23" t="str">
        <f>IF(G1162="","",VLOOKUP(G1162+0,'Concordance Client R2 BOB'!$B:$C,2,FALSE))</f>
        <v/>
      </c>
    </row>
    <row r="1163" spans="8:8" x14ac:dyDescent="0.25">
      <c r="H1163" s="23" t="str">
        <f>IF(G1163="","",VLOOKUP(G1163+0,'Concordance Client R2 BOB'!$B:$C,2,FALSE))</f>
        <v/>
      </c>
    </row>
    <row r="1164" spans="8:8" x14ac:dyDescent="0.25">
      <c r="H1164" s="23" t="str">
        <f>IF(G1164="","",VLOOKUP(G1164+0,'Concordance Client R2 BOB'!$B:$C,2,FALSE))</f>
        <v/>
      </c>
    </row>
    <row r="1165" spans="8:8" x14ac:dyDescent="0.25">
      <c r="H1165" s="23" t="str">
        <f>IF(G1165="","",VLOOKUP(G1165+0,'Concordance Client R2 BOB'!$B:$C,2,FALSE))</f>
        <v/>
      </c>
    </row>
    <row r="1166" spans="8:8" x14ac:dyDescent="0.25">
      <c r="H1166" s="23" t="str">
        <f>IF(G1166="","",VLOOKUP(G1166+0,'Concordance Client R2 BOB'!$B:$C,2,FALSE))</f>
        <v/>
      </c>
    </row>
    <row r="1167" spans="8:8" x14ac:dyDescent="0.25">
      <c r="H1167" s="23" t="str">
        <f>IF(G1167="","",VLOOKUP(G1167+0,'Concordance Client R2 BOB'!$B:$C,2,FALSE))</f>
        <v/>
      </c>
    </row>
    <row r="1168" spans="8:8" x14ac:dyDescent="0.25">
      <c r="H1168" s="23" t="str">
        <f>IF(G1168="","",VLOOKUP(G1168+0,'Concordance Client R2 BOB'!$B:$C,2,FALSE))</f>
        <v/>
      </c>
    </row>
    <row r="1169" spans="8:8" x14ac:dyDescent="0.25">
      <c r="H1169" s="23" t="str">
        <f>IF(G1169="","",VLOOKUP(G1169+0,'Concordance Client R2 BOB'!$B:$C,2,FALSE))</f>
        <v/>
      </c>
    </row>
    <row r="1170" spans="8:8" x14ac:dyDescent="0.25">
      <c r="H1170" s="23" t="str">
        <f>IF(G1170="","",VLOOKUP(G1170+0,'Concordance Client R2 BOB'!$B:$C,2,FALSE))</f>
        <v/>
      </c>
    </row>
    <row r="1171" spans="8:8" x14ac:dyDescent="0.25">
      <c r="H1171" s="23" t="str">
        <f>IF(G1171="","",VLOOKUP(G1171+0,'Concordance Client R2 BOB'!$B:$C,2,FALSE))</f>
        <v/>
      </c>
    </row>
    <row r="1172" spans="8:8" x14ac:dyDescent="0.25">
      <c r="H1172" s="23" t="str">
        <f>IF(G1172="","",VLOOKUP(G1172+0,'Concordance Client R2 BOB'!$B:$C,2,FALSE))</f>
        <v/>
      </c>
    </row>
    <row r="1173" spans="8:8" x14ac:dyDescent="0.25">
      <c r="H1173" s="23" t="str">
        <f>IF(G1173="","",VLOOKUP(G1173+0,'Concordance Client R2 BOB'!$B:$C,2,FALSE))</f>
        <v/>
      </c>
    </row>
    <row r="1174" spans="8:8" x14ac:dyDescent="0.25">
      <c r="H1174" s="23" t="str">
        <f>IF(G1174="","",VLOOKUP(G1174+0,'Concordance Client R2 BOB'!$B:$C,2,FALSE))</f>
        <v/>
      </c>
    </row>
    <row r="1175" spans="8:8" x14ac:dyDescent="0.25">
      <c r="H1175" s="23" t="str">
        <f>IF(G1175="","",VLOOKUP(G1175+0,'Concordance Client R2 BOB'!$B:$C,2,FALSE))</f>
        <v/>
      </c>
    </row>
    <row r="1176" spans="8:8" x14ac:dyDescent="0.25">
      <c r="H1176" s="23" t="str">
        <f>IF(G1176="","",VLOOKUP(G1176+0,'Concordance Client R2 BOB'!$B:$C,2,FALSE))</f>
        <v/>
      </c>
    </row>
    <row r="1177" spans="8:8" x14ac:dyDescent="0.25">
      <c r="H1177" s="23" t="str">
        <f>IF(G1177="","",VLOOKUP(G1177+0,'Concordance Client R2 BOB'!$B:$C,2,FALSE))</f>
        <v/>
      </c>
    </row>
    <row r="1178" spans="8:8" x14ac:dyDescent="0.25">
      <c r="H1178" s="23" t="str">
        <f>IF(G1178="","",VLOOKUP(G1178+0,'Concordance Client R2 BOB'!$B:$C,2,FALSE))</f>
        <v/>
      </c>
    </row>
    <row r="1179" spans="8:8" x14ac:dyDescent="0.25">
      <c r="H1179" s="23" t="str">
        <f>IF(G1179="","",VLOOKUP(G1179+0,'Concordance Client R2 BOB'!$B:$C,2,FALSE))</f>
        <v/>
      </c>
    </row>
    <row r="1180" spans="8:8" x14ac:dyDescent="0.25">
      <c r="H1180" s="23" t="str">
        <f>IF(G1180="","",VLOOKUP(G1180+0,'Concordance Client R2 BOB'!$B:$C,2,FALSE))</f>
        <v/>
      </c>
    </row>
    <row r="1181" spans="8:8" x14ac:dyDescent="0.25">
      <c r="H1181" s="23" t="str">
        <f>IF(G1181="","",VLOOKUP(G1181+0,'Concordance Client R2 BOB'!$B:$C,2,FALSE))</f>
        <v/>
      </c>
    </row>
    <row r="1182" spans="8:8" x14ac:dyDescent="0.25">
      <c r="H1182" s="23" t="str">
        <f>IF(G1182="","",VLOOKUP(G1182+0,'Concordance Client R2 BOB'!$B:$C,2,FALSE))</f>
        <v/>
      </c>
    </row>
    <row r="1183" spans="8:8" x14ac:dyDescent="0.25">
      <c r="H1183" s="23" t="str">
        <f>IF(G1183="","",VLOOKUP(G1183+0,'Concordance Client R2 BOB'!$B:$C,2,FALSE))</f>
        <v/>
      </c>
    </row>
    <row r="1184" spans="8:8" x14ac:dyDescent="0.25">
      <c r="H1184" s="23" t="str">
        <f>IF(G1184="","",VLOOKUP(G1184+0,'Concordance Client R2 BOB'!$B:$C,2,FALSE))</f>
        <v/>
      </c>
    </row>
    <row r="1185" spans="8:8" x14ac:dyDescent="0.25">
      <c r="H1185" s="23" t="str">
        <f>IF(G1185="","",VLOOKUP(G1185+0,'Concordance Client R2 BOB'!$B:$C,2,FALSE))</f>
        <v/>
      </c>
    </row>
    <row r="1186" spans="8:8" x14ac:dyDescent="0.25">
      <c r="H1186" s="23" t="str">
        <f>IF(G1186="","",VLOOKUP(G1186+0,'Concordance Client R2 BOB'!$B:$C,2,FALSE))</f>
        <v/>
      </c>
    </row>
    <row r="1187" spans="8:8" x14ac:dyDescent="0.25">
      <c r="H1187" s="23" t="str">
        <f>IF(G1187="","",VLOOKUP(G1187+0,'Concordance Client R2 BOB'!$B:$C,2,FALSE))</f>
        <v/>
      </c>
    </row>
    <row r="1188" spans="8:8" x14ac:dyDescent="0.25">
      <c r="H1188" s="23" t="str">
        <f>IF(G1188="","",VLOOKUP(G1188+0,'Concordance Client R2 BOB'!$B:$C,2,FALSE))</f>
        <v/>
      </c>
    </row>
    <row r="1189" spans="8:8" x14ac:dyDescent="0.25">
      <c r="H1189" s="23" t="str">
        <f>IF(G1189="","",VLOOKUP(G1189+0,'Concordance Client R2 BOB'!$B:$C,2,FALSE))</f>
        <v/>
      </c>
    </row>
    <row r="1190" spans="8:8" x14ac:dyDescent="0.25">
      <c r="H1190" s="23" t="str">
        <f>IF(G1190="","",VLOOKUP(G1190+0,'Concordance Client R2 BOB'!$B:$C,2,FALSE))</f>
        <v/>
      </c>
    </row>
    <row r="1191" spans="8:8" x14ac:dyDescent="0.25">
      <c r="H1191" s="23" t="str">
        <f>IF(G1191="","",VLOOKUP(G1191+0,'Concordance Client R2 BOB'!$B:$C,2,FALSE))</f>
        <v/>
      </c>
    </row>
    <row r="1192" spans="8:8" x14ac:dyDescent="0.25">
      <c r="H1192" s="23" t="str">
        <f>IF(G1192="","",VLOOKUP(G1192+0,'Concordance Client R2 BOB'!$B:$C,2,FALSE))</f>
        <v/>
      </c>
    </row>
  </sheetData>
  <autoFilter ref="A1:H1192" xr:uid="{24F14F73-696E-432D-A11A-8738422E7FA9}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A49-E197-4756-AFC9-EFDFA82252D3}">
  <dimension ref="A1:B12"/>
  <sheetViews>
    <sheetView workbookViewId="0">
      <selection activeCell="B2" sqref="B2"/>
    </sheetView>
  </sheetViews>
  <sheetFormatPr baseColWidth="10" defaultRowHeight="15" x14ac:dyDescent="0.25"/>
  <cols>
    <col min="1" max="1" width="8.140625" bestFit="1" customWidth="1"/>
  </cols>
  <sheetData>
    <row r="1" spans="1:2" x14ac:dyDescent="0.25">
      <c r="A1" t="s">
        <v>6776</v>
      </c>
      <c r="B1" t="s">
        <v>6777</v>
      </c>
    </row>
    <row r="2" spans="1:2" x14ac:dyDescent="0.25">
      <c r="A2" s="7">
        <v>483</v>
      </c>
      <c r="B2" t="s">
        <v>155</v>
      </c>
    </row>
    <row r="3" spans="1:2" x14ac:dyDescent="0.25">
      <c r="A3" t="s">
        <v>975</v>
      </c>
      <c r="B3" t="s">
        <v>155</v>
      </c>
    </row>
    <row r="4" spans="1:2" x14ac:dyDescent="0.25">
      <c r="A4" t="s">
        <v>2178</v>
      </c>
      <c r="B4" t="s">
        <v>155</v>
      </c>
    </row>
    <row r="5" spans="1:2" x14ac:dyDescent="0.25">
      <c r="A5" t="s">
        <v>5504</v>
      </c>
      <c r="B5" t="s">
        <v>6778</v>
      </c>
    </row>
    <row r="6" spans="1:2" x14ac:dyDescent="0.25">
      <c r="A6" t="s">
        <v>1839</v>
      </c>
      <c r="B6" t="s">
        <v>397</v>
      </c>
    </row>
    <row r="7" spans="1:2" x14ac:dyDescent="0.25">
      <c r="A7" t="s">
        <v>1351</v>
      </c>
      <c r="B7" t="s">
        <v>279</v>
      </c>
    </row>
    <row r="8" spans="1:2" x14ac:dyDescent="0.25">
      <c r="A8" t="s">
        <v>6736</v>
      </c>
      <c r="B8" t="s">
        <v>279</v>
      </c>
    </row>
    <row r="9" spans="1:2" x14ac:dyDescent="0.25">
      <c r="A9" s="7" t="s">
        <v>4132</v>
      </c>
    </row>
    <row r="10" spans="1:2" x14ac:dyDescent="0.25">
      <c r="A10" t="s">
        <v>1626</v>
      </c>
      <c r="B10" t="s">
        <v>273</v>
      </c>
    </row>
    <row r="11" spans="1:2" x14ac:dyDescent="0.25">
      <c r="A11" t="s">
        <v>4273</v>
      </c>
      <c r="B11" t="s">
        <v>273</v>
      </c>
    </row>
    <row r="12" spans="1:2" x14ac:dyDescent="0.25">
      <c r="A12" t="s">
        <v>4447</v>
      </c>
      <c r="B12" t="s">
        <v>345</v>
      </c>
    </row>
  </sheetData>
  <sortState xmlns:xlrd2="http://schemas.microsoft.com/office/spreadsheetml/2017/richdata2" ref="A2:B1033">
    <sortCondition ref="A2:A1033"/>
  </sortState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F4EC-6012-4E03-9ABF-8316758E2D86}">
  <dimension ref="A1:B5"/>
  <sheetViews>
    <sheetView workbookViewId="0">
      <selection activeCell="B6" sqref="B6"/>
    </sheetView>
  </sheetViews>
  <sheetFormatPr baseColWidth="10" defaultRowHeight="15" x14ac:dyDescent="0.25"/>
  <cols>
    <col min="1" max="1" width="12.42578125" bestFit="1" customWidth="1"/>
  </cols>
  <sheetData>
    <row r="1" spans="1:2" x14ac:dyDescent="0.25">
      <c r="A1" s="13" t="s">
        <v>52</v>
      </c>
      <c r="B1" s="13" t="s">
        <v>156</v>
      </c>
    </row>
    <row r="2" spans="1:2" x14ac:dyDescent="0.25">
      <c r="A2" t="s">
        <v>7106</v>
      </c>
      <c r="B2" t="s">
        <v>7109</v>
      </c>
    </row>
    <row r="3" spans="1:2" x14ac:dyDescent="0.25">
      <c r="A3" t="s">
        <v>71</v>
      </c>
      <c r="B3" t="s">
        <v>7109</v>
      </c>
    </row>
    <row r="4" spans="1:2" x14ac:dyDescent="0.25">
      <c r="A4" t="s">
        <v>7104</v>
      </c>
      <c r="B4" t="s">
        <v>7110</v>
      </c>
    </row>
    <row r="5" spans="1:2" x14ac:dyDescent="0.25">
      <c r="A5" t="s">
        <v>7111</v>
      </c>
      <c r="B5" t="s">
        <v>7110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CF84-8F27-4CBF-B207-A0D4B7E98FCB}">
  <dimension ref="A1:I35"/>
  <sheetViews>
    <sheetView workbookViewId="0">
      <selection activeCell="B11" sqref="B11"/>
    </sheetView>
  </sheetViews>
  <sheetFormatPr baseColWidth="10" defaultRowHeight="15" x14ac:dyDescent="0.25"/>
  <cols>
    <col min="1" max="1" width="16" customWidth="1"/>
    <col min="2" max="2" width="14.85546875" customWidth="1"/>
  </cols>
  <sheetData>
    <row r="1" spans="1:2" x14ac:dyDescent="0.25">
      <c r="A1" s="13" t="s">
        <v>453</v>
      </c>
    </row>
    <row r="2" spans="1:2" x14ac:dyDescent="0.25">
      <c r="A2" t="s">
        <v>454</v>
      </c>
    </row>
    <row r="3" spans="1:2" x14ac:dyDescent="0.25">
      <c r="A3" t="s">
        <v>455</v>
      </c>
    </row>
    <row r="6" spans="1:2" x14ac:dyDescent="0.25">
      <c r="A6" t="s">
        <v>457</v>
      </c>
    </row>
    <row r="8" spans="1:2" x14ac:dyDescent="0.25">
      <c r="A8" s="15" t="s">
        <v>459</v>
      </c>
      <c r="B8" s="15" t="s">
        <v>458</v>
      </c>
    </row>
    <row r="9" spans="1:2" x14ac:dyDescent="0.25">
      <c r="A9" s="4" t="s">
        <v>439</v>
      </c>
      <c r="B9" t="s">
        <v>171</v>
      </c>
    </row>
    <row r="10" spans="1:2" x14ac:dyDescent="0.25">
      <c r="A10" s="4" t="s">
        <v>278</v>
      </c>
      <c r="B10" t="s">
        <v>178</v>
      </c>
    </row>
    <row r="11" spans="1:2" x14ac:dyDescent="0.25">
      <c r="A11" t="s">
        <v>376</v>
      </c>
      <c r="B11" t="s">
        <v>253</v>
      </c>
    </row>
    <row r="12" spans="1:2" x14ac:dyDescent="0.25">
      <c r="A12" t="s">
        <v>393</v>
      </c>
      <c r="B12" t="s">
        <v>255</v>
      </c>
    </row>
    <row r="13" spans="1:2" x14ac:dyDescent="0.25">
      <c r="A13" t="s">
        <v>440</v>
      </c>
      <c r="B13" t="s">
        <v>85</v>
      </c>
    </row>
    <row r="17" spans="1:9" x14ac:dyDescent="0.25">
      <c r="A17" s="13" t="s">
        <v>462</v>
      </c>
    </row>
    <row r="18" spans="1:9" x14ac:dyDescent="0.25">
      <c r="A18" t="s">
        <v>456</v>
      </c>
    </row>
    <row r="19" spans="1:9" x14ac:dyDescent="0.25">
      <c r="A19" t="s">
        <v>463</v>
      </c>
      <c r="F19" s="16" t="s">
        <v>9</v>
      </c>
      <c r="G19" s="18" t="s">
        <v>11</v>
      </c>
      <c r="H19" s="18" t="s">
        <v>12</v>
      </c>
      <c r="I19" s="18" t="s">
        <v>13</v>
      </c>
    </row>
    <row r="24" spans="1:9" x14ac:dyDescent="0.25">
      <c r="A24" t="s">
        <v>472</v>
      </c>
    </row>
    <row r="26" spans="1:9" x14ac:dyDescent="0.25">
      <c r="A26" t="s">
        <v>6924</v>
      </c>
    </row>
    <row r="27" spans="1:9" x14ac:dyDescent="0.25">
      <c r="A27" t="s">
        <v>473</v>
      </c>
    </row>
    <row r="35" spans="1:1" x14ac:dyDescent="0.25">
      <c r="A35" t="s">
        <v>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18CA-E3DB-4F21-AE1D-1F7BED89FDDD}">
  <dimension ref="A1:A21"/>
  <sheetViews>
    <sheetView workbookViewId="0">
      <selection activeCell="C21" sqref="C21"/>
    </sheetView>
  </sheetViews>
  <sheetFormatPr baseColWidth="10" defaultRowHeight="15" x14ac:dyDescent="0.25"/>
  <cols>
    <col min="1" max="1" width="121.42578125" customWidth="1"/>
  </cols>
  <sheetData>
    <row r="1" spans="1:1" x14ac:dyDescent="0.25">
      <c r="A1" t="s">
        <v>159</v>
      </c>
    </row>
    <row r="3" spans="1:1" ht="30" x14ac:dyDescent="0.25">
      <c r="A3" s="12" t="s">
        <v>163</v>
      </c>
    </row>
    <row r="5" spans="1:1" x14ac:dyDescent="0.25">
      <c r="A5" t="s">
        <v>160</v>
      </c>
    </row>
    <row r="7" spans="1:1" x14ac:dyDescent="0.25">
      <c r="A7" t="s">
        <v>161</v>
      </c>
    </row>
    <row r="8" spans="1:1" x14ac:dyDescent="0.25">
      <c r="A8" t="s">
        <v>162</v>
      </c>
    </row>
    <row r="18" spans="1:1" x14ac:dyDescent="0.25">
      <c r="A18" t="s">
        <v>164</v>
      </c>
    </row>
    <row r="21" spans="1:1" x14ac:dyDescent="0.25">
      <c r="A21" t="s">
        <v>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2) BOB compta (completer-forcer</vt:lpstr>
      <vt:lpstr>3) Copie "valeur" (BOB Compta)</vt:lpstr>
      <vt:lpstr>1) Import fichier Remi (coller)</vt:lpstr>
      <vt:lpstr>Vérif total fact</vt:lpstr>
      <vt:lpstr>Concordance Client R2 BOB</vt:lpstr>
      <vt:lpstr>Clients R2</vt:lpstr>
      <vt:lpstr>Analytique personnel</vt:lpstr>
      <vt:lpstr>Spécifique comptes</vt:lpstr>
      <vt:lpstr>Concordance client liv et fact</vt:lpstr>
      <vt:lpstr>Code pays</vt:lpstr>
      <vt:lpstr>Libellés PDF</vt:lpstr>
      <vt:lpstr>Remarques perso</vt:lpstr>
      <vt:lpstr>Remarques Fabio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Goulier</dc:creator>
  <cp:lastModifiedBy>Arnaud MAHIEU</cp:lastModifiedBy>
  <dcterms:created xsi:type="dcterms:W3CDTF">2015-06-05T18:19:34Z</dcterms:created>
  <dcterms:modified xsi:type="dcterms:W3CDTF">2026-10-06T11:24:45Z</dcterms:modified>
</cp:coreProperties>
</file>